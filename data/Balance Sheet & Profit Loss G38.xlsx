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503D510-0B07-4059-90EB-8407D3E4248E}" xr6:coauthVersionLast="47" xr6:coauthVersionMax="47" xr10:uidLastSave="{00000000-0000-0000-0000-000000000000}"/>
  <bookViews>
    <workbookView xWindow="-120" yWindow="-120" windowWidth="20730" windowHeight="11040" tabRatio="565" firstSheet="18" activeTab="19" xr2:uid="{00000000-000D-0000-FFFF-FFFF00000000}"/>
  </bookViews>
  <sheets>
    <sheet name="Profit &amp; Loss" sheetId="21" state="hidden" r:id="rId1"/>
    <sheet name="JAN 22" sheetId="9" state="hidden" r:id="rId2"/>
    <sheet name="FEB 22" sheetId="10" state="hidden" r:id="rId3"/>
    <sheet name="MAR 22" sheetId="11" state="hidden" r:id="rId4"/>
    <sheet name="APR 22" sheetId="12" state="hidden" r:id="rId5"/>
    <sheet name="MAY 22" sheetId="13" state="hidden" r:id="rId6"/>
    <sheet name="JUN 22" sheetId="14" state="hidden" r:id="rId7"/>
    <sheet name="JUL 22" sheetId="15" state="hidden" r:id="rId8"/>
    <sheet name="AUG 22" sheetId="16" state="hidden" r:id="rId9"/>
    <sheet name="SEP 22" sheetId="17" state="hidden" r:id="rId10"/>
    <sheet name="OCT 22" sheetId="18" state="hidden" r:id="rId11"/>
    <sheet name="NOV 22" sheetId="19" state="hidden" r:id="rId12"/>
    <sheet name="DEC 22" sheetId="20" state="hidden" r:id="rId13"/>
    <sheet name="Balance Sheet" sheetId="22" state="hidden" r:id="rId14"/>
    <sheet name="Sheet1" sheetId="26" state="hidden" r:id="rId15"/>
    <sheet name="Sheet3" sheetId="25" state="hidden" r:id="rId16"/>
    <sheet name="A2" sheetId="24" state="hidden" r:id="rId17"/>
    <sheet name="A3" sheetId="23" state="hidden" r:id="rId18"/>
    <sheet name="Profit &amp; Loss (2)" sheetId="31" r:id="rId19"/>
    <sheet name="Sheet2" sheetId="32" r:id="rId20"/>
    <sheet name="B2" sheetId="27" state="hidden" r:id="rId21"/>
    <sheet name="B3" sheetId="28" state="hidden" r:id="rId22"/>
    <sheet name="B5" sheetId="29" state="hidden" r:id="rId23"/>
    <sheet name="B7" sheetId="30" state="hidden" r:id="rId24"/>
    <sheet name="JAN" sheetId="1" state="hidden" r:id="rId25"/>
  </sheets>
  <externalReferences>
    <externalReference r:id="rId26"/>
    <externalReference r:id="rId27"/>
  </externalReferences>
  <definedNames>
    <definedName name="_epmOfflineCondition_" localSheetId="22" hidden="1">1</definedName>
    <definedName name="_xlnm._FilterDatabase" localSheetId="4" hidden="1">'APR 22'!$A$1:$G$516</definedName>
    <definedName name="_xlnm._FilterDatabase" localSheetId="8" hidden="1">'AUG 22'!$A$1:$F$538</definedName>
    <definedName name="_xlnm._FilterDatabase" localSheetId="13" hidden="1">'Balance Sheet'!$A$1:$BA$298</definedName>
    <definedName name="_xlnm._FilterDatabase" localSheetId="12" hidden="1">'DEC 22'!$A$1:$F$560</definedName>
    <definedName name="_xlnm._FilterDatabase" localSheetId="2" hidden="1">'FEB 22'!$A$1:$G$497</definedName>
    <definedName name="_xlnm._FilterDatabase" localSheetId="24" hidden="1">JAN!$A$1:$F$458</definedName>
    <definedName name="_xlnm._FilterDatabase" localSheetId="1" hidden="1">'JAN 22'!$A$1:$F$467</definedName>
    <definedName name="_xlnm._FilterDatabase" localSheetId="7" hidden="1">'JUL 22'!$A$1:$F$528</definedName>
    <definedName name="_xlnm._FilterDatabase" localSheetId="6" hidden="1">'JUN 22'!$A$1:$F$522</definedName>
    <definedName name="_xlnm._FilterDatabase" localSheetId="3" hidden="1">'MAR 22'!$A$1:$G$509</definedName>
    <definedName name="_xlnm._FilterDatabase" localSheetId="5" hidden="1">'MAY 22'!$A$1:$F$515</definedName>
    <definedName name="_xlnm._FilterDatabase" localSheetId="11" hidden="1">'NOV 22'!$A$1:$F$556</definedName>
    <definedName name="_xlnm._FilterDatabase" localSheetId="10" hidden="1">'OCT 22'!$A$1:$F$553</definedName>
    <definedName name="_xlnm._FilterDatabase" localSheetId="0" hidden="1">'Profit &amp; Loss'!$B$2:$BO$379</definedName>
    <definedName name="_xlnm._FilterDatabase" localSheetId="18" hidden="1">'Profit &amp; Loss (2)'!$B$2:$J$378</definedName>
    <definedName name="_xlnm._FilterDatabase" localSheetId="9" hidden="1">'SEP 22'!$A$1:$F$548</definedName>
    <definedName name="Time" localSheetId="22">'B5'!$D$22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3" i="31" l="1"/>
  <c r="H373" i="31"/>
  <c r="G373" i="31"/>
  <c r="F373" i="31"/>
  <c r="E373" i="31"/>
  <c r="D373" i="31"/>
  <c r="C373" i="31"/>
  <c r="J372" i="31"/>
  <c r="J371" i="31"/>
  <c r="J370" i="31"/>
  <c r="J369" i="31"/>
  <c r="J368" i="31"/>
  <c r="J367" i="31"/>
  <c r="I364" i="31"/>
  <c r="H364" i="31"/>
  <c r="G364" i="31"/>
  <c r="F364" i="31"/>
  <c r="E364" i="31"/>
  <c r="D364" i="31"/>
  <c r="C364" i="31"/>
  <c r="J363" i="31"/>
  <c r="J362" i="31"/>
  <c r="J361" i="31"/>
  <c r="J360" i="31"/>
  <c r="J359" i="31"/>
  <c r="J358" i="31"/>
  <c r="J357" i="31"/>
  <c r="I356" i="31"/>
  <c r="H356" i="31"/>
  <c r="G356" i="31"/>
  <c r="F356" i="31"/>
  <c r="E356" i="31"/>
  <c r="D356" i="31"/>
  <c r="C356" i="31"/>
  <c r="J355" i="31"/>
  <c r="J354" i="31"/>
  <c r="J353" i="31"/>
  <c r="J352" i="31"/>
  <c r="J351" i="31"/>
  <c r="J350" i="31"/>
  <c r="I349" i="31"/>
  <c r="H349" i="31"/>
  <c r="G349" i="31"/>
  <c r="F349" i="31"/>
  <c r="E349" i="31"/>
  <c r="D349" i="31"/>
  <c r="C349" i="31"/>
  <c r="J348" i="31"/>
  <c r="J349" i="31" s="1"/>
  <c r="I346" i="31"/>
  <c r="H346" i="31"/>
  <c r="G346" i="31"/>
  <c r="F346" i="31"/>
  <c r="E346" i="31"/>
  <c r="D346" i="31"/>
  <c r="C346" i="31"/>
  <c r="J345" i="31"/>
  <c r="J346" i="31" s="1"/>
  <c r="I344" i="31"/>
  <c r="H344" i="31"/>
  <c r="G344" i="31"/>
  <c r="F344" i="31"/>
  <c r="E344" i="31"/>
  <c r="D344" i="31"/>
  <c r="C344" i="31"/>
  <c r="J343" i="31"/>
  <c r="J342" i="31"/>
  <c r="J341" i="31"/>
  <c r="J340" i="31"/>
  <c r="I339" i="31"/>
  <c r="H339" i="31"/>
  <c r="G339" i="31"/>
  <c r="F339" i="31"/>
  <c r="E339" i="31"/>
  <c r="D339" i="31"/>
  <c r="C339" i="31"/>
  <c r="J338" i="31"/>
  <c r="J337" i="31"/>
  <c r="J336" i="31"/>
  <c r="J335" i="31"/>
  <c r="J334" i="31"/>
  <c r="J333" i="31"/>
  <c r="J332" i="31"/>
  <c r="J331" i="31"/>
  <c r="J330" i="31"/>
  <c r="I329" i="31"/>
  <c r="H329" i="31"/>
  <c r="G329" i="31"/>
  <c r="F329" i="31"/>
  <c r="E329" i="31"/>
  <c r="D329" i="31"/>
  <c r="C329" i="31"/>
  <c r="J328" i="31"/>
  <c r="J327" i="31"/>
  <c r="J326" i="31"/>
  <c r="J325" i="31"/>
  <c r="J324" i="31"/>
  <c r="J323" i="31"/>
  <c r="J322" i="31"/>
  <c r="J321" i="31"/>
  <c r="J320" i="31"/>
  <c r="J319" i="31"/>
  <c r="J318" i="31"/>
  <c r="J317" i="31"/>
  <c r="J316" i="31"/>
  <c r="I315" i="31"/>
  <c r="H315" i="31"/>
  <c r="G315" i="31"/>
  <c r="F315" i="31"/>
  <c r="E315" i="31"/>
  <c r="D315" i="31"/>
  <c r="C315" i="31"/>
  <c r="J314" i="31"/>
  <c r="J313" i="31"/>
  <c r="J312" i="31"/>
  <c r="J311" i="31"/>
  <c r="J310" i="31"/>
  <c r="J309" i="31"/>
  <c r="J308" i="31"/>
  <c r="J307" i="31"/>
  <c r="I306" i="31"/>
  <c r="H306" i="31"/>
  <c r="G306" i="31"/>
  <c r="F306" i="31"/>
  <c r="E306" i="31"/>
  <c r="D306" i="31"/>
  <c r="C306" i="31"/>
  <c r="J305" i="31"/>
  <c r="J306" i="31" s="1"/>
  <c r="I304" i="31"/>
  <c r="H304" i="31"/>
  <c r="G304" i="31"/>
  <c r="F304" i="31"/>
  <c r="E304" i="31"/>
  <c r="D304" i="31"/>
  <c r="C304" i="31"/>
  <c r="J303" i="31"/>
  <c r="J302" i="31"/>
  <c r="I301" i="31"/>
  <c r="H301" i="31"/>
  <c r="G301" i="31"/>
  <c r="F301" i="31"/>
  <c r="E301" i="31"/>
  <c r="D301" i="31"/>
  <c r="C301" i="31"/>
  <c r="J300" i="31"/>
  <c r="J299" i="31"/>
  <c r="J298" i="31"/>
  <c r="I297" i="31"/>
  <c r="H297" i="31"/>
  <c r="G297" i="31"/>
  <c r="F297" i="31"/>
  <c r="E297" i="31"/>
  <c r="D297" i="31"/>
  <c r="C297" i="31"/>
  <c r="J296" i="31"/>
  <c r="J295" i="31"/>
  <c r="J294" i="31"/>
  <c r="J293" i="31"/>
  <c r="J292" i="31"/>
  <c r="J291" i="31"/>
  <c r="J290" i="31"/>
  <c r="I289" i="31"/>
  <c r="H289" i="31"/>
  <c r="G289" i="31"/>
  <c r="F289" i="31"/>
  <c r="E289" i="31"/>
  <c r="D289" i="31"/>
  <c r="C289" i="31"/>
  <c r="J288" i="31"/>
  <c r="J287" i="31"/>
  <c r="J286" i="31"/>
  <c r="I285" i="31"/>
  <c r="H285" i="31"/>
  <c r="G285" i="31"/>
  <c r="F285" i="31"/>
  <c r="E285" i="31"/>
  <c r="D285" i="31"/>
  <c r="C285" i="31"/>
  <c r="J284" i="31"/>
  <c r="J283" i="31"/>
  <c r="J282" i="31"/>
  <c r="J281" i="31"/>
  <c r="J280" i="31"/>
  <c r="J279" i="31"/>
  <c r="J278" i="31"/>
  <c r="J277" i="31"/>
  <c r="J276" i="31"/>
  <c r="I275" i="31"/>
  <c r="H275" i="31"/>
  <c r="G275" i="31"/>
  <c r="F275" i="31"/>
  <c r="E275" i="31"/>
  <c r="D275" i="31"/>
  <c r="C275" i="31"/>
  <c r="J274" i="31"/>
  <c r="J273" i="31"/>
  <c r="I272" i="31"/>
  <c r="H272" i="31"/>
  <c r="G272" i="31"/>
  <c r="F272" i="31"/>
  <c r="E272" i="31"/>
  <c r="D272" i="31"/>
  <c r="C272" i="31"/>
  <c r="J271" i="31"/>
  <c r="J270" i="31"/>
  <c r="J269" i="31"/>
  <c r="J268" i="31"/>
  <c r="I267" i="31"/>
  <c r="H267" i="31"/>
  <c r="G267" i="31"/>
  <c r="F267" i="31"/>
  <c r="E267" i="31"/>
  <c r="D267" i="31"/>
  <c r="C267" i="31"/>
  <c r="J266" i="31"/>
  <c r="J265" i="31"/>
  <c r="J264" i="31"/>
  <c r="J263" i="31"/>
  <c r="J262" i="31"/>
  <c r="J261" i="31"/>
  <c r="I260" i="31"/>
  <c r="H260" i="31"/>
  <c r="G260" i="31"/>
  <c r="F260" i="31"/>
  <c r="E260" i="31"/>
  <c r="D260" i="31"/>
  <c r="C260" i="31"/>
  <c r="J259" i="31"/>
  <c r="J258" i="31"/>
  <c r="J257" i="31"/>
  <c r="I256" i="31"/>
  <c r="H256" i="31"/>
  <c r="G256" i="31"/>
  <c r="F256" i="31"/>
  <c r="E256" i="31"/>
  <c r="D256" i="31"/>
  <c r="C256" i="31"/>
  <c r="J255" i="31"/>
  <c r="J254" i="31"/>
  <c r="J253" i="31"/>
  <c r="J252" i="31"/>
  <c r="J251" i="31"/>
  <c r="J250" i="31"/>
  <c r="J249" i="31"/>
  <c r="J248" i="31"/>
  <c r="J247" i="31"/>
  <c r="J246" i="31"/>
  <c r="J245" i="31"/>
  <c r="I244" i="31"/>
  <c r="H244" i="31"/>
  <c r="G244" i="31"/>
  <c r="F244" i="31"/>
  <c r="E244" i="31"/>
  <c r="D244" i="31"/>
  <c r="C244" i="31"/>
  <c r="J243" i="31"/>
  <c r="J242" i="31"/>
  <c r="J241" i="31"/>
  <c r="J240" i="31"/>
  <c r="J239" i="31"/>
  <c r="J238" i="31"/>
  <c r="J237" i="31"/>
  <c r="J236" i="31"/>
  <c r="J235" i="31"/>
  <c r="J234" i="31"/>
  <c r="I233" i="31"/>
  <c r="H233" i="31"/>
  <c r="G233" i="31"/>
  <c r="F233" i="31"/>
  <c r="E233" i="31"/>
  <c r="D233" i="31"/>
  <c r="C233" i="31"/>
  <c r="J232" i="31"/>
  <c r="J231" i="31"/>
  <c r="J230" i="31"/>
  <c r="J229" i="31"/>
  <c r="J228" i="31"/>
  <c r="J227" i="31"/>
  <c r="J226" i="31"/>
  <c r="J225" i="31"/>
  <c r="J224" i="31"/>
  <c r="J223" i="31"/>
  <c r="J222" i="31"/>
  <c r="J221" i="31"/>
  <c r="J220" i="31"/>
  <c r="J219" i="31"/>
  <c r="J218" i="31"/>
  <c r="J217" i="31"/>
  <c r="J216" i="31"/>
  <c r="J215" i="31"/>
  <c r="J214" i="31"/>
  <c r="J213" i="31"/>
  <c r="J212" i="31"/>
  <c r="J211" i="31"/>
  <c r="J210" i="31"/>
  <c r="J209" i="31"/>
  <c r="J208" i="31"/>
  <c r="J207" i="31"/>
  <c r="J206" i="31"/>
  <c r="J205" i="31"/>
  <c r="J204" i="31"/>
  <c r="J203" i="31"/>
  <c r="J202" i="31"/>
  <c r="J201" i="31"/>
  <c r="J200" i="31"/>
  <c r="J199" i="31"/>
  <c r="J198" i="31"/>
  <c r="J197" i="31"/>
  <c r="J196" i="31"/>
  <c r="J195" i="31"/>
  <c r="J194" i="31"/>
  <c r="J193" i="31"/>
  <c r="J192" i="31"/>
  <c r="J191" i="31"/>
  <c r="J190" i="31"/>
  <c r="J189" i="31"/>
  <c r="J188" i="31"/>
  <c r="J187" i="31"/>
  <c r="J186" i="31"/>
  <c r="J185" i="31"/>
  <c r="J184" i="31"/>
  <c r="J183" i="31"/>
  <c r="J182" i="31"/>
  <c r="J181" i="31"/>
  <c r="J180" i="31"/>
  <c r="J179" i="31"/>
  <c r="I178" i="31"/>
  <c r="H178" i="31"/>
  <c r="G178" i="31"/>
  <c r="F178" i="31"/>
  <c r="E178" i="31"/>
  <c r="D178" i="31"/>
  <c r="C178" i="31"/>
  <c r="J177" i="31"/>
  <c r="J176" i="31"/>
  <c r="J175" i="31"/>
  <c r="J174" i="31"/>
  <c r="J173" i="31"/>
  <c r="J172" i="31"/>
  <c r="J171" i="31"/>
  <c r="J170" i="31"/>
  <c r="J169" i="31"/>
  <c r="J168" i="31"/>
  <c r="J167" i="31"/>
  <c r="J166" i="31"/>
  <c r="J165" i="31"/>
  <c r="J164" i="31"/>
  <c r="J163" i="31"/>
  <c r="J162" i="31"/>
  <c r="J161" i="31"/>
  <c r="J160" i="31"/>
  <c r="J159" i="31"/>
  <c r="J158" i="31"/>
  <c r="J157" i="31"/>
  <c r="J156" i="31"/>
  <c r="J155" i="31"/>
  <c r="J154" i="31"/>
  <c r="J153" i="31"/>
  <c r="J152" i="31"/>
  <c r="J151" i="31"/>
  <c r="J150" i="31"/>
  <c r="J149" i="31"/>
  <c r="J148" i="31"/>
  <c r="J147" i="31"/>
  <c r="J146" i="31"/>
  <c r="J145" i="31"/>
  <c r="J144" i="31"/>
  <c r="J143" i="31"/>
  <c r="J142" i="31"/>
  <c r="J141" i="31"/>
  <c r="J140" i="31"/>
  <c r="J139" i="31"/>
  <c r="J138" i="31"/>
  <c r="J137" i="31"/>
  <c r="J136" i="31"/>
  <c r="J135" i="31"/>
  <c r="J134" i="31"/>
  <c r="J133" i="31"/>
  <c r="J132" i="31"/>
  <c r="J131" i="31"/>
  <c r="I122" i="31"/>
  <c r="H122" i="31"/>
  <c r="G122" i="31"/>
  <c r="F122" i="31"/>
  <c r="E122" i="31"/>
  <c r="D122" i="31"/>
  <c r="C122" i="31"/>
  <c r="J121" i="31"/>
  <c r="J122" i="31" s="1"/>
  <c r="I120" i="31"/>
  <c r="H120" i="31"/>
  <c r="G120" i="31"/>
  <c r="F120" i="31"/>
  <c r="E120" i="31"/>
  <c r="D120" i="31"/>
  <c r="C120" i="31"/>
  <c r="J119" i="31"/>
  <c r="J118" i="31"/>
  <c r="J117" i="31"/>
  <c r="J116" i="31"/>
  <c r="J115" i="31"/>
  <c r="J114" i="31"/>
  <c r="J113" i="31"/>
  <c r="J112" i="31"/>
  <c r="J111" i="31"/>
  <c r="J110" i="31"/>
  <c r="J109" i="31"/>
  <c r="J108" i="31"/>
  <c r="J107" i="31"/>
  <c r="J106" i="31"/>
  <c r="J105" i="31"/>
  <c r="J104" i="31"/>
  <c r="J103" i="31"/>
  <c r="J102" i="31"/>
  <c r="I101" i="31"/>
  <c r="H101" i="31"/>
  <c r="G101" i="31"/>
  <c r="F101" i="31"/>
  <c r="E101" i="31"/>
  <c r="D101" i="31"/>
  <c r="C101" i="31"/>
  <c r="J100" i="31"/>
  <c r="J99" i="31"/>
  <c r="J98" i="31"/>
  <c r="J97" i="31"/>
  <c r="J96" i="31"/>
  <c r="I95" i="31"/>
  <c r="H95" i="31"/>
  <c r="G95" i="31"/>
  <c r="F95" i="31"/>
  <c r="E95" i="31"/>
  <c r="D95" i="31"/>
  <c r="C95" i="31"/>
  <c r="J94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1" i="31"/>
  <c r="I80" i="31"/>
  <c r="H80" i="31"/>
  <c r="G80" i="31"/>
  <c r="F80" i="31"/>
  <c r="E80" i="31"/>
  <c r="D80" i="31"/>
  <c r="C80" i="31"/>
  <c r="J79" i="31"/>
  <c r="J78" i="31"/>
  <c r="J77" i="31"/>
  <c r="J76" i="31"/>
  <c r="J75" i="31"/>
  <c r="J74" i="31"/>
  <c r="J73" i="31"/>
  <c r="J72" i="31"/>
  <c r="J71" i="31"/>
  <c r="J70" i="31"/>
  <c r="J69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2" i="31"/>
  <c r="J51" i="31"/>
  <c r="I49" i="31"/>
  <c r="H49" i="31"/>
  <c r="G49" i="31"/>
  <c r="F49" i="31"/>
  <c r="E49" i="31"/>
  <c r="D49" i="31"/>
  <c r="C49" i="31"/>
  <c r="J48" i="31"/>
  <c r="J49" i="31" s="1"/>
  <c r="I47" i="31"/>
  <c r="H47" i="31"/>
  <c r="G47" i="31"/>
  <c r="F47" i="31"/>
  <c r="E47" i="31"/>
  <c r="D47" i="31"/>
  <c r="C47" i="31"/>
  <c r="J46" i="31"/>
  <c r="J45" i="31"/>
  <c r="J44" i="31"/>
  <c r="I43" i="31"/>
  <c r="H43" i="31"/>
  <c r="G43" i="31"/>
  <c r="F43" i="31"/>
  <c r="E43" i="31"/>
  <c r="D43" i="31"/>
  <c r="C43" i="31"/>
  <c r="J42" i="31"/>
  <c r="J41" i="31"/>
  <c r="J40" i="31"/>
  <c r="J39" i="31"/>
  <c r="J38" i="31"/>
  <c r="J37" i="31"/>
  <c r="J36" i="31"/>
  <c r="J35" i="31"/>
  <c r="J34" i="31"/>
  <c r="I33" i="31"/>
  <c r="H33" i="31"/>
  <c r="G33" i="31"/>
  <c r="F33" i="31"/>
  <c r="E33" i="31"/>
  <c r="D33" i="31"/>
  <c r="C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J19" i="31"/>
  <c r="J18" i="31"/>
  <c r="J17" i="31"/>
  <c r="J16" i="31"/>
  <c r="J15" i="31"/>
  <c r="J14" i="31"/>
  <c r="J13" i="31"/>
  <c r="I12" i="31"/>
  <c r="H12" i="31"/>
  <c r="G12" i="31"/>
  <c r="F12" i="31"/>
  <c r="E12" i="31"/>
  <c r="D12" i="31"/>
  <c r="C12" i="31"/>
  <c r="J11" i="31"/>
  <c r="J10" i="31"/>
  <c r="J9" i="31"/>
  <c r="J8" i="31"/>
  <c r="J7" i="31"/>
  <c r="J6" i="31"/>
  <c r="J5" i="31"/>
  <c r="J4" i="31"/>
  <c r="J3" i="31"/>
  <c r="AU291" i="22"/>
  <c r="AU292" i="22" s="1"/>
  <c r="AU289" i="22"/>
  <c r="AU269" i="22"/>
  <c r="AU260" i="22"/>
  <c r="AU270" i="22" s="1"/>
  <c r="AU257" i="22"/>
  <c r="AU230" i="22"/>
  <c r="AU226" i="22"/>
  <c r="AU223" i="22"/>
  <c r="AU213" i="22"/>
  <c r="AU142" i="22"/>
  <c r="AU137" i="22"/>
  <c r="AU134" i="22"/>
  <c r="AU131" i="22"/>
  <c r="AU126" i="22"/>
  <c r="AT126" i="22"/>
  <c r="AU123" i="22"/>
  <c r="AU112" i="22"/>
  <c r="AU93" i="22"/>
  <c r="AU83" i="22"/>
  <c r="AU64" i="22"/>
  <c r="AU53" i="22"/>
  <c r="AU49" i="22"/>
  <c r="AU33" i="22"/>
  <c r="AU30" i="22"/>
  <c r="AU28" i="22"/>
  <c r="AU18" i="22"/>
  <c r="AU19" i="22" s="1"/>
  <c r="AU16" i="22"/>
  <c r="AU294" i="22"/>
  <c r="AU285" i="22"/>
  <c r="AU283" i="22"/>
  <c r="AU279" i="22"/>
  <c r="AU207" i="22"/>
  <c r="AU201" i="22"/>
  <c r="AV201" i="22"/>
  <c r="AW201" i="22"/>
  <c r="AX201" i="22"/>
  <c r="AY201" i="22"/>
  <c r="AZ201" i="22"/>
  <c r="AU168" i="22"/>
  <c r="AU160" i="22"/>
  <c r="AU146" i="22"/>
  <c r="AU109" i="22"/>
  <c r="AU96" i="22"/>
  <c r="AU11" i="22"/>
  <c r="BA242" i="22"/>
  <c r="BO375" i="21"/>
  <c r="BN375" i="21"/>
  <c r="BM375" i="21"/>
  <c r="BL375" i="21"/>
  <c r="BK375" i="21"/>
  <c r="BJ375" i="21"/>
  <c r="BI375" i="21"/>
  <c r="BH375" i="21"/>
  <c r="BG375" i="21"/>
  <c r="BF375" i="21"/>
  <c r="BE375" i="21"/>
  <c r="BD375" i="21"/>
  <c r="BC375" i="21"/>
  <c r="BH376" i="21"/>
  <c r="BI376" i="21"/>
  <c r="BI374" i="21"/>
  <c r="BI179" i="21"/>
  <c r="BI365" i="21"/>
  <c r="BI357" i="21"/>
  <c r="BI350" i="21"/>
  <c r="BI347" i="21"/>
  <c r="BI345" i="21"/>
  <c r="BI340" i="21"/>
  <c r="BI330" i="21"/>
  <c r="BI316" i="21"/>
  <c r="BI307" i="21"/>
  <c r="BI305" i="21"/>
  <c r="BI302" i="21"/>
  <c r="BI298" i="21"/>
  <c r="BI290" i="21"/>
  <c r="BI286" i="21"/>
  <c r="BI276" i="21"/>
  <c r="BI273" i="21"/>
  <c r="BI268" i="21"/>
  <c r="BI261" i="21"/>
  <c r="BI257" i="21"/>
  <c r="BI245" i="21"/>
  <c r="BI234" i="21"/>
  <c r="BI123" i="21"/>
  <c r="BI131" i="21" s="1"/>
  <c r="BI121" i="21"/>
  <c r="BI102" i="21"/>
  <c r="BI96" i="21"/>
  <c r="BI81" i="21"/>
  <c r="BI50" i="21"/>
  <c r="BI48" i="21"/>
  <c r="BI130" i="21" s="1"/>
  <c r="BI44" i="21"/>
  <c r="BI129" i="21" s="1"/>
  <c r="BI34" i="21"/>
  <c r="BI128" i="21" s="1"/>
  <c r="BI13" i="21"/>
  <c r="BI127" i="21" s="1"/>
  <c r="G126" i="31" l="1"/>
  <c r="J304" i="31"/>
  <c r="J289" i="31"/>
  <c r="C365" i="31"/>
  <c r="F128" i="31"/>
  <c r="E126" i="31"/>
  <c r="J101" i="31"/>
  <c r="J275" i="31"/>
  <c r="J47" i="31"/>
  <c r="J260" i="31"/>
  <c r="H365" i="31"/>
  <c r="J43" i="31"/>
  <c r="C129" i="31"/>
  <c r="I126" i="31"/>
  <c r="H127" i="31"/>
  <c r="D128" i="31"/>
  <c r="J267" i="31"/>
  <c r="J339" i="31"/>
  <c r="I129" i="31"/>
  <c r="I128" i="31"/>
  <c r="J285" i="31"/>
  <c r="C126" i="31"/>
  <c r="J95" i="31"/>
  <c r="G128" i="31"/>
  <c r="J297" i="31"/>
  <c r="J356" i="31"/>
  <c r="E50" i="31"/>
  <c r="F129" i="31"/>
  <c r="C130" i="31"/>
  <c r="D365" i="31"/>
  <c r="G127" i="31"/>
  <c r="D129" i="31"/>
  <c r="E365" i="31"/>
  <c r="J364" i="31"/>
  <c r="J373" i="31"/>
  <c r="G123" i="31"/>
  <c r="J344" i="31"/>
  <c r="F365" i="31"/>
  <c r="F130" i="31"/>
  <c r="J301" i="31"/>
  <c r="I365" i="31"/>
  <c r="G365" i="31"/>
  <c r="J33" i="31"/>
  <c r="J12" i="31"/>
  <c r="E127" i="31"/>
  <c r="J272" i="31"/>
  <c r="J329" i="31"/>
  <c r="H126" i="31"/>
  <c r="C128" i="31"/>
  <c r="C123" i="31"/>
  <c r="E128" i="31"/>
  <c r="E129" i="31"/>
  <c r="J244" i="31"/>
  <c r="J178" i="31"/>
  <c r="G129" i="31"/>
  <c r="H128" i="31"/>
  <c r="H123" i="31"/>
  <c r="J130" i="31"/>
  <c r="C127" i="31"/>
  <c r="J120" i="31"/>
  <c r="C50" i="31"/>
  <c r="D127" i="31"/>
  <c r="D50" i="31"/>
  <c r="H50" i="31"/>
  <c r="H130" i="31"/>
  <c r="D126" i="31"/>
  <c r="D123" i="31"/>
  <c r="D130" i="31"/>
  <c r="F50" i="31"/>
  <c r="F127" i="31"/>
  <c r="E130" i="31"/>
  <c r="E123" i="31"/>
  <c r="J256" i="31"/>
  <c r="I50" i="31"/>
  <c r="J80" i="31"/>
  <c r="F126" i="31"/>
  <c r="F123" i="31"/>
  <c r="G50" i="31"/>
  <c r="C347" i="31"/>
  <c r="J315" i="31"/>
  <c r="D347" i="31"/>
  <c r="J233" i="31"/>
  <c r="I130" i="31"/>
  <c r="I127" i="31"/>
  <c r="G130" i="31"/>
  <c r="J378" i="31"/>
  <c r="H129" i="31"/>
  <c r="E347" i="31"/>
  <c r="F347" i="31"/>
  <c r="I123" i="31"/>
  <c r="I347" i="31"/>
  <c r="G347" i="31"/>
  <c r="H347" i="31"/>
  <c r="AU54" i="22"/>
  <c r="AU258" i="22"/>
  <c r="AU143" i="22"/>
  <c r="AU94" i="22"/>
  <c r="AU295" i="22"/>
  <c r="BI366" i="21"/>
  <c r="BI348" i="21"/>
  <c r="BI124" i="21"/>
  <c r="BI51" i="21"/>
  <c r="J128" i="31" l="1"/>
  <c r="E124" i="31"/>
  <c r="E125" i="31" s="1"/>
  <c r="J347" i="31"/>
  <c r="J50" i="31"/>
  <c r="J365" i="31"/>
  <c r="C124" i="31"/>
  <c r="C366" i="31" s="1"/>
  <c r="C374" i="31" s="1"/>
  <c r="C375" i="31" s="1"/>
  <c r="J129" i="31"/>
  <c r="J126" i="31"/>
  <c r="J127" i="31"/>
  <c r="G124" i="31"/>
  <c r="G366" i="31" s="1"/>
  <c r="G374" i="31" s="1"/>
  <c r="G375" i="31" s="1"/>
  <c r="H124" i="31"/>
  <c r="F124" i="31"/>
  <c r="D124" i="31"/>
  <c r="I124" i="31"/>
  <c r="J123" i="31"/>
  <c r="AU161" i="22"/>
  <c r="BI125" i="21"/>
  <c r="BI126" i="21" s="1"/>
  <c r="C125" i="31" l="1"/>
  <c r="J124" i="31"/>
  <c r="J125" i="31" s="1"/>
  <c r="E366" i="31"/>
  <c r="E374" i="31" s="1"/>
  <c r="E375" i="31" s="1"/>
  <c r="G125" i="31"/>
  <c r="I366" i="31"/>
  <c r="I374" i="31" s="1"/>
  <c r="I375" i="31" s="1"/>
  <c r="I125" i="31"/>
  <c r="D366" i="31"/>
  <c r="D374" i="31" s="1"/>
  <c r="D375" i="31" s="1"/>
  <c r="D125" i="31"/>
  <c r="F366" i="31"/>
  <c r="F374" i="31" s="1"/>
  <c r="F375" i="31" s="1"/>
  <c r="F125" i="31"/>
  <c r="H366" i="31"/>
  <c r="H374" i="31" s="1"/>
  <c r="H375" i="31" s="1"/>
  <c r="H125" i="31"/>
  <c r="BI367" i="21"/>
  <c r="AT291" i="22"/>
  <c r="AV291" i="22"/>
  <c r="AW291" i="22"/>
  <c r="AX291" i="22"/>
  <c r="AY291" i="22"/>
  <c r="AZ291" i="22"/>
  <c r="AT289" i="22"/>
  <c r="AT269" i="22"/>
  <c r="AT260" i="22"/>
  <c r="AT257" i="22"/>
  <c r="AT230" i="22"/>
  <c r="AT226" i="22"/>
  <c r="AT223" i="22"/>
  <c r="AT213" i="22"/>
  <c r="AT142" i="22"/>
  <c r="AT137" i="22"/>
  <c r="AT134" i="22"/>
  <c r="AT131" i="22"/>
  <c r="AT123" i="22"/>
  <c r="AT112" i="22"/>
  <c r="AT93" i="22"/>
  <c r="AT83" i="22"/>
  <c r="AT64" i="22"/>
  <c r="AT53" i="22"/>
  <c r="AT49" i="22"/>
  <c r="AT33" i="22"/>
  <c r="AT30" i="22"/>
  <c r="AT28" i="22"/>
  <c r="AT18" i="22"/>
  <c r="AT16" i="22"/>
  <c r="AS294" i="22"/>
  <c r="AT294" i="22"/>
  <c r="AS285" i="22"/>
  <c r="AT285" i="22"/>
  <c r="AS283" i="22"/>
  <c r="AT283" i="22"/>
  <c r="AS279" i="22"/>
  <c r="AT279" i="22"/>
  <c r="AS207" i="22"/>
  <c r="AT207" i="22"/>
  <c r="AS201" i="22"/>
  <c r="AT201" i="22"/>
  <c r="AS168" i="22"/>
  <c r="AT168" i="22"/>
  <c r="AS160" i="22"/>
  <c r="AT160" i="22"/>
  <c r="AS146" i="22"/>
  <c r="AT146" i="22"/>
  <c r="AS109" i="22"/>
  <c r="AT109" i="22"/>
  <c r="AS96" i="22"/>
  <c r="AT96" i="22"/>
  <c r="AV96" i="22"/>
  <c r="AW96" i="22"/>
  <c r="AX96" i="22"/>
  <c r="AY96" i="22"/>
  <c r="AZ96" i="22"/>
  <c r="AS11" i="22"/>
  <c r="AT11" i="22"/>
  <c r="AV11" i="22"/>
  <c r="AW11" i="22"/>
  <c r="AX11" i="22"/>
  <c r="AY11" i="22"/>
  <c r="AZ11" i="22"/>
  <c r="BG374" i="21"/>
  <c r="BH374" i="21"/>
  <c r="BG179" i="21"/>
  <c r="BH179" i="21"/>
  <c r="BJ179" i="21"/>
  <c r="BK179" i="21"/>
  <c r="BL179" i="21"/>
  <c r="BM179" i="21"/>
  <c r="BN179" i="21"/>
  <c r="BG365" i="21"/>
  <c r="BH365" i="21"/>
  <c r="BG357" i="21"/>
  <c r="BH357" i="21"/>
  <c r="BG350" i="21"/>
  <c r="BH350" i="21"/>
  <c r="BG347" i="21"/>
  <c r="BH347" i="21"/>
  <c r="BG345" i="21"/>
  <c r="BH345" i="21"/>
  <c r="BG340" i="21"/>
  <c r="BH340" i="21"/>
  <c r="BG330" i="21"/>
  <c r="BH330" i="21"/>
  <c r="BG316" i="21"/>
  <c r="BH316" i="21"/>
  <c r="BG307" i="21"/>
  <c r="BH307" i="21"/>
  <c r="BJ307" i="21"/>
  <c r="BK307" i="21"/>
  <c r="BL307" i="21"/>
  <c r="BM307" i="21"/>
  <c r="BN307" i="21"/>
  <c r="BG305" i="21"/>
  <c r="BH305" i="21"/>
  <c r="BG302" i="21"/>
  <c r="BH302" i="21"/>
  <c r="BG298" i="21"/>
  <c r="BH298" i="21"/>
  <c r="BG290" i="21"/>
  <c r="BH290" i="21"/>
  <c r="BG286" i="21"/>
  <c r="BH286" i="21"/>
  <c r="BG276" i="21"/>
  <c r="BH276" i="21"/>
  <c r="BJ276" i="21"/>
  <c r="BK276" i="21"/>
  <c r="BL276" i="21"/>
  <c r="BM276" i="21"/>
  <c r="BN276" i="21"/>
  <c r="BG273" i="21"/>
  <c r="BH273" i="21"/>
  <c r="BG268" i="21"/>
  <c r="BH268" i="21"/>
  <c r="BG261" i="21"/>
  <c r="BH261" i="21"/>
  <c r="BG257" i="21"/>
  <c r="BH257" i="21"/>
  <c r="BG245" i="21"/>
  <c r="BH245" i="21"/>
  <c r="BG234" i="21"/>
  <c r="BH234" i="21"/>
  <c r="BG123" i="21"/>
  <c r="BH123" i="21"/>
  <c r="BG121" i="21"/>
  <c r="BH121" i="21"/>
  <c r="BG102" i="21"/>
  <c r="BH102" i="21"/>
  <c r="BG96" i="21"/>
  <c r="BH96" i="21"/>
  <c r="BG81" i="21"/>
  <c r="BG127" i="21" s="1"/>
  <c r="BH81" i="21"/>
  <c r="BG50" i="21"/>
  <c r="BH50" i="21"/>
  <c r="BG48" i="21"/>
  <c r="BH48" i="21"/>
  <c r="BG44" i="21"/>
  <c r="BH44" i="21"/>
  <c r="BG34" i="21"/>
  <c r="BH34" i="21"/>
  <c r="BG13" i="21"/>
  <c r="BH13" i="21"/>
  <c r="J366" i="31" l="1"/>
  <c r="J374" i="31" s="1"/>
  <c r="J375" i="31" s="1"/>
  <c r="AT19" i="22"/>
  <c r="AT292" i="22"/>
  <c r="BH127" i="21"/>
  <c r="BH129" i="21"/>
  <c r="BG128" i="21"/>
  <c r="BH128" i="21"/>
  <c r="BG129" i="21"/>
  <c r="BG130" i="21"/>
  <c r="BH130" i="21"/>
  <c r="BH124" i="21"/>
  <c r="BH348" i="21"/>
  <c r="BG131" i="21"/>
  <c r="AT270" i="22"/>
  <c r="AT54" i="22"/>
  <c r="AT258" i="22"/>
  <c r="AT143" i="22"/>
  <c r="AT94" i="22"/>
  <c r="BG124" i="21"/>
  <c r="BG348" i="21"/>
  <c r="BH131" i="21"/>
  <c r="BH51" i="21"/>
  <c r="BG51" i="21"/>
  <c r="BH366" i="21"/>
  <c r="BG366" i="21"/>
  <c r="AT295" i="22" l="1"/>
  <c r="AT296" i="22" s="1"/>
  <c r="AT161" i="22"/>
  <c r="BG125" i="21"/>
  <c r="BH125" i="21"/>
  <c r="BH126" i="21" l="1"/>
  <c r="BH367" i="21"/>
  <c r="BG126" i="21"/>
  <c r="BG367" i="21"/>
  <c r="BO30" i="21"/>
  <c r="BO29" i="21"/>
  <c r="AS291" i="22"/>
  <c r="AR291" i="22"/>
  <c r="AQ291" i="22"/>
  <c r="AP291" i="22"/>
  <c r="AO291" i="22"/>
  <c r="AS289" i="22"/>
  <c r="AR289" i="22"/>
  <c r="AQ289" i="22"/>
  <c r="AP289" i="22"/>
  <c r="AO289" i="22"/>
  <c r="AS269" i="22"/>
  <c r="AR269" i="22"/>
  <c r="AQ269" i="22"/>
  <c r="AP269" i="22"/>
  <c r="AO269" i="22"/>
  <c r="AS260" i="22"/>
  <c r="AS270" i="22" s="1"/>
  <c r="AR260" i="22"/>
  <c r="AQ260" i="22"/>
  <c r="AP260" i="22"/>
  <c r="AO260" i="22"/>
  <c r="AS257" i="22"/>
  <c r="AR257" i="22"/>
  <c r="AQ257" i="22"/>
  <c r="AP257" i="22"/>
  <c r="AO257" i="22"/>
  <c r="AS230" i="22"/>
  <c r="AR230" i="22"/>
  <c r="AQ230" i="22"/>
  <c r="AP230" i="22"/>
  <c r="AO230" i="22"/>
  <c r="AS226" i="22"/>
  <c r="AR226" i="22"/>
  <c r="AQ226" i="22"/>
  <c r="AP226" i="22"/>
  <c r="AO226" i="22"/>
  <c r="AS223" i="22"/>
  <c r="AR223" i="22"/>
  <c r="AQ223" i="22"/>
  <c r="AP223" i="22"/>
  <c r="AO223" i="22"/>
  <c r="AS213" i="22"/>
  <c r="AR213" i="22"/>
  <c r="AQ213" i="22"/>
  <c r="AP213" i="22"/>
  <c r="AO213" i="22"/>
  <c r="AS142" i="22"/>
  <c r="AR142" i="22"/>
  <c r="AQ142" i="22"/>
  <c r="AP142" i="22"/>
  <c r="AO142" i="22"/>
  <c r="AS137" i="22"/>
  <c r="AR137" i="22"/>
  <c r="AQ137" i="22"/>
  <c r="AP137" i="22"/>
  <c r="AO137" i="22"/>
  <c r="AS134" i="22"/>
  <c r="AR134" i="22"/>
  <c r="AQ134" i="22"/>
  <c r="AP134" i="22"/>
  <c r="AO134" i="22"/>
  <c r="AS131" i="22"/>
  <c r="AR131" i="22"/>
  <c r="AQ131" i="22"/>
  <c r="AP131" i="22"/>
  <c r="AO131" i="22"/>
  <c r="AS126" i="22"/>
  <c r="AR126" i="22"/>
  <c r="AQ126" i="22"/>
  <c r="AP126" i="22"/>
  <c r="AO126" i="22"/>
  <c r="AS123" i="22"/>
  <c r="AR123" i="22"/>
  <c r="AQ123" i="22"/>
  <c r="AP123" i="22"/>
  <c r="AO123" i="22"/>
  <c r="AS112" i="22"/>
  <c r="AR112" i="22"/>
  <c r="AQ112" i="22"/>
  <c r="AP112" i="22"/>
  <c r="AO112" i="22"/>
  <c r="AS93" i="22"/>
  <c r="AR93" i="22"/>
  <c r="AQ93" i="22"/>
  <c r="AP93" i="22"/>
  <c r="AO93" i="22"/>
  <c r="AS83" i="22"/>
  <c r="AR83" i="22"/>
  <c r="AQ83" i="22"/>
  <c r="AP83" i="22"/>
  <c r="AO83" i="22"/>
  <c r="AS64" i="22"/>
  <c r="AR64" i="22"/>
  <c r="AQ64" i="22"/>
  <c r="AP64" i="22"/>
  <c r="AO64" i="22"/>
  <c r="AS53" i="22"/>
  <c r="AR53" i="22"/>
  <c r="AQ53" i="22"/>
  <c r="AP53" i="22"/>
  <c r="AO53" i="22"/>
  <c r="AS49" i="22"/>
  <c r="AR49" i="22"/>
  <c r="AQ49" i="22"/>
  <c r="AP49" i="22"/>
  <c r="AO49" i="22"/>
  <c r="AS33" i="22"/>
  <c r="AR33" i="22"/>
  <c r="AQ33" i="22"/>
  <c r="AP33" i="22"/>
  <c r="AO33" i="22"/>
  <c r="AS30" i="22"/>
  <c r="AR30" i="22"/>
  <c r="AQ30" i="22"/>
  <c r="AP30" i="22"/>
  <c r="AO30" i="22"/>
  <c r="AS28" i="22"/>
  <c r="AR28" i="22"/>
  <c r="AQ28" i="22"/>
  <c r="AP28" i="22"/>
  <c r="AO28" i="22"/>
  <c r="AS18" i="22"/>
  <c r="AR18" i="22"/>
  <c r="AQ18" i="22"/>
  <c r="AP18" i="22"/>
  <c r="AO18" i="22"/>
  <c r="AS16" i="22"/>
  <c r="AR16" i="22"/>
  <c r="AQ16" i="22"/>
  <c r="AP16" i="22"/>
  <c r="AO16" i="22"/>
  <c r="AR294" i="22"/>
  <c r="AQ294" i="22"/>
  <c r="AP294" i="22"/>
  <c r="AO294" i="22"/>
  <c r="AR285" i="22"/>
  <c r="AQ285" i="22"/>
  <c r="AP285" i="22"/>
  <c r="AO285" i="22"/>
  <c r="AR283" i="22"/>
  <c r="AQ283" i="22"/>
  <c r="AP283" i="22"/>
  <c r="AO283" i="22"/>
  <c r="AR279" i="22"/>
  <c r="AQ279" i="22"/>
  <c r="AP279" i="22"/>
  <c r="AO279" i="22"/>
  <c r="AR207" i="22"/>
  <c r="AQ207" i="22"/>
  <c r="AP207" i="22"/>
  <c r="AO207" i="22"/>
  <c r="AR201" i="22"/>
  <c r="AQ201" i="22"/>
  <c r="AP201" i="22"/>
  <c r="AO201" i="22"/>
  <c r="AR168" i="22"/>
  <c r="AQ168" i="22"/>
  <c r="AP168" i="22"/>
  <c r="AO168" i="22"/>
  <c r="AR160" i="22"/>
  <c r="AQ160" i="22"/>
  <c r="AP160" i="22"/>
  <c r="AO160" i="22"/>
  <c r="AR146" i="22"/>
  <c r="AQ146" i="22"/>
  <c r="AP146" i="22"/>
  <c r="AO146" i="22"/>
  <c r="AR109" i="22"/>
  <c r="AQ109" i="22"/>
  <c r="AP109" i="22"/>
  <c r="AO109" i="22"/>
  <c r="AR96" i="22"/>
  <c r="AQ96" i="22"/>
  <c r="AP96" i="22"/>
  <c r="AO96" i="22"/>
  <c r="AR11" i="22"/>
  <c r="AQ11" i="22"/>
  <c r="AP11" i="22"/>
  <c r="AO11" i="22"/>
  <c r="AS143" i="22" l="1"/>
  <c r="AS292" i="22"/>
  <c r="AS19" i="22"/>
  <c r="AS54" i="22"/>
  <c r="AS258" i="22"/>
  <c r="AS94" i="22"/>
  <c r="AR19" i="22"/>
  <c r="AR94" i="22"/>
  <c r="AQ19" i="22"/>
  <c r="AO292" i="22"/>
  <c r="AP94" i="22"/>
  <c r="AP270" i="22"/>
  <c r="AR292" i="22"/>
  <c r="AO54" i="22"/>
  <c r="AO94" i="22"/>
  <c r="AP54" i="22"/>
  <c r="AP292" i="22"/>
  <c r="AR143" i="22"/>
  <c r="AO270" i="22"/>
  <c r="AQ292" i="22"/>
  <c r="AQ270" i="22"/>
  <c r="AQ94" i="22"/>
  <c r="AP143" i="22"/>
  <c r="AO19" i="22"/>
  <c r="AR270" i="22"/>
  <c r="AO258" i="22"/>
  <c r="AQ258" i="22"/>
  <c r="AP258" i="22"/>
  <c r="AR54" i="22"/>
  <c r="AP19" i="22"/>
  <c r="AO143" i="22"/>
  <c r="AQ54" i="22"/>
  <c r="AQ143" i="22"/>
  <c r="AR258" i="22"/>
  <c r="AR295" i="22" s="1"/>
  <c r="AQ161" i="22" l="1"/>
  <c r="AR161" i="22"/>
  <c r="AP295" i="22"/>
  <c r="AP161" i="22"/>
  <c r="AP296" i="22" s="1"/>
  <c r="AQ295" i="22"/>
  <c r="AQ296" i="22" s="1"/>
  <c r="AO295" i="22"/>
  <c r="AO161" i="22"/>
  <c r="AS161" i="22"/>
  <c r="AS295" i="22"/>
  <c r="AR296" i="22"/>
  <c r="AN50" i="22"/>
  <c r="AN36" i="22"/>
  <c r="AS296" i="22" l="1"/>
  <c r="AO296" i="22"/>
  <c r="BA36" i="22"/>
  <c r="BB36" i="22" s="1"/>
  <c r="BA50" i="22"/>
  <c r="BG376" i="21"/>
  <c r="BF376" i="21"/>
  <c r="BE376" i="21"/>
  <c r="BD376" i="21"/>
  <c r="BC376" i="21"/>
  <c r="BF365" i="21"/>
  <c r="BE365" i="21"/>
  <c r="BD365" i="21"/>
  <c r="BC365" i="21"/>
  <c r="BF357" i="21"/>
  <c r="BE357" i="21"/>
  <c r="BD357" i="21"/>
  <c r="BC357" i="21"/>
  <c r="BF350" i="21"/>
  <c r="BE350" i="21"/>
  <c r="BD350" i="21"/>
  <c r="BC350" i="21"/>
  <c r="BF347" i="21"/>
  <c r="BE347" i="21"/>
  <c r="BD347" i="21"/>
  <c r="BC347" i="21"/>
  <c r="BF345" i="21"/>
  <c r="BE345" i="21"/>
  <c r="BD345" i="21"/>
  <c r="BC345" i="21"/>
  <c r="BF340" i="21"/>
  <c r="BE340" i="21"/>
  <c r="BD340" i="21"/>
  <c r="BC340" i="21"/>
  <c r="BF330" i="21"/>
  <c r="BE330" i="21"/>
  <c r="BD330" i="21"/>
  <c r="BC330" i="21"/>
  <c r="BF316" i="21"/>
  <c r="BE316" i="21"/>
  <c r="BD316" i="21"/>
  <c r="BC316" i="21"/>
  <c r="BF307" i="21"/>
  <c r="BE307" i="21"/>
  <c r="BD307" i="21"/>
  <c r="BC307" i="21"/>
  <c r="BF305" i="21"/>
  <c r="BE305" i="21"/>
  <c r="BD305" i="21"/>
  <c r="BC305" i="21"/>
  <c r="BF302" i="21"/>
  <c r="BE302" i="21"/>
  <c r="BD302" i="21"/>
  <c r="BC302" i="21"/>
  <c r="BF298" i="21"/>
  <c r="BE298" i="21"/>
  <c r="BD298" i="21"/>
  <c r="BC298" i="21"/>
  <c r="BF290" i="21"/>
  <c r="BE290" i="21"/>
  <c r="BD290" i="21"/>
  <c r="BC290" i="21"/>
  <c r="BF286" i="21"/>
  <c r="BE286" i="21"/>
  <c r="BD286" i="21"/>
  <c r="BC286" i="21"/>
  <c r="BF276" i="21"/>
  <c r="BE276" i="21"/>
  <c r="BD276" i="21"/>
  <c r="BC276" i="21"/>
  <c r="BF273" i="21"/>
  <c r="BE273" i="21"/>
  <c r="BD273" i="21"/>
  <c r="BC273" i="21"/>
  <c r="BF268" i="21"/>
  <c r="BE268" i="21"/>
  <c r="BD268" i="21"/>
  <c r="BC268" i="21"/>
  <c r="BF261" i="21"/>
  <c r="BE261" i="21"/>
  <c r="BD261" i="21"/>
  <c r="BC261" i="21"/>
  <c r="BF257" i="21"/>
  <c r="BE257" i="21"/>
  <c r="BD257" i="21"/>
  <c r="BC257" i="21"/>
  <c r="BF245" i="21"/>
  <c r="BE245" i="21"/>
  <c r="BD245" i="21"/>
  <c r="BC245" i="21"/>
  <c r="BF234" i="21"/>
  <c r="BE234" i="21"/>
  <c r="BD234" i="21"/>
  <c r="BC234" i="21"/>
  <c r="BF123" i="21"/>
  <c r="BE123" i="21"/>
  <c r="BD123" i="21"/>
  <c r="BC123" i="21"/>
  <c r="BF121" i="21"/>
  <c r="BE121" i="21"/>
  <c r="BD121" i="21"/>
  <c r="BC121" i="21"/>
  <c r="BF102" i="21"/>
  <c r="BE102" i="21"/>
  <c r="BD102" i="21"/>
  <c r="BC102" i="21"/>
  <c r="BF96" i="21"/>
  <c r="BE96" i="21"/>
  <c r="BD96" i="21"/>
  <c r="BC96" i="21"/>
  <c r="BF81" i="21"/>
  <c r="BE81" i="21"/>
  <c r="BD81" i="21"/>
  <c r="BC81" i="21"/>
  <c r="BF50" i="21"/>
  <c r="BE50" i="21"/>
  <c r="BD50" i="21"/>
  <c r="BC50" i="21"/>
  <c r="BF48" i="21"/>
  <c r="BE48" i="21"/>
  <c r="BD48" i="21"/>
  <c r="BC48" i="21"/>
  <c r="BF44" i="21"/>
  <c r="BE44" i="21"/>
  <c r="BD44" i="21"/>
  <c r="BC44" i="21"/>
  <c r="BF34" i="21"/>
  <c r="BE34" i="21"/>
  <c r="BD34" i="21"/>
  <c r="BC34" i="21"/>
  <c r="BF13" i="21"/>
  <c r="BE13" i="21"/>
  <c r="BD13" i="21"/>
  <c r="BC13" i="21"/>
  <c r="BF179" i="21"/>
  <c r="BE179" i="21"/>
  <c r="BD179" i="21"/>
  <c r="BC179" i="21"/>
  <c r="BF374" i="21"/>
  <c r="BE374" i="21"/>
  <c r="BD374" i="21"/>
  <c r="BC374" i="21"/>
  <c r="BF128" i="21" l="1"/>
  <c r="BF51" i="21"/>
  <c r="BC129" i="21"/>
  <c r="BD366" i="21"/>
  <c r="BE51" i="21"/>
  <c r="BC366" i="21"/>
  <c r="BE127" i="21"/>
  <c r="BE366" i="21"/>
  <c r="BD130" i="21"/>
  <c r="BC127" i="21"/>
  <c r="BD129" i="21"/>
  <c r="BC51" i="21"/>
  <c r="BF130" i="21"/>
  <c r="BC128" i="21"/>
  <c r="BE130" i="21"/>
  <c r="BC124" i="21"/>
  <c r="BC131" i="21"/>
  <c r="BF131" i="21"/>
  <c r="BC130" i="21"/>
  <c r="BF127" i="21"/>
  <c r="BF366" i="21"/>
  <c r="BC348" i="21"/>
  <c r="BD128" i="21"/>
  <c r="BE128" i="21"/>
  <c r="BE131" i="21"/>
  <c r="BD131" i="21"/>
  <c r="BE348" i="21"/>
  <c r="BD348" i="21"/>
  <c r="BF348" i="21"/>
  <c r="BD124" i="21"/>
  <c r="BF129" i="21"/>
  <c r="BE124" i="21"/>
  <c r="BF124" i="21"/>
  <c r="BD127" i="21"/>
  <c r="BE129" i="21"/>
  <c r="BD51" i="21"/>
  <c r="BC125" i="21" l="1"/>
  <c r="BF125" i="21"/>
  <c r="BE125" i="21"/>
  <c r="BD125" i="21"/>
  <c r="BF126" i="21" l="1"/>
  <c r="BF367" i="21"/>
  <c r="BC126" i="21"/>
  <c r="BC367" i="21"/>
  <c r="BD126" i="21"/>
  <c r="BD367" i="21"/>
  <c r="BE126" i="21"/>
  <c r="BE367" i="21"/>
  <c r="BO282" i="21"/>
  <c r="BO41" i="21" l="1"/>
  <c r="BO20" i="21"/>
  <c r="BO21" i="21"/>
  <c r="BJ374" i="21" l="1"/>
  <c r="BK374" i="21"/>
  <c r="BL374" i="21"/>
  <c r="BM374" i="21"/>
  <c r="BN374" i="21"/>
  <c r="BJ365" i="21"/>
  <c r="BK365" i="21"/>
  <c r="BL365" i="21"/>
  <c r="BM365" i="21"/>
  <c r="BN365" i="21"/>
  <c r="BJ357" i="21"/>
  <c r="BK357" i="21"/>
  <c r="BL357" i="21"/>
  <c r="BM357" i="21"/>
  <c r="BN357" i="21"/>
  <c r="BJ350" i="21"/>
  <c r="BK350" i="21"/>
  <c r="BL350" i="21"/>
  <c r="BM350" i="21"/>
  <c r="BN350" i="21"/>
  <c r="BJ347" i="21"/>
  <c r="BK347" i="21"/>
  <c r="BL347" i="21"/>
  <c r="BM347" i="21"/>
  <c r="BN347" i="21"/>
  <c r="BJ345" i="21"/>
  <c r="BK345" i="21"/>
  <c r="BL345" i="21"/>
  <c r="BM345" i="21"/>
  <c r="BN345" i="21"/>
  <c r="BJ340" i="21"/>
  <c r="BK340" i="21"/>
  <c r="BL340" i="21"/>
  <c r="BM340" i="21"/>
  <c r="BN340" i="21"/>
  <c r="BJ330" i="21"/>
  <c r="BK330" i="21"/>
  <c r="BL330" i="21"/>
  <c r="BM330" i="21"/>
  <c r="BN330" i="21"/>
  <c r="BJ316" i="21"/>
  <c r="BK316" i="21"/>
  <c r="BL316" i="21"/>
  <c r="BM316" i="21"/>
  <c r="BN316" i="21"/>
  <c r="BJ305" i="21"/>
  <c r="BK305" i="21"/>
  <c r="BL305" i="21"/>
  <c r="BM305" i="21"/>
  <c r="BN305" i="21"/>
  <c r="BJ302" i="21"/>
  <c r="BK302" i="21"/>
  <c r="BL302" i="21"/>
  <c r="BM302" i="21"/>
  <c r="BN302" i="21"/>
  <c r="BJ298" i="21"/>
  <c r="BK298" i="21"/>
  <c r="BL298" i="21"/>
  <c r="BM298" i="21"/>
  <c r="BN298" i="21"/>
  <c r="BJ290" i="21"/>
  <c r="BK290" i="21"/>
  <c r="BL290" i="21"/>
  <c r="BM290" i="21"/>
  <c r="BN290" i="21"/>
  <c r="BJ286" i="21"/>
  <c r="BK286" i="21"/>
  <c r="BL286" i="21"/>
  <c r="BM286" i="21"/>
  <c r="BN286" i="21"/>
  <c r="BJ273" i="21"/>
  <c r="BK273" i="21"/>
  <c r="BL273" i="21"/>
  <c r="BM273" i="21"/>
  <c r="BN273" i="21"/>
  <c r="BJ268" i="21"/>
  <c r="BK268" i="21"/>
  <c r="BL268" i="21"/>
  <c r="BM268" i="21"/>
  <c r="BN268" i="21"/>
  <c r="BJ261" i="21"/>
  <c r="BK261" i="21"/>
  <c r="BL261" i="21"/>
  <c r="BM261" i="21"/>
  <c r="BN261" i="21"/>
  <c r="BJ257" i="21"/>
  <c r="BK257" i="21"/>
  <c r="BL257" i="21"/>
  <c r="BM257" i="21"/>
  <c r="BN257" i="21"/>
  <c r="BJ245" i="21"/>
  <c r="BK245" i="21"/>
  <c r="BL245" i="21"/>
  <c r="BM245" i="21"/>
  <c r="BN245" i="21"/>
  <c r="BJ234" i="21"/>
  <c r="BK234" i="21"/>
  <c r="BL234" i="21"/>
  <c r="BM234" i="21"/>
  <c r="BN234" i="21"/>
  <c r="BJ123" i="21"/>
  <c r="BK123" i="21"/>
  <c r="BL123" i="21"/>
  <c r="BM123" i="21"/>
  <c r="BN123" i="21"/>
  <c r="BJ121" i="21"/>
  <c r="BK121" i="21"/>
  <c r="BL121" i="21"/>
  <c r="BM121" i="21"/>
  <c r="BN121" i="21"/>
  <c r="BJ102" i="21"/>
  <c r="BK102" i="21"/>
  <c r="BL102" i="21"/>
  <c r="BM102" i="21"/>
  <c r="BN102" i="21"/>
  <c r="BJ96" i="21"/>
  <c r="BK96" i="21"/>
  <c r="BL96" i="21"/>
  <c r="BM96" i="21"/>
  <c r="BN96" i="21"/>
  <c r="BJ81" i="21"/>
  <c r="BK81" i="21"/>
  <c r="BL81" i="21"/>
  <c r="BM81" i="21"/>
  <c r="BN81" i="21"/>
  <c r="BJ50" i="21"/>
  <c r="BK50" i="21"/>
  <c r="BL50" i="21"/>
  <c r="BM50" i="21"/>
  <c r="BN50" i="21"/>
  <c r="BJ48" i="21"/>
  <c r="BK48" i="21"/>
  <c r="BL48" i="21"/>
  <c r="BM48" i="21"/>
  <c r="BN48" i="21"/>
  <c r="BJ44" i="21"/>
  <c r="BK44" i="21"/>
  <c r="BL44" i="21"/>
  <c r="BM44" i="21"/>
  <c r="BN44" i="21"/>
  <c r="BJ34" i="21"/>
  <c r="BK34" i="21"/>
  <c r="BL34" i="21"/>
  <c r="BM34" i="21"/>
  <c r="BN34" i="21"/>
  <c r="BJ13" i="21"/>
  <c r="BK13" i="21"/>
  <c r="BL13" i="21"/>
  <c r="BM13" i="21"/>
  <c r="BN13" i="21"/>
  <c r="BJ129" i="21" l="1"/>
  <c r="BK131" i="21"/>
  <c r="BJ128" i="21"/>
  <c r="BK128" i="21"/>
  <c r="BL130" i="21"/>
  <c r="BK129" i="21"/>
  <c r="BK130" i="21"/>
  <c r="BL366" i="21"/>
  <c r="BK366" i="21"/>
  <c r="BJ127" i="21"/>
  <c r="BK127" i="21"/>
  <c r="BN131" i="21"/>
  <c r="BJ366" i="21"/>
  <c r="BN129" i="21"/>
  <c r="BJ131" i="21"/>
  <c r="BN130" i="21"/>
  <c r="BL131" i="21"/>
  <c r="BN128" i="21"/>
  <c r="BM129" i="21"/>
  <c r="BM130" i="21"/>
  <c r="BL129" i="21"/>
  <c r="BM128" i="21"/>
  <c r="BN127" i="21"/>
  <c r="BM127" i="21"/>
  <c r="BN366" i="21"/>
  <c r="BJ130" i="21"/>
  <c r="BL128" i="21"/>
  <c r="BL127" i="21"/>
  <c r="BM366" i="21"/>
  <c r="BM131" i="21"/>
  <c r="BN51" i="21"/>
  <c r="BK51" i="21"/>
  <c r="BK124" i="21"/>
  <c r="BN348" i="21"/>
  <c r="BL348" i="21"/>
  <c r="BJ348" i="21"/>
  <c r="BJ124" i="21"/>
  <c r="BM348" i="21"/>
  <c r="BK348" i="21"/>
  <c r="BL51" i="21"/>
  <c r="BM51" i="21"/>
  <c r="BJ51" i="21"/>
  <c r="BL124" i="21"/>
  <c r="BN124" i="21"/>
  <c r="BM124" i="21"/>
  <c r="BN125" i="21" l="1"/>
  <c r="BL125" i="21"/>
  <c r="BJ125" i="21"/>
  <c r="BM125" i="21"/>
  <c r="BK125" i="21"/>
  <c r="BK126" i="21" l="1"/>
  <c r="BK367" i="21"/>
  <c r="BJ126" i="21"/>
  <c r="BJ367" i="21"/>
  <c r="BM126" i="21"/>
  <c r="BM367" i="21"/>
  <c r="BL126" i="21"/>
  <c r="BL367" i="21"/>
  <c r="BN126" i="21"/>
  <c r="BN367" i="21"/>
  <c r="BO175" i="21"/>
  <c r="BO158" i="21"/>
  <c r="AO176" i="21"/>
  <c r="AR176" i="21"/>
  <c r="AS176" i="21"/>
  <c r="BO176" i="21" l="1"/>
  <c r="BB176" i="21"/>
  <c r="BO361" i="21" l="1"/>
  <c r="BO360" i="21"/>
  <c r="BO359" i="21"/>
  <c r="BO352" i="21"/>
  <c r="BO349" i="21"/>
  <c r="BO350" i="21" s="1"/>
  <c r="BO336" i="21"/>
  <c r="BO335" i="21"/>
  <c r="BO318" i="21"/>
  <c r="BO315" i="21"/>
  <c r="BO314" i="21"/>
  <c r="BO300" i="21"/>
  <c r="BO289" i="21"/>
  <c r="BO285" i="21"/>
  <c r="BO284" i="21"/>
  <c r="BO283" i="21"/>
  <c r="BO271" i="21"/>
  <c r="BO270" i="21"/>
  <c r="BO251" i="21"/>
  <c r="BO244" i="21"/>
  <c r="BO233" i="21"/>
  <c r="BO232" i="21"/>
  <c r="BO229" i="21"/>
  <c r="BO228" i="21"/>
  <c r="BO217" i="21"/>
  <c r="BO216" i="21"/>
  <c r="BO215" i="21"/>
  <c r="BO209" i="21"/>
  <c r="BO208" i="21"/>
  <c r="BO205" i="21"/>
  <c r="BO188" i="21"/>
  <c r="BO177" i="21"/>
  <c r="BO172" i="21"/>
  <c r="BO170" i="21"/>
  <c r="BO169" i="21"/>
  <c r="BO168" i="21"/>
  <c r="BO162" i="21"/>
  <c r="BO159" i="21"/>
  <c r="BO156" i="21"/>
  <c r="BO153" i="21"/>
  <c r="BO147" i="21"/>
  <c r="BO112" i="21"/>
  <c r="BO108" i="21"/>
  <c r="BO107" i="21"/>
  <c r="BO106" i="21"/>
  <c r="BO95" i="21"/>
  <c r="BO92" i="21"/>
  <c r="BO91" i="21"/>
  <c r="BO87" i="21"/>
  <c r="BO86" i="21"/>
  <c r="BO79" i="21"/>
  <c r="BO76" i="21"/>
  <c r="BO73" i="21"/>
  <c r="BO71" i="21"/>
  <c r="BO70" i="21"/>
  <c r="BO69" i="21"/>
  <c r="BO68" i="21"/>
  <c r="BO57" i="21"/>
  <c r="BO56" i="21"/>
  <c r="BO55" i="21"/>
  <c r="BO54" i="21"/>
  <c r="BO43" i="21"/>
  <c r="BO42" i="21"/>
  <c r="BO33" i="21"/>
  <c r="BO32" i="21"/>
  <c r="BO31" i="21"/>
  <c r="BO28" i="21"/>
  <c r="BO26" i="21"/>
  <c r="BO25" i="21"/>
  <c r="BO24" i="21"/>
  <c r="BO23" i="21"/>
  <c r="BO18" i="21"/>
  <c r="BO10" i="21"/>
  <c r="BO7" i="21"/>
  <c r="BO5" i="21"/>
  <c r="BN379" i="21"/>
  <c r="BM379" i="21"/>
  <c r="BL379" i="21"/>
  <c r="BK379" i="21"/>
  <c r="BJ379" i="21"/>
  <c r="BO373" i="21"/>
  <c r="BO372" i="21"/>
  <c r="BO370" i="21"/>
  <c r="BO354" i="21"/>
  <c r="BO351" i="21"/>
  <c r="BO313" i="21"/>
  <c r="BO311" i="21"/>
  <c r="BO296" i="21"/>
  <c r="BO280" i="21"/>
  <c r="BO266" i="21"/>
  <c r="BO264" i="21"/>
  <c r="BO263" i="21"/>
  <c r="BO253" i="21"/>
  <c r="BO227" i="21"/>
  <c r="BO226" i="21"/>
  <c r="BO225" i="21"/>
  <c r="BO222" i="21"/>
  <c r="BO221" i="21"/>
  <c r="BO212" i="21"/>
  <c r="BO200" i="21"/>
  <c r="BO199" i="21"/>
  <c r="BO196" i="21"/>
  <c r="BO194" i="21"/>
  <c r="BO191" i="21"/>
  <c r="BO178" i="21"/>
  <c r="BO174" i="21"/>
  <c r="BO145" i="21"/>
  <c r="BO117" i="21"/>
  <c r="BO116" i="21"/>
  <c r="BO115" i="21"/>
  <c r="BO104" i="21"/>
  <c r="BO98" i="21"/>
  <c r="BO97" i="21"/>
  <c r="BO66" i="21"/>
  <c r="BO47" i="21"/>
  <c r="BO22" i="21"/>
  <c r="BO8" i="21"/>
  <c r="AZ294" i="22"/>
  <c r="AY294" i="22"/>
  <c r="AX294" i="22"/>
  <c r="AW294" i="22"/>
  <c r="AV294" i="22"/>
  <c r="AZ289" i="22"/>
  <c r="AY289" i="22"/>
  <c r="AX289" i="22"/>
  <c r="AW289" i="22"/>
  <c r="AV289" i="22"/>
  <c r="AZ285" i="22"/>
  <c r="AY285" i="22"/>
  <c r="AX285" i="22"/>
  <c r="AW285" i="22"/>
  <c r="AV285" i="22"/>
  <c r="AZ283" i="22"/>
  <c r="AY283" i="22"/>
  <c r="AX283" i="22"/>
  <c r="AW283" i="22"/>
  <c r="AV283" i="22"/>
  <c r="AZ279" i="22"/>
  <c r="AY279" i="22"/>
  <c r="AX279" i="22"/>
  <c r="AW279" i="22"/>
  <c r="AV279" i="22"/>
  <c r="AZ269" i="22"/>
  <c r="AY269" i="22"/>
  <c r="AX269" i="22"/>
  <c r="AW269" i="22"/>
  <c r="AV269" i="22"/>
  <c r="AZ260" i="22"/>
  <c r="AY260" i="22"/>
  <c r="AX260" i="22"/>
  <c r="AW260" i="22"/>
  <c r="AV260" i="22"/>
  <c r="AZ257" i="22"/>
  <c r="AY257" i="22"/>
  <c r="AX257" i="22"/>
  <c r="AW257" i="22"/>
  <c r="AV257" i="22"/>
  <c r="AZ230" i="22"/>
  <c r="AY230" i="22"/>
  <c r="AX230" i="22"/>
  <c r="AW230" i="22"/>
  <c r="AV230" i="22"/>
  <c r="AZ226" i="22"/>
  <c r="AY226" i="22"/>
  <c r="AX226" i="22"/>
  <c r="AW226" i="22"/>
  <c r="AV226" i="22"/>
  <c r="AZ223" i="22"/>
  <c r="AY223" i="22"/>
  <c r="AX223" i="22"/>
  <c r="AW223" i="22"/>
  <c r="AV223" i="22"/>
  <c r="AZ213" i="22"/>
  <c r="AY213" i="22"/>
  <c r="AX213" i="22"/>
  <c r="AW213" i="22"/>
  <c r="AV213" i="22"/>
  <c r="AZ207" i="22"/>
  <c r="AY207" i="22"/>
  <c r="AX207" i="22"/>
  <c r="AW207" i="22"/>
  <c r="AV207" i="22"/>
  <c r="AZ168" i="22"/>
  <c r="AY168" i="22"/>
  <c r="AX168" i="22"/>
  <c r="AW168" i="22"/>
  <c r="AV168" i="22"/>
  <c r="AZ160" i="22"/>
  <c r="AY160" i="22"/>
  <c r="AX160" i="22"/>
  <c r="AW160" i="22"/>
  <c r="AV160" i="22"/>
  <c r="AZ146" i="22"/>
  <c r="AY146" i="22"/>
  <c r="AX146" i="22"/>
  <c r="AW146" i="22"/>
  <c r="AV146" i="22"/>
  <c r="AZ142" i="22"/>
  <c r="AY142" i="22"/>
  <c r="AX142" i="22"/>
  <c r="AW142" i="22"/>
  <c r="AV142" i="22"/>
  <c r="AZ137" i="22"/>
  <c r="AY137" i="22"/>
  <c r="AX137" i="22"/>
  <c r="AW137" i="22"/>
  <c r="AV137" i="22"/>
  <c r="AZ134" i="22"/>
  <c r="AY134" i="22"/>
  <c r="AX134" i="22"/>
  <c r="AW134" i="22"/>
  <c r="AV134" i="22"/>
  <c r="AZ131" i="22"/>
  <c r="AY131" i="22"/>
  <c r="AX131" i="22"/>
  <c r="AW131" i="22"/>
  <c r="AV131" i="22"/>
  <c r="AZ126" i="22"/>
  <c r="AY126" i="22"/>
  <c r="AX126" i="22"/>
  <c r="AW126" i="22"/>
  <c r="AV126" i="22"/>
  <c r="AZ123" i="22"/>
  <c r="AY123" i="22"/>
  <c r="AX123" i="22"/>
  <c r="AW123" i="22"/>
  <c r="AV123" i="22"/>
  <c r="AZ112" i="22"/>
  <c r="AY112" i="22"/>
  <c r="AX112" i="22"/>
  <c r="AW112" i="22"/>
  <c r="AV112" i="22"/>
  <c r="AZ109" i="22"/>
  <c r="AY109" i="22"/>
  <c r="AX109" i="22"/>
  <c r="AW109" i="22"/>
  <c r="AV109" i="22"/>
  <c r="AZ93" i="22"/>
  <c r="AY93" i="22"/>
  <c r="AX93" i="22"/>
  <c r="AW93" i="22"/>
  <c r="AV93" i="22"/>
  <c r="AZ83" i="22"/>
  <c r="AY83" i="22"/>
  <c r="AX83" i="22"/>
  <c r="AW83" i="22"/>
  <c r="AV83" i="22"/>
  <c r="AZ64" i="22"/>
  <c r="AY64" i="22"/>
  <c r="AX64" i="22"/>
  <c r="AW64" i="22"/>
  <c r="AV64" i="22"/>
  <c r="AZ53" i="22"/>
  <c r="AY53" i="22"/>
  <c r="AX53" i="22"/>
  <c r="AW53" i="22"/>
  <c r="AV53" i="22"/>
  <c r="AZ49" i="22"/>
  <c r="AY49" i="22"/>
  <c r="AX49" i="22"/>
  <c r="AW49" i="22"/>
  <c r="AV49" i="22"/>
  <c r="AZ33" i="22"/>
  <c r="AY33" i="22"/>
  <c r="AX33" i="22"/>
  <c r="AW33" i="22"/>
  <c r="AV33" i="22"/>
  <c r="AZ30" i="22"/>
  <c r="AY30" i="22"/>
  <c r="AX30" i="22"/>
  <c r="AW30" i="22"/>
  <c r="AV30" i="22"/>
  <c r="AZ28" i="22"/>
  <c r="AY28" i="22"/>
  <c r="AX28" i="22"/>
  <c r="AW28" i="22"/>
  <c r="AV28" i="22"/>
  <c r="AZ18" i="22"/>
  <c r="AY18" i="22"/>
  <c r="AX18" i="22"/>
  <c r="AW18" i="22"/>
  <c r="AV18" i="22"/>
  <c r="AZ16" i="22"/>
  <c r="AY16" i="22"/>
  <c r="AX16" i="22"/>
  <c r="AW16" i="22"/>
  <c r="AV16" i="22"/>
  <c r="BA350" i="21"/>
  <c r="AZ350" i="21"/>
  <c r="AY350" i="21"/>
  <c r="AX350" i="21"/>
  <c r="AW350" i="21"/>
  <c r="AV350" i="21"/>
  <c r="AU350" i="21"/>
  <c r="AT350" i="21"/>
  <c r="AS350" i="21"/>
  <c r="AR350" i="21"/>
  <c r="AQ350" i="21"/>
  <c r="AP350" i="21"/>
  <c r="BB349" i="21"/>
  <c r="BB350" i="21" s="1"/>
  <c r="AW270" i="22" l="1"/>
  <c r="AV270" i="22"/>
  <c r="AX270" i="22"/>
  <c r="AZ270" i="22"/>
  <c r="AY270" i="22"/>
  <c r="AV19" i="22"/>
  <c r="AV54" i="22"/>
  <c r="BO355" i="21"/>
  <c r="BO269" i="21"/>
  <c r="BO306" i="21"/>
  <c r="BO307" i="21" s="1"/>
  <c r="BO241" i="21"/>
  <c r="BO274" i="21"/>
  <c r="BO291" i="21"/>
  <c r="BO299" i="21"/>
  <c r="BO46" i="21"/>
  <c r="AW94" i="22"/>
  <c r="AW258" i="22"/>
  <c r="AY94" i="22"/>
  <c r="AV292" i="22"/>
  <c r="AW19" i="22"/>
  <c r="AY19" i="22"/>
  <c r="AW292" i="22"/>
  <c r="AZ19" i="22"/>
  <c r="AX292" i="22"/>
  <c r="AZ143" i="22"/>
  <c r="AZ292" i="22"/>
  <c r="AZ94" i="22"/>
  <c r="AW54" i="22"/>
  <c r="AX19" i="22"/>
  <c r="AX54" i="22"/>
  <c r="AZ54" i="22"/>
  <c r="AY54" i="22"/>
  <c r="AY143" i="22"/>
  <c r="AV258" i="22"/>
  <c r="AV295" i="22" s="1"/>
  <c r="AY292" i="22"/>
  <c r="AV143" i="22"/>
  <c r="AX258" i="22"/>
  <c r="AW143" i="22"/>
  <c r="AY258" i="22"/>
  <c r="AV94" i="22"/>
  <c r="AX143" i="22"/>
  <c r="AZ258" i="22"/>
  <c r="AZ295" i="22" s="1"/>
  <c r="AX94" i="22"/>
  <c r="AW295" i="22" l="1"/>
  <c r="AY295" i="22"/>
  <c r="AX295" i="22"/>
  <c r="AV161" i="22"/>
  <c r="AV296" i="22" s="1"/>
  <c r="AX161" i="22"/>
  <c r="AX296" i="22" s="1"/>
  <c r="AZ161" i="22"/>
  <c r="AY161" i="22"/>
  <c r="AW161" i="22"/>
  <c r="AW296" i="22"/>
  <c r="AY296" i="22"/>
  <c r="BJ376" i="21"/>
  <c r="AM291" i="22"/>
  <c r="AM289" i="22"/>
  <c r="AM269" i="22"/>
  <c r="AM260" i="22"/>
  <c r="AM257" i="22"/>
  <c r="AM230" i="22"/>
  <c r="AM226" i="22"/>
  <c r="AM223" i="22"/>
  <c r="AM213" i="22"/>
  <c r="AM142" i="22"/>
  <c r="AM137" i="22"/>
  <c r="AM134" i="22"/>
  <c r="AM131" i="22"/>
  <c r="AM126" i="22"/>
  <c r="AM123" i="22"/>
  <c r="AM112" i="22"/>
  <c r="AM93" i="22"/>
  <c r="AM83" i="22"/>
  <c r="AM64" i="22"/>
  <c r="AM53" i="22"/>
  <c r="AM49" i="22"/>
  <c r="AM33" i="22"/>
  <c r="AM30" i="22"/>
  <c r="AM28" i="22"/>
  <c r="AM18" i="22"/>
  <c r="AM16" i="22"/>
  <c r="AL294" i="22"/>
  <c r="AM294" i="22"/>
  <c r="AL285" i="22"/>
  <c r="AM285" i="22"/>
  <c r="AL283" i="22"/>
  <c r="AM283" i="22"/>
  <c r="AL279" i="22"/>
  <c r="AM279" i="22"/>
  <c r="AL207" i="22"/>
  <c r="AM207" i="22"/>
  <c r="AL201" i="22"/>
  <c r="AM201" i="22"/>
  <c r="AL168" i="22"/>
  <c r="AM168" i="22"/>
  <c r="AL160" i="22"/>
  <c r="AM160" i="22"/>
  <c r="AL146" i="22"/>
  <c r="AM146" i="22"/>
  <c r="AL109" i="22"/>
  <c r="AM109" i="22"/>
  <c r="AL96" i="22"/>
  <c r="AM96" i="22"/>
  <c r="AL11" i="22"/>
  <c r="AM11" i="22"/>
  <c r="AZ296" i="22" l="1"/>
  <c r="AM270" i="22"/>
  <c r="AM19" i="22"/>
  <c r="BL376" i="21"/>
  <c r="BN376" i="21"/>
  <c r="BM376" i="21"/>
  <c r="BK376" i="21"/>
  <c r="AM94" i="22"/>
  <c r="AM292" i="22"/>
  <c r="AM258" i="22"/>
  <c r="AM143" i="22"/>
  <c r="AM54" i="22"/>
  <c r="AM161" i="22" l="1"/>
  <c r="AM295" i="22"/>
  <c r="AN60" i="22"/>
  <c r="BA60" i="22" s="1"/>
  <c r="AM296" i="22" l="1"/>
  <c r="BA374" i="21"/>
  <c r="BA375" i="21" s="1"/>
  <c r="BA376" i="21" s="1"/>
  <c r="BA379" i="21"/>
  <c r="BA179" i="21"/>
  <c r="BA365" i="21"/>
  <c r="BA357" i="21"/>
  <c r="BA347" i="21"/>
  <c r="BA345" i="21"/>
  <c r="BA340" i="21"/>
  <c r="BA330" i="21"/>
  <c r="BA316" i="21"/>
  <c r="BA307" i="21"/>
  <c r="BA305" i="21"/>
  <c r="BA302" i="21"/>
  <c r="BA298" i="21"/>
  <c r="BA290" i="21"/>
  <c r="BA286" i="21"/>
  <c r="BA276" i="21"/>
  <c r="BA273" i="21"/>
  <c r="BA268" i="21"/>
  <c r="BA261" i="21"/>
  <c r="BA257" i="21"/>
  <c r="BA245" i="21"/>
  <c r="BA234" i="21"/>
  <c r="BA123" i="21"/>
  <c r="BA121" i="21"/>
  <c r="BA102" i="21"/>
  <c r="BA96" i="21"/>
  <c r="BA81" i="21"/>
  <c r="BA50" i="21"/>
  <c r="BA48" i="21"/>
  <c r="BA44" i="21"/>
  <c r="BA34" i="21"/>
  <c r="AT13" i="21"/>
  <c r="AU13" i="21"/>
  <c r="AV13" i="21"/>
  <c r="AW13" i="21"/>
  <c r="AX13" i="21"/>
  <c r="AY13" i="21"/>
  <c r="AZ13" i="21"/>
  <c r="BA13" i="21"/>
  <c r="BB284" i="21"/>
  <c r="BB283" i="21"/>
  <c r="AZ379" i="21"/>
  <c r="AY379" i="21"/>
  <c r="BA366" i="21" l="1"/>
  <c r="BA130" i="21"/>
  <c r="BA127" i="21"/>
  <c r="BA131" i="21"/>
  <c r="BA128" i="21"/>
  <c r="BA129" i="21"/>
  <c r="BA124" i="21"/>
  <c r="BA51" i="21"/>
  <c r="BA348" i="21"/>
  <c r="BA125" i="21" l="1"/>
  <c r="BA126" i="21" s="1"/>
  <c r="BB28" i="21"/>
  <c r="AN239" i="22"/>
  <c r="BA239" i="22" s="1"/>
  <c r="AN38" i="22"/>
  <c r="BA38" i="22" s="1"/>
  <c r="AN200" i="22"/>
  <c r="BA200" i="22" s="1"/>
  <c r="AY374" i="21" l="1"/>
  <c r="AY375" i="21" s="1"/>
  <c r="AY376" i="21" s="1"/>
  <c r="AZ374" i="21"/>
  <c r="AZ375" i="21" s="1"/>
  <c r="AZ376" i="21" s="1"/>
  <c r="AY179" i="21"/>
  <c r="AZ179" i="21"/>
  <c r="AY365" i="21"/>
  <c r="AZ365" i="21"/>
  <c r="AY357" i="21"/>
  <c r="AZ357" i="21"/>
  <c r="AY347" i="21"/>
  <c r="AZ347" i="21"/>
  <c r="AY345" i="21"/>
  <c r="AZ345" i="21"/>
  <c r="AY340" i="21"/>
  <c r="AZ340" i="21"/>
  <c r="AY330" i="21"/>
  <c r="AZ330" i="21"/>
  <c r="AY316" i="21"/>
  <c r="AZ316" i="21"/>
  <c r="AY307" i="21"/>
  <c r="AZ307" i="21"/>
  <c r="AY305" i="21"/>
  <c r="AZ305" i="21"/>
  <c r="AY302" i="21"/>
  <c r="AZ302" i="21"/>
  <c r="AY298" i="21"/>
  <c r="AZ298" i="21"/>
  <c r="AY290" i="21"/>
  <c r="AZ290" i="21"/>
  <c r="AY286" i="21"/>
  <c r="AZ286" i="21"/>
  <c r="AY276" i="21"/>
  <c r="AZ276" i="21"/>
  <c r="AY273" i="21"/>
  <c r="AZ273" i="21"/>
  <c r="AY268" i="21"/>
  <c r="AZ268" i="21"/>
  <c r="AY261" i="21"/>
  <c r="AZ261" i="21"/>
  <c r="AY257" i="21"/>
  <c r="AZ257" i="21"/>
  <c r="AY245" i="21"/>
  <c r="AZ245" i="21"/>
  <c r="AY234" i="21"/>
  <c r="AZ234" i="21"/>
  <c r="AY123" i="21"/>
  <c r="AZ123" i="21"/>
  <c r="AY121" i="21"/>
  <c r="AZ121" i="21"/>
  <c r="AY102" i="21"/>
  <c r="AZ102" i="21"/>
  <c r="AY96" i="21"/>
  <c r="AZ96" i="21"/>
  <c r="AY81" i="21"/>
  <c r="AZ81" i="21"/>
  <c r="AY50" i="21"/>
  <c r="AZ50" i="21"/>
  <c r="AY48" i="21"/>
  <c r="AZ48" i="21"/>
  <c r="AY44" i="21"/>
  <c r="AZ44" i="21"/>
  <c r="AY34" i="21"/>
  <c r="AZ34" i="21"/>
  <c r="AZ130" i="21" l="1"/>
  <c r="AY127" i="21"/>
  <c r="AY131" i="21"/>
  <c r="AY130" i="21"/>
  <c r="AZ131" i="21"/>
  <c r="AY129" i="21"/>
  <c r="AZ128" i="21"/>
  <c r="AY128" i="21"/>
  <c r="AZ127" i="21"/>
  <c r="AZ51" i="21"/>
  <c r="AZ129" i="21"/>
  <c r="AY124" i="21"/>
  <c r="AZ348" i="21"/>
  <c r="AY366" i="21"/>
  <c r="AY348" i="21"/>
  <c r="AY51" i="21"/>
  <c r="AZ124" i="21"/>
  <c r="AZ366" i="21"/>
  <c r="AX379" i="21"/>
  <c r="AV379" i="21"/>
  <c r="BB23" i="21"/>
  <c r="AX34" i="21"/>
  <c r="AW34" i="21"/>
  <c r="AV34" i="21"/>
  <c r="AU34" i="21"/>
  <c r="AT34" i="21"/>
  <c r="AQ34" i="21"/>
  <c r="AP34" i="21"/>
  <c r="AV365" i="21"/>
  <c r="AW365" i="21"/>
  <c r="AX365" i="21"/>
  <c r="AV374" i="21"/>
  <c r="AW374" i="21"/>
  <c r="AX374" i="21"/>
  <c r="BB373" i="21"/>
  <c r="AQ379" i="21"/>
  <c r="AT379" i="21"/>
  <c r="AU379" i="21"/>
  <c r="AW379" i="21"/>
  <c r="AX179" i="21"/>
  <c r="AX357" i="21"/>
  <c r="AX347" i="21"/>
  <c r="AX345" i="21"/>
  <c r="AX340" i="21"/>
  <c r="AX330" i="21"/>
  <c r="AX316" i="21"/>
  <c r="AX307" i="21"/>
  <c r="AX305" i="21"/>
  <c r="AX302" i="21"/>
  <c r="AX298" i="21"/>
  <c r="AX290" i="21"/>
  <c r="AX286" i="21"/>
  <c r="AX276" i="21"/>
  <c r="AX273" i="21"/>
  <c r="AX268" i="21"/>
  <c r="AX261" i="21"/>
  <c r="AX257" i="21"/>
  <c r="AX245" i="21"/>
  <c r="AX234" i="21"/>
  <c r="AX123" i="21"/>
  <c r="AX121" i="21"/>
  <c r="AX102" i="21"/>
  <c r="AX96" i="21"/>
  <c r="AX81" i="21"/>
  <c r="AX50" i="21"/>
  <c r="AX48" i="21"/>
  <c r="AX44" i="21"/>
  <c r="AZ125" i="21" l="1"/>
  <c r="AZ126" i="21" s="1"/>
  <c r="AY125" i="21"/>
  <c r="AY126" i="21" s="1"/>
  <c r="AX127" i="21"/>
  <c r="AX130" i="21"/>
  <c r="AX366" i="21"/>
  <c r="AX128" i="21"/>
  <c r="AX131" i="21"/>
  <c r="AX124" i="21"/>
  <c r="AX348" i="21"/>
  <c r="AX129" i="21"/>
  <c r="AX51" i="21"/>
  <c r="AX125" i="21" l="1"/>
  <c r="AX126" i="21" l="1"/>
  <c r="AX367" i="21"/>
  <c r="AX375" i="21" s="1"/>
  <c r="AX376" i="21" s="1"/>
  <c r="AW268" i="21"/>
  <c r="AV268" i="21"/>
  <c r="AU268" i="21"/>
  <c r="AT268" i="21"/>
  <c r="AQ268" i="21"/>
  <c r="AP268" i="21"/>
  <c r="BB264" i="21"/>
  <c r="AK11" i="22" l="1"/>
  <c r="AJ11" i="22"/>
  <c r="AJ16" i="22"/>
  <c r="AL16" i="22"/>
  <c r="AK16" i="22" l="1"/>
  <c r="AJ18" i="22"/>
  <c r="AK18" i="22"/>
  <c r="AL18" i="22"/>
  <c r="AL19" i="22" s="1"/>
  <c r="AN88" i="22"/>
  <c r="BA88" i="22" s="1"/>
  <c r="AW179" i="21"/>
  <c r="AW357" i="21"/>
  <c r="AW366" i="21" s="1"/>
  <c r="AW347" i="21"/>
  <c r="AW345" i="21"/>
  <c r="AW340" i="21"/>
  <c r="AW330" i="21"/>
  <c r="AW316" i="21"/>
  <c r="AW307" i="21"/>
  <c r="AW305" i="21"/>
  <c r="AW302" i="21"/>
  <c r="AW298" i="21"/>
  <c r="AW290" i="21"/>
  <c r="AW286" i="21"/>
  <c r="AW276" i="21"/>
  <c r="AW273" i="21"/>
  <c r="AW261" i="21"/>
  <c r="AW257" i="21"/>
  <c r="AW245" i="21"/>
  <c r="AW234" i="21"/>
  <c r="AW123" i="21"/>
  <c r="AW121" i="21"/>
  <c r="AW102" i="21"/>
  <c r="AW96" i="21"/>
  <c r="AW81" i="21"/>
  <c r="AW50" i="21"/>
  <c r="AW48" i="21"/>
  <c r="AW44" i="21"/>
  <c r="BB300" i="21"/>
  <c r="AK19" i="22" l="1"/>
  <c r="AJ19" i="22"/>
  <c r="AJ28" i="22"/>
  <c r="AW131" i="21"/>
  <c r="AW127" i="21"/>
  <c r="AW128" i="21"/>
  <c r="AW129" i="21"/>
  <c r="AW130" i="21"/>
  <c r="AW348" i="21"/>
  <c r="AW51" i="21"/>
  <c r="AW124" i="21"/>
  <c r="AK28" i="22" l="1"/>
  <c r="AL28" i="22"/>
  <c r="AJ30" i="22"/>
  <c r="AK30" i="22"/>
  <c r="AK33" i="22" s="1"/>
  <c r="AL30" i="22"/>
  <c r="AW125" i="21"/>
  <c r="AK49" i="22" l="1"/>
  <c r="AI11" i="22"/>
  <c r="AI16" i="22"/>
  <c r="AL33" i="22"/>
  <c r="AK53" i="22"/>
  <c r="AJ33" i="22"/>
  <c r="AW126" i="21"/>
  <c r="AW367" i="21"/>
  <c r="AW375" i="21" s="1"/>
  <c r="AW376" i="21" s="1"/>
  <c r="AV179" i="21"/>
  <c r="AV357" i="21"/>
  <c r="AV366" i="21" s="1"/>
  <c r="AV347" i="21"/>
  <c r="AV345" i="21"/>
  <c r="AV340" i="21"/>
  <c r="AV330" i="21"/>
  <c r="AV316" i="21"/>
  <c r="AV307" i="21"/>
  <c r="AV305" i="21"/>
  <c r="AV302" i="21"/>
  <c r="AV298" i="21"/>
  <c r="AV290" i="21"/>
  <c r="AV286" i="21"/>
  <c r="AV276" i="21"/>
  <c r="AV273" i="21"/>
  <c r="AV261" i="21"/>
  <c r="AV257" i="21"/>
  <c r="AV245" i="21"/>
  <c r="AV234" i="21"/>
  <c r="AV123" i="21"/>
  <c r="AV121" i="21"/>
  <c r="AV102" i="21"/>
  <c r="AV96" i="21"/>
  <c r="AV81" i="21"/>
  <c r="AV50" i="21"/>
  <c r="AV48" i="21"/>
  <c r="AV44" i="21"/>
  <c r="AK54" i="22" l="1"/>
  <c r="AL49" i="22"/>
  <c r="AI18" i="22"/>
  <c r="AJ49" i="22"/>
  <c r="AL53" i="22"/>
  <c r="AK64" i="22"/>
  <c r="AJ53" i="22"/>
  <c r="AV127" i="21"/>
  <c r="AV129" i="21"/>
  <c r="AV128" i="21"/>
  <c r="AV131" i="21"/>
  <c r="AV130" i="21"/>
  <c r="AV51" i="21"/>
  <c r="AV124" i="21"/>
  <c r="AV348" i="21"/>
  <c r="AJ54" i="22" l="1"/>
  <c r="AL54" i="22"/>
  <c r="AJ64" i="22"/>
  <c r="AJ83" i="22"/>
  <c r="AJ93" i="22"/>
  <c r="AK83" i="22"/>
  <c r="AL64" i="22"/>
  <c r="AI19" i="22"/>
  <c r="AI28" i="22"/>
  <c r="AV125" i="21"/>
  <c r="AI30" i="22" l="1"/>
  <c r="AI33" i="22" s="1"/>
  <c r="AI49" i="22" s="1"/>
  <c r="AJ94" i="22"/>
  <c r="AK93" i="22"/>
  <c r="AL83" i="22"/>
  <c r="AL93" i="22" s="1"/>
  <c r="AL94" i="22" s="1"/>
  <c r="AJ109" i="22"/>
  <c r="AV126" i="21"/>
  <c r="AV367" i="21"/>
  <c r="AV375" i="21" s="1"/>
  <c r="AV376" i="21" s="1"/>
  <c r="BB147" i="21"/>
  <c r="AN193" i="22"/>
  <c r="BA193" i="22" s="1"/>
  <c r="AP379" i="21"/>
  <c r="AJ96" i="22" l="1"/>
  <c r="AK94" i="22"/>
  <c r="AJ112" i="22"/>
  <c r="AI53" i="22"/>
  <c r="AI54" i="22" s="1"/>
  <c r="N5" i="23"/>
  <c r="P5" i="23" s="1"/>
  <c r="N6" i="23"/>
  <c r="N7" i="23"/>
  <c r="N8" i="23"/>
  <c r="N9" i="23"/>
  <c r="N10" i="23"/>
  <c r="N11" i="23"/>
  <c r="N12" i="23"/>
  <c r="N13" i="23"/>
  <c r="N14" i="23"/>
  <c r="N15" i="23"/>
  <c r="P15" i="23" s="1"/>
  <c r="N16" i="23"/>
  <c r="P16" i="23" s="1"/>
  <c r="N17" i="23"/>
  <c r="P17" i="23" s="1"/>
  <c r="N18" i="23"/>
  <c r="N19" i="23"/>
  <c r="P19" i="23" s="1"/>
  <c r="N20" i="23"/>
  <c r="N21" i="23"/>
  <c r="P21" i="23" s="1"/>
  <c r="N22" i="23"/>
  <c r="N23" i="23"/>
  <c r="N24" i="23"/>
  <c r="N25" i="23"/>
  <c r="P25" i="23" s="1"/>
  <c r="N26" i="23"/>
  <c r="P26" i="23" s="1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P39" i="23" s="1"/>
  <c r="N40" i="23"/>
  <c r="N41" i="23"/>
  <c r="N42" i="23"/>
  <c r="P42" i="23" s="1"/>
  <c r="N43" i="23"/>
  <c r="N44" i="23"/>
  <c r="N45" i="23"/>
  <c r="P45" i="23" s="1"/>
  <c r="N46" i="23"/>
  <c r="P46" i="23" s="1"/>
  <c r="N47" i="23"/>
  <c r="P47" i="23" s="1"/>
  <c r="N48" i="23"/>
  <c r="N49" i="23"/>
  <c r="N50" i="23"/>
  <c r="N51" i="23"/>
  <c r="P51" i="23" s="1"/>
  <c r="N52" i="23"/>
  <c r="P52" i="23" s="1"/>
  <c r="N53" i="23"/>
  <c r="N54" i="23"/>
  <c r="P54" i="23" s="1"/>
  <c r="N55" i="23"/>
  <c r="P55" i="23" s="1"/>
  <c r="N56" i="23"/>
  <c r="P56" i="23" s="1"/>
  <c r="N57" i="23"/>
  <c r="P57" i="23" s="1"/>
  <c r="N58" i="23"/>
  <c r="P58" i="23" s="1"/>
  <c r="N59" i="23"/>
  <c r="P59" i="23" s="1"/>
  <c r="N60" i="23"/>
  <c r="N61" i="23"/>
  <c r="N62" i="23"/>
  <c r="N63" i="23"/>
  <c r="P63" i="23" s="1"/>
  <c r="N64" i="23"/>
  <c r="N65" i="23"/>
  <c r="N66" i="23"/>
  <c r="N67" i="23"/>
  <c r="N68" i="23"/>
  <c r="N69" i="23"/>
  <c r="N70" i="23"/>
  <c r="P70" i="23" s="1"/>
  <c r="N71" i="23"/>
  <c r="P71" i="23" s="1"/>
  <c r="N72" i="23"/>
  <c r="P72" i="23" s="1"/>
  <c r="N73" i="23"/>
  <c r="P73" i="23" s="1"/>
  <c r="N74" i="23"/>
  <c r="P74" i="23" s="1"/>
  <c r="N75" i="23"/>
  <c r="P75" i="23" s="1"/>
  <c r="N76" i="23"/>
  <c r="P76" i="23" s="1"/>
  <c r="N77" i="23"/>
  <c r="P77" i="23" s="1"/>
  <c r="N78" i="23"/>
  <c r="P78" i="23" s="1"/>
  <c r="N79" i="23"/>
  <c r="P79" i="23" s="1"/>
  <c r="N80" i="23"/>
  <c r="P80" i="23" s="1"/>
  <c r="N81" i="23"/>
  <c r="P81" i="23" s="1"/>
  <c r="N82" i="23"/>
  <c r="P82" i="23" s="1"/>
  <c r="N83" i="23"/>
  <c r="N84" i="23"/>
  <c r="N85" i="23"/>
  <c r="P85" i="23" s="1"/>
  <c r="N86" i="23"/>
  <c r="N87" i="23"/>
  <c r="P87" i="23" s="1"/>
  <c r="N88" i="23"/>
  <c r="N89" i="23"/>
  <c r="P89" i="23" s="1"/>
  <c r="N90" i="23"/>
  <c r="N91" i="23"/>
  <c r="N92" i="23"/>
  <c r="N93" i="23"/>
  <c r="N94" i="23"/>
  <c r="N95" i="23"/>
  <c r="N96" i="23"/>
  <c r="N97" i="23"/>
  <c r="N98" i="23"/>
  <c r="N99" i="23"/>
  <c r="N100" i="23"/>
  <c r="N101" i="23"/>
  <c r="P101" i="23" s="1"/>
  <c r="N4" i="23"/>
  <c r="P4" i="23" s="1"/>
  <c r="AK96" i="22" l="1"/>
  <c r="AI64" i="22"/>
  <c r="AJ123" i="22"/>
  <c r="AK109" i="22"/>
  <c r="AU374" i="21"/>
  <c r="AT365" i="21"/>
  <c r="AU365" i="21"/>
  <c r="AI83" i="22" l="1"/>
  <c r="AJ126" i="22"/>
  <c r="AK112" i="22"/>
  <c r="AU179" i="21"/>
  <c r="AU357" i="21"/>
  <c r="AU366" i="21" s="1"/>
  <c r="AU347" i="21"/>
  <c r="AU345" i="21"/>
  <c r="AU340" i="21"/>
  <c r="AU330" i="21"/>
  <c r="AU316" i="21"/>
  <c r="AU307" i="21"/>
  <c r="AU305" i="21"/>
  <c r="AU302" i="21"/>
  <c r="AU298" i="21"/>
  <c r="AU290" i="21"/>
  <c r="AU286" i="21"/>
  <c r="AU276" i="21"/>
  <c r="AU273" i="21"/>
  <c r="AU261" i="21"/>
  <c r="AU257" i="21"/>
  <c r="AU245" i="21"/>
  <c r="AU234" i="21"/>
  <c r="AU123" i="21"/>
  <c r="AU121" i="21"/>
  <c r="AU102" i="21"/>
  <c r="AU96" i="21"/>
  <c r="AU81" i="21"/>
  <c r="AU50" i="21"/>
  <c r="AU48" i="21"/>
  <c r="AU44" i="21"/>
  <c r="BB280" i="21"/>
  <c r="BB194" i="21"/>
  <c r="AT374" i="21"/>
  <c r="AT179" i="21"/>
  <c r="AT357" i="21"/>
  <c r="AT366" i="21" s="1"/>
  <c r="AT347" i="21"/>
  <c r="AT345" i="21"/>
  <c r="AT340" i="21"/>
  <c r="AT330" i="21"/>
  <c r="AT316" i="21"/>
  <c r="AT307" i="21"/>
  <c r="AT305" i="21"/>
  <c r="AT302" i="21"/>
  <c r="AT298" i="21"/>
  <c r="AT290" i="21"/>
  <c r="AT286" i="21"/>
  <c r="AT276" i="21"/>
  <c r="AT273" i="21"/>
  <c r="AT261" i="21"/>
  <c r="AT257" i="21"/>
  <c r="AT245" i="21"/>
  <c r="AT234" i="21"/>
  <c r="AT123" i="21"/>
  <c r="AT121" i="21"/>
  <c r="AT102" i="21"/>
  <c r="AT96" i="21"/>
  <c r="AT81" i="21"/>
  <c r="AT50" i="21"/>
  <c r="AT48" i="21"/>
  <c r="AT44" i="21"/>
  <c r="AL112" i="22" l="1"/>
  <c r="AH11" i="22"/>
  <c r="AK123" i="22"/>
  <c r="AK126" i="22" s="1"/>
  <c r="AJ131" i="22"/>
  <c r="AL123" i="22"/>
  <c r="AJ134" i="22"/>
  <c r="AI93" i="22"/>
  <c r="AU130" i="21"/>
  <c r="AU128" i="21"/>
  <c r="AU127" i="21"/>
  <c r="AU124" i="21"/>
  <c r="AU129" i="21"/>
  <c r="AU131" i="21"/>
  <c r="AU51" i="21"/>
  <c r="AU348" i="21"/>
  <c r="AT130" i="21"/>
  <c r="AT128" i="21"/>
  <c r="AT131" i="21"/>
  <c r="AT127" i="21"/>
  <c r="AT129" i="21"/>
  <c r="AT124" i="21"/>
  <c r="AT51" i="21"/>
  <c r="AT348" i="21"/>
  <c r="AI94" i="22" l="1"/>
  <c r="AH16" i="22"/>
  <c r="AJ137" i="22"/>
  <c r="AJ142" i="22" s="1"/>
  <c r="AL126" i="22"/>
  <c r="AL131" i="22" s="1"/>
  <c r="AK131" i="22"/>
  <c r="AK134" i="22" s="1"/>
  <c r="AU125" i="21"/>
  <c r="AU126" i="21" s="1"/>
  <c r="AT125" i="21"/>
  <c r="AI96" i="22" l="1"/>
  <c r="AJ143" i="22"/>
  <c r="AK137" i="22"/>
  <c r="AK142" i="22" s="1"/>
  <c r="AH18" i="22"/>
  <c r="AI109" i="22"/>
  <c r="AI112" i="22" s="1"/>
  <c r="AL134" i="22"/>
  <c r="AL137" i="22" s="1"/>
  <c r="AU367" i="21"/>
  <c r="AU375" i="21" s="1"/>
  <c r="AU376" i="21" s="1"/>
  <c r="AT126" i="21"/>
  <c r="AT367" i="21"/>
  <c r="AT375" i="21" s="1"/>
  <c r="AT376" i="21" s="1"/>
  <c r="AN37" i="22"/>
  <c r="BA37" i="22" s="1"/>
  <c r="BB372" i="21"/>
  <c r="BB370" i="21"/>
  <c r="AL142" i="22" l="1"/>
  <c r="AL143" i="22" s="1"/>
  <c r="AI123" i="22"/>
  <c r="AH19" i="22"/>
  <c r="AK143" i="22"/>
  <c r="AF11" i="22"/>
  <c r="AG11" i="22"/>
  <c r="AJ146" i="22"/>
  <c r="AR371" i="21"/>
  <c r="AR369" i="21"/>
  <c r="AR368" i="21"/>
  <c r="AR364" i="21"/>
  <c r="AR363" i="21"/>
  <c r="AR362" i="21"/>
  <c r="AR359" i="21"/>
  <c r="AR358" i="21"/>
  <c r="AR356" i="21"/>
  <c r="AR355" i="21"/>
  <c r="AR353" i="21"/>
  <c r="AR346" i="21"/>
  <c r="AR344" i="21"/>
  <c r="AR343" i="21"/>
  <c r="AR342" i="21"/>
  <c r="AR341" i="21"/>
  <c r="AR339" i="21"/>
  <c r="AR338" i="21"/>
  <c r="AR337" i="21"/>
  <c r="AR335" i="21"/>
  <c r="AR334" i="21"/>
  <c r="AR333" i="21"/>
  <c r="AR332" i="21"/>
  <c r="AR331" i="21"/>
  <c r="AR329" i="21"/>
  <c r="AR328" i="21"/>
  <c r="AR327" i="21"/>
  <c r="AR326" i="21"/>
  <c r="AR325" i="21"/>
  <c r="AR324" i="21"/>
  <c r="AR323" i="21"/>
  <c r="AR322" i="21"/>
  <c r="AR321" i="21"/>
  <c r="AR320" i="21"/>
  <c r="AR319" i="21"/>
  <c r="AR317" i="21"/>
  <c r="AR314" i="21"/>
  <c r="AR312" i="21"/>
  <c r="AR310" i="21"/>
  <c r="AR309" i="21"/>
  <c r="AR308" i="21"/>
  <c r="AR304" i="21"/>
  <c r="AR303" i="21"/>
  <c r="AR301" i="21"/>
  <c r="AR302" i="21" s="1"/>
  <c r="AR297" i="21"/>
  <c r="AR294" i="21"/>
  <c r="AR293" i="21"/>
  <c r="AR292" i="21"/>
  <c r="AR289" i="21"/>
  <c r="AR288" i="21"/>
  <c r="AR287" i="21"/>
  <c r="AR281" i="21"/>
  <c r="AR279" i="21"/>
  <c r="AR278" i="21"/>
  <c r="AR277" i="21"/>
  <c r="AR275" i="21"/>
  <c r="AR274" i="21"/>
  <c r="AR272" i="21"/>
  <c r="AR273" i="21" s="1"/>
  <c r="AR267" i="21"/>
  <c r="AR265" i="21"/>
  <c r="AR262" i="21"/>
  <c r="AR260" i="21"/>
  <c r="AR259" i="21"/>
  <c r="AR258" i="21"/>
  <c r="AR256" i="21"/>
  <c r="AR255" i="21"/>
  <c r="AR254" i="21"/>
  <c r="AR252" i="21"/>
  <c r="AR250" i="21"/>
  <c r="AR249" i="21"/>
  <c r="AR248" i="21"/>
  <c r="AR247" i="21"/>
  <c r="AR246" i="21"/>
  <c r="AR243" i="21"/>
  <c r="AR242" i="21"/>
  <c r="AR240" i="21"/>
  <c r="AR239" i="21"/>
  <c r="AR238" i="21"/>
  <c r="AR237" i="21"/>
  <c r="AR236" i="21"/>
  <c r="AR235" i="21"/>
  <c r="AR231" i="21"/>
  <c r="AR230" i="21"/>
  <c r="AR224" i="21"/>
  <c r="AR223" i="21"/>
  <c r="AR220" i="21"/>
  <c r="AR219" i="21"/>
  <c r="AR218" i="21"/>
  <c r="AR214" i="21"/>
  <c r="AR213" i="21"/>
  <c r="AR211" i="21"/>
  <c r="AR210" i="21"/>
  <c r="AR207" i="21"/>
  <c r="AR206" i="21"/>
  <c r="AR204" i="21"/>
  <c r="AR203" i="21"/>
  <c r="AR202" i="21"/>
  <c r="AR201" i="21"/>
  <c r="AR200" i="21"/>
  <c r="AR198" i="21"/>
  <c r="AR197" i="21"/>
  <c r="AR195" i="21"/>
  <c r="AR193" i="21"/>
  <c r="AR192" i="21"/>
  <c r="AR190" i="21"/>
  <c r="AR189" i="21"/>
  <c r="AR188" i="21"/>
  <c r="AR186" i="21"/>
  <c r="AR185" i="21"/>
  <c r="AR184" i="21"/>
  <c r="AR183" i="21"/>
  <c r="AR182" i="21"/>
  <c r="AR181" i="21"/>
  <c r="AR180" i="21"/>
  <c r="AR177" i="21"/>
  <c r="AR173" i="21"/>
  <c r="AR171" i="21"/>
  <c r="AR170" i="21"/>
  <c r="AR169" i="21"/>
  <c r="AR166" i="21"/>
  <c r="AR165" i="21"/>
  <c r="AR164" i="21"/>
  <c r="AR163" i="21"/>
  <c r="AR161" i="21"/>
  <c r="AR160" i="21"/>
  <c r="AR157" i="21"/>
  <c r="AR155" i="21"/>
  <c r="AR154" i="21"/>
  <c r="AR152" i="21"/>
  <c r="AR151" i="21"/>
  <c r="AR150" i="21"/>
  <c r="AR149" i="21"/>
  <c r="AR148" i="21"/>
  <c r="AR146" i="21"/>
  <c r="AR144" i="21"/>
  <c r="AR143" i="21"/>
  <c r="AR142" i="21"/>
  <c r="AR141" i="21"/>
  <c r="AR140" i="21"/>
  <c r="AR139" i="21"/>
  <c r="AR138" i="21"/>
  <c r="AR137" i="21"/>
  <c r="AR136" i="21"/>
  <c r="AR135" i="21"/>
  <c r="AR134" i="21"/>
  <c r="AR133" i="21"/>
  <c r="AR132" i="21"/>
  <c r="AR122" i="21"/>
  <c r="AR123" i="21" s="1"/>
  <c r="AR120" i="21"/>
  <c r="AR119" i="21"/>
  <c r="AR118" i="21"/>
  <c r="AR114" i="21"/>
  <c r="AR113" i="21"/>
  <c r="AR111" i="21"/>
  <c r="AR110" i="21"/>
  <c r="AR109" i="21"/>
  <c r="AR101" i="21"/>
  <c r="AR100" i="21"/>
  <c r="AR99" i="21"/>
  <c r="AR95" i="21"/>
  <c r="AR94" i="21"/>
  <c r="AR93" i="21"/>
  <c r="AR90" i="21"/>
  <c r="AR89" i="21"/>
  <c r="AR88" i="21"/>
  <c r="AR87" i="21"/>
  <c r="AR84" i="21"/>
  <c r="AR83" i="21"/>
  <c r="AR82" i="21"/>
  <c r="AR80" i="21"/>
  <c r="AR78" i="21"/>
  <c r="AR77" i="21"/>
  <c r="AR75" i="21"/>
  <c r="AR74" i="21"/>
  <c r="AR72" i="21"/>
  <c r="AR71" i="21"/>
  <c r="AR68" i="21"/>
  <c r="AR67" i="21"/>
  <c r="AR65" i="21"/>
  <c r="AR64" i="21"/>
  <c r="AR63" i="21"/>
  <c r="AR62" i="21"/>
  <c r="AR61" i="21"/>
  <c r="AR60" i="21"/>
  <c r="AR59" i="21"/>
  <c r="AR58" i="21"/>
  <c r="AR57" i="21"/>
  <c r="AR55" i="21"/>
  <c r="AR53" i="21"/>
  <c r="AR52" i="21"/>
  <c r="AR49" i="21"/>
  <c r="AR50" i="21" s="1"/>
  <c r="AR45" i="21"/>
  <c r="AR48" i="21" s="1"/>
  <c r="AR40" i="21"/>
  <c r="AR39" i="21"/>
  <c r="AR38" i="21"/>
  <c r="AR37" i="21"/>
  <c r="AR36" i="21"/>
  <c r="AR35" i="21"/>
  <c r="AR33" i="21"/>
  <c r="AR32" i="21"/>
  <c r="AR27" i="21"/>
  <c r="AR22" i="21"/>
  <c r="AR19" i="21"/>
  <c r="AR18" i="21"/>
  <c r="AR17" i="21"/>
  <c r="AR16" i="21"/>
  <c r="AR15" i="21"/>
  <c r="AR14" i="21"/>
  <c r="AR12" i="21"/>
  <c r="AR11" i="21"/>
  <c r="AR9" i="21"/>
  <c r="AR6" i="21"/>
  <c r="AR4" i="21"/>
  <c r="AS371" i="21"/>
  <c r="AS369" i="21"/>
  <c r="AS368" i="21"/>
  <c r="AS364" i="21"/>
  <c r="AS363" i="21"/>
  <c r="AS362" i="21"/>
  <c r="AS359" i="21"/>
  <c r="AS358" i="21"/>
  <c r="AS356" i="21"/>
  <c r="AS355" i="21"/>
  <c r="AS353" i="21"/>
  <c r="AS346" i="21"/>
  <c r="AS344" i="21"/>
  <c r="AS343" i="21"/>
  <c r="AS342" i="21"/>
  <c r="AS341" i="21"/>
  <c r="AS339" i="21"/>
  <c r="AS338" i="21"/>
  <c r="AS337" i="21"/>
  <c r="AS335" i="21"/>
  <c r="AS334" i="21"/>
  <c r="AS333" i="21"/>
  <c r="AS332" i="21"/>
  <c r="AS331" i="21"/>
  <c r="AS329" i="21"/>
  <c r="AS328" i="21"/>
  <c r="AS327" i="21"/>
  <c r="AS326" i="21"/>
  <c r="AS325" i="21"/>
  <c r="AS324" i="21"/>
  <c r="AS323" i="21"/>
  <c r="AS322" i="21"/>
  <c r="AS321" i="21"/>
  <c r="AS320" i="21"/>
  <c r="AS319" i="21"/>
  <c r="AS317" i="21"/>
  <c r="AS314" i="21"/>
  <c r="AS312" i="21"/>
  <c r="AS310" i="21"/>
  <c r="AS309" i="21"/>
  <c r="AS308" i="21"/>
  <c r="AS304" i="21"/>
  <c r="AS303" i="21"/>
  <c r="AS301" i="21"/>
  <c r="AS302" i="21" s="1"/>
  <c r="AS297" i="21"/>
  <c r="AS295" i="21"/>
  <c r="AS294" i="21"/>
  <c r="AS293" i="21"/>
  <c r="AS292" i="21"/>
  <c r="AS289" i="21"/>
  <c r="AS288" i="21"/>
  <c r="AS287" i="21"/>
  <c r="AS281" i="21"/>
  <c r="AS279" i="21"/>
  <c r="AS278" i="21"/>
  <c r="AS277" i="21"/>
  <c r="AS275" i="21"/>
  <c r="AS274" i="21"/>
  <c r="AS272" i="21"/>
  <c r="AS273" i="21" s="1"/>
  <c r="AS267" i="21"/>
  <c r="AS265" i="21"/>
  <c r="AS262" i="21"/>
  <c r="AS260" i="21"/>
  <c r="AS259" i="21"/>
  <c r="AS258" i="21"/>
  <c r="AS256" i="21"/>
  <c r="AS255" i="21"/>
  <c r="AS254" i="21"/>
  <c r="AS252" i="21"/>
  <c r="AS251" i="21"/>
  <c r="AS250" i="21"/>
  <c r="AS249" i="21"/>
  <c r="AS248" i="21"/>
  <c r="AS247" i="21"/>
  <c r="AS246" i="21"/>
  <c r="AS243" i="21"/>
  <c r="AS242" i="21"/>
  <c r="AS240" i="21"/>
  <c r="AS239" i="21"/>
  <c r="AS238" i="21"/>
  <c r="AS237" i="21"/>
  <c r="AS236" i="21"/>
  <c r="AS235" i="21"/>
  <c r="AS231" i="21"/>
  <c r="AS230" i="21"/>
  <c r="AS224" i="21"/>
  <c r="AS223" i="21"/>
  <c r="AS220" i="21"/>
  <c r="AS219" i="21"/>
  <c r="AS218" i="21"/>
  <c r="AS214" i="21"/>
  <c r="AS213" i="21"/>
  <c r="AS211" i="21"/>
  <c r="AS210" i="21"/>
  <c r="AS207" i="21"/>
  <c r="AS206" i="21"/>
  <c r="AS204" i="21"/>
  <c r="AS203" i="21"/>
  <c r="AS202" i="21"/>
  <c r="AS201" i="21"/>
  <c r="AS200" i="21"/>
  <c r="AS198" i="21"/>
  <c r="AS197" i="21"/>
  <c r="AS195" i="21"/>
  <c r="AS193" i="21"/>
  <c r="AS192" i="21"/>
  <c r="AS190" i="21"/>
  <c r="AS189" i="21"/>
  <c r="AS188" i="21"/>
  <c r="AS187" i="21"/>
  <c r="AS186" i="21"/>
  <c r="AS185" i="21"/>
  <c r="AS184" i="21"/>
  <c r="AS183" i="21"/>
  <c r="AS182" i="21"/>
  <c r="AS181" i="21"/>
  <c r="AS180" i="21"/>
  <c r="AS177" i="21"/>
  <c r="AS173" i="21"/>
  <c r="AS171" i="21"/>
  <c r="AS170" i="21"/>
  <c r="AS169" i="21"/>
  <c r="AS167" i="21"/>
  <c r="AS166" i="21"/>
  <c r="AS165" i="21"/>
  <c r="AS164" i="21"/>
  <c r="AS163" i="21"/>
  <c r="AS161" i="21"/>
  <c r="AS160" i="21"/>
  <c r="AS157" i="21"/>
  <c r="AS155" i="21"/>
  <c r="AS154" i="21"/>
  <c r="AS152" i="21"/>
  <c r="AS151" i="21"/>
  <c r="AS150" i="21"/>
  <c r="AS149" i="21"/>
  <c r="AS148" i="21"/>
  <c r="AS146" i="21"/>
  <c r="AS144" i="21"/>
  <c r="AS143" i="21"/>
  <c r="AS142" i="21"/>
  <c r="AS141" i="21"/>
  <c r="AS140" i="21"/>
  <c r="AS139" i="21"/>
  <c r="AS138" i="21"/>
  <c r="AS137" i="21"/>
  <c r="AS136" i="21"/>
  <c r="AS135" i="21"/>
  <c r="AS134" i="21"/>
  <c r="AS133" i="21"/>
  <c r="AS132" i="21"/>
  <c r="AS122" i="21"/>
  <c r="AS123" i="21" s="1"/>
  <c r="AS120" i="21"/>
  <c r="AS119" i="21"/>
  <c r="AS118" i="21"/>
  <c r="AS114" i="21"/>
  <c r="AS113" i="21"/>
  <c r="AS111" i="21"/>
  <c r="AS110" i="21"/>
  <c r="AS109" i="21"/>
  <c r="AS105" i="21"/>
  <c r="AS103" i="21"/>
  <c r="AS101" i="21"/>
  <c r="AS100" i="21"/>
  <c r="AS99" i="21"/>
  <c r="AS95" i="21"/>
  <c r="AS94" i="21"/>
  <c r="AS93" i="21"/>
  <c r="AS90" i="21"/>
  <c r="AS89" i="21"/>
  <c r="AS88" i="21"/>
  <c r="AS87" i="21"/>
  <c r="AS85" i="21"/>
  <c r="AS84" i="21"/>
  <c r="AS83" i="21"/>
  <c r="AS82" i="21"/>
  <c r="AS80" i="21"/>
  <c r="AS78" i="21"/>
  <c r="AS77" i="21"/>
  <c r="AS75" i="21"/>
  <c r="AS74" i="21"/>
  <c r="AS72" i="21"/>
  <c r="AS71" i="21"/>
  <c r="AS68" i="21"/>
  <c r="AS67" i="21"/>
  <c r="AS65" i="21"/>
  <c r="AS64" i="21"/>
  <c r="AS63" i="21"/>
  <c r="AS62" i="21"/>
  <c r="AS61" i="21"/>
  <c r="AS60" i="21"/>
  <c r="AS59" i="21"/>
  <c r="AS58" i="21"/>
  <c r="AS57" i="21"/>
  <c r="AS55" i="21"/>
  <c r="AS53" i="21"/>
  <c r="AS52" i="21"/>
  <c r="AS49" i="21"/>
  <c r="AS50" i="21" s="1"/>
  <c r="AS45" i="21"/>
  <c r="AS48" i="21" s="1"/>
  <c r="AS40" i="21"/>
  <c r="AS39" i="21"/>
  <c r="AS38" i="21"/>
  <c r="AS37" i="21"/>
  <c r="AS36" i="21"/>
  <c r="AS35" i="21"/>
  <c r="AS33" i="21"/>
  <c r="AS32" i="21"/>
  <c r="AS27" i="21"/>
  <c r="AS22" i="21"/>
  <c r="AS19" i="21"/>
  <c r="AS18" i="21"/>
  <c r="AS17" i="21"/>
  <c r="AS16" i="21"/>
  <c r="AS15" i="21"/>
  <c r="AS14" i="21"/>
  <c r="AS12" i="21"/>
  <c r="AS11" i="21"/>
  <c r="AS9" i="21"/>
  <c r="AS6" i="21"/>
  <c r="AS4" i="21"/>
  <c r="AQ257" i="21"/>
  <c r="AP257" i="21"/>
  <c r="AR307" i="21"/>
  <c r="AS307" i="21"/>
  <c r="AG16" i="22" l="1"/>
  <c r="AF16" i="22"/>
  <c r="AJ160" i="22"/>
  <c r="AJ161" i="22" s="1"/>
  <c r="AH28" i="22"/>
  <c r="AG18" i="22"/>
  <c r="AH30" i="22"/>
  <c r="AH33" i="22" s="1"/>
  <c r="AK146" i="22"/>
  <c r="AF18" i="22"/>
  <c r="AI126" i="22"/>
  <c r="AS34" i="21"/>
  <c r="AR34" i="21"/>
  <c r="AR379" i="21"/>
  <c r="AS379" i="21"/>
  <c r="AS268" i="21"/>
  <c r="AR268" i="21"/>
  <c r="BB148" i="21"/>
  <c r="AS347" i="21"/>
  <c r="AR347" i="21"/>
  <c r="AR374" i="21"/>
  <c r="AR375" i="21" s="1"/>
  <c r="AR376" i="21" s="1"/>
  <c r="AR357" i="21"/>
  <c r="AR305" i="21"/>
  <c r="AR102" i="21"/>
  <c r="BB368" i="21"/>
  <c r="BB374" i="21" s="1"/>
  <c r="AR261" i="21"/>
  <c r="AR316" i="21"/>
  <c r="AR290" i="21"/>
  <c r="AR345" i="21"/>
  <c r="BB369" i="21"/>
  <c r="BB371" i="21"/>
  <c r="AR121" i="21"/>
  <c r="AR130" i="21" s="1"/>
  <c r="AR298" i="21"/>
  <c r="AR330" i="21"/>
  <c r="AR340" i="21"/>
  <c r="AR96" i="21"/>
  <c r="AR276" i="21"/>
  <c r="AR257" i="21"/>
  <c r="AR44" i="21"/>
  <c r="AR365" i="21"/>
  <c r="AN73" i="22"/>
  <c r="BA73" i="22" s="1"/>
  <c r="AR286" i="21"/>
  <c r="AS261" i="21"/>
  <c r="AR179" i="21"/>
  <c r="AR245" i="21"/>
  <c r="AR81" i="21"/>
  <c r="AR234" i="21"/>
  <c r="AS316" i="21"/>
  <c r="AR13" i="21"/>
  <c r="BB251" i="21"/>
  <c r="AS290" i="21"/>
  <c r="AS96" i="21"/>
  <c r="AS298" i="21"/>
  <c r="AS102" i="21"/>
  <c r="AS276" i="21"/>
  <c r="AS81" i="21"/>
  <c r="AS121" i="21"/>
  <c r="AS305" i="21"/>
  <c r="AS357" i="21"/>
  <c r="AS44" i="21"/>
  <c r="AS330" i="21"/>
  <c r="AS340" i="21"/>
  <c r="AS13" i="21"/>
  <c r="AS179" i="21"/>
  <c r="AS374" i="21"/>
  <c r="AS245" i="21"/>
  <c r="AS234" i="21"/>
  <c r="AS345" i="21"/>
  <c r="AS286" i="21"/>
  <c r="AS365" i="21"/>
  <c r="AS257" i="21"/>
  <c r="AR131" i="21"/>
  <c r="AQ179" i="21"/>
  <c r="AP179" i="21"/>
  <c r="BB177" i="21"/>
  <c r="AQ96" i="21"/>
  <c r="AP96" i="21"/>
  <c r="BB95" i="21"/>
  <c r="AQ81" i="21"/>
  <c r="AP81" i="21"/>
  <c r="BB71" i="21"/>
  <c r="AK160" i="22" l="1"/>
  <c r="AK161" i="22" s="1"/>
  <c r="AL161" i="22"/>
  <c r="AH49" i="22"/>
  <c r="AH53" i="22" s="1"/>
  <c r="AF19" i="22"/>
  <c r="AF28" i="22"/>
  <c r="AG19" i="22"/>
  <c r="AJ168" i="22"/>
  <c r="AI131" i="22"/>
  <c r="AR366" i="21"/>
  <c r="AS124" i="21"/>
  <c r="AR51" i="21"/>
  <c r="AR129" i="21"/>
  <c r="AR348" i="21"/>
  <c r="AR124" i="21"/>
  <c r="AR127" i="21"/>
  <c r="AR128" i="21"/>
  <c r="AS366" i="21"/>
  <c r="AS51" i="21"/>
  <c r="AS348" i="21"/>
  <c r="AQ374" i="21"/>
  <c r="AQ375" i="21" s="1"/>
  <c r="AQ376" i="21" s="1"/>
  <c r="AQ365" i="21"/>
  <c r="AQ357" i="21"/>
  <c r="AQ347" i="21"/>
  <c r="AQ345" i="21"/>
  <c r="AQ340" i="21"/>
  <c r="AQ330" i="21"/>
  <c r="AQ316" i="21"/>
  <c r="AQ307" i="21"/>
  <c r="AQ305" i="21"/>
  <c r="AQ302" i="21"/>
  <c r="AQ298" i="21"/>
  <c r="AQ290" i="21"/>
  <c r="AQ286" i="21"/>
  <c r="AQ276" i="21"/>
  <c r="AQ273" i="21"/>
  <c r="AQ261" i="21"/>
  <c r="AQ245" i="21"/>
  <c r="AQ234" i="21"/>
  <c r="AQ123" i="21"/>
  <c r="AS131" i="21"/>
  <c r="AQ121" i="21"/>
  <c r="AQ102" i="21"/>
  <c r="AQ50" i="21"/>
  <c r="AQ48" i="21"/>
  <c r="AQ44" i="21"/>
  <c r="AS128" i="21"/>
  <c r="AQ13" i="21"/>
  <c r="AQ127" i="21" s="1"/>
  <c r="AS127" i="21"/>
  <c r="AJ201" i="22" l="1"/>
  <c r="AJ207" i="22"/>
  <c r="AH54" i="22"/>
  <c r="AF30" i="22"/>
  <c r="AF33" i="22" s="1"/>
  <c r="AF49" i="22" s="1"/>
  <c r="AK168" i="22"/>
  <c r="AI134" i="22"/>
  <c r="AI137" i="22" s="1"/>
  <c r="AI142" i="22" s="1"/>
  <c r="AG28" i="22"/>
  <c r="AL213" i="22"/>
  <c r="AH64" i="22"/>
  <c r="AJ213" i="22"/>
  <c r="AR125" i="21"/>
  <c r="AR126" i="21" s="1"/>
  <c r="AS125" i="21"/>
  <c r="AS130" i="21"/>
  <c r="AS129" i="21"/>
  <c r="AQ128" i="21"/>
  <c r="AQ129" i="21"/>
  <c r="AQ131" i="21"/>
  <c r="AQ366" i="21"/>
  <c r="AQ130" i="21"/>
  <c r="AQ124" i="21"/>
  <c r="AQ51" i="21"/>
  <c r="AQ348" i="21"/>
  <c r="BB87" i="21"/>
  <c r="AA156" i="22"/>
  <c r="AA155" i="22"/>
  <c r="AN155" i="22" s="1"/>
  <c r="BA155" i="22" s="1"/>
  <c r="AA153" i="22"/>
  <c r="AN153" i="22" s="1"/>
  <c r="BA153" i="22" s="1"/>
  <c r="AA152" i="22"/>
  <c r="AN152" i="22" s="1"/>
  <c r="BA152" i="22" s="1"/>
  <c r="AA151" i="22"/>
  <c r="AN151" i="22" s="1"/>
  <c r="BA151" i="22" s="1"/>
  <c r="AA150" i="22"/>
  <c r="AN150" i="22" s="1"/>
  <c r="BA150" i="22" s="1"/>
  <c r="AA148" i="22"/>
  <c r="AN148" i="22" s="1"/>
  <c r="BA148" i="22" s="1"/>
  <c r="AA149" i="22"/>
  <c r="AA154" i="22"/>
  <c r="AA243" i="22"/>
  <c r="AN243" i="22" s="1"/>
  <c r="BA243" i="22" s="1"/>
  <c r="C96" i="21"/>
  <c r="AP374" i="21"/>
  <c r="AP375" i="21" s="1"/>
  <c r="AP376" i="21" s="1"/>
  <c r="AP365" i="21"/>
  <c r="AP357" i="21"/>
  <c r="AP347" i="21"/>
  <c r="AP345" i="21"/>
  <c r="AP340" i="21"/>
  <c r="AP330" i="21"/>
  <c r="AP316" i="21"/>
  <c r="AP307" i="21"/>
  <c r="AP305" i="21"/>
  <c r="AP302" i="21"/>
  <c r="AP298" i="21"/>
  <c r="AP290" i="21"/>
  <c r="AP286" i="21"/>
  <c r="AP276" i="21"/>
  <c r="AP273" i="21"/>
  <c r="AP261" i="21"/>
  <c r="AP245" i="21"/>
  <c r="AP234" i="21"/>
  <c r="AP123" i="21"/>
  <c r="AP121" i="21"/>
  <c r="AP102" i="21"/>
  <c r="AP50" i="21"/>
  <c r="AP48" i="21"/>
  <c r="AP44" i="21"/>
  <c r="AP13" i="21"/>
  <c r="AK201" i="22" l="1"/>
  <c r="AK207" i="22"/>
  <c r="AI143" i="22"/>
  <c r="AH83" i="22"/>
  <c r="AJ223" i="22"/>
  <c r="AJ226" i="22" s="1"/>
  <c r="AE11" i="22"/>
  <c r="AK213" i="22"/>
  <c r="AD11" i="22"/>
  <c r="AH93" i="22"/>
  <c r="AL223" i="22"/>
  <c r="AL226" i="22" s="1"/>
  <c r="AK223" i="22"/>
  <c r="AF53" i="22"/>
  <c r="AF54" i="22" s="1"/>
  <c r="AG30" i="22"/>
  <c r="AG33" i="22" s="1"/>
  <c r="AS126" i="21"/>
  <c r="AQ125" i="21"/>
  <c r="AP130" i="21"/>
  <c r="AP129" i="21"/>
  <c r="AP128" i="21"/>
  <c r="AN156" i="22"/>
  <c r="BA156" i="22" s="1"/>
  <c r="AN154" i="22"/>
  <c r="BA154" i="22" s="1"/>
  <c r="AN149" i="22"/>
  <c r="BA149" i="22" s="1"/>
  <c r="AP131" i="21"/>
  <c r="AP127" i="21"/>
  <c r="AP366" i="21"/>
  <c r="AP51" i="21"/>
  <c r="AP124" i="21"/>
  <c r="AP348" i="21"/>
  <c r="AE16" i="22" l="1"/>
  <c r="AF64" i="22"/>
  <c r="AJ230" i="22"/>
  <c r="AJ257" i="22" s="1"/>
  <c r="AG49" i="22"/>
  <c r="AG53" i="22" s="1"/>
  <c r="AG54" i="22" s="1"/>
  <c r="AH94" i="22"/>
  <c r="AF83" i="22"/>
  <c r="AE18" i="22"/>
  <c r="AI146" i="22"/>
  <c r="AD16" i="22"/>
  <c r="AL230" i="22"/>
  <c r="AL257" i="22" s="1"/>
  <c r="AK226" i="22"/>
  <c r="AK230" i="22" s="1"/>
  <c r="AK257" i="22" s="1"/>
  <c r="AQ126" i="21"/>
  <c r="AP125" i="21"/>
  <c r="AP126" i="21" s="1"/>
  <c r="AL258" i="22" l="1"/>
  <c r="AI160" i="22"/>
  <c r="AI161" i="22" s="1"/>
  <c r="AG64" i="22"/>
  <c r="AG83" i="22"/>
  <c r="AG93" i="22" s="1"/>
  <c r="AJ258" i="22"/>
  <c r="AD18" i="22"/>
  <c r="AH96" i="22"/>
  <c r="AE19" i="22"/>
  <c r="AK258" i="22"/>
  <c r="AF93" i="22"/>
  <c r="AS367" i="21"/>
  <c r="AS375" i="21" s="1"/>
  <c r="AS376" i="21" s="1"/>
  <c r="AG94" i="22" l="1"/>
  <c r="AG96" i="22" s="1"/>
  <c r="AE28" i="22"/>
  <c r="AL260" i="22"/>
  <c r="AK260" i="22"/>
  <c r="AL269" i="22"/>
  <c r="AK269" i="22"/>
  <c r="AD19" i="22"/>
  <c r="AH109" i="22"/>
  <c r="AG109" i="22"/>
  <c r="AE30" i="22"/>
  <c r="AI168" i="22"/>
  <c r="AF94" i="22"/>
  <c r="AJ260" i="22"/>
  <c r="AJ269" i="22" s="1"/>
  <c r="AA256" i="22"/>
  <c r="AN256" i="22" s="1"/>
  <c r="BA256" i="22" s="1"/>
  <c r="AA278" i="22"/>
  <c r="AN278" i="22" s="1"/>
  <c r="BA278" i="22" s="1"/>
  <c r="AA277" i="22"/>
  <c r="AN277" i="22" s="1"/>
  <c r="BA277" i="22" s="1"/>
  <c r="AA276" i="22"/>
  <c r="AN276" i="22" s="1"/>
  <c r="BA276" i="22" s="1"/>
  <c r="AA275" i="22"/>
  <c r="AN275" i="22" s="1"/>
  <c r="BA275" i="22" s="1"/>
  <c r="AA274" i="22"/>
  <c r="AN274" i="22" s="1"/>
  <c r="BA274" i="22" s="1"/>
  <c r="AA159" i="22"/>
  <c r="AN159" i="22" s="1"/>
  <c r="BA159" i="22" s="1"/>
  <c r="AA158" i="22"/>
  <c r="AN158" i="22" s="1"/>
  <c r="BA158" i="22" s="1"/>
  <c r="AN225" i="22"/>
  <c r="BA225" i="22" s="1"/>
  <c r="AK270" i="22" l="1"/>
  <c r="AL270" i="22"/>
  <c r="AG112" i="22"/>
  <c r="AH112" i="22"/>
  <c r="AI201" i="22"/>
  <c r="AI207" i="22"/>
  <c r="AH123" i="22"/>
  <c r="AH126" i="22" s="1"/>
  <c r="AH131" i="22" s="1"/>
  <c r="AE33" i="22"/>
  <c r="AJ270" i="22"/>
  <c r="AK279" i="22"/>
  <c r="AG123" i="22"/>
  <c r="AL289" i="22"/>
  <c r="AL291" i="22" s="1"/>
  <c r="AL292" i="22" s="1"/>
  <c r="AD28" i="22"/>
  <c r="AF96" i="22"/>
  <c r="AF109" i="22" s="1"/>
  <c r="AI213" i="22"/>
  <c r="AI223" i="22" s="1"/>
  <c r="AJ279" i="22" l="1"/>
  <c r="AJ283" i="22"/>
  <c r="AJ285" i="22" s="1"/>
  <c r="AD30" i="22"/>
  <c r="AF112" i="22"/>
  <c r="AH134" i="22"/>
  <c r="AH137" i="22" s="1"/>
  <c r="AH142" i="22" s="1"/>
  <c r="AK283" i="22"/>
  <c r="AG126" i="22"/>
  <c r="AG131" i="22" s="1"/>
  <c r="AI226" i="22"/>
  <c r="AI230" i="22" s="1"/>
  <c r="AI257" i="22" s="1"/>
  <c r="AE49" i="22"/>
  <c r="BB358" i="21"/>
  <c r="BB354" i="21"/>
  <c r="BB353" i="21"/>
  <c r="BB352" i="21"/>
  <c r="BB344" i="21"/>
  <c r="BB343" i="21"/>
  <c r="BB342" i="21"/>
  <c r="BB339" i="21"/>
  <c r="BB335" i="21"/>
  <c r="BB334" i="21"/>
  <c r="BB333" i="21"/>
  <c r="BB332" i="21"/>
  <c r="BB331" i="21"/>
  <c r="BB329" i="21"/>
  <c r="BB328" i="21"/>
  <c r="BB327" i="21"/>
  <c r="BB326" i="21"/>
  <c r="BB325" i="21"/>
  <c r="BB324" i="21"/>
  <c r="BB323" i="21"/>
  <c r="BB322" i="21"/>
  <c r="BB320" i="21"/>
  <c r="BB319" i="21"/>
  <c r="BB318" i="21"/>
  <c r="BB315" i="21"/>
  <c r="BB314" i="21"/>
  <c r="BB313" i="21"/>
  <c r="BB312" i="21"/>
  <c r="BB310" i="21"/>
  <c r="BB309" i="21"/>
  <c r="BB301" i="21"/>
  <c r="BB297" i="21"/>
  <c r="BB296" i="21"/>
  <c r="BB292" i="21"/>
  <c r="BB291" i="21"/>
  <c r="BB289" i="21"/>
  <c r="BB288" i="21"/>
  <c r="BB285" i="21"/>
  <c r="BB281" i="21"/>
  <c r="BB279" i="21"/>
  <c r="BB277" i="21"/>
  <c r="BB275" i="21"/>
  <c r="BB272" i="21"/>
  <c r="BB271" i="21"/>
  <c r="BB270" i="21"/>
  <c r="BB267" i="21"/>
  <c r="BB266" i="21"/>
  <c r="BB265" i="21"/>
  <c r="BB263" i="21"/>
  <c r="BB259" i="21"/>
  <c r="BB256" i="21"/>
  <c r="BB255" i="21"/>
  <c r="BB254" i="21"/>
  <c r="BB253" i="21"/>
  <c r="BB252" i="21"/>
  <c r="BB250" i="21"/>
  <c r="BB249" i="21"/>
  <c r="BB248" i="21"/>
  <c r="BB239" i="21"/>
  <c r="BB238" i="21"/>
  <c r="BB237" i="21"/>
  <c r="BB236" i="21"/>
  <c r="BB235" i="21"/>
  <c r="BB226" i="21"/>
  <c r="BB225" i="21"/>
  <c r="BB224" i="21"/>
  <c r="BB223" i="21"/>
  <c r="BB222" i="21"/>
  <c r="BB221" i="21"/>
  <c r="BB220" i="21"/>
  <c r="BB214" i="21"/>
  <c r="BB213" i="21"/>
  <c r="BB212" i="21"/>
  <c r="BB211" i="21"/>
  <c r="BB210" i="21"/>
  <c r="BB209" i="21"/>
  <c r="BB208" i="21"/>
  <c r="BB207" i="21"/>
  <c r="BB206" i="21"/>
  <c r="BB205" i="21"/>
  <c r="BB204" i="21"/>
  <c r="BB203" i="21"/>
  <c r="BB198" i="21"/>
  <c r="BB195" i="21"/>
  <c r="BB193" i="21"/>
  <c r="BB192" i="21"/>
  <c r="BB191" i="21"/>
  <c r="BB190" i="21"/>
  <c r="BB189" i="21"/>
  <c r="BB188" i="21"/>
  <c r="BB187" i="21"/>
  <c r="BB186" i="21"/>
  <c r="BB185" i="21"/>
  <c r="BB181" i="21"/>
  <c r="BB178" i="21"/>
  <c r="BB174" i="21"/>
  <c r="BB173" i="21"/>
  <c r="BB172" i="21"/>
  <c r="BB171" i="21"/>
  <c r="BB170" i="21"/>
  <c r="BB167" i="21"/>
  <c r="BB166" i="21"/>
  <c r="BB165" i="21"/>
  <c r="BB164" i="21"/>
  <c r="BB163" i="21"/>
  <c r="BB162" i="21"/>
  <c r="BB161" i="21"/>
  <c r="BB160" i="21"/>
  <c r="BB159" i="21"/>
  <c r="BB157" i="21"/>
  <c r="BB150" i="21"/>
  <c r="BB149" i="21"/>
  <c r="BB146" i="21"/>
  <c r="BB145" i="21"/>
  <c r="BB144" i="21"/>
  <c r="BB141" i="21"/>
  <c r="BB140" i="21"/>
  <c r="BB139" i="21"/>
  <c r="BB138" i="21"/>
  <c r="BB137" i="21"/>
  <c r="BB136" i="21"/>
  <c r="BB135" i="21"/>
  <c r="BB134" i="21"/>
  <c r="BB133" i="21"/>
  <c r="BB132" i="21"/>
  <c r="BB113" i="21"/>
  <c r="BB112" i="21"/>
  <c r="BB111" i="21"/>
  <c r="BB110" i="21"/>
  <c r="BB105" i="21"/>
  <c r="BB101" i="21"/>
  <c r="BB100" i="21"/>
  <c r="BB99" i="21"/>
  <c r="BB98" i="21"/>
  <c r="BB97" i="21"/>
  <c r="BB92" i="21"/>
  <c r="BB91" i="21"/>
  <c r="BB90" i="21"/>
  <c r="BB89" i="21"/>
  <c r="BB88" i="21"/>
  <c r="BB77" i="21"/>
  <c r="BB76" i="21"/>
  <c r="BB75" i="21"/>
  <c r="BB74" i="21"/>
  <c r="BB73" i="21"/>
  <c r="BB72" i="21"/>
  <c r="BB70" i="21"/>
  <c r="BB69" i="21"/>
  <c r="BB68" i="21"/>
  <c r="BB63" i="21"/>
  <c r="BB62" i="21"/>
  <c r="BB61" i="21"/>
  <c r="BB60" i="21"/>
  <c r="BB59" i="21"/>
  <c r="BB58" i="21"/>
  <c r="BB57" i="21"/>
  <c r="BB56" i="21"/>
  <c r="BB55" i="21"/>
  <c r="BB46" i="21"/>
  <c r="BB43" i="21"/>
  <c r="BB42" i="21"/>
  <c r="BB40" i="21"/>
  <c r="BB39" i="21"/>
  <c r="BB38" i="21"/>
  <c r="BB27" i="21"/>
  <c r="BB26" i="21"/>
  <c r="BB25" i="21"/>
  <c r="BB24" i="21"/>
  <c r="BB22" i="21"/>
  <c r="BB21" i="21"/>
  <c r="BB12" i="21"/>
  <c r="BB11" i="21"/>
  <c r="BB10" i="21"/>
  <c r="BB9" i="21"/>
  <c r="BB8" i="21"/>
  <c r="BB7" i="21"/>
  <c r="BB4" i="21"/>
  <c r="BB364" i="21"/>
  <c r="BB363" i="21"/>
  <c r="BB362" i="21"/>
  <c r="BB361" i="21"/>
  <c r="BB360" i="21"/>
  <c r="BB359" i="21"/>
  <c r="BB356" i="21"/>
  <c r="BB355" i="21"/>
  <c r="BB341" i="21"/>
  <c r="BB338" i="21"/>
  <c r="BB337" i="21"/>
  <c r="BB336" i="21"/>
  <c r="BB321" i="21"/>
  <c r="BB311" i="21"/>
  <c r="BB306" i="21"/>
  <c r="BB307" i="21" s="1"/>
  <c r="BB304" i="21"/>
  <c r="BB295" i="21"/>
  <c r="BB294" i="21"/>
  <c r="BB293" i="21"/>
  <c r="BB278" i="21"/>
  <c r="BB262" i="21"/>
  <c r="BB260" i="21"/>
  <c r="BB247" i="21"/>
  <c r="BB246" i="21"/>
  <c r="BB244" i="21"/>
  <c r="BB243" i="21"/>
  <c r="BB242" i="21"/>
  <c r="BB241" i="21"/>
  <c r="BB240" i="21"/>
  <c r="BB233" i="21"/>
  <c r="BB232" i="21"/>
  <c r="BB231" i="21"/>
  <c r="BB230" i="21"/>
  <c r="BB229" i="21"/>
  <c r="BB228" i="21"/>
  <c r="BB227" i="21"/>
  <c r="BB219" i="21"/>
  <c r="BB218" i="21"/>
  <c r="BB217" i="21"/>
  <c r="BB216" i="21"/>
  <c r="BB215" i="21"/>
  <c r="BB202" i="21"/>
  <c r="BB201" i="21"/>
  <c r="BB200" i="21"/>
  <c r="BB199" i="21"/>
  <c r="BB197" i="21"/>
  <c r="BB196" i="21"/>
  <c r="BB184" i="21"/>
  <c r="BB183" i="21"/>
  <c r="BB182" i="21"/>
  <c r="BB169" i="21"/>
  <c r="BB168" i="21"/>
  <c r="BB156" i="21"/>
  <c r="BB155" i="21"/>
  <c r="BB154" i="21"/>
  <c r="BB153" i="21"/>
  <c r="BB152" i="21"/>
  <c r="BB151" i="21"/>
  <c r="BB143" i="21"/>
  <c r="BB142" i="21"/>
  <c r="BB122" i="21"/>
  <c r="BB123" i="21" s="1"/>
  <c r="BB120" i="21"/>
  <c r="BB119" i="21"/>
  <c r="BB118" i="21"/>
  <c r="BB117" i="21"/>
  <c r="BB116" i="21"/>
  <c r="BB115" i="21"/>
  <c r="BB114" i="21"/>
  <c r="BB109" i="21"/>
  <c r="BB108" i="21"/>
  <c r="BB107" i="21"/>
  <c r="BB106" i="21"/>
  <c r="BB104" i="21"/>
  <c r="BB103" i="21"/>
  <c r="BB94" i="21"/>
  <c r="BB93" i="21"/>
  <c r="BB86" i="21"/>
  <c r="BB85" i="21"/>
  <c r="BB84" i="21"/>
  <c r="BB83" i="21"/>
  <c r="BB80" i="21"/>
  <c r="BB79" i="21"/>
  <c r="BB78" i="21"/>
  <c r="BB67" i="21"/>
  <c r="BB66" i="21"/>
  <c r="BB65" i="21"/>
  <c r="BB64" i="21"/>
  <c r="BB54" i="21"/>
  <c r="BB53" i="21"/>
  <c r="BB52" i="21"/>
  <c r="BB49" i="21"/>
  <c r="BB50" i="21" s="1"/>
  <c r="BB47" i="21"/>
  <c r="BB37" i="21"/>
  <c r="BB36" i="21"/>
  <c r="BB35" i="21"/>
  <c r="BB33" i="21"/>
  <c r="BB32" i="21"/>
  <c r="BB31" i="21"/>
  <c r="BB19" i="21"/>
  <c r="BB18" i="21"/>
  <c r="BB17" i="21"/>
  <c r="BB16" i="21"/>
  <c r="BB15" i="21"/>
  <c r="BB14" i="21"/>
  <c r="BB6" i="21"/>
  <c r="BB5" i="21"/>
  <c r="AO4" i="21"/>
  <c r="AO5" i="21"/>
  <c r="AO6" i="21"/>
  <c r="AO7" i="21"/>
  <c r="AO8" i="21"/>
  <c r="AO9" i="21"/>
  <c r="AO10" i="21"/>
  <c r="AO11" i="21"/>
  <c r="AO12" i="21"/>
  <c r="AO14" i="21"/>
  <c r="AO15" i="21"/>
  <c r="AO16" i="21"/>
  <c r="AO17" i="21"/>
  <c r="AO18" i="21"/>
  <c r="AO19" i="21"/>
  <c r="AO21" i="21"/>
  <c r="AO22" i="21"/>
  <c r="AO24" i="21"/>
  <c r="AO25" i="21"/>
  <c r="AO26" i="21"/>
  <c r="AO27" i="21"/>
  <c r="AO31" i="21"/>
  <c r="AO32" i="21"/>
  <c r="AO33" i="21"/>
  <c r="AO35" i="21"/>
  <c r="AO36" i="21"/>
  <c r="AO37" i="21"/>
  <c r="AO38" i="21"/>
  <c r="AO39" i="21"/>
  <c r="AO40" i="21"/>
  <c r="AO42" i="21"/>
  <c r="AO43" i="21"/>
  <c r="AO45" i="21"/>
  <c r="AO46" i="21"/>
  <c r="AO47" i="21"/>
  <c r="AO49" i="21"/>
  <c r="AO52" i="21"/>
  <c r="AO53" i="21"/>
  <c r="AO54" i="21"/>
  <c r="AO55" i="21"/>
  <c r="AO56" i="21"/>
  <c r="AO57" i="21"/>
  <c r="AO58" i="21"/>
  <c r="AO59" i="21"/>
  <c r="AO60" i="21"/>
  <c r="AO61" i="21"/>
  <c r="AO62" i="21"/>
  <c r="AO63" i="21"/>
  <c r="AO64" i="21"/>
  <c r="AO65" i="21"/>
  <c r="AO66" i="21"/>
  <c r="AO67" i="21"/>
  <c r="AO68" i="21"/>
  <c r="AO69" i="21"/>
  <c r="AO70" i="21"/>
  <c r="AO72" i="21"/>
  <c r="AO73" i="21"/>
  <c r="AO74" i="21"/>
  <c r="AO75" i="21"/>
  <c r="AO76" i="21"/>
  <c r="AO77" i="21"/>
  <c r="AO78" i="21"/>
  <c r="AO79" i="21"/>
  <c r="AO80" i="21"/>
  <c r="AO82" i="21"/>
  <c r="AO83" i="21"/>
  <c r="AO84" i="21"/>
  <c r="AO85" i="21"/>
  <c r="AO86" i="21"/>
  <c r="AO88" i="21"/>
  <c r="AO89" i="21"/>
  <c r="AO90" i="21"/>
  <c r="AO91" i="21"/>
  <c r="AO92" i="21"/>
  <c r="AO93" i="21"/>
  <c r="AO94" i="21"/>
  <c r="AO97" i="21"/>
  <c r="AO98" i="21"/>
  <c r="AO99" i="21"/>
  <c r="AO100" i="21"/>
  <c r="AO101" i="21"/>
  <c r="AO103" i="21"/>
  <c r="AO104" i="21"/>
  <c r="AO105" i="21"/>
  <c r="AO106" i="21"/>
  <c r="AO107" i="21"/>
  <c r="AO108" i="21"/>
  <c r="AO109" i="21"/>
  <c r="AO110" i="21"/>
  <c r="AO111" i="21"/>
  <c r="AO112" i="21"/>
  <c r="AO113" i="21"/>
  <c r="AO114" i="21"/>
  <c r="AO115" i="21"/>
  <c r="AO116" i="21"/>
  <c r="AO117" i="21"/>
  <c r="AO118" i="21"/>
  <c r="AO119" i="21"/>
  <c r="AO120" i="21"/>
  <c r="AO122" i="21"/>
  <c r="AO132" i="21"/>
  <c r="AO133" i="21"/>
  <c r="AO134" i="21"/>
  <c r="AO135" i="21"/>
  <c r="AO136" i="21"/>
  <c r="AO137" i="21"/>
  <c r="AO138" i="21"/>
  <c r="AO139" i="21"/>
  <c r="AO140" i="21"/>
  <c r="AO141" i="21"/>
  <c r="AO142" i="21"/>
  <c r="AO143" i="21"/>
  <c r="AO144" i="21"/>
  <c r="AO145" i="21"/>
  <c r="AO146" i="21"/>
  <c r="AO148" i="21"/>
  <c r="AO149" i="21"/>
  <c r="AO150" i="21"/>
  <c r="AO151" i="21"/>
  <c r="AO152" i="21"/>
  <c r="AO153" i="21"/>
  <c r="AO154" i="21"/>
  <c r="AO155" i="21"/>
  <c r="AO156" i="21"/>
  <c r="AO157" i="21"/>
  <c r="AO159" i="21"/>
  <c r="AO160" i="21"/>
  <c r="AO161" i="21"/>
  <c r="AO162" i="21"/>
  <c r="AO163" i="21"/>
  <c r="AO164" i="21"/>
  <c r="AO165" i="21"/>
  <c r="AO166" i="21"/>
  <c r="AO167" i="21"/>
  <c r="AO168" i="21"/>
  <c r="AO169" i="21"/>
  <c r="AO170" i="21"/>
  <c r="AO171" i="21"/>
  <c r="AO172" i="21"/>
  <c r="AO173" i="21"/>
  <c r="AO174" i="21"/>
  <c r="AO178" i="21"/>
  <c r="AO180" i="21"/>
  <c r="AO181" i="21"/>
  <c r="AO182" i="21"/>
  <c r="AO183" i="21"/>
  <c r="AO184" i="21"/>
  <c r="AO185" i="21"/>
  <c r="AO186" i="21"/>
  <c r="AO187" i="21"/>
  <c r="AO188" i="21"/>
  <c r="AO189" i="21"/>
  <c r="AO190" i="21"/>
  <c r="AO191" i="21"/>
  <c r="AO192" i="21"/>
  <c r="AO193" i="21"/>
  <c r="AO195" i="21"/>
  <c r="AO196" i="21"/>
  <c r="AO197" i="21"/>
  <c r="AO198" i="21"/>
  <c r="AO199" i="21"/>
  <c r="AO200" i="21"/>
  <c r="AO201" i="21"/>
  <c r="AO202" i="21"/>
  <c r="AO203" i="21"/>
  <c r="AO204" i="21"/>
  <c r="AO205" i="21"/>
  <c r="AO206" i="21"/>
  <c r="AO207" i="21"/>
  <c r="AO208" i="21"/>
  <c r="AO209" i="21"/>
  <c r="AO210" i="21"/>
  <c r="AO211" i="21"/>
  <c r="AO212" i="21"/>
  <c r="AO213" i="21"/>
  <c r="AO214" i="21"/>
  <c r="AO215" i="21"/>
  <c r="AO216" i="21"/>
  <c r="AO217" i="21"/>
  <c r="AO218" i="21"/>
  <c r="AO219" i="21"/>
  <c r="AO220" i="21"/>
  <c r="AO221" i="21"/>
  <c r="AO222" i="21"/>
  <c r="AO223" i="21"/>
  <c r="AO224" i="21"/>
  <c r="AO225" i="21"/>
  <c r="AO226" i="21"/>
  <c r="AO227" i="21"/>
  <c r="AO228" i="21"/>
  <c r="AO229" i="21"/>
  <c r="AO230" i="21"/>
  <c r="AO231" i="21"/>
  <c r="AO232" i="21"/>
  <c r="AO233" i="21"/>
  <c r="AO235" i="21"/>
  <c r="AO236" i="21"/>
  <c r="AO237" i="21"/>
  <c r="AO238" i="21"/>
  <c r="AO239" i="21"/>
  <c r="AO240" i="21"/>
  <c r="AO241" i="21"/>
  <c r="AO242" i="21"/>
  <c r="AO243" i="21"/>
  <c r="AO244" i="21"/>
  <c r="AO246" i="21"/>
  <c r="AO247" i="21"/>
  <c r="AO248" i="21"/>
  <c r="AO249" i="21"/>
  <c r="AO250" i="21"/>
  <c r="AO252" i="21"/>
  <c r="AO253" i="21"/>
  <c r="AO254" i="21"/>
  <c r="AO255" i="21"/>
  <c r="AO256" i="21"/>
  <c r="AO258" i="21"/>
  <c r="AO259" i="21"/>
  <c r="AO260" i="21"/>
  <c r="AO262" i="21"/>
  <c r="AO263" i="21"/>
  <c r="AO265" i="21"/>
  <c r="AO266" i="21"/>
  <c r="AO267" i="21"/>
  <c r="AO269" i="21"/>
  <c r="AO270" i="21"/>
  <c r="AO271" i="21"/>
  <c r="AO272" i="21"/>
  <c r="AO274" i="21"/>
  <c r="AO275" i="21"/>
  <c r="AO277" i="21"/>
  <c r="AO278" i="21"/>
  <c r="AO279" i="21"/>
  <c r="AO281" i="21"/>
  <c r="AO284" i="21"/>
  <c r="AO285" i="21"/>
  <c r="AO287" i="21"/>
  <c r="AO288" i="21"/>
  <c r="AO289" i="21"/>
  <c r="AO291" i="21"/>
  <c r="AO292" i="21"/>
  <c r="AO293" i="21"/>
  <c r="AO294" i="21"/>
  <c r="AO295" i="21"/>
  <c r="AO296" i="21"/>
  <c r="AO297" i="21"/>
  <c r="AO299" i="21"/>
  <c r="AO301" i="21"/>
  <c r="AO303" i="21"/>
  <c r="AO304" i="21"/>
  <c r="AK285" i="22" l="1"/>
  <c r="AL295" i="22"/>
  <c r="AL296" i="22" s="1"/>
  <c r="AJ289" i="22"/>
  <c r="AJ291" i="22" s="1"/>
  <c r="AJ292" i="22" s="1"/>
  <c r="AH143" i="22"/>
  <c r="AK289" i="22"/>
  <c r="AK291" i="22" s="1"/>
  <c r="AD33" i="22"/>
  <c r="AI258" i="22"/>
  <c r="AG134" i="22"/>
  <c r="AG137" i="22" s="1"/>
  <c r="AF123" i="22"/>
  <c r="AF126" i="22" s="1"/>
  <c r="AE53" i="22"/>
  <c r="AE54" i="22" s="1"/>
  <c r="BB13" i="21"/>
  <c r="BB102" i="21"/>
  <c r="BB44" i="21"/>
  <c r="BB34" i="21"/>
  <c r="BB179" i="21"/>
  <c r="BB81" i="21"/>
  <c r="BB121" i="21"/>
  <c r="BB286" i="21"/>
  <c r="BB345" i="21"/>
  <c r="BB131" i="21"/>
  <c r="BB268" i="21"/>
  <c r="BB245" i="21"/>
  <c r="BB340" i="21"/>
  <c r="BB365" i="21"/>
  <c r="BB257" i="21"/>
  <c r="BB298" i="21"/>
  <c r="BB308" i="21"/>
  <c r="BB316" i="21" s="1"/>
  <c r="BB258" i="21"/>
  <c r="BB261" i="21" s="1"/>
  <c r="BB317" i="21"/>
  <c r="BB330" i="21" s="1"/>
  <c r="BB45" i="21"/>
  <c r="BB48" i="21" s="1"/>
  <c r="BB299" i="21"/>
  <c r="BB302" i="21" s="1"/>
  <c r="BB269" i="21"/>
  <c r="BB273" i="21" s="1"/>
  <c r="BB303" i="21"/>
  <c r="BB305" i="21" s="1"/>
  <c r="BB287" i="21"/>
  <c r="BB290" i="21" s="1"/>
  <c r="BB351" i="21"/>
  <c r="BB357" i="21" s="1"/>
  <c r="BB346" i="21"/>
  <c r="BB379" i="21" s="1"/>
  <c r="BB180" i="21"/>
  <c r="BB234" i="21" s="1"/>
  <c r="BB274" i="21"/>
  <c r="BB276" i="21" s="1"/>
  <c r="BB82" i="21"/>
  <c r="BB96" i="21" s="1"/>
  <c r="AM374" i="21"/>
  <c r="AN374" i="21"/>
  <c r="AM179" i="21"/>
  <c r="AN179" i="21"/>
  <c r="AM365" i="21"/>
  <c r="AN365" i="21"/>
  <c r="AM357" i="21"/>
  <c r="AN357" i="21"/>
  <c r="AM347" i="21"/>
  <c r="AN347" i="21"/>
  <c r="AM345" i="21"/>
  <c r="AN345" i="21"/>
  <c r="AM340" i="21"/>
  <c r="AN340" i="21"/>
  <c r="AM330" i="21"/>
  <c r="AN330" i="21"/>
  <c r="AM316" i="21"/>
  <c r="AN316" i="21"/>
  <c r="AM307" i="21"/>
  <c r="AN307" i="21"/>
  <c r="AM305" i="21"/>
  <c r="AN305" i="21"/>
  <c r="AM302" i="21"/>
  <c r="AN302" i="21"/>
  <c r="AM298" i="21"/>
  <c r="AN298" i="21"/>
  <c r="AM290" i="21"/>
  <c r="AN290" i="21"/>
  <c r="AM286" i="21"/>
  <c r="AN286" i="21"/>
  <c r="AM276" i="21"/>
  <c r="AN276" i="21"/>
  <c r="AM273" i="21"/>
  <c r="AN273" i="21"/>
  <c r="AM268" i="21"/>
  <c r="AN268" i="21"/>
  <c r="AM261" i="21"/>
  <c r="AN261" i="21"/>
  <c r="AM257" i="21"/>
  <c r="AN257" i="21"/>
  <c r="AM245" i="21"/>
  <c r="AN245" i="21"/>
  <c r="AM234" i="21"/>
  <c r="AN234" i="21"/>
  <c r="AM123" i="21"/>
  <c r="AN123" i="21"/>
  <c r="AM121" i="21"/>
  <c r="AN121" i="21"/>
  <c r="AM102" i="21"/>
  <c r="AN102" i="21"/>
  <c r="AM96" i="21"/>
  <c r="AN96" i="21"/>
  <c r="AM81" i="21"/>
  <c r="AN81" i="21"/>
  <c r="AM50" i="21"/>
  <c r="AN50" i="21"/>
  <c r="AM48" i="21"/>
  <c r="AN48" i="21"/>
  <c r="AM44" i="21"/>
  <c r="AN44" i="21"/>
  <c r="AM34" i="21"/>
  <c r="AN34" i="21"/>
  <c r="AM13" i="21"/>
  <c r="AN13" i="21"/>
  <c r="AN378" i="21"/>
  <c r="AM378" i="21"/>
  <c r="AL378" i="21"/>
  <c r="AK378" i="21"/>
  <c r="AJ378" i="21"/>
  <c r="AI378" i="21"/>
  <c r="AH378" i="21"/>
  <c r="AG378" i="21"/>
  <c r="AF378" i="21"/>
  <c r="AE378" i="21"/>
  <c r="AD378" i="21"/>
  <c r="AC378" i="21"/>
  <c r="AO378" i="21"/>
  <c r="BB366" i="21" l="1"/>
  <c r="AJ294" i="22"/>
  <c r="AJ295" i="22" s="1"/>
  <c r="AJ296" i="22" s="1"/>
  <c r="AI260" i="22"/>
  <c r="AI269" i="22"/>
  <c r="AK292" i="22"/>
  <c r="AG142" i="22"/>
  <c r="AF131" i="22"/>
  <c r="AH146" i="22"/>
  <c r="AE64" i="22"/>
  <c r="AD49" i="22"/>
  <c r="AI279" i="22"/>
  <c r="AI283" i="22" s="1"/>
  <c r="AI285" i="22" s="1"/>
  <c r="BB129" i="21"/>
  <c r="BB127" i="21"/>
  <c r="BB130" i="21"/>
  <c r="BB51" i="21"/>
  <c r="BB128" i="21"/>
  <c r="BB347" i="21"/>
  <c r="BB348" i="21" s="1"/>
  <c r="AM127" i="21"/>
  <c r="AM366" i="21"/>
  <c r="AN127" i="21"/>
  <c r="AN129" i="21"/>
  <c r="AN131" i="21"/>
  <c r="AM129" i="21"/>
  <c r="AN128" i="21"/>
  <c r="AM128" i="21"/>
  <c r="AM131" i="21"/>
  <c r="AN130" i="21"/>
  <c r="AM130" i="21"/>
  <c r="AN51" i="21"/>
  <c r="AN366" i="21"/>
  <c r="AM124" i="21"/>
  <c r="AM348" i="21"/>
  <c r="AM51" i="21"/>
  <c r="AN124" i="21"/>
  <c r="AN348" i="21"/>
  <c r="AI270" i="22" l="1"/>
  <c r="AH160" i="22"/>
  <c r="AH161" i="22" s="1"/>
  <c r="AK294" i="22"/>
  <c r="AK295" i="22" s="1"/>
  <c r="AK296" i="22" s="1"/>
  <c r="AI289" i="22"/>
  <c r="AI291" i="22" s="1"/>
  <c r="AD53" i="22"/>
  <c r="AG143" i="22"/>
  <c r="AE83" i="22"/>
  <c r="AE93" i="22"/>
  <c r="AF134" i="22"/>
  <c r="AF137" i="22" s="1"/>
  <c r="AF142" i="22" s="1"/>
  <c r="AH168" i="22"/>
  <c r="BB124" i="21"/>
  <c r="BB125" i="21" s="1"/>
  <c r="BB126" i="21" s="1"/>
  <c r="AM125" i="21"/>
  <c r="AM126" i="21" s="1"/>
  <c r="AN125" i="21"/>
  <c r="AN126" i="21" s="1"/>
  <c r="AA98" i="22"/>
  <c r="AN98" i="22" s="1"/>
  <c r="BA98" i="22" s="1"/>
  <c r="AA97" i="22"/>
  <c r="AN97" i="22" s="1"/>
  <c r="BA97" i="22" s="1"/>
  <c r="AH201" i="22" l="1"/>
  <c r="AF143" i="22"/>
  <c r="AH207" i="22"/>
  <c r="AG146" i="22"/>
  <c r="AI292" i="22"/>
  <c r="AE94" i="22"/>
  <c r="AD54" i="22"/>
  <c r="AD64" i="22"/>
  <c r="BB367" i="21"/>
  <c r="BB375" i="21" s="1"/>
  <c r="BB376" i="21" s="1"/>
  <c r="AO359" i="21"/>
  <c r="AL376" i="21"/>
  <c r="AL374" i="21"/>
  <c r="AL179" i="21"/>
  <c r="AL365" i="21"/>
  <c r="AL357" i="21"/>
  <c r="AL347" i="21"/>
  <c r="AL345" i="21"/>
  <c r="AL340" i="21"/>
  <c r="AL330" i="21"/>
  <c r="AL316" i="21"/>
  <c r="AL307" i="21"/>
  <c r="AL305" i="21"/>
  <c r="AL302" i="21"/>
  <c r="AL298" i="21"/>
  <c r="AL290" i="21"/>
  <c r="AL286" i="21"/>
  <c r="AL276" i="21"/>
  <c r="AL273" i="21"/>
  <c r="AL268" i="21"/>
  <c r="AL261" i="21"/>
  <c r="AL257" i="21"/>
  <c r="AL245" i="21"/>
  <c r="AL234" i="21"/>
  <c r="AL123" i="21"/>
  <c r="AL121" i="21"/>
  <c r="AL102" i="21"/>
  <c r="AL96" i="21"/>
  <c r="AL81" i="21"/>
  <c r="AL50" i="21"/>
  <c r="AL48" i="21"/>
  <c r="AL44" i="21"/>
  <c r="AL34" i="21"/>
  <c r="AL13" i="21"/>
  <c r="AI294" i="22" l="1"/>
  <c r="AI295" i="22" s="1"/>
  <c r="AI296" i="22" s="1"/>
  <c r="AG160" i="22"/>
  <c r="AG161" i="22" s="1"/>
  <c r="AD83" i="22"/>
  <c r="AH213" i="22"/>
  <c r="AH223" i="22" s="1"/>
  <c r="AE96" i="22"/>
  <c r="AF146" i="22"/>
  <c r="AL128" i="21"/>
  <c r="AL129" i="21"/>
  <c r="AL127" i="21"/>
  <c r="AL130" i="21"/>
  <c r="AL366" i="21"/>
  <c r="AL131" i="21"/>
  <c r="AL124" i="21"/>
  <c r="AL51" i="21"/>
  <c r="AL348" i="21"/>
  <c r="AF160" i="22" l="1"/>
  <c r="AF161" i="22" s="1"/>
  <c r="AH226" i="22"/>
  <c r="AG168" i="22"/>
  <c r="AF168" i="22"/>
  <c r="AE109" i="22"/>
  <c r="AD93" i="22"/>
  <c r="AL125" i="21"/>
  <c r="AL126" i="21" s="1"/>
  <c r="AK374" i="21"/>
  <c r="AK375" i="21" s="1"/>
  <c r="AK376" i="21" s="1"/>
  <c r="AK179" i="21"/>
  <c r="AK365" i="21"/>
  <c r="AK357" i="21"/>
  <c r="AK347" i="21"/>
  <c r="AK345" i="21"/>
  <c r="AK340" i="21"/>
  <c r="AK330" i="21"/>
  <c r="AK316" i="21"/>
  <c r="AK307" i="21"/>
  <c r="AK305" i="21"/>
  <c r="AK302" i="21"/>
  <c r="AK298" i="21"/>
  <c r="AK290" i="21"/>
  <c r="AK286" i="21"/>
  <c r="AK276" i="21"/>
  <c r="AK273" i="21"/>
  <c r="AK268" i="21"/>
  <c r="AK261" i="21"/>
  <c r="AK257" i="21"/>
  <c r="AK245" i="21"/>
  <c r="AK234" i="21"/>
  <c r="AK123" i="21"/>
  <c r="AK121" i="21"/>
  <c r="AK102" i="21"/>
  <c r="AK96" i="21"/>
  <c r="AK81" i="21"/>
  <c r="AK50" i="21"/>
  <c r="AK48" i="21"/>
  <c r="AK44" i="21"/>
  <c r="AK34" i="21"/>
  <c r="AK13" i="21"/>
  <c r="AA268" i="22"/>
  <c r="AN268" i="22" s="1"/>
  <c r="BA268" i="22" s="1"/>
  <c r="AJ34" i="21"/>
  <c r="AI34" i="21"/>
  <c r="AH34" i="21"/>
  <c r="AG34" i="21"/>
  <c r="AF34" i="21"/>
  <c r="AE34" i="21"/>
  <c r="AD34" i="21"/>
  <c r="AC34" i="21"/>
  <c r="AJ13" i="21"/>
  <c r="AI13" i="21"/>
  <c r="AH13" i="21"/>
  <c r="AG13" i="21"/>
  <c r="AF13" i="21"/>
  <c r="AE13" i="21"/>
  <c r="AD13" i="21"/>
  <c r="AC13" i="21"/>
  <c r="AG201" i="22" l="1"/>
  <c r="AF201" i="22"/>
  <c r="AF207" i="22"/>
  <c r="AH230" i="22"/>
  <c r="AE112" i="22"/>
  <c r="AD94" i="22"/>
  <c r="AF213" i="22"/>
  <c r="AG207" i="22"/>
  <c r="AG213" i="22" s="1"/>
  <c r="AK130" i="21"/>
  <c r="AK128" i="21"/>
  <c r="AK131" i="21"/>
  <c r="AK129" i="21"/>
  <c r="AK127" i="21"/>
  <c r="AK366" i="21"/>
  <c r="AK124" i="21"/>
  <c r="AK348" i="21"/>
  <c r="AK51" i="21"/>
  <c r="AF223" i="22" l="1"/>
  <c r="AF226" i="22" s="1"/>
  <c r="AE123" i="22"/>
  <c r="AE126" i="22" s="1"/>
  <c r="AG223" i="22"/>
  <c r="AG226" i="22" s="1"/>
  <c r="AH257" i="22"/>
  <c r="AD96" i="22"/>
  <c r="AK125" i="21"/>
  <c r="AK126" i="21" s="1"/>
  <c r="AE131" i="22" l="1"/>
  <c r="AD109" i="22"/>
  <c r="AF230" i="22"/>
  <c r="AF257" i="22" s="1"/>
  <c r="AG230" i="22"/>
  <c r="AG257" i="22" s="1"/>
  <c r="AH258" i="22"/>
  <c r="AJ374" i="21"/>
  <c r="AJ375" i="21" s="1"/>
  <c r="AJ376" i="21" s="1"/>
  <c r="AJ179" i="21"/>
  <c r="AI374" i="21"/>
  <c r="AJ365" i="21"/>
  <c r="AJ357" i="21"/>
  <c r="AJ347" i="21"/>
  <c r="AJ345" i="21"/>
  <c r="AJ340" i="21"/>
  <c r="AJ330" i="21"/>
  <c r="AJ316" i="21"/>
  <c r="AJ307" i="21"/>
  <c r="AJ305" i="21"/>
  <c r="AJ302" i="21"/>
  <c r="AJ298" i="21"/>
  <c r="AJ290" i="21"/>
  <c r="AJ286" i="21"/>
  <c r="AJ276" i="21"/>
  <c r="AJ273" i="21"/>
  <c r="AJ268" i="21"/>
  <c r="AJ261" i="21"/>
  <c r="AJ257" i="21"/>
  <c r="AJ245" i="21"/>
  <c r="AJ234" i="21"/>
  <c r="AJ123" i="21"/>
  <c r="AJ121" i="21"/>
  <c r="AJ102" i="21"/>
  <c r="AJ96" i="21"/>
  <c r="AJ128" i="21" s="1"/>
  <c r="AJ81" i="21"/>
  <c r="AJ50" i="21"/>
  <c r="AJ48" i="21"/>
  <c r="AJ44" i="21"/>
  <c r="AD112" i="22" l="1"/>
  <c r="AD123" i="22"/>
  <c r="AG258" i="22"/>
  <c r="AH260" i="22"/>
  <c r="AH269" i="22"/>
  <c r="AF258" i="22"/>
  <c r="AE134" i="22"/>
  <c r="AE137" i="22" s="1"/>
  <c r="AE142" i="22" s="1"/>
  <c r="AJ366" i="21"/>
  <c r="AJ129" i="21"/>
  <c r="AJ130" i="21"/>
  <c r="AJ131" i="21"/>
  <c r="AJ127" i="21"/>
  <c r="AJ51" i="21"/>
  <c r="AJ124" i="21"/>
  <c r="AJ348" i="21"/>
  <c r="AE143" i="22" l="1"/>
  <c r="AF260" i="22"/>
  <c r="AF269" i="22"/>
  <c r="AH270" i="22"/>
  <c r="AG260" i="22"/>
  <c r="AG269" i="22" s="1"/>
  <c r="AD126" i="22"/>
  <c r="AJ125" i="21"/>
  <c r="AJ126" i="21" s="1"/>
  <c r="AI234" i="21"/>
  <c r="AI179" i="21"/>
  <c r="AI81" i="21"/>
  <c r="AH279" i="22" l="1"/>
  <c r="AF270" i="22"/>
  <c r="AG270" i="22"/>
  <c r="AH283" i="22"/>
  <c r="AH285" i="22" s="1"/>
  <c r="AD131" i="22"/>
  <c r="AD134" i="22" s="1"/>
  <c r="AE146" i="22"/>
  <c r="AH374" i="21"/>
  <c r="AG374" i="21"/>
  <c r="AF374" i="21"/>
  <c r="AE374" i="21"/>
  <c r="AD374" i="21"/>
  <c r="AC374" i="21"/>
  <c r="AI365" i="21"/>
  <c r="AH365" i="21"/>
  <c r="AG365" i="21"/>
  <c r="AF365" i="21"/>
  <c r="AE365" i="21"/>
  <c r="AD365" i="21"/>
  <c r="AC365" i="21"/>
  <c r="AI357" i="21"/>
  <c r="AH357" i="21"/>
  <c r="AG357" i="21"/>
  <c r="AF357" i="21"/>
  <c r="AE357" i="21"/>
  <c r="AD357" i="21"/>
  <c r="AC357" i="21"/>
  <c r="AI347" i="21"/>
  <c r="AH347" i="21"/>
  <c r="AG347" i="21"/>
  <c r="AF347" i="21"/>
  <c r="AE347" i="21"/>
  <c r="AD347" i="21"/>
  <c r="AC347" i="21"/>
  <c r="AI345" i="21"/>
  <c r="AH345" i="21"/>
  <c r="AG345" i="21"/>
  <c r="AF345" i="21"/>
  <c r="AE345" i="21"/>
  <c r="AD345" i="21"/>
  <c r="AC345" i="21"/>
  <c r="AI340" i="21"/>
  <c r="AH340" i="21"/>
  <c r="AG340" i="21"/>
  <c r="AF340" i="21"/>
  <c r="AE340" i="21"/>
  <c r="AD340" i="21"/>
  <c r="AC340" i="21"/>
  <c r="AI330" i="21"/>
  <c r="AH330" i="21"/>
  <c r="AG330" i="21"/>
  <c r="AF330" i="21"/>
  <c r="AE330" i="21"/>
  <c r="AD330" i="21"/>
  <c r="AC330" i="21"/>
  <c r="AI316" i="21"/>
  <c r="AH316" i="21"/>
  <c r="AG316" i="21"/>
  <c r="AF316" i="21"/>
  <c r="AE316" i="21"/>
  <c r="AD316" i="21"/>
  <c r="AC316" i="21"/>
  <c r="AI307" i="21"/>
  <c r="AH307" i="21"/>
  <c r="AG307" i="21"/>
  <c r="AF307" i="21"/>
  <c r="AE307" i="21"/>
  <c r="AD307" i="21"/>
  <c r="AC307" i="21"/>
  <c r="AI305" i="21"/>
  <c r="AH305" i="21"/>
  <c r="AG305" i="21"/>
  <c r="AF305" i="21"/>
  <c r="AE305" i="21"/>
  <c r="AD305" i="21"/>
  <c r="AC305" i="21"/>
  <c r="AI302" i="21"/>
  <c r="AH302" i="21"/>
  <c r="AG302" i="21"/>
  <c r="AF302" i="21"/>
  <c r="AE302" i="21"/>
  <c r="AD302" i="21"/>
  <c r="AC302" i="21"/>
  <c r="AI298" i="21"/>
  <c r="AH298" i="21"/>
  <c r="AG298" i="21"/>
  <c r="AF298" i="21"/>
  <c r="AE298" i="21"/>
  <c r="AD298" i="21"/>
  <c r="AC298" i="21"/>
  <c r="AI290" i="21"/>
  <c r="AH290" i="21"/>
  <c r="AG290" i="21"/>
  <c r="AF290" i="21"/>
  <c r="AE290" i="21"/>
  <c r="AD290" i="21"/>
  <c r="AC290" i="21"/>
  <c r="AI286" i="21"/>
  <c r="AH286" i="21"/>
  <c r="AG286" i="21"/>
  <c r="AF286" i="21"/>
  <c r="AE286" i="21"/>
  <c r="AD286" i="21"/>
  <c r="AC286" i="21"/>
  <c r="AI276" i="21"/>
  <c r="AH276" i="21"/>
  <c r="AG276" i="21"/>
  <c r="AF276" i="21"/>
  <c r="AE276" i="21"/>
  <c r="AD276" i="21"/>
  <c r="AC276" i="21"/>
  <c r="AI273" i="21"/>
  <c r="AH273" i="21"/>
  <c r="AG273" i="21"/>
  <c r="AF273" i="21"/>
  <c r="AE273" i="21"/>
  <c r="AD273" i="21"/>
  <c r="AC273" i="21"/>
  <c r="AI268" i="21"/>
  <c r="AH268" i="21"/>
  <c r="AG268" i="21"/>
  <c r="AF268" i="21"/>
  <c r="AE268" i="21"/>
  <c r="AD268" i="21"/>
  <c r="AC268" i="21"/>
  <c r="AI261" i="21"/>
  <c r="AH261" i="21"/>
  <c r="AG261" i="21"/>
  <c r="AF261" i="21"/>
  <c r="AE261" i="21"/>
  <c r="AD261" i="21"/>
  <c r="AC261" i="21"/>
  <c r="AI257" i="21"/>
  <c r="AH257" i="21"/>
  <c r="AG257" i="21"/>
  <c r="AF257" i="21"/>
  <c r="AE257" i="21"/>
  <c r="AD257" i="21"/>
  <c r="AC257" i="21"/>
  <c r="AI245" i="21"/>
  <c r="AH245" i="21"/>
  <c r="AG245" i="21"/>
  <c r="AF245" i="21"/>
  <c r="AE245" i="21"/>
  <c r="AD245" i="21"/>
  <c r="AC245" i="21"/>
  <c r="AH234" i="21"/>
  <c r="AG234" i="21"/>
  <c r="AF234" i="21"/>
  <c r="AE234" i="21"/>
  <c r="AD234" i="21"/>
  <c r="AC234" i="21"/>
  <c r="AH179" i="21"/>
  <c r="AG179" i="21"/>
  <c r="AF179" i="21"/>
  <c r="AE179" i="21"/>
  <c r="AD179" i="21"/>
  <c r="AC179" i="21"/>
  <c r="AI123" i="21"/>
  <c r="AH123" i="21"/>
  <c r="AG123" i="21"/>
  <c r="AF123" i="21"/>
  <c r="AE123" i="21"/>
  <c r="AD123" i="21"/>
  <c r="AC123" i="21"/>
  <c r="AI121" i="21"/>
  <c r="AH121" i="21"/>
  <c r="AG121" i="21"/>
  <c r="AF121" i="21"/>
  <c r="AE121" i="21"/>
  <c r="AD121" i="21"/>
  <c r="AC121" i="21"/>
  <c r="AI102" i="21"/>
  <c r="AH102" i="21"/>
  <c r="AG102" i="21"/>
  <c r="AF102" i="21"/>
  <c r="AE102" i="21"/>
  <c r="AD102" i="21"/>
  <c r="AC102" i="21"/>
  <c r="AI96" i="21"/>
  <c r="AH96" i="21"/>
  <c r="AG96" i="21"/>
  <c r="AF96" i="21"/>
  <c r="AE96" i="21"/>
  <c r="AD96" i="21"/>
  <c r="AC96" i="21"/>
  <c r="AH81" i="21"/>
  <c r="AG81" i="21"/>
  <c r="AF81" i="21"/>
  <c r="AE81" i="21"/>
  <c r="AD81" i="21"/>
  <c r="AC81" i="21"/>
  <c r="AI50" i="21"/>
  <c r="AH50" i="21"/>
  <c r="AG50" i="21"/>
  <c r="AF50" i="21"/>
  <c r="AE50" i="21"/>
  <c r="AD50" i="21"/>
  <c r="AC50" i="21"/>
  <c r="AI48" i="21"/>
  <c r="AH48" i="21"/>
  <c r="AG48" i="21"/>
  <c r="AF48" i="21"/>
  <c r="AE48" i="21"/>
  <c r="AD48" i="21"/>
  <c r="AC48" i="21"/>
  <c r="AI44" i="21"/>
  <c r="AH44" i="21"/>
  <c r="AG44" i="21"/>
  <c r="AF44" i="21"/>
  <c r="AE44" i="21"/>
  <c r="AD44" i="21"/>
  <c r="AC44" i="21"/>
  <c r="AI127" i="21"/>
  <c r="AG279" i="22" l="1"/>
  <c r="AF279" i="22"/>
  <c r="AE160" i="22"/>
  <c r="AE161" i="22" s="1"/>
  <c r="AG283" i="22"/>
  <c r="AG285" i="22" s="1"/>
  <c r="AD137" i="22"/>
  <c r="AD142" i="22" s="1"/>
  <c r="AF283" i="22"/>
  <c r="AF285" i="22" s="1"/>
  <c r="AH289" i="22"/>
  <c r="AH291" i="22" s="1"/>
  <c r="AH128" i="21"/>
  <c r="AG128" i="21"/>
  <c r="AE130" i="21"/>
  <c r="AF130" i="21"/>
  <c r="AC127" i="21"/>
  <c r="AE131" i="21"/>
  <c r="AI128" i="21"/>
  <c r="AG130" i="21"/>
  <c r="AD127" i="21"/>
  <c r="AF131" i="21"/>
  <c r="AH127" i="21"/>
  <c r="AF128" i="21"/>
  <c r="AD130" i="21"/>
  <c r="AI131" i="21"/>
  <c r="AC129" i="21"/>
  <c r="AH130" i="21"/>
  <c r="AE127" i="21"/>
  <c r="AF129" i="21"/>
  <c r="AD131" i="21"/>
  <c r="AG129" i="21"/>
  <c r="AC128" i="21"/>
  <c r="AH129" i="21"/>
  <c r="AD128" i="21"/>
  <c r="AI129" i="21"/>
  <c r="AE128" i="21"/>
  <c r="AC130" i="21"/>
  <c r="AH131" i="21"/>
  <c r="AH348" i="21"/>
  <c r="AI348" i="21"/>
  <c r="AG124" i="21"/>
  <c r="AC51" i="21"/>
  <c r="AI51" i="21"/>
  <c r="AF366" i="21"/>
  <c r="AG366" i="21"/>
  <c r="AD348" i="21"/>
  <c r="AF127" i="21"/>
  <c r="AD129" i="21"/>
  <c r="AI130" i="21"/>
  <c r="AC366" i="21"/>
  <c r="AG51" i="21"/>
  <c r="AH51" i="21"/>
  <c r="AE366" i="21"/>
  <c r="AD51" i="21"/>
  <c r="AH366" i="21"/>
  <c r="AI366" i="21"/>
  <c r="AG127" i="21"/>
  <c r="AE129" i="21"/>
  <c r="AD366" i="21"/>
  <c r="AF124" i="21"/>
  <c r="AH124" i="21"/>
  <c r="AI124" i="21"/>
  <c r="AC124" i="21"/>
  <c r="AG131" i="21"/>
  <c r="AE348" i="21"/>
  <c r="AF348" i="21"/>
  <c r="AG348" i="21"/>
  <c r="AE51" i="21"/>
  <c r="AD124" i="21"/>
  <c r="AF51" i="21"/>
  <c r="AE124" i="21"/>
  <c r="AC131" i="21"/>
  <c r="AC348" i="21"/>
  <c r="AG289" i="22" l="1"/>
  <c r="AG291" i="22" s="1"/>
  <c r="AG292" i="22" s="1"/>
  <c r="AG294" i="22" s="1"/>
  <c r="AD143" i="22"/>
  <c r="AH292" i="22"/>
  <c r="AF289" i="22"/>
  <c r="AF291" i="22" s="1"/>
  <c r="AE168" i="22"/>
  <c r="AD125" i="21"/>
  <c r="AD126" i="21" s="1"/>
  <c r="AG125" i="21"/>
  <c r="AG126" i="21" s="1"/>
  <c r="AH125" i="21"/>
  <c r="AH126" i="21" s="1"/>
  <c r="AF125" i="21"/>
  <c r="AF126" i="21" s="1"/>
  <c r="AE125" i="21"/>
  <c r="AE126" i="21" s="1"/>
  <c r="AC125" i="21"/>
  <c r="AC367" i="21" s="1"/>
  <c r="AC375" i="21" s="1"/>
  <c r="AI125" i="21"/>
  <c r="AI126" i="21" s="1"/>
  <c r="AA82" i="22"/>
  <c r="AN82" i="22" s="1"/>
  <c r="BA82" i="22" s="1"/>
  <c r="AA81" i="22"/>
  <c r="AN81" i="22" s="1"/>
  <c r="BA81" i="22" s="1"/>
  <c r="AA80" i="22"/>
  <c r="AN80" i="22" s="1"/>
  <c r="BA80" i="22" s="1"/>
  <c r="AA79" i="22"/>
  <c r="AN79" i="22" s="1"/>
  <c r="BA79" i="22" s="1"/>
  <c r="AA78" i="22"/>
  <c r="AN78" i="22" s="1"/>
  <c r="BA78" i="22" s="1"/>
  <c r="AA77" i="22"/>
  <c r="AN77" i="22" s="1"/>
  <c r="BA77" i="22" s="1"/>
  <c r="AA76" i="22"/>
  <c r="AN76" i="22" s="1"/>
  <c r="BA76" i="22" s="1"/>
  <c r="AA75" i="22"/>
  <c r="AN75" i="22" s="1"/>
  <c r="BA75" i="22" s="1"/>
  <c r="AA74" i="22"/>
  <c r="AN74" i="22" s="1"/>
  <c r="BA74" i="22" s="1"/>
  <c r="AA72" i="22"/>
  <c r="AN72" i="22" s="1"/>
  <c r="BA72" i="22" s="1"/>
  <c r="AA71" i="22"/>
  <c r="AN71" i="22" s="1"/>
  <c r="BA71" i="22" s="1"/>
  <c r="AA70" i="22"/>
  <c r="AN70" i="22" s="1"/>
  <c r="BA70" i="22" s="1"/>
  <c r="AA69" i="22"/>
  <c r="AN69" i="22" s="1"/>
  <c r="BA69" i="22" s="1"/>
  <c r="AA68" i="22"/>
  <c r="AN68" i="22" s="1"/>
  <c r="BA68" i="22" s="1"/>
  <c r="AA67" i="22"/>
  <c r="AN67" i="22" s="1"/>
  <c r="BA67" i="22" s="1"/>
  <c r="AA66" i="22"/>
  <c r="AN66" i="22" s="1"/>
  <c r="BA66" i="22" s="1"/>
  <c r="AA56" i="22"/>
  <c r="AN56" i="22" s="1"/>
  <c r="BA56" i="22" s="1"/>
  <c r="N17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B15" i="26"/>
  <c r="N4" i="26"/>
  <c r="N5" i="26"/>
  <c r="N6" i="26"/>
  <c r="N7" i="26"/>
  <c r="N8" i="26"/>
  <c r="N9" i="26"/>
  <c r="N10" i="26"/>
  <c r="N11" i="26"/>
  <c r="N12" i="26"/>
  <c r="N13" i="26"/>
  <c r="N14" i="26"/>
  <c r="N3" i="26"/>
  <c r="AE201" i="22" l="1"/>
  <c r="AH294" i="22"/>
  <c r="AH295" i="22" s="1"/>
  <c r="AH296" i="22" s="1"/>
  <c r="AG295" i="22"/>
  <c r="AG296" i="22" s="1"/>
  <c r="AF292" i="22"/>
  <c r="AD146" i="22"/>
  <c r="AE207" i="22"/>
  <c r="AD367" i="21"/>
  <c r="AD375" i="21" s="1"/>
  <c r="AH367" i="21"/>
  <c r="AH375" i="21" s="1"/>
  <c r="AH376" i="21" s="1"/>
  <c r="AG367" i="21"/>
  <c r="AG375" i="21" s="1"/>
  <c r="AF367" i="21"/>
  <c r="AF375" i="21" s="1"/>
  <c r="AC126" i="21"/>
  <c r="AI367" i="21"/>
  <c r="AI375" i="21" s="1"/>
  <c r="AI376" i="21" s="1"/>
  <c r="AE367" i="21"/>
  <c r="AE375" i="21" s="1"/>
  <c r="AD160" i="22" l="1"/>
  <c r="AD161" i="22" s="1"/>
  <c r="AF294" i="22"/>
  <c r="AF295" i="22" s="1"/>
  <c r="AF296" i="22" s="1"/>
  <c r="AE213" i="22"/>
  <c r="AE223" i="22" s="1"/>
  <c r="AG376" i="21"/>
  <c r="AE226" i="22" l="1"/>
  <c r="AD168" i="22"/>
  <c r="AD201" i="22" l="1"/>
  <c r="AE230" i="22"/>
  <c r="AD207" i="22"/>
  <c r="AD213" i="22" s="1"/>
  <c r="AD223" i="22" l="1"/>
  <c r="AE257" i="22"/>
  <c r="AE258" i="22" l="1"/>
  <c r="AD226" i="22"/>
  <c r="AD230" i="22" s="1"/>
  <c r="AD257" i="22" s="1"/>
  <c r="AD258" i="22" l="1"/>
  <c r="AE260" i="22"/>
  <c r="AE269" i="22" s="1"/>
  <c r="AF376" i="21"/>
  <c r="AD260" i="22" l="1"/>
  <c r="AD269" i="22"/>
  <c r="AE270" i="22"/>
  <c r="AE279" i="22" l="1"/>
  <c r="AE283" i="22"/>
  <c r="AE285" i="22" s="1"/>
  <c r="AD270" i="22"/>
  <c r="AO373" i="21"/>
  <c r="AD279" i="22" l="1"/>
  <c r="AD283" i="22"/>
  <c r="AD285" i="22" s="1"/>
  <c r="AE289" i="22"/>
  <c r="AE291" i="22" s="1"/>
  <c r="AA252" i="22"/>
  <c r="AN252" i="22" s="1"/>
  <c r="BA252" i="22" s="1"/>
  <c r="AE292" i="22" l="1"/>
  <c r="AD289" i="22"/>
  <c r="AD291" i="22" s="1"/>
  <c r="AD376" i="21"/>
  <c r="AE294" i="22" l="1"/>
  <c r="AE295" i="22" s="1"/>
  <c r="AE296" i="22" s="1"/>
  <c r="AD292" i="22"/>
  <c r="AN375" i="21"/>
  <c r="AN376" i="21" s="1"/>
  <c r="AM375" i="21"/>
  <c r="AM376" i="21" s="1"/>
  <c r="AE376" i="21"/>
  <c r="AO372" i="21"/>
  <c r="AO371" i="21"/>
  <c r="AO369" i="21"/>
  <c r="AO363" i="21"/>
  <c r="AO362" i="21"/>
  <c r="AO361" i="21"/>
  <c r="AO360" i="21"/>
  <c r="AO356" i="21"/>
  <c r="AO355" i="21"/>
  <c r="AO354" i="21"/>
  <c r="AO353" i="21"/>
  <c r="AO346" i="21"/>
  <c r="AO347" i="21" s="1"/>
  <c r="AO344" i="21"/>
  <c r="AO343" i="21"/>
  <c r="AO342" i="21"/>
  <c r="AO341" i="21"/>
  <c r="AO339" i="21"/>
  <c r="AO338" i="21"/>
  <c r="AO337" i="21"/>
  <c r="AO336" i="21"/>
  <c r="AO335" i="21"/>
  <c r="AO334" i="21"/>
  <c r="AO333" i="21"/>
  <c r="AO332" i="21"/>
  <c r="AO329" i="21"/>
  <c r="AO328" i="21"/>
  <c r="AO327" i="21"/>
  <c r="AO326" i="21"/>
  <c r="AO325" i="21"/>
  <c r="AO324" i="21"/>
  <c r="AO323" i="21"/>
  <c r="AO321" i="21"/>
  <c r="AO320" i="21"/>
  <c r="AO319" i="21"/>
  <c r="AO318" i="21"/>
  <c r="AO315" i="21"/>
  <c r="AO314" i="21"/>
  <c r="AO310" i="21"/>
  <c r="AO309" i="21"/>
  <c r="AO276" i="21"/>
  <c r="AA107" i="22"/>
  <c r="AN107" i="22" s="1"/>
  <c r="BA107" i="22" s="1"/>
  <c r="AA108" i="22"/>
  <c r="AN108" i="22" s="1"/>
  <c r="BA108" i="22" s="1"/>
  <c r="AA265" i="22"/>
  <c r="AN265" i="22" s="1"/>
  <c r="BA265" i="22" s="1"/>
  <c r="AA266" i="22"/>
  <c r="AN266" i="22" s="1"/>
  <c r="BA266" i="22" s="1"/>
  <c r="AA267" i="22"/>
  <c r="AN267" i="22" s="1"/>
  <c r="BA267" i="22" s="1"/>
  <c r="AO322" i="21"/>
  <c r="AO50" i="21"/>
  <c r="AO313" i="21"/>
  <c r="AO312" i="21"/>
  <c r="AO311" i="21"/>
  <c r="AO352" i="21"/>
  <c r="AO364" i="21"/>
  <c r="AO370" i="21"/>
  <c r="AA233" i="22"/>
  <c r="AN233" i="22" s="1"/>
  <c r="BA233" i="22" s="1"/>
  <c r="AA232" i="22"/>
  <c r="AN232" i="22" s="1"/>
  <c r="BA232" i="22" s="1"/>
  <c r="AA247" i="22"/>
  <c r="AN247" i="22" s="1"/>
  <c r="BA247" i="22" s="1"/>
  <c r="AA95" i="22"/>
  <c r="AD294" i="22" l="1"/>
  <c r="AD295" i="22" s="1"/>
  <c r="AD296" i="22" s="1"/>
  <c r="AO345" i="21"/>
  <c r="AN95" i="22"/>
  <c r="AO13" i="21"/>
  <c r="AO48" i="21"/>
  <c r="AO179" i="21"/>
  <c r="AO298" i="21"/>
  <c r="AO44" i="21"/>
  <c r="AO358" i="21"/>
  <c r="AO365" i="21" s="1"/>
  <c r="AO245" i="21"/>
  <c r="AO302" i="21"/>
  <c r="AO81" i="21"/>
  <c r="AO234" i="21"/>
  <c r="AO368" i="21"/>
  <c r="AO374" i="21" s="1"/>
  <c r="AO34" i="21"/>
  <c r="AO351" i="21"/>
  <c r="AO357" i="21" s="1"/>
  <c r="AO123" i="21"/>
  <c r="AO131" i="21" s="1"/>
  <c r="AO273" i="21"/>
  <c r="AO331" i="21"/>
  <c r="AO340" i="21" s="1"/>
  <c r="AO305" i="21"/>
  <c r="AO290" i="21"/>
  <c r="AO96" i="21"/>
  <c r="AO102" i="21"/>
  <c r="AO257" i="21"/>
  <c r="AO268" i="21"/>
  <c r="AO286" i="21"/>
  <c r="AO317" i="21"/>
  <c r="AO330" i="21" s="1"/>
  <c r="AO308" i="21"/>
  <c r="AO316" i="21" s="1"/>
  <c r="AO306" i="21"/>
  <c r="AO307" i="21" s="1"/>
  <c r="AO261" i="21"/>
  <c r="AA293" i="22"/>
  <c r="AA290" i="22"/>
  <c r="AN290" i="22" s="1"/>
  <c r="AN291" i="22" s="1"/>
  <c r="AA288" i="22"/>
  <c r="AN288" i="22" s="1"/>
  <c r="BA288" i="22" s="1"/>
  <c r="AA287" i="22"/>
  <c r="AN287" i="22" s="1"/>
  <c r="BA287" i="22" s="1"/>
  <c r="AA286" i="22"/>
  <c r="AN286" i="22" s="1"/>
  <c r="AA284" i="22"/>
  <c r="AN284" i="22" s="1"/>
  <c r="AN285" i="22" s="1"/>
  <c r="AA282" i="22"/>
  <c r="AN282" i="22" s="1"/>
  <c r="BA282" i="22" s="1"/>
  <c r="AA281" i="22"/>
  <c r="AN281" i="22" s="1"/>
  <c r="BA281" i="22" s="1"/>
  <c r="AA280" i="22"/>
  <c r="AN280" i="22" s="1"/>
  <c r="AA273" i="22"/>
  <c r="AN273" i="22" s="1"/>
  <c r="BA273" i="22" s="1"/>
  <c r="AA272" i="22"/>
  <c r="AN272" i="22" s="1"/>
  <c r="BA272" i="22" s="1"/>
  <c r="AA271" i="22"/>
  <c r="AA264" i="22"/>
  <c r="AN264" i="22" s="1"/>
  <c r="BA264" i="22" s="1"/>
  <c r="AA263" i="22"/>
  <c r="AN263" i="22" s="1"/>
  <c r="BA263" i="22" s="1"/>
  <c r="AA262" i="22"/>
  <c r="AN262" i="22" s="1"/>
  <c r="BA262" i="22" s="1"/>
  <c r="AA261" i="22"/>
  <c r="AN261" i="22" s="1"/>
  <c r="AA259" i="22"/>
  <c r="AA255" i="22"/>
  <c r="AN255" i="22" s="1"/>
  <c r="BA255" i="22" s="1"/>
  <c r="AA254" i="22"/>
  <c r="AN254" i="22" s="1"/>
  <c r="BA254" i="22" s="1"/>
  <c r="AA253" i="22"/>
  <c r="AN253" i="22" s="1"/>
  <c r="BA253" i="22" s="1"/>
  <c r="AA251" i="22"/>
  <c r="AN251" i="22" s="1"/>
  <c r="BA251" i="22" s="1"/>
  <c r="AA250" i="22"/>
  <c r="AN250" i="22" s="1"/>
  <c r="BA250" i="22" s="1"/>
  <c r="AA249" i="22"/>
  <c r="AN249" i="22" s="1"/>
  <c r="BA249" i="22" s="1"/>
  <c r="AA248" i="22"/>
  <c r="AN248" i="22" s="1"/>
  <c r="BA248" i="22" s="1"/>
  <c r="AA246" i="22"/>
  <c r="AN246" i="22" s="1"/>
  <c r="BA246" i="22" s="1"/>
  <c r="AA245" i="22"/>
  <c r="AN245" i="22" s="1"/>
  <c r="BA245" i="22" s="1"/>
  <c r="AA244" i="22"/>
  <c r="AN244" i="22" s="1"/>
  <c r="BA244" i="22" s="1"/>
  <c r="AA241" i="22"/>
  <c r="AN241" i="22" s="1"/>
  <c r="BA241" i="22" s="1"/>
  <c r="AA240" i="22"/>
  <c r="AN240" i="22" s="1"/>
  <c r="BA240" i="22" s="1"/>
  <c r="AA238" i="22"/>
  <c r="AN238" i="22" s="1"/>
  <c r="BA238" i="22" s="1"/>
  <c r="AA237" i="22"/>
  <c r="AN237" i="22" s="1"/>
  <c r="BA237" i="22" s="1"/>
  <c r="AA236" i="22"/>
  <c r="AN236" i="22" s="1"/>
  <c r="BA236" i="22" s="1"/>
  <c r="AA235" i="22"/>
  <c r="AN235" i="22" s="1"/>
  <c r="BA235" i="22" s="1"/>
  <c r="AA234" i="22"/>
  <c r="AN234" i="22" s="1"/>
  <c r="BA234" i="22" s="1"/>
  <c r="AA231" i="22"/>
  <c r="AN231" i="22" s="1"/>
  <c r="AA229" i="22"/>
  <c r="AN229" i="22" s="1"/>
  <c r="BA229" i="22" s="1"/>
  <c r="AA228" i="22"/>
  <c r="AN228" i="22" s="1"/>
  <c r="BA228" i="22" s="1"/>
  <c r="AA227" i="22"/>
  <c r="AN227" i="22" s="1"/>
  <c r="AA224" i="22"/>
  <c r="AA222" i="22"/>
  <c r="AN222" i="22" s="1"/>
  <c r="BA222" i="22" s="1"/>
  <c r="AA221" i="22"/>
  <c r="AN221" i="22" s="1"/>
  <c r="BA221" i="22" s="1"/>
  <c r="AA220" i="22"/>
  <c r="AN220" i="22" s="1"/>
  <c r="BA220" i="22" s="1"/>
  <c r="AA219" i="22"/>
  <c r="AN219" i="22" s="1"/>
  <c r="BA219" i="22" s="1"/>
  <c r="AA218" i="22"/>
  <c r="AN218" i="22" s="1"/>
  <c r="BA218" i="22" s="1"/>
  <c r="AA217" i="22"/>
  <c r="AN217" i="22" s="1"/>
  <c r="BA217" i="22" s="1"/>
  <c r="AA216" i="22"/>
  <c r="AN216" i="22" s="1"/>
  <c r="BA216" i="22" s="1"/>
  <c r="AA215" i="22"/>
  <c r="AN215" i="22" s="1"/>
  <c r="BA215" i="22" s="1"/>
  <c r="AA214" i="22"/>
  <c r="AN214" i="22" s="1"/>
  <c r="AA212" i="22"/>
  <c r="AN212" i="22" s="1"/>
  <c r="BA212" i="22" s="1"/>
  <c r="AA211" i="22"/>
  <c r="AN211" i="22" s="1"/>
  <c r="BA211" i="22" s="1"/>
  <c r="AA210" i="22"/>
  <c r="AN210" i="22" s="1"/>
  <c r="BA210" i="22" s="1"/>
  <c r="AA209" i="22"/>
  <c r="AN209" i="22" s="1"/>
  <c r="BA209" i="22" s="1"/>
  <c r="AA208" i="22"/>
  <c r="AN208" i="22" s="1"/>
  <c r="AA206" i="22"/>
  <c r="AN206" i="22" s="1"/>
  <c r="BA206" i="22" s="1"/>
  <c r="AA205" i="22"/>
  <c r="AN205" i="22" s="1"/>
  <c r="BA205" i="22" s="1"/>
  <c r="AA204" i="22"/>
  <c r="AN204" i="22" s="1"/>
  <c r="BA204" i="22" s="1"/>
  <c r="AA203" i="22"/>
  <c r="AN203" i="22" s="1"/>
  <c r="BA203" i="22" s="1"/>
  <c r="AA202" i="22"/>
  <c r="AN202" i="22" s="1"/>
  <c r="AA199" i="22"/>
  <c r="AN199" i="22" s="1"/>
  <c r="BA199" i="22" s="1"/>
  <c r="AA198" i="22"/>
  <c r="AN198" i="22" s="1"/>
  <c r="BA198" i="22" s="1"/>
  <c r="AA197" i="22"/>
  <c r="AN197" i="22" s="1"/>
  <c r="BA197" i="22" s="1"/>
  <c r="AA196" i="22"/>
  <c r="AN196" i="22" s="1"/>
  <c r="BA196" i="22" s="1"/>
  <c r="AA195" i="22"/>
  <c r="AN195" i="22" s="1"/>
  <c r="BA195" i="22" s="1"/>
  <c r="AA194" i="22"/>
  <c r="AN194" i="22" s="1"/>
  <c r="BA194" i="22" s="1"/>
  <c r="AA192" i="22"/>
  <c r="AN192" i="22" s="1"/>
  <c r="BA192" i="22" s="1"/>
  <c r="AA191" i="22"/>
  <c r="AN191" i="22" s="1"/>
  <c r="BA191" i="22" s="1"/>
  <c r="AA190" i="22"/>
  <c r="AN190" i="22" s="1"/>
  <c r="BA190" i="22" s="1"/>
  <c r="AA189" i="22"/>
  <c r="AN189" i="22" s="1"/>
  <c r="BA189" i="22" s="1"/>
  <c r="AA188" i="22"/>
  <c r="AN188" i="22" s="1"/>
  <c r="BA188" i="22" s="1"/>
  <c r="AA187" i="22"/>
  <c r="AN187" i="22" s="1"/>
  <c r="BA187" i="22" s="1"/>
  <c r="AA186" i="22"/>
  <c r="AN186" i="22" s="1"/>
  <c r="BA186" i="22" s="1"/>
  <c r="AA185" i="22"/>
  <c r="AN185" i="22" s="1"/>
  <c r="BA185" i="22" s="1"/>
  <c r="AA184" i="22"/>
  <c r="AN184" i="22" s="1"/>
  <c r="BA184" i="22" s="1"/>
  <c r="AA183" i="22"/>
  <c r="AN183" i="22" s="1"/>
  <c r="BA183" i="22" s="1"/>
  <c r="AA182" i="22"/>
  <c r="AN182" i="22" s="1"/>
  <c r="BA182" i="22" s="1"/>
  <c r="AA181" i="22"/>
  <c r="AN181" i="22" s="1"/>
  <c r="BA181" i="22" s="1"/>
  <c r="AA180" i="22"/>
  <c r="AN180" i="22" s="1"/>
  <c r="BA180" i="22" s="1"/>
  <c r="AA179" i="22"/>
  <c r="AN179" i="22" s="1"/>
  <c r="BA179" i="22" s="1"/>
  <c r="AA178" i="22"/>
  <c r="AN178" i="22" s="1"/>
  <c r="BA178" i="22" s="1"/>
  <c r="AA177" i="22"/>
  <c r="AN177" i="22" s="1"/>
  <c r="BA177" i="22" s="1"/>
  <c r="AA176" i="22"/>
  <c r="AN176" i="22" s="1"/>
  <c r="BA176" i="22" s="1"/>
  <c r="AA175" i="22"/>
  <c r="AN175" i="22" s="1"/>
  <c r="BA175" i="22" s="1"/>
  <c r="AA174" i="22"/>
  <c r="AN174" i="22" s="1"/>
  <c r="BA174" i="22" s="1"/>
  <c r="AA173" i="22"/>
  <c r="AN173" i="22" s="1"/>
  <c r="BA173" i="22" s="1"/>
  <c r="AA172" i="22"/>
  <c r="AN172" i="22" s="1"/>
  <c r="BA172" i="22" s="1"/>
  <c r="AA171" i="22"/>
  <c r="AN171" i="22" s="1"/>
  <c r="BA171" i="22" s="1"/>
  <c r="AA170" i="22"/>
  <c r="AN170" i="22" s="1"/>
  <c r="BA170" i="22" s="1"/>
  <c r="AA169" i="22"/>
  <c r="AA167" i="22"/>
  <c r="AA166" i="22"/>
  <c r="AA165" i="22"/>
  <c r="AA164" i="22"/>
  <c r="AA163" i="22"/>
  <c r="AA157" i="22"/>
  <c r="AN157" i="22" s="1"/>
  <c r="BA157" i="22" s="1"/>
  <c r="AA147" i="22"/>
  <c r="AA145" i="22"/>
  <c r="AN145" i="22" s="1"/>
  <c r="BA145" i="22" s="1"/>
  <c r="AA144" i="22"/>
  <c r="AN144" i="22" s="1"/>
  <c r="AA141" i="22"/>
  <c r="AN141" i="22" s="1"/>
  <c r="BA141" i="22" s="1"/>
  <c r="AA140" i="22"/>
  <c r="AN140" i="22" s="1"/>
  <c r="BA140" i="22" s="1"/>
  <c r="AA139" i="22"/>
  <c r="AN139" i="22" s="1"/>
  <c r="BA139" i="22" s="1"/>
  <c r="AA138" i="22"/>
  <c r="AN138" i="22" s="1"/>
  <c r="BA138" i="22" s="1"/>
  <c r="AA136" i="22"/>
  <c r="AN136" i="22" s="1"/>
  <c r="BA136" i="22" s="1"/>
  <c r="AA135" i="22"/>
  <c r="AN135" i="22" s="1"/>
  <c r="BA135" i="22" s="1"/>
  <c r="AA133" i="22"/>
  <c r="AN133" i="22" s="1"/>
  <c r="BA133" i="22" s="1"/>
  <c r="AA132" i="22"/>
  <c r="AN132" i="22" s="1"/>
  <c r="BA132" i="22" s="1"/>
  <c r="AA130" i="22"/>
  <c r="AN130" i="22" s="1"/>
  <c r="BA130" i="22" s="1"/>
  <c r="AA129" i="22"/>
  <c r="AN129" i="22" s="1"/>
  <c r="BA129" i="22" s="1"/>
  <c r="AA128" i="22"/>
  <c r="AN128" i="22" s="1"/>
  <c r="BA128" i="22" s="1"/>
  <c r="AA127" i="22"/>
  <c r="AN127" i="22" s="1"/>
  <c r="AA125" i="22"/>
  <c r="AN125" i="22" s="1"/>
  <c r="BA125" i="22" s="1"/>
  <c r="AA124" i="22"/>
  <c r="AN124" i="22" s="1"/>
  <c r="AA122" i="22"/>
  <c r="AN122" i="22" s="1"/>
  <c r="BA122" i="22" s="1"/>
  <c r="AA121" i="22"/>
  <c r="AN121" i="22" s="1"/>
  <c r="BA121" i="22" s="1"/>
  <c r="AA120" i="22"/>
  <c r="AN120" i="22" s="1"/>
  <c r="BA120" i="22" s="1"/>
  <c r="AA119" i="22"/>
  <c r="AN119" i="22" s="1"/>
  <c r="BA119" i="22" s="1"/>
  <c r="AA118" i="22"/>
  <c r="AN118" i="22" s="1"/>
  <c r="BA118" i="22" s="1"/>
  <c r="AA117" i="22"/>
  <c r="AN117" i="22" s="1"/>
  <c r="BA117" i="22" s="1"/>
  <c r="AA116" i="22"/>
  <c r="AN116" i="22" s="1"/>
  <c r="BA116" i="22" s="1"/>
  <c r="AA115" i="22"/>
  <c r="AN115" i="22" s="1"/>
  <c r="BA115" i="22" s="1"/>
  <c r="AA114" i="22"/>
  <c r="AN114" i="22" s="1"/>
  <c r="BA114" i="22" s="1"/>
  <c r="AA113" i="22"/>
  <c r="AN113" i="22" s="1"/>
  <c r="BA113" i="22" s="1"/>
  <c r="AA111" i="22"/>
  <c r="AN111" i="22" s="1"/>
  <c r="BA111" i="22" s="1"/>
  <c r="AA110" i="22"/>
  <c r="AN110" i="22" s="1"/>
  <c r="AA106" i="22"/>
  <c r="AN106" i="22" s="1"/>
  <c r="BA106" i="22" s="1"/>
  <c r="AA105" i="22"/>
  <c r="AN105" i="22" s="1"/>
  <c r="BA105" i="22" s="1"/>
  <c r="AA104" i="22"/>
  <c r="AN104" i="22" s="1"/>
  <c r="BA104" i="22" s="1"/>
  <c r="AA103" i="22"/>
  <c r="AN103" i="22" s="1"/>
  <c r="BA103" i="22" s="1"/>
  <c r="AA102" i="22"/>
  <c r="AN102" i="22" s="1"/>
  <c r="BA102" i="22" s="1"/>
  <c r="AA101" i="22"/>
  <c r="AN101" i="22" s="1"/>
  <c r="BA101" i="22" s="1"/>
  <c r="AA100" i="22"/>
  <c r="AN100" i="22" s="1"/>
  <c r="BA100" i="22" s="1"/>
  <c r="AA99" i="22"/>
  <c r="AN99" i="22" s="1"/>
  <c r="BA99" i="22" s="1"/>
  <c r="AA92" i="22"/>
  <c r="AN92" i="22" s="1"/>
  <c r="BA92" i="22" s="1"/>
  <c r="AA91" i="22"/>
  <c r="AN91" i="22" s="1"/>
  <c r="BA91" i="22" s="1"/>
  <c r="AA90" i="22"/>
  <c r="AN90" i="22" s="1"/>
  <c r="BA90" i="22" s="1"/>
  <c r="AA89" i="22"/>
  <c r="AN89" i="22" s="1"/>
  <c r="BA89" i="22" s="1"/>
  <c r="AA87" i="22"/>
  <c r="AN87" i="22" s="1"/>
  <c r="BA87" i="22" s="1"/>
  <c r="AA86" i="22"/>
  <c r="AN86" i="22" s="1"/>
  <c r="BA86" i="22" s="1"/>
  <c r="AA85" i="22"/>
  <c r="AN85" i="22" s="1"/>
  <c r="BA85" i="22" s="1"/>
  <c r="AA84" i="22"/>
  <c r="AN84" i="22" s="1"/>
  <c r="BA84" i="22" s="1"/>
  <c r="AA65" i="22"/>
  <c r="AA63" i="22"/>
  <c r="AN63" i="22" s="1"/>
  <c r="BA63" i="22" s="1"/>
  <c r="AA62" i="22"/>
  <c r="AN62" i="22" s="1"/>
  <c r="BA62" i="22" s="1"/>
  <c r="AA61" i="22"/>
  <c r="AN61" i="22" s="1"/>
  <c r="BA61" i="22" s="1"/>
  <c r="AA59" i="22"/>
  <c r="AN59" i="22" s="1"/>
  <c r="BA59" i="22" s="1"/>
  <c r="AA58" i="22"/>
  <c r="AN58" i="22" s="1"/>
  <c r="BA58" i="22" s="1"/>
  <c r="AA57" i="22"/>
  <c r="AN57" i="22" s="1"/>
  <c r="BA57" i="22" s="1"/>
  <c r="AA55" i="22"/>
  <c r="AN55" i="22" s="1"/>
  <c r="AA52" i="22"/>
  <c r="AN52" i="22" s="1"/>
  <c r="BA52" i="22" s="1"/>
  <c r="AA51" i="22"/>
  <c r="AA48" i="22"/>
  <c r="AN48" i="22" s="1"/>
  <c r="BA48" i="22" s="1"/>
  <c r="AA47" i="22"/>
  <c r="AN47" i="22" s="1"/>
  <c r="BA47" i="22" s="1"/>
  <c r="AA46" i="22"/>
  <c r="AN46" i="22" s="1"/>
  <c r="BA46" i="22" s="1"/>
  <c r="AA45" i="22"/>
  <c r="AN45" i="22" s="1"/>
  <c r="BA45" i="22" s="1"/>
  <c r="AA44" i="22"/>
  <c r="AN44" i="22" s="1"/>
  <c r="BA44" i="22" s="1"/>
  <c r="AA43" i="22"/>
  <c r="AN43" i="22" s="1"/>
  <c r="BA43" i="22" s="1"/>
  <c r="AA42" i="22"/>
  <c r="AN42" i="22" s="1"/>
  <c r="BA42" i="22" s="1"/>
  <c r="AA41" i="22"/>
  <c r="AN41" i="22" s="1"/>
  <c r="BA41" i="22" s="1"/>
  <c r="AA40" i="22"/>
  <c r="AN40" i="22" s="1"/>
  <c r="BA40" i="22" s="1"/>
  <c r="AA39" i="22"/>
  <c r="AN39" i="22" s="1"/>
  <c r="BA39" i="22" s="1"/>
  <c r="AA35" i="22"/>
  <c r="AN35" i="22" s="1"/>
  <c r="BA35" i="22" s="1"/>
  <c r="AA34" i="22"/>
  <c r="AA32" i="22"/>
  <c r="AN32" i="22" s="1"/>
  <c r="BA32" i="22" s="1"/>
  <c r="AA31" i="22"/>
  <c r="AN31" i="22" s="1"/>
  <c r="AA29" i="22"/>
  <c r="AN29" i="22" s="1"/>
  <c r="AA27" i="22"/>
  <c r="AN27" i="22" s="1"/>
  <c r="BA27" i="22" s="1"/>
  <c r="AA26" i="22"/>
  <c r="AN26" i="22" s="1"/>
  <c r="BA26" i="22" s="1"/>
  <c r="AA25" i="22"/>
  <c r="AN25" i="22" s="1"/>
  <c r="BA25" i="22" s="1"/>
  <c r="AA24" i="22"/>
  <c r="AN24" i="22" s="1"/>
  <c r="BA24" i="22" s="1"/>
  <c r="AA23" i="22"/>
  <c r="AN23" i="22" s="1"/>
  <c r="BA23" i="22" s="1"/>
  <c r="AA22" i="22"/>
  <c r="AN22" i="22" s="1"/>
  <c r="BA22" i="22" s="1"/>
  <c r="AA21" i="22"/>
  <c r="AN21" i="22" s="1"/>
  <c r="BA21" i="22" s="1"/>
  <c r="AA20" i="22"/>
  <c r="AN20" i="22" s="1"/>
  <c r="BA20" i="22" s="1"/>
  <c r="AA17" i="22"/>
  <c r="AA15" i="22"/>
  <c r="AN15" i="22" s="1"/>
  <c r="BA15" i="22" s="1"/>
  <c r="AA14" i="22"/>
  <c r="AN14" i="22" s="1"/>
  <c r="BA14" i="22" s="1"/>
  <c r="AA13" i="22"/>
  <c r="AN13" i="22" s="1"/>
  <c r="BA13" i="22" s="1"/>
  <c r="AA12" i="22"/>
  <c r="AN12" i="22" s="1"/>
  <c r="BA12" i="22" s="1"/>
  <c r="AA4" i="22"/>
  <c r="AN4" i="22" s="1"/>
  <c r="BA4" i="22" s="1"/>
  <c r="AA5" i="22"/>
  <c r="AN5" i="22" s="1"/>
  <c r="BA5" i="22" s="1"/>
  <c r="AA6" i="22"/>
  <c r="AN6" i="22" s="1"/>
  <c r="BA6" i="22" s="1"/>
  <c r="AA7" i="22"/>
  <c r="AN7" i="22" s="1"/>
  <c r="BA7" i="22" s="1"/>
  <c r="AA8" i="22"/>
  <c r="AN8" i="22" s="1"/>
  <c r="BA8" i="22" s="1"/>
  <c r="AA9" i="22"/>
  <c r="AN9" i="22" s="1"/>
  <c r="BA9" i="22" s="1"/>
  <c r="AA10" i="22"/>
  <c r="AN10" i="22" s="1"/>
  <c r="BA10" i="22" s="1"/>
  <c r="AA3" i="22"/>
  <c r="AN3" i="22" s="1"/>
  <c r="BA261" i="22" l="1"/>
  <c r="BA269" i="22" s="1"/>
  <c r="AN269" i="22"/>
  <c r="BA214" i="22"/>
  <c r="AN223" i="22"/>
  <c r="BA3" i="22"/>
  <c r="BA11" i="22" s="1"/>
  <c r="BA208" i="22"/>
  <c r="BA213" i="22" s="1"/>
  <c r="AN213" i="22"/>
  <c r="BA231" i="22"/>
  <c r="BA257" i="22" s="1"/>
  <c r="AN257" i="22"/>
  <c r="BA202" i="22"/>
  <c r="BA207" i="22" s="1"/>
  <c r="AN207" i="22"/>
  <c r="AN166" i="22"/>
  <c r="BA166" i="22" s="1"/>
  <c r="AN167" i="22"/>
  <c r="BA167" i="22" s="1"/>
  <c r="AN163" i="22"/>
  <c r="BA280" i="22"/>
  <c r="BA283" i="22" s="1"/>
  <c r="AN283" i="22"/>
  <c r="AN164" i="22"/>
  <c r="BA164" i="22" s="1"/>
  <c r="BA286" i="22"/>
  <c r="BA289" i="22" s="1"/>
  <c r="AN289" i="22"/>
  <c r="AN292" i="22" s="1"/>
  <c r="BA227" i="22"/>
  <c r="BA230" i="22" s="1"/>
  <c r="AN230" i="22"/>
  <c r="AN165" i="22"/>
  <c r="BA165" i="22" s="1"/>
  <c r="BA55" i="22"/>
  <c r="BA64" i="22" s="1"/>
  <c r="BA110" i="22"/>
  <c r="BA112" i="22" s="1"/>
  <c r="BA124" i="22"/>
  <c r="BA126" i="22" s="1"/>
  <c r="BA127" i="22"/>
  <c r="BA131" i="22" s="1"/>
  <c r="BA95" i="22"/>
  <c r="BA96" i="22" s="1"/>
  <c r="BA284" i="22"/>
  <c r="BA285" i="22" s="1"/>
  <c r="BA29" i="22"/>
  <c r="BA30" i="22" s="1"/>
  <c r="BA290" i="22"/>
  <c r="BA291" i="22" s="1"/>
  <c r="BA144" i="22"/>
  <c r="BA146" i="22" s="1"/>
  <c r="BA31" i="22"/>
  <c r="BA33" i="22" s="1"/>
  <c r="BA223" i="22"/>
  <c r="BA109" i="22"/>
  <c r="BA134" i="22"/>
  <c r="BA123" i="22"/>
  <c r="BA16" i="22"/>
  <c r="BA137" i="22"/>
  <c r="BA142" i="22"/>
  <c r="BA93" i="22"/>
  <c r="BA28" i="22"/>
  <c r="AN169" i="22"/>
  <c r="AN201" i="22" s="1"/>
  <c r="AN51" i="22"/>
  <c r="AN34" i="22"/>
  <c r="AO129" i="21"/>
  <c r="AN271" i="22"/>
  <c r="AN279" i="22" s="1"/>
  <c r="AN147" i="22"/>
  <c r="AN259" i="22"/>
  <c r="AN260" i="22" s="1"/>
  <c r="AN270" i="22" s="1"/>
  <c r="AN224" i="22"/>
  <c r="AN226" i="22" s="1"/>
  <c r="AN65" i="22"/>
  <c r="AN17" i="22"/>
  <c r="AN293" i="22"/>
  <c r="AN294" i="22" s="1"/>
  <c r="AO127" i="21"/>
  <c r="AO128" i="21"/>
  <c r="AO348" i="21"/>
  <c r="AO51" i="21"/>
  <c r="AO366" i="21"/>
  <c r="AO121" i="21"/>
  <c r="AO130" i="21" s="1"/>
  <c r="AC376" i="21"/>
  <c r="AN258" i="22" l="1"/>
  <c r="AN168" i="22"/>
  <c r="BA163" i="22"/>
  <c r="BA168" i="22" s="1"/>
  <c r="BA292" i="22"/>
  <c r="BA17" i="22"/>
  <c r="BA18" i="22" s="1"/>
  <c r="BA19" i="22" s="1"/>
  <c r="BC19" i="22" s="1"/>
  <c r="BA259" i="22"/>
  <c r="BA260" i="22" s="1"/>
  <c r="BA270" i="22" s="1"/>
  <c r="BA271" i="22"/>
  <c r="BA279" i="22" s="1"/>
  <c r="BA34" i="22"/>
  <c r="BA49" i="22" s="1"/>
  <c r="BA169" i="22"/>
  <c r="BA201" i="22" s="1"/>
  <c r="BA293" i="22"/>
  <c r="BA294" i="22" s="1"/>
  <c r="BA65" i="22"/>
  <c r="BA83" i="22" s="1"/>
  <c r="BA94" i="22" s="1"/>
  <c r="BA224" i="22"/>
  <c r="BA226" i="22" s="1"/>
  <c r="BA258" i="22" s="1"/>
  <c r="BA147" i="22"/>
  <c r="BA160" i="22" s="1"/>
  <c r="BA51" i="22"/>
  <c r="BA53" i="22" s="1"/>
  <c r="BA143" i="22"/>
  <c r="AO124" i="21"/>
  <c r="AO125" i="21" s="1"/>
  <c r="AO126" i="21" s="1"/>
  <c r="BA295" i="22" l="1"/>
  <c r="BA54" i="22"/>
  <c r="BA161" i="22" s="1"/>
  <c r="AO367" i="21"/>
  <c r="Z374" i="21"/>
  <c r="AA374" i="21"/>
  <c r="Z365" i="21"/>
  <c r="AA365" i="21"/>
  <c r="AA357" i="21"/>
  <c r="AA347" i="21"/>
  <c r="AA345" i="21"/>
  <c r="AA340" i="21"/>
  <c r="AA330" i="21"/>
  <c r="AA316" i="21"/>
  <c r="AA307" i="21"/>
  <c r="AA305" i="21"/>
  <c r="AA302" i="21"/>
  <c r="AA298" i="21"/>
  <c r="AA290" i="21"/>
  <c r="AA286" i="21"/>
  <c r="AA276" i="21"/>
  <c r="AA273" i="21"/>
  <c r="AA268" i="21"/>
  <c r="AA261" i="21"/>
  <c r="AA257" i="21"/>
  <c r="AA245" i="21"/>
  <c r="AA234" i="21"/>
  <c r="AA179" i="21"/>
  <c r="AA123" i="21"/>
  <c r="AA121" i="21"/>
  <c r="AA102" i="21"/>
  <c r="AA96" i="21"/>
  <c r="AA81" i="21"/>
  <c r="AA50" i="21"/>
  <c r="AA48" i="21"/>
  <c r="AA44" i="21"/>
  <c r="AA34" i="21"/>
  <c r="AA13" i="21"/>
  <c r="Z357" i="21"/>
  <c r="Z347" i="21"/>
  <c r="Z307" i="21"/>
  <c r="Z305" i="21"/>
  <c r="Z302" i="21"/>
  <c r="Z298" i="21"/>
  <c r="Z276" i="21"/>
  <c r="Z286" i="21"/>
  <c r="Z290" i="21"/>
  <c r="Z316" i="21"/>
  <c r="Z330" i="21"/>
  <c r="Z340" i="21"/>
  <c r="Z345" i="21"/>
  <c r="Z234" i="21"/>
  <c r="BA298" i="22" l="1"/>
  <c r="AO375" i="21"/>
  <c r="AO376" i="21" s="1"/>
  <c r="Z366" i="21"/>
  <c r="AA127" i="21"/>
  <c r="AA129" i="21"/>
  <c r="AA131" i="21"/>
  <c r="AA128" i="21"/>
  <c r="AA348" i="21"/>
  <c r="AA130" i="21"/>
  <c r="AA366" i="21"/>
  <c r="AA51" i="21"/>
  <c r="AA124" i="21"/>
  <c r="AA125" i="21" l="1"/>
  <c r="AB104" i="21"/>
  <c r="AB105" i="21"/>
  <c r="AB106" i="21"/>
  <c r="AB109" i="21"/>
  <c r="AB110" i="21"/>
  <c r="AB144" i="21"/>
  <c r="AB145" i="21"/>
  <c r="AB146" i="21"/>
  <c r="AB148" i="21"/>
  <c r="AB149" i="21"/>
  <c r="AB150" i="21"/>
  <c r="AB151" i="21"/>
  <c r="AB225" i="21"/>
  <c r="AB226" i="21"/>
  <c r="AB227" i="21"/>
  <c r="AB228" i="21"/>
  <c r="AB229" i="21"/>
  <c r="AB230" i="21"/>
  <c r="AB231" i="21"/>
  <c r="AB232" i="21"/>
  <c r="AB233" i="21"/>
  <c r="AB335" i="21"/>
  <c r="AB336" i="21"/>
  <c r="AB337" i="21"/>
  <c r="AB338" i="21"/>
  <c r="AB339" i="21"/>
  <c r="AA126" i="21" l="1"/>
  <c r="AA367" i="21"/>
  <c r="AA375" i="21" s="1"/>
  <c r="Z273" i="21"/>
  <c r="Z268" i="21"/>
  <c r="Z261" i="21"/>
  <c r="Z257" i="21"/>
  <c r="Z245" i="21"/>
  <c r="Z179" i="21"/>
  <c r="Z123" i="21"/>
  <c r="Z121" i="21"/>
  <c r="Z102" i="21"/>
  <c r="Z96" i="21"/>
  <c r="Z81" i="21"/>
  <c r="Z50" i="21"/>
  <c r="Z48" i="21"/>
  <c r="Z44" i="21"/>
  <c r="Z34" i="21"/>
  <c r="Z13" i="21"/>
  <c r="AB369" i="21"/>
  <c r="AB370" i="21"/>
  <c r="AB371" i="21"/>
  <c r="AB372" i="21"/>
  <c r="AB373" i="21"/>
  <c r="Z127" i="21" l="1"/>
  <c r="Z128" i="21"/>
  <c r="Z129" i="21"/>
  <c r="Z130" i="21"/>
  <c r="Z131" i="21"/>
  <c r="Z382" i="21"/>
  <c r="Z51" i="21"/>
  <c r="Z124" i="21"/>
  <c r="Z348" i="21"/>
  <c r="Y179" i="21"/>
  <c r="Y234" i="21"/>
  <c r="Y245" i="21"/>
  <c r="Y257" i="21"/>
  <c r="Y261" i="21"/>
  <c r="Y268" i="21"/>
  <c r="Y273" i="21"/>
  <c r="Y276" i="21"/>
  <c r="Y286" i="21"/>
  <c r="Y290" i="21"/>
  <c r="Y298" i="21"/>
  <c r="Y302" i="21"/>
  <c r="Y305" i="21"/>
  <c r="Y307" i="21"/>
  <c r="Y316" i="21"/>
  <c r="Y330" i="21"/>
  <c r="Y340" i="21"/>
  <c r="Y345" i="21"/>
  <c r="Y347" i="21"/>
  <c r="Y357" i="21"/>
  <c r="Y365" i="21"/>
  <c r="Y374" i="21"/>
  <c r="Y123" i="21"/>
  <c r="Y121" i="21"/>
  <c r="Y102" i="21"/>
  <c r="Y96" i="21"/>
  <c r="Y81" i="21"/>
  <c r="Y50" i="21"/>
  <c r="Y48" i="21"/>
  <c r="Y44" i="21"/>
  <c r="Y34" i="21"/>
  <c r="Y13" i="21"/>
  <c r="X13" i="21"/>
  <c r="AB217" i="21"/>
  <c r="AB218" i="21"/>
  <c r="O218" i="21"/>
  <c r="BO218" i="21" l="1"/>
  <c r="Z125" i="21"/>
  <c r="Y382" i="21"/>
  <c r="Y127" i="21"/>
  <c r="Y130" i="21"/>
  <c r="Y129" i="21"/>
  <c r="Y128" i="21"/>
  <c r="Y124" i="21"/>
  <c r="Y131" i="21"/>
  <c r="Y51" i="21"/>
  <c r="Y348" i="21"/>
  <c r="Y366" i="21"/>
  <c r="Z126" i="21" l="1"/>
  <c r="Z367" i="21"/>
  <c r="Z375" i="21" s="1"/>
  <c r="Y125" i="21"/>
  <c r="Y126" i="21" s="1"/>
  <c r="Y367" i="21" l="1"/>
  <c r="Y375" i="21" s="1"/>
  <c r="X374" i="21" l="1"/>
  <c r="AB66" i="21"/>
  <c r="X365" i="21" l="1"/>
  <c r="X357" i="21"/>
  <c r="X347" i="21"/>
  <c r="X345" i="21"/>
  <c r="X340" i="21"/>
  <c r="X330" i="21"/>
  <c r="X316" i="21"/>
  <c r="X307" i="21"/>
  <c r="X305" i="21"/>
  <c r="X302" i="21"/>
  <c r="X298" i="21"/>
  <c r="X290" i="21"/>
  <c r="X286" i="21"/>
  <c r="X276" i="21"/>
  <c r="X273" i="21"/>
  <c r="X268" i="21"/>
  <c r="X261" i="21"/>
  <c r="X257" i="21"/>
  <c r="X245" i="21"/>
  <c r="X234" i="21"/>
  <c r="X179" i="21"/>
  <c r="X123" i="21"/>
  <c r="X121" i="21"/>
  <c r="X102" i="21"/>
  <c r="X96" i="21"/>
  <c r="X81" i="21"/>
  <c r="X127" i="21" s="1"/>
  <c r="X50" i="21"/>
  <c r="X48" i="21"/>
  <c r="X44" i="21"/>
  <c r="X34" i="21"/>
  <c r="F11" i="25"/>
  <c r="F12" i="25"/>
  <c r="F10" i="25"/>
  <c r="X129" i="21" l="1"/>
  <c r="X382" i="21"/>
  <c r="X130" i="21"/>
  <c r="X131" i="21"/>
  <c r="X128" i="21"/>
  <c r="X124" i="21"/>
  <c r="X366" i="21"/>
  <c r="X348" i="21"/>
  <c r="X51" i="21"/>
  <c r="Q374" i="21"/>
  <c r="R374" i="21"/>
  <c r="S374" i="21"/>
  <c r="T374" i="21"/>
  <c r="U374" i="21"/>
  <c r="V374" i="21"/>
  <c r="W374" i="21"/>
  <c r="Q179" i="21"/>
  <c r="R179" i="21"/>
  <c r="S179" i="21"/>
  <c r="T179" i="21"/>
  <c r="U179" i="21"/>
  <c r="V179" i="21"/>
  <c r="W179" i="21"/>
  <c r="Q365" i="21"/>
  <c r="R365" i="21"/>
  <c r="S365" i="21"/>
  <c r="T365" i="21"/>
  <c r="U365" i="21"/>
  <c r="V365" i="21"/>
  <c r="W365" i="21"/>
  <c r="Q357" i="21"/>
  <c r="R357" i="21"/>
  <c r="S357" i="21"/>
  <c r="T357" i="21"/>
  <c r="U357" i="21"/>
  <c r="V357" i="21"/>
  <c r="W357" i="21"/>
  <c r="Q347" i="21"/>
  <c r="R347" i="21"/>
  <c r="S347" i="21"/>
  <c r="T347" i="21"/>
  <c r="U347" i="21"/>
  <c r="V347" i="21"/>
  <c r="W347" i="21"/>
  <c r="Q345" i="21"/>
  <c r="R345" i="21"/>
  <c r="S345" i="21"/>
  <c r="T345" i="21"/>
  <c r="U345" i="21"/>
  <c r="V345" i="21"/>
  <c r="W345" i="21"/>
  <c r="Q340" i="21"/>
  <c r="R340" i="21"/>
  <c r="S340" i="21"/>
  <c r="T340" i="21"/>
  <c r="U340" i="21"/>
  <c r="V340" i="21"/>
  <c r="W340" i="21"/>
  <c r="Q330" i="21"/>
  <c r="R330" i="21"/>
  <c r="S330" i="21"/>
  <c r="T330" i="21"/>
  <c r="U330" i="21"/>
  <c r="V330" i="21"/>
  <c r="W330" i="21"/>
  <c r="Q316" i="21"/>
  <c r="R316" i="21"/>
  <c r="S316" i="21"/>
  <c r="T316" i="21"/>
  <c r="U316" i="21"/>
  <c r="V316" i="21"/>
  <c r="W316" i="21"/>
  <c r="Q307" i="21"/>
  <c r="R307" i="21"/>
  <c r="S307" i="21"/>
  <c r="T307" i="21"/>
  <c r="U307" i="21"/>
  <c r="V307" i="21"/>
  <c r="W307" i="21"/>
  <c r="Q305" i="21"/>
  <c r="R305" i="21"/>
  <c r="S305" i="21"/>
  <c r="T305" i="21"/>
  <c r="U305" i="21"/>
  <c r="V305" i="21"/>
  <c r="W305" i="21"/>
  <c r="Q302" i="21"/>
  <c r="R302" i="21"/>
  <c r="S302" i="21"/>
  <c r="T302" i="21"/>
  <c r="U302" i="21"/>
  <c r="V302" i="21"/>
  <c r="W302" i="21"/>
  <c r="Q298" i="21"/>
  <c r="R298" i="21"/>
  <c r="S298" i="21"/>
  <c r="T298" i="21"/>
  <c r="U298" i="21"/>
  <c r="V298" i="21"/>
  <c r="W298" i="21"/>
  <c r="Q290" i="21"/>
  <c r="R290" i="21"/>
  <c r="S290" i="21"/>
  <c r="T290" i="21"/>
  <c r="U290" i="21"/>
  <c r="V290" i="21"/>
  <c r="W290" i="21"/>
  <c r="Q286" i="21"/>
  <c r="R286" i="21"/>
  <c r="S286" i="21"/>
  <c r="T286" i="21"/>
  <c r="U286" i="21"/>
  <c r="V286" i="21"/>
  <c r="W286" i="21"/>
  <c r="Q276" i="21"/>
  <c r="R276" i="21"/>
  <c r="S276" i="21"/>
  <c r="T276" i="21"/>
  <c r="U276" i="21"/>
  <c r="V276" i="21"/>
  <c r="W276" i="21"/>
  <c r="Q273" i="21"/>
  <c r="R273" i="21"/>
  <c r="S273" i="21"/>
  <c r="T273" i="21"/>
  <c r="U273" i="21"/>
  <c r="V273" i="21"/>
  <c r="W273" i="21"/>
  <c r="Q268" i="21"/>
  <c r="R268" i="21"/>
  <c r="S268" i="21"/>
  <c r="T268" i="21"/>
  <c r="U268" i="21"/>
  <c r="V268" i="21"/>
  <c r="W268" i="21"/>
  <c r="Q261" i="21"/>
  <c r="R261" i="21"/>
  <c r="S261" i="21"/>
  <c r="T261" i="21"/>
  <c r="U261" i="21"/>
  <c r="V261" i="21"/>
  <c r="W261" i="21"/>
  <c r="Q257" i="21"/>
  <c r="R257" i="21"/>
  <c r="S257" i="21"/>
  <c r="T257" i="21"/>
  <c r="U257" i="21"/>
  <c r="V257" i="21"/>
  <c r="W257" i="21"/>
  <c r="Q245" i="21"/>
  <c r="R245" i="21"/>
  <c r="S245" i="21"/>
  <c r="T245" i="21"/>
  <c r="U245" i="21"/>
  <c r="V245" i="21"/>
  <c r="W245" i="21"/>
  <c r="Q234" i="21"/>
  <c r="R234" i="21"/>
  <c r="S234" i="21"/>
  <c r="T234" i="21"/>
  <c r="U234" i="21"/>
  <c r="V234" i="21"/>
  <c r="W234" i="21"/>
  <c r="Q123" i="21"/>
  <c r="R123" i="21"/>
  <c r="S123" i="21"/>
  <c r="T123" i="21"/>
  <c r="U123" i="21"/>
  <c r="V123" i="21"/>
  <c r="W123" i="21"/>
  <c r="Q121" i="21"/>
  <c r="R121" i="21"/>
  <c r="S121" i="21"/>
  <c r="T121" i="21"/>
  <c r="U121" i="21"/>
  <c r="V121" i="21"/>
  <c r="W121" i="21"/>
  <c r="Q102" i="21"/>
  <c r="R102" i="21"/>
  <c r="S102" i="21"/>
  <c r="T102" i="21"/>
  <c r="U102" i="21"/>
  <c r="V102" i="21"/>
  <c r="W102" i="21"/>
  <c r="Q96" i="21"/>
  <c r="R96" i="21"/>
  <c r="S96" i="21"/>
  <c r="T96" i="21"/>
  <c r="U96" i="21"/>
  <c r="V96" i="21"/>
  <c r="W96" i="21"/>
  <c r="Q81" i="21"/>
  <c r="R81" i="21"/>
  <c r="S81" i="21"/>
  <c r="T81" i="21"/>
  <c r="U81" i="21"/>
  <c r="V81" i="21"/>
  <c r="W81" i="21"/>
  <c r="Q50" i="21"/>
  <c r="R50" i="21"/>
  <c r="S50" i="21"/>
  <c r="T50" i="21"/>
  <c r="U50" i="21"/>
  <c r="V50" i="21"/>
  <c r="W50" i="21"/>
  <c r="Q48" i="21"/>
  <c r="R48" i="21"/>
  <c r="S48" i="21"/>
  <c r="T48" i="21"/>
  <c r="U48" i="21"/>
  <c r="V48" i="21"/>
  <c r="W48" i="21"/>
  <c r="Q44" i="21"/>
  <c r="R44" i="21"/>
  <c r="S44" i="21"/>
  <c r="T44" i="21"/>
  <c r="U44" i="21"/>
  <c r="V44" i="21"/>
  <c r="W44" i="21"/>
  <c r="Q34" i="21"/>
  <c r="R34" i="21"/>
  <c r="S34" i="21"/>
  <c r="T34" i="21"/>
  <c r="U34" i="21"/>
  <c r="V34" i="21"/>
  <c r="W34" i="21"/>
  <c r="Q13" i="21"/>
  <c r="R13" i="21"/>
  <c r="S13" i="21"/>
  <c r="T13" i="21"/>
  <c r="U13" i="21"/>
  <c r="V13" i="21"/>
  <c r="W13" i="21"/>
  <c r="AB55" i="21"/>
  <c r="AB27" i="21"/>
  <c r="AB26" i="21"/>
  <c r="AB25" i="21"/>
  <c r="AB24" i="21"/>
  <c r="AB21" i="21"/>
  <c r="AB17" i="21"/>
  <c r="AB16" i="21"/>
  <c r="P316" i="21"/>
  <c r="AB314" i="21"/>
  <c r="AB253" i="21"/>
  <c r="P81" i="21"/>
  <c r="AB57" i="21"/>
  <c r="P34" i="21"/>
  <c r="AB18" i="21"/>
  <c r="AB19" i="21"/>
  <c r="AB31" i="21"/>
  <c r="Q382" i="21" l="1"/>
  <c r="U128" i="21"/>
  <c r="W130" i="21"/>
  <c r="R382" i="21"/>
  <c r="V128" i="21"/>
  <c r="S131" i="21"/>
  <c r="T129" i="21"/>
  <c r="V131" i="21"/>
  <c r="U382" i="21"/>
  <c r="T382" i="21"/>
  <c r="S382" i="21"/>
  <c r="W382" i="21"/>
  <c r="V382" i="21"/>
  <c r="S127" i="21"/>
  <c r="U129" i="21"/>
  <c r="W131" i="21"/>
  <c r="S129" i="21"/>
  <c r="U131" i="21"/>
  <c r="W128" i="21"/>
  <c r="T131" i="21"/>
  <c r="U127" i="21"/>
  <c r="W129" i="21"/>
  <c r="T127" i="21"/>
  <c r="V129" i="21"/>
  <c r="W127" i="21"/>
  <c r="T130" i="21"/>
  <c r="V127" i="21"/>
  <c r="S130" i="21"/>
  <c r="T128" i="21"/>
  <c r="V130" i="21"/>
  <c r="S128" i="21"/>
  <c r="U130" i="21"/>
  <c r="X125" i="21"/>
  <c r="Q129" i="21"/>
  <c r="R127" i="21"/>
  <c r="W366" i="21"/>
  <c r="U366" i="21"/>
  <c r="Q127" i="21"/>
  <c r="R130" i="21"/>
  <c r="Q130" i="21"/>
  <c r="R128" i="21"/>
  <c r="Q128" i="21"/>
  <c r="R131" i="21"/>
  <c r="Q131" i="21"/>
  <c r="R366" i="21"/>
  <c r="R129" i="21"/>
  <c r="Q366" i="21"/>
  <c r="T366" i="21"/>
  <c r="W124" i="21"/>
  <c r="V51" i="21"/>
  <c r="U124" i="21"/>
  <c r="S348" i="21"/>
  <c r="V366" i="21"/>
  <c r="W51" i="21"/>
  <c r="U51" i="21"/>
  <c r="T124" i="21"/>
  <c r="T348" i="21"/>
  <c r="R348" i="21"/>
  <c r="T51" i="21"/>
  <c r="S124" i="21"/>
  <c r="Q348" i="21"/>
  <c r="R51" i="21"/>
  <c r="S51" i="21"/>
  <c r="V124" i="21"/>
  <c r="R124" i="21"/>
  <c r="V348" i="21"/>
  <c r="S366" i="21"/>
  <c r="U348" i="21"/>
  <c r="Q124" i="21"/>
  <c r="W348" i="21"/>
  <c r="Q51" i="21"/>
  <c r="AB15" i="21"/>
  <c r="X367" i="21" l="1"/>
  <c r="X375" i="21" s="1"/>
  <c r="X126" i="21"/>
  <c r="W125" i="21"/>
  <c r="W126" i="21" s="1"/>
  <c r="U125" i="21"/>
  <c r="U126" i="21" s="1"/>
  <c r="T125" i="21"/>
  <c r="T126" i="21" s="1"/>
  <c r="S125" i="21"/>
  <c r="S126" i="21" s="1"/>
  <c r="R125" i="21"/>
  <c r="R126" i="21" s="1"/>
  <c r="V125" i="21"/>
  <c r="V126" i="21" s="1"/>
  <c r="Q125" i="21"/>
  <c r="Q126" i="21" s="1"/>
  <c r="W367" i="21" l="1"/>
  <c r="W375" i="21" s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227" i="1"/>
  <c r="F223" i="1"/>
  <c r="F219" i="1"/>
  <c r="F218" i="1"/>
  <c r="F217" i="1"/>
  <c r="F214" i="1"/>
  <c r="F213" i="1"/>
  <c r="F212" i="1"/>
  <c r="F211" i="1"/>
  <c r="F210" i="1"/>
  <c r="F209" i="1"/>
  <c r="F206" i="1"/>
  <c r="F205" i="1"/>
  <c r="F204" i="1"/>
  <c r="F203" i="1"/>
  <c r="F202" i="1"/>
  <c r="F201" i="1"/>
  <c r="F200" i="1"/>
  <c r="F199" i="1"/>
  <c r="F198" i="1"/>
  <c r="F196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4" i="1"/>
  <c r="F173" i="1"/>
  <c r="F172" i="1"/>
  <c r="F170" i="1"/>
  <c r="F168" i="1"/>
  <c r="F167" i="1"/>
  <c r="F166" i="1"/>
  <c r="F165" i="1"/>
  <c r="F164" i="1"/>
  <c r="F163" i="1"/>
  <c r="F162" i="1"/>
  <c r="F161" i="1"/>
  <c r="F160" i="1"/>
  <c r="F158" i="1"/>
  <c r="F157" i="1"/>
  <c r="F156" i="1"/>
  <c r="F155" i="1"/>
  <c r="F154" i="1"/>
  <c r="F151" i="1"/>
  <c r="F150" i="1"/>
  <c r="F149" i="1"/>
  <c r="F148" i="1"/>
  <c r="F147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7" i="1"/>
  <c r="F116" i="1"/>
  <c r="F114" i="1"/>
  <c r="F109" i="1"/>
  <c r="F108" i="1"/>
  <c r="F107" i="1"/>
  <c r="F106" i="1"/>
  <c r="F105" i="1"/>
  <c r="F104" i="1"/>
  <c r="F103" i="1"/>
  <c r="F100" i="1"/>
  <c r="F99" i="1"/>
  <c r="F97" i="1"/>
  <c r="F96" i="1"/>
  <c r="F94" i="1"/>
  <c r="F93" i="1"/>
  <c r="F92" i="1"/>
  <c r="F91" i="1"/>
  <c r="F89" i="1"/>
  <c r="F88" i="1"/>
  <c r="F87" i="1"/>
  <c r="F86" i="1"/>
  <c r="F84" i="1"/>
  <c r="F83" i="1"/>
  <c r="F81" i="1"/>
  <c r="F80" i="1"/>
  <c r="F79" i="1"/>
  <c r="F78" i="1"/>
  <c r="F77" i="1"/>
  <c r="F76" i="1"/>
  <c r="F75" i="1"/>
  <c r="F74" i="1"/>
  <c r="F73" i="1"/>
  <c r="F72" i="1"/>
  <c r="F70" i="1"/>
  <c r="F69" i="1"/>
  <c r="F66" i="1"/>
  <c r="F65" i="1"/>
  <c r="F62" i="1"/>
  <c r="F61" i="1"/>
  <c r="F60" i="1"/>
  <c r="F59" i="1"/>
  <c r="F58" i="1"/>
  <c r="F56" i="1"/>
  <c r="F55" i="1"/>
  <c r="F54" i="1"/>
  <c r="F53" i="1"/>
  <c r="F52" i="1"/>
  <c r="F51" i="1"/>
  <c r="F50" i="1"/>
  <c r="F49" i="1"/>
  <c r="F48" i="1"/>
  <c r="F47" i="1"/>
  <c r="F46" i="1"/>
  <c r="F44" i="1"/>
  <c r="F43" i="1"/>
  <c r="F40" i="1"/>
  <c r="F39" i="1"/>
  <c r="F38" i="1"/>
  <c r="F37" i="1"/>
  <c r="F36" i="1"/>
  <c r="F35" i="1"/>
  <c r="F34" i="1"/>
  <c r="F33" i="1"/>
  <c r="F32" i="1"/>
  <c r="F31" i="1"/>
  <c r="F29" i="1"/>
  <c r="F27" i="1"/>
  <c r="F26" i="1"/>
  <c r="F25" i="1"/>
  <c r="F24" i="1"/>
  <c r="F23" i="1"/>
  <c r="F22" i="1"/>
  <c r="F21" i="1"/>
  <c r="F20" i="1"/>
  <c r="F17" i="1"/>
  <c r="F15" i="1"/>
  <c r="F14" i="1"/>
  <c r="F13" i="1"/>
  <c r="F12" i="1"/>
  <c r="F9" i="1"/>
  <c r="F8" i="1"/>
  <c r="F7" i="1"/>
  <c r="F6" i="1"/>
  <c r="F5" i="1"/>
  <c r="F4" i="1"/>
  <c r="F2" i="1"/>
  <c r="F2" i="9" l="1"/>
  <c r="F3" i="9"/>
  <c r="F4" i="9"/>
  <c r="F5" i="9"/>
  <c r="F6" i="9"/>
  <c r="F7" i="9"/>
  <c r="F8" i="9"/>
  <c r="F9" i="9"/>
  <c r="F12" i="9"/>
  <c r="F13" i="9"/>
  <c r="F14" i="9"/>
  <c r="F15" i="9"/>
  <c r="F17" i="9"/>
  <c r="F20" i="9"/>
  <c r="F21" i="9"/>
  <c r="F22" i="9"/>
  <c r="F23" i="9"/>
  <c r="F24" i="9"/>
  <c r="F25" i="9"/>
  <c r="F27" i="9"/>
  <c r="F29" i="9"/>
  <c r="F30" i="9"/>
  <c r="F31" i="9"/>
  <c r="F32" i="9"/>
  <c r="F33" i="9"/>
  <c r="F34" i="9"/>
  <c r="F35" i="9"/>
  <c r="F36" i="9"/>
  <c r="F37" i="9"/>
  <c r="F38" i="9"/>
  <c r="F41" i="9"/>
  <c r="F42" i="9"/>
  <c r="F43" i="9"/>
  <c r="F45" i="9"/>
  <c r="F46" i="9"/>
  <c r="F47" i="9"/>
  <c r="F48" i="9"/>
  <c r="F49" i="9"/>
  <c r="F50" i="9"/>
  <c r="F51" i="9"/>
  <c r="F52" i="9"/>
  <c r="F53" i="9"/>
  <c r="F54" i="9"/>
  <c r="F55" i="9"/>
  <c r="F57" i="9"/>
  <c r="F58" i="9"/>
  <c r="F60" i="9"/>
  <c r="F61" i="9"/>
  <c r="F62" i="9"/>
  <c r="F63" i="9"/>
  <c r="F64" i="9"/>
  <c r="F67" i="9"/>
  <c r="F70" i="9"/>
  <c r="F71" i="9"/>
  <c r="F72" i="9"/>
  <c r="F73" i="9"/>
  <c r="F74" i="9"/>
  <c r="F75" i="9"/>
  <c r="F76" i="9"/>
  <c r="F79" i="9"/>
  <c r="F80" i="9"/>
  <c r="F82" i="9"/>
  <c r="F83" i="9"/>
  <c r="F84" i="9"/>
  <c r="F85" i="9"/>
  <c r="F86" i="9"/>
  <c r="F87" i="9"/>
  <c r="F88" i="9"/>
  <c r="F89" i="9"/>
  <c r="F90" i="9"/>
  <c r="F91" i="9"/>
  <c r="F93" i="9"/>
  <c r="F94" i="9"/>
  <c r="F96" i="9"/>
  <c r="F97" i="9"/>
  <c r="F98" i="9"/>
  <c r="F99" i="9"/>
  <c r="F101" i="9"/>
  <c r="F102" i="9"/>
  <c r="F103" i="9"/>
  <c r="F104" i="9"/>
  <c r="F106" i="9"/>
  <c r="F107" i="9"/>
  <c r="F109" i="9"/>
  <c r="F110" i="9"/>
  <c r="F111" i="9"/>
  <c r="F112" i="9"/>
  <c r="F115" i="9"/>
  <c r="F116" i="9"/>
  <c r="F117" i="9"/>
  <c r="F118" i="9"/>
  <c r="F119" i="9"/>
  <c r="F120" i="9"/>
  <c r="F124" i="9"/>
  <c r="F125" i="9"/>
  <c r="F126" i="9"/>
  <c r="F127" i="9"/>
  <c r="F128" i="9"/>
  <c r="F129" i="9"/>
  <c r="F130" i="9"/>
  <c r="F131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2" i="9"/>
  <c r="F163" i="9"/>
  <c r="F164" i="9"/>
  <c r="F165" i="9"/>
  <c r="F168" i="9"/>
  <c r="F169" i="9"/>
  <c r="F170" i="9"/>
  <c r="F171" i="9"/>
  <c r="F173" i="9"/>
  <c r="F174" i="9"/>
  <c r="F175" i="9"/>
  <c r="F176" i="9"/>
  <c r="F177" i="9"/>
  <c r="F178" i="9"/>
  <c r="F179" i="9"/>
  <c r="F180" i="9"/>
  <c r="F181" i="9"/>
  <c r="F183" i="9"/>
  <c r="F185" i="9"/>
  <c r="F186" i="9"/>
  <c r="F187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6" i="9"/>
  <c r="F208" i="9"/>
  <c r="F209" i="9"/>
  <c r="F210" i="9"/>
  <c r="F211" i="9"/>
  <c r="F212" i="9"/>
  <c r="F215" i="9"/>
  <c r="F216" i="9"/>
  <c r="F217" i="9"/>
  <c r="F218" i="9"/>
  <c r="F219" i="9"/>
  <c r="F220" i="9"/>
  <c r="F223" i="9"/>
  <c r="F224" i="9"/>
  <c r="F225" i="9"/>
  <c r="F229" i="9"/>
  <c r="F233" i="9"/>
  <c r="F234" i="9"/>
  <c r="F236" i="9"/>
  <c r="F237" i="9"/>
  <c r="F239" i="9"/>
  <c r="F240" i="9"/>
  <c r="F241" i="9"/>
  <c r="F242" i="9"/>
  <c r="F243" i="9"/>
  <c r="F245" i="9"/>
  <c r="F246" i="9"/>
  <c r="F247" i="9"/>
  <c r="F248" i="9"/>
  <c r="F249" i="9"/>
  <c r="F250" i="9"/>
  <c r="F251" i="9"/>
  <c r="F252" i="9"/>
  <c r="F254" i="9"/>
  <c r="F255" i="9"/>
  <c r="F256" i="9"/>
  <c r="F257" i="9"/>
  <c r="F258" i="9"/>
  <c r="F259" i="9"/>
  <c r="F261" i="9"/>
  <c r="F263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80" i="9"/>
  <c r="F281" i="9"/>
  <c r="F282" i="9"/>
  <c r="F283" i="9"/>
  <c r="F284" i="9"/>
  <c r="F285" i="9"/>
  <c r="F286" i="9"/>
  <c r="F287" i="9"/>
  <c r="F289" i="9"/>
  <c r="F290" i="9"/>
  <c r="F292" i="9"/>
  <c r="F293" i="9"/>
  <c r="F294" i="9"/>
  <c r="F295" i="9"/>
  <c r="F296" i="9"/>
  <c r="F297" i="9"/>
  <c r="F299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60" i="9"/>
  <c r="F361" i="9"/>
  <c r="F362" i="9"/>
  <c r="F363" i="9"/>
  <c r="F364" i="9"/>
  <c r="F366" i="9"/>
  <c r="F367" i="9"/>
  <c r="F368" i="9"/>
  <c r="F369" i="9"/>
  <c r="F370" i="9"/>
  <c r="F372" i="9"/>
  <c r="F373" i="9"/>
  <c r="F374" i="9"/>
  <c r="F376" i="9"/>
  <c r="F377" i="9"/>
  <c r="F378" i="9"/>
  <c r="F379" i="9"/>
  <c r="F380" i="9"/>
  <c r="F382" i="9"/>
  <c r="F384" i="9"/>
  <c r="F386" i="9"/>
  <c r="F387" i="9"/>
  <c r="F389" i="9"/>
  <c r="F390" i="9"/>
  <c r="F392" i="9"/>
  <c r="F393" i="9"/>
  <c r="F394" i="9"/>
  <c r="F396" i="9"/>
  <c r="F398" i="9"/>
  <c r="F400" i="9"/>
  <c r="F402" i="9"/>
  <c r="F403" i="9"/>
  <c r="F404" i="9"/>
  <c r="F405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1" i="9"/>
  <c r="F422" i="9"/>
  <c r="F423" i="9"/>
  <c r="F424" i="9"/>
  <c r="F425" i="9"/>
  <c r="F426" i="9"/>
  <c r="F427" i="9"/>
  <c r="F429" i="9"/>
  <c r="F430" i="9"/>
  <c r="F431" i="9"/>
  <c r="F433" i="9"/>
  <c r="F436" i="9"/>
  <c r="F437" i="9"/>
  <c r="F439" i="9"/>
  <c r="F440" i="9"/>
  <c r="F441" i="9"/>
  <c r="F444" i="9"/>
  <c r="F447" i="9"/>
  <c r="F448" i="9"/>
  <c r="F449" i="9"/>
  <c r="F452" i="9"/>
  <c r="F453" i="9"/>
  <c r="F454" i="9"/>
  <c r="F455" i="9"/>
  <c r="F456" i="9"/>
  <c r="F459" i="9"/>
  <c r="F460" i="9"/>
  <c r="F461" i="9"/>
  <c r="F462" i="9"/>
  <c r="F463" i="9"/>
  <c r="F464" i="9"/>
  <c r="F465" i="9"/>
  <c r="F466" i="9"/>
  <c r="F467" i="9"/>
  <c r="F123" i="9" l="1"/>
  <c r="F39" i="9"/>
  <c r="F160" i="9"/>
  <c r="F184" i="9"/>
  <c r="F232" i="9"/>
  <c r="F264" i="9"/>
  <c r="F288" i="9"/>
  <c r="F432" i="9"/>
  <c r="F450" i="9"/>
  <c r="F375" i="9"/>
  <c r="F16" i="9"/>
  <c r="F40" i="9"/>
  <c r="F56" i="9"/>
  <c r="F65" i="9"/>
  <c r="F81" i="9"/>
  <c r="F105" i="9"/>
  <c r="F113" i="9"/>
  <c r="F121" i="9"/>
  <c r="F161" i="9"/>
  <c r="F265" i="9"/>
  <c r="F329" i="9"/>
  <c r="F385" i="9"/>
  <c r="F401" i="9"/>
  <c r="F457" i="9"/>
  <c r="F434" i="9"/>
  <c r="F458" i="9"/>
  <c r="F238" i="9"/>
  <c r="F66" i="9"/>
  <c r="F114" i="9"/>
  <c r="F122" i="9"/>
  <c r="F226" i="9"/>
  <c r="F298" i="9"/>
  <c r="F442" i="9"/>
  <c r="F438" i="9"/>
  <c r="F95" i="9"/>
  <c r="F231" i="9"/>
  <c r="F279" i="9"/>
  <c r="F391" i="9"/>
  <c r="F10" i="9"/>
  <c r="F18" i="9"/>
  <c r="F26" i="9"/>
  <c r="F227" i="9"/>
  <c r="F235" i="9"/>
  <c r="F291" i="9"/>
  <c r="F371" i="9"/>
  <c r="F395" i="9"/>
  <c r="F435" i="9"/>
  <c r="F443" i="9"/>
  <c r="F451" i="9"/>
  <c r="F420" i="9"/>
  <c r="F182" i="9"/>
  <c r="F230" i="9"/>
  <c r="F446" i="9"/>
  <c r="F11" i="9"/>
  <c r="F19" i="9"/>
  <c r="F68" i="9"/>
  <c r="F92" i="9"/>
  <c r="F100" i="9"/>
  <c r="F108" i="9"/>
  <c r="F132" i="9"/>
  <c r="F172" i="9"/>
  <c r="F188" i="9"/>
  <c r="F204" i="9"/>
  <c r="F228" i="9"/>
  <c r="F244" i="9"/>
  <c r="F260" i="9"/>
  <c r="F300" i="9"/>
  <c r="F388" i="9"/>
  <c r="F428" i="9"/>
  <c r="F78" i="9"/>
  <c r="F406" i="9"/>
  <c r="F207" i="9"/>
  <c r="F28" i="9"/>
  <c r="F44" i="9"/>
  <c r="F69" i="9"/>
  <c r="F77" i="9"/>
  <c r="F133" i="9"/>
  <c r="F205" i="9"/>
  <c r="F213" i="9"/>
  <c r="F221" i="9"/>
  <c r="F253" i="9"/>
  <c r="F301" i="9"/>
  <c r="F365" i="9"/>
  <c r="F381" i="9"/>
  <c r="F397" i="9"/>
  <c r="F445" i="9"/>
  <c r="F166" i="9"/>
  <c r="F214" i="9"/>
  <c r="F262" i="9"/>
  <c r="F167" i="9"/>
  <c r="F359" i="9"/>
  <c r="F222" i="9"/>
  <c r="F399" i="9"/>
  <c r="F383" i="9"/>
  <c r="P374" i="21"/>
  <c r="AB368" i="21"/>
  <c r="AB374" i="21" s="1"/>
  <c r="AB315" i="21" l="1"/>
  <c r="AB205" i="21"/>
  <c r="AB200" i="21"/>
  <c r="AB8" i="21"/>
  <c r="AB270" i="21"/>
  <c r="AB272" i="21"/>
  <c r="AB364" i="21" l="1"/>
  <c r="AB362" i="21"/>
  <c r="AB346" i="21"/>
  <c r="AB347" i="21" s="1"/>
  <c r="AB322" i="21"/>
  <c r="AB295" i="21"/>
  <c r="AB277" i="21"/>
  <c r="AB265" i="21"/>
  <c r="AB254" i="21"/>
  <c r="AB247" i="21"/>
  <c r="AB243" i="21"/>
  <c r="AB224" i="21"/>
  <c r="AB213" i="21"/>
  <c r="AB212" i="21"/>
  <c r="AB203" i="21"/>
  <c r="AB197" i="21"/>
  <c r="AB192" i="21"/>
  <c r="AB188" i="21"/>
  <c r="AB167" i="21"/>
  <c r="AB166" i="21"/>
  <c r="AB157" i="21"/>
  <c r="AB155" i="21"/>
  <c r="AB139" i="21"/>
  <c r="AB137" i="21"/>
  <c r="AB136" i="21"/>
  <c r="AB134" i="21"/>
  <c r="AB122" i="21"/>
  <c r="AB123" i="21" s="1"/>
  <c r="AB119" i="21"/>
  <c r="AB118" i="21"/>
  <c r="AB112" i="21"/>
  <c r="AB100" i="21"/>
  <c r="AB92" i="21"/>
  <c r="AB90" i="21"/>
  <c r="AB83" i="21"/>
  <c r="AB80" i="21"/>
  <c r="AB78" i="21"/>
  <c r="AB73" i="21"/>
  <c r="AB72" i="21"/>
  <c r="AB60" i="21"/>
  <c r="AB38" i="21"/>
  <c r="AB36" i="21"/>
  <c r="AB35" i="21"/>
  <c r="AB11" i="21"/>
  <c r="AB5" i="21"/>
  <c r="AB246" i="21"/>
  <c r="AB236" i="21"/>
  <c r="AB223" i="21"/>
  <c r="AB202" i="21"/>
  <c r="AB190" i="21"/>
  <c r="AB154" i="21"/>
  <c r="AB153" i="21"/>
  <c r="AB152" i="21"/>
  <c r="AB143" i="21"/>
  <c r="AB117" i="21"/>
  <c r="AB88" i="21"/>
  <c r="AB69" i="21"/>
  <c r="AB68" i="21"/>
  <c r="AB45" i="21"/>
  <c r="P273" i="21"/>
  <c r="AB287" i="21"/>
  <c r="AB222" i="21"/>
  <c r="AB211" i="21"/>
  <c r="AB210" i="21"/>
  <c r="AB208" i="21"/>
  <c r="AB207" i="21"/>
  <c r="AB199" i="21"/>
  <c r="AB195" i="21"/>
  <c r="AB193" i="21"/>
  <c r="AB189" i="21"/>
  <c r="AB186" i="21"/>
  <c r="AB185" i="21"/>
  <c r="AB181" i="21"/>
  <c r="AB174" i="21"/>
  <c r="AB171" i="21"/>
  <c r="AB168" i="21"/>
  <c r="AB165" i="21"/>
  <c r="AB164" i="21"/>
  <c r="AB163" i="21"/>
  <c r="AB160" i="21"/>
  <c r="AB142" i="21"/>
  <c r="AB141" i="21"/>
  <c r="AB114" i="21"/>
  <c r="AB103" i="21"/>
  <c r="AB98" i="21"/>
  <c r="AB97" i="21"/>
  <c r="AB93" i="21"/>
  <c r="AB86" i="21"/>
  <c r="AB84" i="21"/>
  <c r="AB82" i="21"/>
  <c r="AB75" i="21"/>
  <c r="AB74" i="21"/>
  <c r="AB64" i="21"/>
  <c r="AB42" i="21"/>
  <c r="AB40" i="21"/>
  <c r="AB344" i="21"/>
  <c r="AB333" i="21"/>
  <c r="AB324" i="21"/>
  <c r="AB313" i="21"/>
  <c r="AB240" i="21"/>
  <c r="AB238" i="21"/>
  <c r="AB204" i="21"/>
  <c r="AB196" i="21"/>
  <c r="AB187" i="21"/>
  <c r="AB178" i="21"/>
  <c r="AB172" i="21"/>
  <c r="AB161" i="21"/>
  <c r="AB138" i="21"/>
  <c r="AB120" i="21"/>
  <c r="AB111" i="21"/>
  <c r="AB89" i="21"/>
  <c r="AB79" i="21"/>
  <c r="AB70" i="21"/>
  <c r="AB47" i="21"/>
  <c r="AB37" i="21"/>
  <c r="AB12" i="21"/>
  <c r="AB173" i="21"/>
  <c r="AB77" i="21"/>
  <c r="AB59" i="21"/>
  <c r="AB9" i="21"/>
  <c r="AB7" i="21"/>
  <c r="AB6" i="21"/>
  <c r="AB363" i="21"/>
  <c r="AB361" i="21"/>
  <c r="AB360" i="21"/>
  <c r="AB358" i="21"/>
  <c r="AB356" i="21"/>
  <c r="AB355" i="21"/>
  <c r="AB353" i="21"/>
  <c r="AB352" i="21"/>
  <c r="AB351" i="21"/>
  <c r="AB343" i="21"/>
  <c r="AB342" i="21"/>
  <c r="AB332" i="21"/>
  <c r="AB329" i="21"/>
  <c r="AB328" i="21"/>
  <c r="AB327" i="21"/>
  <c r="AB326" i="21"/>
  <c r="AB323" i="21"/>
  <c r="AB321" i="21"/>
  <c r="AB320" i="21"/>
  <c r="AB319" i="21"/>
  <c r="AB318" i="21"/>
  <c r="AB317" i="21"/>
  <c r="AB296" i="21"/>
  <c r="AB294" i="21"/>
  <c r="AB312" i="21"/>
  <c r="AB311" i="21"/>
  <c r="AB310" i="21"/>
  <c r="AB309" i="21"/>
  <c r="AB304" i="21"/>
  <c r="AB303" i="21"/>
  <c r="AB299" i="21"/>
  <c r="AB293" i="21"/>
  <c r="AB292" i="21"/>
  <c r="AB285" i="21"/>
  <c r="AB284" i="21"/>
  <c r="AB281" i="21"/>
  <c r="AB279" i="21"/>
  <c r="AB278" i="21"/>
  <c r="AB274" i="21"/>
  <c r="AB269" i="21"/>
  <c r="AB273" i="21" s="1"/>
  <c r="AB267" i="21"/>
  <c r="AB266" i="21"/>
  <c r="AB263" i="21"/>
  <c r="AB260" i="21"/>
  <c r="AB259" i="21"/>
  <c r="AB256" i="21"/>
  <c r="AB255" i="21"/>
  <c r="AB252" i="21"/>
  <c r="AB249" i="21"/>
  <c r="AB248" i="21"/>
  <c r="AB244" i="21"/>
  <c r="AB242" i="21"/>
  <c r="AB239" i="21"/>
  <c r="AB235" i="21"/>
  <c r="AB220" i="21"/>
  <c r="AB219" i="21"/>
  <c r="AB216" i="21"/>
  <c r="AB214" i="21"/>
  <c r="AB209" i="21"/>
  <c r="AB206" i="21"/>
  <c r="AB201" i="21"/>
  <c r="AB198" i="21"/>
  <c r="AB191" i="21"/>
  <c r="AB184" i="21"/>
  <c r="AB183" i="21"/>
  <c r="AB162" i="21"/>
  <c r="AB159" i="21"/>
  <c r="AB156" i="21"/>
  <c r="AB140" i="21"/>
  <c r="AB135" i="21"/>
  <c r="AB132" i="21"/>
  <c r="AB115" i="21"/>
  <c r="AB113" i="21"/>
  <c r="AB101" i="21"/>
  <c r="AB99" i="21"/>
  <c r="AB94" i="21"/>
  <c r="AB85" i="21"/>
  <c r="AB76" i="21"/>
  <c r="AB67" i="21"/>
  <c r="AB65" i="21"/>
  <c r="AB63" i="21"/>
  <c r="AB61" i="21"/>
  <c r="AB58" i="21"/>
  <c r="AB52" i="21"/>
  <c r="AB43" i="21"/>
  <c r="AB39" i="21"/>
  <c r="P261" i="21"/>
  <c r="P179" i="21"/>
  <c r="P365" i="21"/>
  <c r="P357" i="21"/>
  <c r="P347" i="21"/>
  <c r="P345" i="21"/>
  <c r="P340" i="21"/>
  <c r="P330" i="21"/>
  <c r="P307" i="21"/>
  <c r="P305" i="21"/>
  <c r="P302" i="21"/>
  <c r="P298" i="21"/>
  <c r="P290" i="21"/>
  <c r="P286" i="21"/>
  <c r="P276" i="21"/>
  <c r="P268" i="21"/>
  <c r="P257" i="21"/>
  <c r="P245" i="21"/>
  <c r="P234" i="21"/>
  <c r="P123" i="21"/>
  <c r="P121" i="21"/>
  <c r="P102" i="21"/>
  <c r="P96" i="21"/>
  <c r="P50" i="21"/>
  <c r="P48" i="21"/>
  <c r="P44" i="21"/>
  <c r="P382" i="21" s="1"/>
  <c r="P13" i="21"/>
  <c r="O239" i="21"/>
  <c r="N257" i="21"/>
  <c r="N273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N81" i="21"/>
  <c r="O295" i="21"/>
  <c r="BO295" i="21" s="1"/>
  <c r="O296" i="21"/>
  <c r="BO239" i="21" l="1"/>
  <c r="AB305" i="21"/>
  <c r="AB102" i="21"/>
  <c r="AB121" i="21"/>
  <c r="AB286" i="21"/>
  <c r="AB365" i="21"/>
  <c r="AB44" i="21"/>
  <c r="P129" i="21"/>
  <c r="P131" i="21"/>
  <c r="P128" i="21"/>
  <c r="P127" i="21"/>
  <c r="P130" i="21"/>
  <c r="AB237" i="21"/>
  <c r="AB245" i="21" s="1"/>
  <c r="AB258" i="21"/>
  <c r="AB261" i="21" s="1"/>
  <c r="AB334" i="21"/>
  <c r="AB354" i="21"/>
  <c r="AB357" i="21" s="1"/>
  <c r="AB62" i="21"/>
  <c r="AB341" i="21"/>
  <c r="AB345" i="21" s="1"/>
  <c r="AB291" i="21"/>
  <c r="AB298" i="21" s="1"/>
  <c r="AB14" i="21"/>
  <c r="AB34" i="21" s="1"/>
  <c r="AB325" i="21"/>
  <c r="AB330" i="21" s="1"/>
  <c r="AB91" i="21"/>
  <c r="AB96" i="21" s="1"/>
  <c r="AB180" i="21"/>
  <c r="AB46" i="21"/>
  <c r="AB48" i="21" s="1"/>
  <c r="AB308" i="21"/>
  <c r="AB297" i="21"/>
  <c r="AB49" i="21"/>
  <c r="AB50" i="21" s="1"/>
  <c r="AB131" i="21" s="1"/>
  <c r="AB250" i="21"/>
  <c r="AB257" i="21" s="1"/>
  <c r="AB262" i="21"/>
  <c r="AB268" i="21" s="1"/>
  <c r="AB288" i="21"/>
  <c r="AB290" i="21" s="1"/>
  <c r="AB306" i="21"/>
  <c r="AB307" i="21" s="1"/>
  <c r="AB53" i="21"/>
  <c r="AB133" i="21"/>
  <c r="AB179" i="21" s="1"/>
  <c r="AB182" i="21"/>
  <c r="AB4" i="21"/>
  <c r="AB13" i="21" s="1"/>
  <c r="AB301" i="21"/>
  <c r="AB302" i="21" s="1"/>
  <c r="AB331" i="21"/>
  <c r="AB275" i="21"/>
  <c r="AB276" i="21" s="1"/>
  <c r="P366" i="21"/>
  <c r="P348" i="21"/>
  <c r="P51" i="21"/>
  <c r="P124" i="21"/>
  <c r="O372" i="21"/>
  <c r="O371" i="21"/>
  <c r="O370" i="21"/>
  <c r="O369" i="21"/>
  <c r="O368" i="21"/>
  <c r="O364" i="21"/>
  <c r="O363" i="21"/>
  <c r="O362" i="21"/>
  <c r="O361" i="21"/>
  <c r="O360" i="21"/>
  <c r="O358" i="21"/>
  <c r="O356" i="21"/>
  <c r="O354" i="21"/>
  <c r="O353" i="21"/>
  <c r="O352" i="21"/>
  <c r="O351" i="21"/>
  <c r="O346" i="21"/>
  <c r="O344" i="21"/>
  <c r="O343" i="21"/>
  <c r="O342" i="21"/>
  <c r="O341" i="21"/>
  <c r="O339" i="21"/>
  <c r="O338" i="21"/>
  <c r="O337" i="21"/>
  <c r="O336" i="21"/>
  <c r="O334" i="21"/>
  <c r="O333" i="21"/>
  <c r="O332" i="21"/>
  <c r="O331" i="21"/>
  <c r="O329" i="21"/>
  <c r="O328" i="21"/>
  <c r="O327" i="21"/>
  <c r="O326" i="21"/>
  <c r="O325" i="21"/>
  <c r="O324" i="21"/>
  <c r="O323" i="21"/>
  <c r="O322" i="21"/>
  <c r="O321" i="21"/>
  <c r="O320" i="21"/>
  <c r="O319" i="21"/>
  <c r="O318" i="21"/>
  <c r="O317" i="21"/>
  <c r="O297" i="21"/>
  <c r="O294" i="21"/>
  <c r="O313" i="21"/>
  <c r="O312" i="21"/>
  <c r="O311" i="21"/>
  <c r="O310" i="21"/>
  <c r="O309" i="21"/>
  <c r="O308" i="21"/>
  <c r="O306" i="21"/>
  <c r="O304" i="21"/>
  <c r="O303" i="21"/>
  <c r="O301" i="21"/>
  <c r="O299" i="21"/>
  <c r="O293" i="21"/>
  <c r="O292" i="21"/>
  <c r="O291" i="21"/>
  <c r="O288" i="21"/>
  <c r="O287" i="21"/>
  <c r="O285" i="21"/>
  <c r="O284" i="21"/>
  <c r="O281" i="21"/>
  <c r="O279" i="21"/>
  <c r="O278" i="21"/>
  <c r="O277" i="21"/>
  <c r="O275" i="21"/>
  <c r="O272" i="21"/>
  <c r="O269" i="21"/>
  <c r="O267" i="21"/>
  <c r="O266" i="21"/>
  <c r="O265" i="21"/>
  <c r="O263" i="21"/>
  <c r="O262" i="21"/>
  <c r="O260" i="21"/>
  <c r="O259" i="21"/>
  <c r="O258" i="21"/>
  <c r="O256" i="21"/>
  <c r="O255" i="21"/>
  <c r="O254" i="21"/>
  <c r="O252" i="21"/>
  <c r="O250" i="21"/>
  <c r="O249" i="21"/>
  <c r="O248" i="21"/>
  <c r="O247" i="21"/>
  <c r="O246" i="21"/>
  <c r="O244" i="21"/>
  <c r="O243" i="21"/>
  <c r="O242" i="21"/>
  <c r="O240" i="21"/>
  <c r="O238" i="21"/>
  <c r="O237" i="21"/>
  <c r="O236" i="21"/>
  <c r="O235" i="21"/>
  <c r="O233" i="21"/>
  <c r="O232" i="21"/>
  <c r="O231" i="21"/>
  <c r="O230" i="21"/>
  <c r="O229" i="21"/>
  <c r="O228" i="21"/>
  <c r="O227" i="21"/>
  <c r="O225" i="21"/>
  <c r="O224" i="21"/>
  <c r="O223" i="21"/>
  <c r="O222" i="21"/>
  <c r="O220" i="21"/>
  <c r="O219" i="21"/>
  <c r="O216" i="21"/>
  <c r="O214" i="21"/>
  <c r="O213" i="21"/>
  <c r="O212" i="21"/>
  <c r="O211" i="21"/>
  <c r="O210" i="21"/>
  <c r="O209" i="21"/>
  <c r="O208" i="21"/>
  <c r="O207" i="21"/>
  <c r="O206" i="21"/>
  <c r="O204" i="21"/>
  <c r="O203" i="21"/>
  <c r="O202" i="21"/>
  <c r="O201" i="21"/>
  <c r="O199" i="21"/>
  <c r="O198" i="21"/>
  <c r="O197" i="21"/>
  <c r="O196" i="21"/>
  <c r="O195" i="21"/>
  <c r="O193" i="21"/>
  <c r="O192" i="21"/>
  <c r="O191" i="21"/>
  <c r="O190" i="21"/>
  <c r="O189" i="21"/>
  <c r="O187" i="21"/>
  <c r="BO187" i="21" s="1"/>
  <c r="O186" i="21"/>
  <c r="O185" i="21"/>
  <c r="O184" i="21"/>
  <c r="O183" i="21"/>
  <c r="O182" i="21"/>
  <c r="O181" i="21"/>
  <c r="O180" i="21"/>
  <c r="O178" i="21"/>
  <c r="O174" i="21"/>
  <c r="O173" i="21"/>
  <c r="O172" i="21"/>
  <c r="O171" i="21"/>
  <c r="O168" i="21"/>
  <c r="O167" i="21"/>
  <c r="BO167" i="21" s="1"/>
  <c r="O166" i="21"/>
  <c r="O165" i="21"/>
  <c r="O164" i="21"/>
  <c r="O163" i="21"/>
  <c r="O162" i="21"/>
  <c r="O161" i="21"/>
  <c r="O160" i="21"/>
  <c r="O159" i="21"/>
  <c r="O157" i="21"/>
  <c r="O156" i="21"/>
  <c r="O155" i="21"/>
  <c r="O154" i="21"/>
  <c r="O153" i="21"/>
  <c r="O152" i="21"/>
  <c r="O151" i="21"/>
  <c r="O150" i="21"/>
  <c r="O149" i="21"/>
  <c r="O148" i="21"/>
  <c r="O146" i="21"/>
  <c r="O144" i="21"/>
  <c r="O143" i="21"/>
  <c r="O142" i="21"/>
  <c r="O141" i="21"/>
  <c r="O140" i="21"/>
  <c r="O139" i="21"/>
  <c r="O138" i="21"/>
  <c r="O137" i="21"/>
  <c r="O136" i="21"/>
  <c r="O135" i="21"/>
  <c r="O134" i="21"/>
  <c r="O133" i="21"/>
  <c r="O132" i="21"/>
  <c r="O122" i="21"/>
  <c r="O120" i="21"/>
  <c r="O119" i="21"/>
  <c r="O118" i="21"/>
  <c r="O117" i="21"/>
  <c r="O115" i="21"/>
  <c r="O114" i="21"/>
  <c r="O113" i="21"/>
  <c r="O112" i="21"/>
  <c r="O111" i="21"/>
  <c r="O110" i="21"/>
  <c r="O109" i="21"/>
  <c r="O105" i="21"/>
  <c r="BO105" i="21" s="1"/>
  <c r="O104" i="21"/>
  <c r="O103" i="21"/>
  <c r="O101" i="21"/>
  <c r="O100" i="21"/>
  <c r="O99" i="21"/>
  <c r="O98" i="21"/>
  <c r="O97" i="21"/>
  <c r="O94" i="21"/>
  <c r="O93" i="21"/>
  <c r="O92" i="21"/>
  <c r="O91" i="21"/>
  <c r="O90" i="21"/>
  <c r="O89" i="21"/>
  <c r="O88" i="21"/>
  <c r="O86" i="21"/>
  <c r="O85" i="21"/>
  <c r="BO85" i="21" s="1"/>
  <c r="O84" i="21"/>
  <c r="O83" i="21"/>
  <c r="O82" i="21"/>
  <c r="O80" i="21"/>
  <c r="O79" i="21"/>
  <c r="O78" i="21"/>
  <c r="O77" i="21"/>
  <c r="O76" i="21"/>
  <c r="O75" i="21"/>
  <c r="O74" i="21"/>
  <c r="O73" i="21"/>
  <c r="O72" i="21"/>
  <c r="O70" i="21"/>
  <c r="O69" i="21"/>
  <c r="O67" i="21"/>
  <c r="O65" i="21"/>
  <c r="O64" i="21"/>
  <c r="O63" i="21"/>
  <c r="O62" i="21"/>
  <c r="O61" i="21"/>
  <c r="O60" i="21"/>
  <c r="O59" i="21"/>
  <c r="O58" i="21"/>
  <c r="O53" i="21"/>
  <c r="O52" i="21"/>
  <c r="O49" i="21"/>
  <c r="O47" i="21"/>
  <c r="O46" i="21"/>
  <c r="O45" i="21"/>
  <c r="O43" i="21"/>
  <c r="O42" i="21"/>
  <c r="O40" i="21"/>
  <c r="O39" i="21"/>
  <c r="O38" i="21"/>
  <c r="O37" i="21"/>
  <c r="O36" i="21"/>
  <c r="O35" i="21"/>
  <c r="O31" i="21"/>
  <c r="O27" i="21"/>
  <c r="O26" i="21"/>
  <c r="O25" i="21"/>
  <c r="O24" i="21"/>
  <c r="O21" i="21"/>
  <c r="O19" i="21"/>
  <c r="O17" i="21"/>
  <c r="O16" i="21"/>
  <c r="O15" i="21"/>
  <c r="O14" i="21"/>
  <c r="O12" i="21"/>
  <c r="O11" i="21"/>
  <c r="O9" i="21"/>
  <c r="O7" i="21"/>
  <c r="O6" i="21"/>
  <c r="O5" i="21"/>
  <c r="O4" i="21"/>
  <c r="N179" i="21"/>
  <c r="N357" i="21"/>
  <c r="N365" i="21"/>
  <c r="N316" i="21"/>
  <c r="N286" i="21"/>
  <c r="N234" i="21"/>
  <c r="M102" i="21"/>
  <c r="L102" i="21"/>
  <c r="K102" i="21"/>
  <c r="J102" i="21"/>
  <c r="I102" i="21"/>
  <c r="H102" i="21"/>
  <c r="G102" i="21"/>
  <c r="F102" i="21"/>
  <c r="E102" i="21"/>
  <c r="D102" i="21"/>
  <c r="C102" i="21"/>
  <c r="N102" i="21"/>
  <c r="N347" i="21"/>
  <c r="N345" i="21"/>
  <c r="N340" i="21"/>
  <c r="N330" i="21"/>
  <c r="N307" i="21"/>
  <c r="N305" i="21"/>
  <c r="N302" i="21"/>
  <c r="N298" i="21"/>
  <c r="N290" i="21"/>
  <c r="M298" i="21"/>
  <c r="N268" i="21"/>
  <c r="N261" i="21"/>
  <c r="N245" i="21"/>
  <c r="N123" i="21"/>
  <c r="N121" i="21"/>
  <c r="N96" i="21"/>
  <c r="N50" i="21"/>
  <c r="N48" i="21"/>
  <c r="N44" i="21"/>
  <c r="N34" i="21"/>
  <c r="N13" i="21"/>
  <c r="F560" i="20"/>
  <c r="F559" i="20"/>
  <c r="F558" i="20"/>
  <c r="F557" i="20"/>
  <c r="F556" i="20"/>
  <c r="F555" i="20"/>
  <c r="F554" i="20"/>
  <c r="F553" i="20"/>
  <c r="F552" i="20"/>
  <c r="F551" i="20"/>
  <c r="F550" i="20"/>
  <c r="F549" i="20"/>
  <c r="F546" i="20"/>
  <c r="F545" i="20"/>
  <c r="F544" i="20"/>
  <c r="F543" i="20"/>
  <c r="F539" i="20"/>
  <c r="F538" i="20"/>
  <c r="F537" i="20"/>
  <c r="F536" i="20"/>
  <c r="F533" i="20"/>
  <c r="F530" i="20"/>
  <c r="F529" i="20"/>
  <c r="F528" i="20"/>
  <c r="F527" i="20"/>
  <c r="F526" i="20"/>
  <c r="F525" i="20"/>
  <c r="F523" i="20"/>
  <c r="F522" i="20"/>
  <c r="F521" i="20"/>
  <c r="F520" i="20"/>
  <c r="F519" i="20"/>
  <c r="F516" i="20"/>
  <c r="F514" i="20"/>
  <c r="F513" i="20"/>
  <c r="F512" i="20"/>
  <c r="F511" i="20"/>
  <c r="F509" i="20"/>
  <c r="F508" i="20"/>
  <c r="F507" i="20"/>
  <c r="F506" i="20"/>
  <c r="F505" i="20"/>
  <c r="F504" i="20"/>
  <c r="F503" i="20"/>
  <c r="F501" i="20"/>
  <c r="F500" i="20"/>
  <c r="F499" i="20"/>
  <c r="F498" i="20"/>
  <c r="F497" i="20"/>
  <c r="F496" i="20"/>
  <c r="F495" i="20"/>
  <c r="F494" i="20"/>
  <c r="F493" i="20"/>
  <c r="F492" i="20"/>
  <c r="F491" i="20"/>
  <c r="F490" i="20"/>
  <c r="F489" i="20"/>
  <c r="F487" i="20"/>
  <c r="F486" i="20"/>
  <c r="F485" i="20"/>
  <c r="F484" i="20"/>
  <c r="F483" i="20"/>
  <c r="F482" i="20"/>
  <c r="F480" i="20"/>
  <c r="F478" i="20"/>
  <c r="F477" i="20"/>
  <c r="F475" i="20"/>
  <c r="F474" i="20"/>
  <c r="F472" i="20"/>
  <c r="F471" i="20"/>
  <c r="F470" i="20"/>
  <c r="F468" i="20"/>
  <c r="F467" i="20"/>
  <c r="F465" i="20"/>
  <c r="F464" i="20"/>
  <c r="F463" i="20"/>
  <c r="F462" i="20"/>
  <c r="F461" i="20"/>
  <c r="F459" i="20"/>
  <c r="F457" i="20"/>
  <c r="F456" i="20"/>
  <c r="F454" i="20"/>
  <c r="F453" i="20"/>
  <c r="F452" i="20"/>
  <c r="F451" i="20"/>
  <c r="F450" i="20"/>
  <c r="F448" i="20"/>
  <c r="F447" i="20"/>
  <c r="F446" i="20"/>
  <c r="F444" i="20"/>
  <c r="F443" i="20"/>
  <c r="F442" i="20"/>
  <c r="F441" i="20"/>
  <c r="F440" i="20"/>
  <c r="F439" i="20"/>
  <c r="F438" i="20"/>
  <c r="F437" i="20"/>
  <c r="F436" i="20"/>
  <c r="F434" i="20"/>
  <c r="F433" i="20"/>
  <c r="F432" i="20"/>
  <c r="F431" i="20"/>
  <c r="F430" i="20"/>
  <c r="F429" i="20"/>
  <c r="F428" i="20"/>
  <c r="F427" i="20"/>
  <c r="F426" i="20"/>
  <c r="F424" i="20"/>
  <c r="F423" i="20"/>
  <c r="F422" i="20"/>
  <c r="F421" i="20"/>
  <c r="F420" i="20"/>
  <c r="F419" i="20"/>
  <c r="F418" i="20"/>
  <c r="F417" i="20"/>
  <c r="F416" i="20"/>
  <c r="F415" i="20"/>
  <c r="F414" i="20"/>
  <c r="F413" i="20"/>
  <c r="F412" i="20"/>
  <c r="F411" i="20"/>
  <c r="F410" i="20"/>
  <c r="F409" i="20"/>
  <c r="F408" i="20"/>
  <c r="F407" i="20"/>
  <c r="F406" i="20"/>
  <c r="F405" i="20"/>
  <c r="F404" i="20"/>
  <c r="F403" i="20"/>
  <c r="F402" i="20"/>
  <c r="F401" i="20"/>
  <c r="F400" i="20"/>
  <c r="F399" i="20"/>
  <c r="F398" i="20"/>
  <c r="F397" i="20"/>
  <c r="F396" i="20"/>
  <c r="F395" i="20"/>
  <c r="F394" i="20"/>
  <c r="F393" i="20"/>
  <c r="F392" i="20"/>
  <c r="F391" i="20"/>
  <c r="F390" i="20"/>
  <c r="F389" i="20"/>
  <c r="F388" i="20"/>
  <c r="F387" i="20"/>
  <c r="F386" i="20"/>
  <c r="F385" i="20"/>
  <c r="F384" i="20"/>
  <c r="F383" i="20"/>
  <c r="F382" i="20"/>
  <c r="F381" i="20"/>
  <c r="F380" i="20"/>
  <c r="F378" i="20"/>
  <c r="F377" i="20"/>
  <c r="F376" i="20"/>
  <c r="F375" i="20"/>
  <c r="F374" i="20"/>
  <c r="F373" i="20"/>
  <c r="F372" i="20"/>
  <c r="F371" i="20"/>
  <c r="F370" i="20"/>
  <c r="F369" i="20"/>
  <c r="F368" i="20"/>
  <c r="F367" i="20"/>
  <c r="F366" i="20"/>
  <c r="F365" i="20"/>
  <c r="F364" i="20"/>
  <c r="F363" i="20"/>
  <c r="F362" i="20"/>
  <c r="F361" i="20"/>
  <c r="F360" i="20"/>
  <c r="F359" i="20"/>
  <c r="F358" i="20"/>
  <c r="F357" i="20"/>
  <c r="F356" i="20"/>
  <c r="F355" i="20"/>
  <c r="F354" i="20"/>
  <c r="F353" i="20"/>
  <c r="F352" i="20"/>
  <c r="F351" i="20"/>
  <c r="F350" i="20"/>
  <c r="F349" i="20"/>
  <c r="F348" i="20"/>
  <c r="F347" i="20"/>
  <c r="F346" i="20"/>
  <c r="F345" i="20"/>
  <c r="F344" i="20"/>
  <c r="F343" i="20"/>
  <c r="F342" i="20"/>
  <c r="F341" i="20"/>
  <c r="F338" i="20"/>
  <c r="F336" i="20"/>
  <c r="F335" i="20"/>
  <c r="F334" i="20"/>
  <c r="F333" i="20"/>
  <c r="F332" i="20"/>
  <c r="F331" i="20"/>
  <c r="F330" i="20"/>
  <c r="F329" i="20"/>
  <c r="F328" i="20"/>
  <c r="F327" i="20"/>
  <c r="F326" i="20"/>
  <c r="F325" i="20"/>
  <c r="F324" i="20"/>
  <c r="F323" i="20"/>
  <c r="F321" i="20"/>
  <c r="F320" i="20"/>
  <c r="F319" i="20"/>
  <c r="F318" i="20"/>
  <c r="F317" i="20"/>
  <c r="F315" i="20"/>
  <c r="F314" i="20"/>
  <c r="F313" i="20"/>
  <c r="F312" i="20"/>
  <c r="F311" i="20"/>
  <c r="F310" i="20"/>
  <c r="F309" i="20"/>
  <c r="F308" i="20"/>
  <c r="F307" i="20"/>
  <c r="F306" i="20"/>
  <c r="F305" i="20"/>
  <c r="F304" i="20"/>
  <c r="F302" i="20"/>
  <c r="F301" i="20"/>
  <c r="F300" i="20"/>
  <c r="F299" i="20"/>
  <c r="F298" i="20"/>
  <c r="F297" i="20"/>
  <c r="F296" i="20"/>
  <c r="F295" i="20"/>
  <c r="F294" i="20"/>
  <c r="F293" i="20"/>
  <c r="F292" i="20"/>
  <c r="F291" i="20"/>
  <c r="F290" i="20"/>
  <c r="F289" i="20"/>
  <c r="F288" i="20"/>
  <c r="F287" i="20"/>
  <c r="F286" i="20"/>
  <c r="F285" i="20"/>
  <c r="F284" i="20"/>
  <c r="F283" i="20"/>
  <c r="F282" i="20"/>
  <c r="F279" i="20"/>
  <c r="F277" i="20"/>
  <c r="F276" i="20"/>
  <c r="F275" i="20"/>
  <c r="F273" i="20"/>
  <c r="F272" i="20"/>
  <c r="F271" i="20"/>
  <c r="F270" i="20"/>
  <c r="F269" i="20"/>
  <c r="F268" i="20"/>
  <c r="F267" i="20"/>
  <c r="F266" i="20"/>
  <c r="F264" i="20"/>
  <c r="F263" i="20"/>
  <c r="F262" i="20"/>
  <c r="F261" i="20"/>
  <c r="F260" i="20"/>
  <c r="F259" i="20"/>
  <c r="F258" i="20"/>
  <c r="F257" i="20"/>
  <c r="F256" i="20"/>
  <c r="F255" i="20"/>
  <c r="F254" i="20"/>
  <c r="F252" i="20"/>
  <c r="F251" i="20"/>
  <c r="F250" i="20"/>
  <c r="F249" i="20"/>
  <c r="F248" i="20"/>
  <c r="F247" i="20"/>
  <c r="F246" i="20"/>
  <c r="F245" i="20"/>
  <c r="F244" i="20"/>
  <c r="F243" i="20"/>
  <c r="F242" i="20"/>
  <c r="F241" i="20"/>
  <c r="F240" i="20"/>
  <c r="F238" i="20"/>
  <c r="F237" i="20"/>
  <c r="F233" i="20"/>
  <c r="F229" i="20"/>
  <c r="F228" i="20"/>
  <c r="F227" i="20"/>
  <c r="F224" i="20"/>
  <c r="F223" i="20"/>
  <c r="F222" i="20"/>
  <c r="F221" i="20"/>
  <c r="F220" i="20"/>
  <c r="F219" i="20"/>
  <c r="F216" i="20"/>
  <c r="F215" i="20"/>
  <c r="F214" i="20"/>
  <c r="F213" i="20"/>
  <c r="F212" i="20"/>
  <c r="F211" i="20"/>
  <c r="F210" i="20"/>
  <c r="F209" i="20"/>
  <c r="F208" i="20"/>
  <c r="F206" i="20"/>
  <c r="F203" i="20"/>
  <c r="F202" i="20"/>
  <c r="F201" i="20"/>
  <c r="F200" i="20"/>
  <c r="F199" i="20"/>
  <c r="F198" i="20"/>
  <c r="F197" i="20"/>
  <c r="F196" i="20"/>
  <c r="F195" i="20"/>
  <c r="F194" i="20"/>
  <c r="F193" i="20"/>
  <c r="F192" i="20"/>
  <c r="F191" i="20"/>
  <c r="F190" i="20"/>
  <c r="F189" i="20"/>
  <c r="F188" i="20"/>
  <c r="F187" i="20"/>
  <c r="F186" i="20"/>
  <c r="F184" i="20"/>
  <c r="F183" i="20"/>
  <c r="F182" i="20"/>
  <c r="F180" i="20"/>
  <c r="F178" i="20"/>
  <c r="F177" i="20"/>
  <c r="F176" i="20"/>
  <c r="F175" i="20"/>
  <c r="F174" i="20"/>
  <c r="F173" i="20"/>
  <c r="F172" i="20"/>
  <c r="F171" i="20"/>
  <c r="F170" i="20"/>
  <c r="F168" i="20"/>
  <c r="F167" i="20"/>
  <c r="F166" i="20"/>
  <c r="F165" i="20"/>
  <c r="F164" i="20"/>
  <c r="F161" i="20"/>
  <c r="F160" i="20"/>
  <c r="F159" i="20"/>
  <c r="F158" i="20"/>
  <c r="F157" i="20"/>
  <c r="F154" i="20"/>
  <c r="F153" i="20"/>
  <c r="F152" i="20"/>
  <c r="F151" i="20"/>
  <c r="F150" i="20"/>
  <c r="F149" i="20"/>
  <c r="F148" i="20"/>
  <c r="F147" i="20"/>
  <c r="F146" i="20"/>
  <c r="F145" i="20"/>
  <c r="F144" i="20"/>
  <c r="F143" i="20"/>
  <c r="F142" i="20"/>
  <c r="F141" i="20"/>
  <c r="F140" i="20"/>
  <c r="F139" i="20"/>
  <c r="F138" i="20"/>
  <c r="F137" i="20"/>
  <c r="F136" i="20"/>
  <c r="F135" i="20"/>
  <c r="F134" i="20"/>
  <c r="F133" i="20"/>
  <c r="F132" i="20"/>
  <c r="F131" i="20"/>
  <c r="F130" i="20"/>
  <c r="F129" i="20"/>
  <c r="F128" i="20"/>
  <c r="F125" i="20"/>
  <c r="F124" i="20"/>
  <c r="F123" i="20"/>
  <c r="F122" i="20"/>
  <c r="F121" i="20"/>
  <c r="F120" i="20"/>
  <c r="F117" i="20"/>
  <c r="F116" i="20"/>
  <c r="F115" i="20"/>
  <c r="F114" i="20"/>
  <c r="F113" i="20"/>
  <c r="F112" i="20"/>
  <c r="F111" i="20"/>
  <c r="F108" i="20"/>
  <c r="F107" i="20"/>
  <c r="F106" i="20"/>
  <c r="F105" i="20"/>
  <c r="F103" i="20"/>
  <c r="F102" i="20"/>
  <c r="F100" i="20"/>
  <c r="F99" i="20"/>
  <c r="F98" i="20"/>
  <c r="F97" i="20"/>
  <c r="F95" i="20"/>
  <c r="F94" i="20"/>
  <c r="F93" i="20"/>
  <c r="F92" i="20"/>
  <c r="F90" i="20"/>
  <c r="F89" i="20"/>
  <c r="F87" i="20"/>
  <c r="F86" i="20"/>
  <c r="F85" i="20"/>
  <c r="F84" i="20"/>
  <c r="F83" i="20"/>
  <c r="F82" i="20"/>
  <c r="F81" i="20"/>
  <c r="F80" i="20"/>
  <c r="F79" i="20"/>
  <c r="F78" i="20"/>
  <c r="F76" i="20"/>
  <c r="F75" i="20"/>
  <c r="F72" i="20"/>
  <c r="F71" i="20"/>
  <c r="F70" i="20"/>
  <c r="F69" i="20"/>
  <c r="F68" i="20"/>
  <c r="F67" i="20"/>
  <c r="F66" i="20"/>
  <c r="F63" i="20"/>
  <c r="F62" i="20"/>
  <c r="F61" i="20"/>
  <c r="F60" i="20"/>
  <c r="F59" i="20"/>
  <c r="F58" i="20"/>
  <c r="F57" i="20"/>
  <c r="F55" i="20"/>
  <c r="F54" i="20"/>
  <c r="F53" i="20"/>
  <c r="F52" i="20"/>
  <c r="F51" i="20"/>
  <c r="F50" i="20"/>
  <c r="F49" i="20"/>
  <c r="F48" i="20"/>
  <c r="F47" i="20"/>
  <c r="F46" i="20"/>
  <c r="F45" i="20"/>
  <c r="F44" i="20"/>
  <c r="F42" i="20"/>
  <c r="F41" i="20"/>
  <c r="F38" i="20"/>
  <c r="F37" i="20"/>
  <c r="F36" i="20"/>
  <c r="F35" i="20"/>
  <c r="F34" i="20"/>
  <c r="F33" i="20"/>
  <c r="F32" i="20"/>
  <c r="F31" i="20"/>
  <c r="F30" i="20"/>
  <c r="F28" i="20"/>
  <c r="F26" i="20"/>
  <c r="F25" i="20"/>
  <c r="F24" i="20"/>
  <c r="F23" i="20"/>
  <c r="F22" i="20"/>
  <c r="F21" i="20"/>
  <c r="F20" i="20"/>
  <c r="F17" i="20"/>
  <c r="F15" i="20"/>
  <c r="F14" i="20"/>
  <c r="F13" i="20"/>
  <c r="F12" i="20"/>
  <c r="F9" i="20"/>
  <c r="F8" i="20"/>
  <c r="F7" i="20"/>
  <c r="F6" i="20"/>
  <c r="F5" i="20"/>
  <c r="F4" i="20"/>
  <c r="F3" i="20"/>
  <c r="F2" i="20"/>
  <c r="M123" i="21"/>
  <c r="M121" i="21"/>
  <c r="M96" i="21"/>
  <c r="M81" i="21"/>
  <c r="M50" i="21"/>
  <c r="M48" i="21"/>
  <c r="M44" i="21"/>
  <c r="M34" i="21"/>
  <c r="M13" i="21"/>
  <c r="M179" i="21"/>
  <c r="M365" i="21"/>
  <c r="M357" i="21"/>
  <c r="M347" i="21"/>
  <c r="M345" i="21"/>
  <c r="M340" i="21"/>
  <c r="M330" i="21"/>
  <c r="M316" i="21"/>
  <c r="M307" i="21"/>
  <c r="M305" i="21"/>
  <c r="M302" i="21"/>
  <c r="M290" i="21"/>
  <c r="M286" i="21"/>
  <c r="M273" i="21"/>
  <c r="M268" i="21"/>
  <c r="M261" i="21"/>
  <c r="M257" i="21"/>
  <c r="M245" i="21"/>
  <c r="M234" i="21"/>
  <c r="L44" i="21"/>
  <c r="F556" i="19"/>
  <c r="F555" i="19"/>
  <c r="F554" i="19"/>
  <c r="F553" i="19"/>
  <c r="F552" i="19"/>
  <c r="F551" i="19"/>
  <c r="F550" i="19"/>
  <c r="F549" i="19"/>
  <c r="F548" i="19"/>
  <c r="F547" i="19"/>
  <c r="F546" i="19"/>
  <c r="F543" i="19"/>
  <c r="F542" i="19"/>
  <c r="F541" i="19"/>
  <c r="F540" i="19"/>
  <c r="F536" i="19"/>
  <c r="F535" i="19"/>
  <c r="F534" i="19"/>
  <c r="F533" i="19"/>
  <c r="F530" i="19"/>
  <c r="F527" i="19"/>
  <c r="F526" i="19"/>
  <c r="F525" i="19"/>
  <c r="F524" i="19"/>
  <c r="F523" i="19"/>
  <c r="F522" i="19"/>
  <c r="F520" i="19"/>
  <c r="F519" i="19"/>
  <c r="F518" i="19"/>
  <c r="F517" i="19"/>
  <c r="F516" i="19"/>
  <c r="F513" i="19"/>
  <c r="F511" i="19"/>
  <c r="F510" i="19"/>
  <c r="F509" i="19"/>
  <c r="F508" i="19"/>
  <c r="F506" i="19"/>
  <c r="F505" i="19"/>
  <c r="F504" i="19"/>
  <c r="F503" i="19"/>
  <c r="F502" i="19"/>
  <c r="F501" i="19"/>
  <c r="F500" i="19"/>
  <c r="F498" i="19"/>
  <c r="F497" i="19"/>
  <c r="F496" i="19"/>
  <c r="F495" i="19"/>
  <c r="F494" i="19"/>
  <c r="F493" i="19"/>
  <c r="F492" i="19"/>
  <c r="F491" i="19"/>
  <c r="F490" i="19"/>
  <c r="F489" i="19"/>
  <c r="F488" i="19"/>
  <c r="F487" i="19"/>
  <c r="F486" i="19"/>
  <c r="F484" i="19"/>
  <c r="F483" i="19"/>
  <c r="F482" i="19"/>
  <c r="F481" i="19"/>
  <c r="F480" i="19"/>
  <c r="F479" i="19"/>
  <c r="F477" i="19"/>
  <c r="F475" i="19"/>
  <c r="F474" i="19"/>
  <c r="F472" i="19"/>
  <c r="F471" i="19"/>
  <c r="F469" i="19"/>
  <c r="F468" i="19"/>
  <c r="F467" i="19"/>
  <c r="F465" i="19"/>
  <c r="F464" i="19"/>
  <c r="F462" i="19"/>
  <c r="F461" i="19"/>
  <c r="F460" i="19"/>
  <c r="F459" i="19"/>
  <c r="F458" i="19"/>
  <c r="F456" i="19"/>
  <c r="F454" i="19"/>
  <c r="F453" i="19"/>
  <c r="F451" i="19"/>
  <c r="F450" i="19"/>
  <c r="F449" i="19"/>
  <c r="F448" i="19"/>
  <c r="F447" i="19"/>
  <c r="F445" i="19"/>
  <c r="F444" i="19"/>
  <c r="F443" i="19"/>
  <c r="F441" i="19"/>
  <c r="F440" i="19"/>
  <c r="F439" i="19"/>
  <c r="F438" i="19"/>
  <c r="F437" i="19"/>
  <c r="F436" i="19"/>
  <c r="F435" i="19"/>
  <c r="F434" i="19"/>
  <c r="F433" i="19"/>
  <c r="F431" i="19"/>
  <c r="F430" i="19"/>
  <c r="F429" i="19"/>
  <c r="F428" i="19"/>
  <c r="F427" i="19"/>
  <c r="F426" i="19"/>
  <c r="F425" i="19"/>
  <c r="F424" i="19"/>
  <c r="F423" i="19"/>
  <c r="F421" i="19"/>
  <c r="F420" i="19"/>
  <c r="F419" i="19"/>
  <c r="F418" i="19"/>
  <c r="F417" i="19"/>
  <c r="F416" i="19"/>
  <c r="F415" i="19"/>
  <c r="F414" i="19"/>
  <c r="F413" i="19"/>
  <c r="F412" i="19"/>
  <c r="F411" i="19"/>
  <c r="F410" i="19"/>
  <c r="F409" i="19"/>
  <c r="F408" i="19"/>
  <c r="F407" i="19"/>
  <c r="F406" i="19"/>
  <c r="F405" i="19"/>
  <c r="F404" i="19"/>
  <c r="F403" i="19"/>
  <c r="F402" i="19"/>
  <c r="F401" i="19"/>
  <c r="F400" i="19"/>
  <c r="F399" i="19"/>
  <c r="F398" i="19"/>
  <c r="F397" i="19"/>
  <c r="F396" i="19"/>
  <c r="F395" i="19"/>
  <c r="F394" i="19"/>
  <c r="F393" i="19"/>
  <c r="F392" i="19"/>
  <c r="F391" i="19"/>
  <c r="F390" i="19"/>
  <c r="F389" i="19"/>
  <c r="F388" i="19"/>
  <c r="F387" i="19"/>
  <c r="F386" i="19"/>
  <c r="F385" i="19"/>
  <c r="F384" i="19"/>
  <c r="F383" i="19"/>
  <c r="F382" i="19"/>
  <c r="F381" i="19"/>
  <c r="F380" i="19"/>
  <c r="F379" i="19"/>
  <c r="F377" i="19"/>
  <c r="F376" i="19"/>
  <c r="F375" i="19"/>
  <c r="F374" i="19"/>
  <c r="F373" i="19"/>
  <c r="F372" i="19"/>
  <c r="F371" i="19"/>
  <c r="F370" i="19"/>
  <c r="F369" i="19"/>
  <c r="F368" i="19"/>
  <c r="F367" i="19"/>
  <c r="F366" i="19"/>
  <c r="F365" i="19"/>
  <c r="F364" i="19"/>
  <c r="F363" i="19"/>
  <c r="F362" i="19"/>
  <c r="F361" i="19"/>
  <c r="F360" i="19"/>
  <c r="F359" i="19"/>
  <c r="F358" i="19"/>
  <c r="F357" i="19"/>
  <c r="F356" i="19"/>
  <c r="F355" i="19"/>
  <c r="F354" i="19"/>
  <c r="F353" i="19"/>
  <c r="F352" i="19"/>
  <c r="F351" i="19"/>
  <c r="F350" i="19"/>
  <c r="F349" i="19"/>
  <c r="F348" i="19"/>
  <c r="F347" i="19"/>
  <c r="F346" i="19"/>
  <c r="F345" i="19"/>
  <c r="F344" i="19"/>
  <c r="F343" i="19"/>
  <c r="F342" i="19"/>
  <c r="F341" i="19"/>
  <c r="F340" i="19"/>
  <c r="F337" i="19"/>
  <c r="F335" i="19"/>
  <c r="F334" i="19"/>
  <c r="F333" i="19"/>
  <c r="F332" i="19"/>
  <c r="F331" i="19"/>
  <c r="F330" i="19"/>
  <c r="F329" i="19"/>
  <c r="F328" i="19"/>
  <c r="F327" i="19"/>
  <c r="F326" i="19"/>
  <c r="F325" i="19"/>
  <c r="F324" i="19"/>
  <c r="F323" i="19"/>
  <c r="F322" i="19"/>
  <c r="F320" i="19"/>
  <c r="F319" i="19"/>
  <c r="F318" i="19"/>
  <c r="F317" i="19"/>
  <c r="F315" i="19"/>
  <c r="F314" i="19"/>
  <c r="F313" i="19"/>
  <c r="F312" i="19"/>
  <c r="F311" i="19"/>
  <c r="F310" i="19"/>
  <c r="F309" i="19"/>
  <c r="F308" i="19"/>
  <c r="F307" i="19"/>
  <c r="F306" i="19"/>
  <c r="F305" i="19"/>
  <c r="F304" i="19"/>
  <c r="F302" i="19"/>
  <c r="F301" i="19"/>
  <c r="F300" i="19"/>
  <c r="F299" i="19"/>
  <c r="F298" i="19"/>
  <c r="F297" i="19"/>
  <c r="F296" i="19"/>
  <c r="F295" i="19"/>
  <c r="F294" i="19"/>
  <c r="F293" i="19"/>
  <c r="F292" i="19"/>
  <c r="F291" i="19"/>
  <c r="F290" i="19"/>
  <c r="F289" i="19"/>
  <c r="F288" i="19"/>
  <c r="F287" i="19"/>
  <c r="F286" i="19"/>
  <c r="F285" i="19"/>
  <c r="F284" i="19"/>
  <c r="F283" i="19"/>
  <c r="F282" i="19"/>
  <c r="F279" i="19"/>
  <c r="F277" i="19"/>
  <c r="F276" i="19"/>
  <c r="F275" i="19"/>
  <c r="F273" i="19"/>
  <c r="F272" i="19"/>
  <c r="F271" i="19"/>
  <c r="F270" i="19"/>
  <c r="F269" i="19"/>
  <c r="F268" i="19"/>
  <c r="F267" i="19"/>
  <c r="F266" i="19"/>
  <c r="F264" i="19"/>
  <c r="F263" i="19"/>
  <c r="F262" i="19"/>
  <c r="F261" i="19"/>
  <c r="F260" i="19"/>
  <c r="F259" i="19"/>
  <c r="F258" i="19"/>
  <c r="F257" i="19"/>
  <c r="F256" i="19"/>
  <c r="F255" i="19"/>
  <c r="F254" i="19"/>
  <c r="F252" i="19"/>
  <c r="F251" i="19"/>
  <c r="F250" i="19"/>
  <c r="F249" i="19"/>
  <c r="F248" i="19"/>
  <c r="F247" i="19"/>
  <c r="F246" i="19"/>
  <c r="F245" i="19"/>
  <c r="F244" i="19"/>
  <c r="F243" i="19"/>
  <c r="F242" i="19"/>
  <c r="F241" i="19"/>
  <c r="F240" i="19"/>
  <c r="F238" i="19"/>
  <c r="F237" i="19"/>
  <c r="F233" i="19"/>
  <c r="F229" i="19"/>
  <c r="F228" i="19"/>
  <c r="F227" i="19"/>
  <c r="F224" i="19"/>
  <c r="F223" i="19"/>
  <c r="F222" i="19"/>
  <c r="F221" i="19"/>
  <c r="F220" i="19"/>
  <c r="F219" i="19"/>
  <c r="F216" i="19"/>
  <c r="F215" i="19"/>
  <c r="F214" i="19"/>
  <c r="F213" i="19"/>
  <c r="F212" i="19"/>
  <c r="F211" i="19"/>
  <c r="F210" i="19"/>
  <c r="F209" i="19"/>
  <c r="F208" i="19"/>
  <c r="F206" i="19"/>
  <c r="F203" i="19"/>
  <c r="F202" i="19"/>
  <c r="F201" i="19"/>
  <c r="F200" i="19"/>
  <c r="F199" i="19"/>
  <c r="F198" i="19"/>
  <c r="F197" i="19"/>
  <c r="F196" i="19"/>
  <c r="F195" i="19"/>
  <c r="F194" i="19"/>
  <c r="F193" i="19"/>
  <c r="F192" i="19"/>
  <c r="F191" i="19"/>
  <c r="F190" i="19"/>
  <c r="F189" i="19"/>
  <c r="F188" i="19"/>
  <c r="F187" i="19"/>
  <c r="F186" i="19"/>
  <c r="F184" i="19"/>
  <c r="F183" i="19"/>
  <c r="F182" i="19"/>
  <c r="F180" i="19"/>
  <c r="F178" i="19"/>
  <c r="F177" i="19"/>
  <c r="F176" i="19"/>
  <c r="F175" i="19"/>
  <c r="F174" i="19"/>
  <c r="F173" i="19"/>
  <c r="F172" i="19"/>
  <c r="F171" i="19"/>
  <c r="F170" i="19"/>
  <c r="F168" i="19"/>
  <c r="F167" i="19"/>
  <c r="F166" i="19"/>
  <c r="F165" i="19"/>
  <c r="F164" i="19"/>
  <c r="F161" i="19"/>
  <c r="F160" i="19"/>
  <c r="F159" i="19"/>
  <c r="F158" i="19"/>
  <c r="F157" i="19"/>
  <c r="F154" i="19"/>
  <c r="F153" i="19"/>
  <c r="F152" i="19"/>
  <c r="F151" i="19"/>
  <c r="F150" i="19"/>
  <c r="F149" i="19"/>
  <c r="F148" i="19"/>
  <c r="F147" i="19"/>
  <c r="F146" i="19"/>
  <c r="F145" i="19"/>
  <c r="F144" i="19"/>
  <c r="F143" i="19"/>
  <c r="F142" i="19"/>
  <c r="F141" i="19"/>
  <c r="F140" i="19"/>
  <c r="F139" i="19"/>
  <c r="F138" i="19"/>
  <c r="F137" i="19"/>
  <c r="F136" i="19"/>
  <c r="F135" i="19"/>
  <c r="F134" i="19"/>
  <c r="F133" i="19"/>
  <c r="F132" i="19"/>
  <c r="F131" i="19"/>
  <c r="F130" i="19"/>
  <c r="F129" i="19"/>
  <c r="F128" i="19"/>
  <c r="F125" i="19"/>
  <c r="F124" i="19"/>
  <c r="F123" i="19"/>
  <c r="F122" i="19"/>
  <c r="F121" i="19"/>
  <c r="F120" i="19"/>
  <c r="F119" i="19"/>
  <c r="F118" i="19"/>
  <c r="F115" i="19"/>
  <c r="F114" i="19"/>
  <c r="F113" i="19"/>
  <c r="F112" i="19"/>
  <c r="F111" i="19"/>
  <c r="F110" i="19"/>
  <c r="F109" i="19"/>
  <c r="F106" i="19"/>
  <c r="F105" i="19"/>
  <c r="F104" i="19"/>
  <c r="F103" i="19"/>
  <c r="F101" i="19"/>
  <c r="F100" i="19"/>
  <c r="F98" i="19"/>
  <c r="F97" i="19"/>
  <c r="F96" i="19"/>
  <c r="F95" i="19"/>
  <c r="F93" i="19"/>
  <c r="F92" i="19"/>
  <c r="F91" i="19"/>
  <c r="F90" i="19"/>
  <c r="F88" i="19"/>
  <c r="F87" i="19"/>
  <c r="F85" i="19"/>
  <c r="F84" i="19"/>
  <c r="F83" i="19"/>
  <c r="F82" i="19"/>
  <c r="F81" i="19"/>
  <c r="F80" i="19"/>
  <c r="F79" i="19"/>
  <c r="F78" i="19"/>
  <c r="F77" i="19"/>
  <c r="F76" i="19"/>
  <c r="F74" i="19"/>
  <c r="F73" i="19"/>
  <c r="F70" i="19"/>
  <c r="F69" i="19"/>
  <c r="F68" i="19"/>
  <c r="F67" i="19"/>
  <c r="F66" i="19"/>
  <c r="F65" i="19"/>
  <c r="F64" i="19"/>
  <c r="F61" i="19"/>
  <c r="F60" i="19"/>
  <c r="F59" i="19"/>
  <c r="F58" i="19"/>
  <c r="F57" i="19"/>
  <c r="F56" i="19"/>
  <c r="F55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0" i="19"/>
  <c r="F39" i="19"/>
  <c r="F38" i="19"/>
  <c r="F35" i="19"/>
  <c r="F34" i="19"/>
  <c r="F33" i="19"/>
  <c r="F32" i="19"/>
  <c r="F31" i="19"/>
  <c r="F30" i="19"/>
  <c r="F28" i="19"/>
  <c r="F26" i="19"/>
  <c r="F25" i="19"/>
  <c r="F24" i="19"/>
  <c r="F23" i="19"/>
  <c r="F22" i="19"/>
  <c r="F21" i="19"/>
  <c r="F20" i="19"/>
  <c r="F17" i="19"/>
  <c r="F15" i="19"/>
  <c r="F14" i="19"/>
  <c r="F13" i="19"/>
  <c r="F12" i="19"/>
  <c r="F9" i="19"/>
  <c r="F8" i="19"/>
  <c r="F7" i="19"/>
  <c r="F6" i="19"/>
  <c r="F5" i="19"/>
  <c r="F4" i="19"/>
  <c r="F3" i="19"/>
  <c r="F2" i="19"/>
  <c r="L365" i="21"/>
  <c r="L357" i="21"/>
  <c r="L347" i="21"/>
  <c r="L345" i="21"/>
  <c r="L340" i="21"/>
  <c r="L330" i="21"/>
  <c r="L316" i="21"/>
  <c r="L307" i="21"/>
  <c r="L305" i="21"/>
  <c r="L302" i="21"/>
  <c r="L298" i="21"/>
  <c r="L290" i="21"/>
  <c r="L286" i="21"/>
  <c r="L273" i="21"/>
  <c r="L268" i="21"/>
  <c r="L261" i="21"/>
  <c r="L257" i="21"/>
  <c r="L245" i="21"/>
  <c r="L234" i="21"/>
  <c r="L179" i="21"/>
  <c r="K123" i="21"/>
  <c r="L123" i="21"/>
  <c r="L121" i="21"/>
  <c r="L96" i="21"/>
  <c r="L81" i="21"/>
  <c r="L50" i="21"/>
  <c r="L48" i="21"/>
  <c r="L34" i="21"/>
  <c r="D13" i="21"/>
  <c r="E13" i="21"/>
  <c r="F13" i="21"/>
  <c r="G13" i="21"/>
  <c r="H13" i="21"/>
  <c r="I13" i="21"/>
  <c r="J13" i="21"/>
  <c r="K13" i="21"/>
  <c r="L13" i="21"/>
  <c r="K48" i="21"/>
  <c r="J48" i="21"/>
  <c r="I48" i="21"/>
  <c r="H48" i="21"/>
  <c r="G48" i="21"/>
  <c r="F48" i="21"/>
  <c r="E48" i="21"/>
  <c r="D48" i="21"/>
  <c r="C48" i="21"/>
  <c r="F553" i="18"/>
  <c r="F552" i="18"/>
  <c r="F551" i="18"/>
  <c r="F550" i="18"/>
  <c r="F549" i="18"/>
  <c r="F548" i="18"/>
  <c r="F547" i="18"/>
  <c r="F546" i="18"/>
  <c r="F545" i="18"/>
  <c r="F544" i="18"/>
  <c r="F543" i="18"/>
  <c r="F540" i="18"/>
  <c r="F539" i="18"/>
  <c r="F538" i="18"/>
  <c r="F537" i="18"/>
  <c r="F533" i="18"/>
  <c r="F532" i="18"/>
  <c r="F531" i="18"/>
  <c r="F530" i="18"/>
  <c r="F527" i="18"/>
  <c r="F524" i="18"/>
  <c r="F523" i="18"/>
  <c r="F522" i="18"/>
  <c r="F521" i="18"/>
  <c r="F520" i="18"/>
  <c r="F519" i="18"/>
  <c r="F517" i="18"/>
  <c r="F516" i="18"/>
  <c r="F515" i="18"/>
  <c r="F514" i="18"/>
  <c r="F513" i="18"/>
  <c r="F510" i="18"/>
  <c r="F508" i="18"/>
  <c r="F507" i="18"/>
  <c r="F506" i="18"/>
  <c r="F505" i="18"/>
  <c r="F503" i="18"/>
  <c r="F502" i="18"/>
  <c r="F501" i="18"/>
  <c r="F500" i="18"/>
  <c r="F499" i="18"/>
  <c r="F498" i="18"/>
  <c r="F497" i="18"/>
  <c r="F496" i="18"/>
  <c r="F494" i="18"/>
  <c r="F493" i="18"/>
  <c r="F492" i="18"/>
  <c r="F491" i="18"/>
  <c r="F490" i="18"/>
  <c r="F489" i="18"/>
  <c r="F488" i="18"/>
  <c r="F487" i="18"/>
  <c r="F486" i="18"/>
  <c r="F485" i="18"/>
  <c r="F484" i="18"/>
  <c r="F483" i="18"/>
  <c r="F482" i="18"/>
  <c r="F480" i="18"/>
  <c r="F479" i="18"/>
  <c r="F478" i="18"/>
  <c r="F477" i="18"/>
  <c r="F476" i="18"/>
  <c r="F475" i="18"/>
  <c r="F473" i="18"/>
  <c r="F471" i="18"/>
  <c r="F470" i="18"/>
  <c r="F468" i="18"/>
  <c r="F467" i="18"/>
  <c r="F465" i="18"/>
  <c r="F464" i="18"/>
  <c r="F463" i="18"/>
  <c r="F461" i="18"/>
  <c r="F460" i="18"/>
  <c r="F458" i="18"/>
  <c r="F457" i="18"/>
  <c r="F456" i="18"/>
  <c r="F455" i="18"/>
  <c r="F454" i="18"/>
  <c r="F452" i="18"/>
  <c r="F450" i="18"/>
  <c r="F449" i="18"/>
  <c r="F447" i="18"/>
  <c r="F446" i="18"/>
  <c r="F445" i="18"/>
  <c r="F444" i="18"/>
  <c r="F443" i="18"/>
  <c r="F441" i="18"/>
  <c r="F440" i="18"/>
  <c r="F439" i="18"/>
  <c r="F437" i="18"/>
  <c r="F436" i="18"/>
  <c r="F435" i="18"/>
  <c r="F434" i="18"/>
  <c r="F433" i="18"/>
  <c r="F432" i="18"/>
  <c r="F431" i="18"/>
  <c r="F430" i="18"/>
  <c r="F429" i="18"/>
  <c r="F427" i="18"/>
  <c r="F426" i="18"/>
  <c r="F425" i="18"/>
  <c r="F424" i="18"/>
  <c r="F423" i="18"/>
  <c r="F422" i="18"/>
  <c r="F421" i="18"/>
  <c r="F420" i="18"/>
  <c r="F419" i="18"/>
  <c r="F417" i="18"/>
  <c r="F416" i="18"/>
  <c r="F415" i="18"/>
  <c r="F414" i="18"/>
  <c r="F413" i="18"/>
  <c r="F412" i="18"/>
  <c r="F411" i="18"/>
  <c r="F410" i="18"/>
  <c r="F409" i="18"/>
  <c r="F408" i="18"/>
  <c r="F407" i="18"/>
  <c r="F406" i="18"/>
  <c r="F405" i="18"/>
  <c r="F404" i="18"/>
  <c r="F403" i="18"/>
  <c r="F402" i="18"/>
  <c r="F401" i="18"/>
  <c r="F400" i="18"/>
  <c r="F399" i="18"/>
  <c r="F398" i="18"/>
  <c r="F397" i="18"/>
  <c r="F396" i="18"/>
  <c r="F395" i="18"/>
  <c r="F394" i="18"/>
  <c r="F393" i="18"/>
  <c r="F392" i="18"/>
  <c r="F391" i="18"/>
  <c r="F390" i="18"/>
  <c r="F389" i="18"/>
  <c r="F388" i="18"/>
  <c r="F387" i="18"/>
  <c r="F386" i="18"/>
  <c r="F385" i="18"/>
  <c r="F384" i="18"/>
  <c r="F383" i="18"/>
  <c r="F382" i="18"/>
  <c r="F381" i="18"/>
  <c r="F380" i="18"/>
  <c r="F379" i="18"/>
  <c r="F378" i="18"/>
  <c r="F377" i="18"/>
  <c r="F375" i="18"/>
  <c r="F374" i="18"/>
  <c r="F373" i="18"/>
  <c r="F372" i="18"/>
  <c r="F371" i="18"/>
  <c r="F370" i="18"/>
  <c r="F369" i="18"/>
  <c r="F368" i="18"/>
  <c r="F367" i="18"/>
  <c r="F366" i="18"/>
  <c r="F365" i="18"/>
  <c r="F364" i="18"/>
  <c r="F363" i="18"/>
  <c r="F362" i="18"/>
  <c r="F361" i="18"/>
  <c r="F360" i="18"/>
  <c r="F359" i="18"/>
  <c r="F358" i="18"/>
  <c r="F357" i="18"/>
  <c r="F356" i="18"/>
  <c r="F355" i="18"/>
  <c r="F354" i="18"/>
  <c r="F353" i="18"/>
  <c r="F352" i="18"/>
  <c r="F351" i="18"/>
  <c r="F350" i="18"/>
  <c r="F349" i="18"/>
  <c r="F348" i="18"/>
  <c r="F347" i="18"/>
  <c r="F346" i="18"/>
  <c r="F345" i="18"/>
  <c r="F344" i="18"/>
  <c r="F343" i="18"/>
  <c r="F342" i="18"/>
  <c r="F341" i="18"/>
  <c r="F340" i="18"/>
  <c r="F339" i="18"/>
  <c r="F338" i="18"/>
  <c r="F335" i="18"/>
  <c r="F333" i="18"/>
  <c r="F332" i="18"/>
  <c r="F331" i="18"/>
  <c r="F330" i="18"/>
  <c r="F329" i="18"/>
  <c r="F328" i="18"/>
  <c r="F327" i="18"/>
  <c r="F326" i="18"/>
  <c r="F325" i="18"/>
  <c r="F324" i="18"/>
  <c r="F323" i="18"/>
  <c r="F322" i="18"/>
  <c r="F320" i="18"/>
  <c r="F319" i="18"/>
  <c r="F318" i="18"/>
  <c r="F317" i="18"/>
  <c r="F315" i="18"/>
  <c r="F314" i="18"/>
  <c r="F313" i="18"/>
  <c r="F312" i="18"/>
  <c r="F311" i="18"/>
  <c r="F310" i="18"/>
  <c r="F309" i="18"/>
  <c r="F308" i="18"/>
  <c r="F307" i="18"/>
  <c r="F306" i="18"/>
  <c r="F305" i="18"/>
  <c r="F304" i="18"/>
  <c r="F302" i="18"/>
  <c r="F301" i="18"/>
  <c r="F300" i="18"/>
  <c r="F299" i="18"/>
  <c r="F298" i="18"/>
  <c r="F297" i="18"/>
  <c r="F296" i="18"/>
  <c r="F295" i="18"/>
  <c r="F294" i="18"/>
  <c r="F293" i="18"/>
  <c r="F292" i="18"/>
  <c r="F291" i="18"/>
  <c r="F290" i="18"/>
  <c r="F289" i="18"/>
  <c r="F288" i="18"/>
  <c r="F287" i="18"/>
  <c r="F286" i="18"/>
  <c r="F285" i="18"/>
  <c r="F284" i="18"/>
  <c r="F283" i="18"/>
  <c r="F282" i="18"/>
  <c r="F279" i="18"/>
  <c r="F277" i="18"/>
  <c r="F276" i="18"/>
  <c r="F275" i="18"/>
  <c r="F273" i="18"/>
  <c r="F272" i="18"/>
  <c r="F271" i="18"/>
  <c r="F270" i="18"/>
  <c r="F269" i="18"/>
  <c r="F268" i="18"/>
  <c r="F267" i="18"/>
  <c r="F266" i="18"/>
  <c r="F264" i="18"/>
  <c r="F263" i="18"/>
  <c r="F262" i="18"/>
  <c r="F261" i="18"/>
  <c r="F260" i="18"/>
  <c r="F259" i="18"/>
  <c r="F258" i="18"/>
  <c r="F257" i="18"/>
  <c r="F256" i="18"/>
  <c r="F255" i="18"/>
  <c r="F254" i="18"/>
  <c r="F252" i="18"/>
  <c r="F251" i="18"/>
  <c r="F250" i="18"/>
  <c r="F249" i="18"/>
  <c r="F248" i="18"/>
  <c r="F247" i="18"/>
  <c r="F246" i="18"/>
  <c r="F245" i="18"/>
  <c r="F244" i="18"/>
  <c r="F243" i="18"/>
  <c r="F242" i="18"/>
  <c r="F241" i="18"/>
  <c r="F240" i="18"/>
  <c r="F238" i="18"/>
  <c r="F237" i="18"/>
  <c r="F233" i="18"/>
  <c r="F229" i="18"/>
  <c r="F228" i="18"/>
  <c r="F227" i="18"/>
  <c r="F224" i="18"/>
  <c r="F223" i="18"/>
  <c r="F222" i="18"/>
  <c r="F221" i="18"/>
  <c r="F220" i="18"/>
  <c r="F219" i="18"/>
  <c r="F216" i="18"/>
  <c r="F215" i="18"/>
  <c r="F214" i="18"/>
  <c r="F213" i="18"/>
  <c r="F212" i="18"/>
  <c r="F211" i="18"/>
  <c r="F210" i="18"/>
  <c r="F209" i="18"/>
  <c r="F208" i="18"/>
  <c r="F206" i="18"/>
  <c r="F203" i="18"/>
  <c r="F202" i="18"/>
  <c r="F201" i="18"/>
  <c r="F200" i="18"/>
  <c r="F199" i="18"/>
  <c r="F198" i="18"/>
  <c r="F197" i="18"/>
  <c r="F196" i="18"/>
  <c r="F195" i="18"/>
  <c r="F194" i="18"/>
  <c r="F193" i="18"/>
  <c r="F192" i="18"/>
  <c r="F191" i="18"/>
  <c r="F190" i="18"/>
  <c r="F189" i="18"/>
  <c r="F188" i="18"/>
  <c r="F187" i="18"/>
  <c r="F186" i="18"/>
  <c r="F184" i="18"/>
  <c r="F183" i="18"/>
  <c r="F182" i="18"/>
  <c r="F180" i="18"/>
  <c r="F178" i="18"/>
  <c r="F177" i="18"/>
  <c r="F176" i="18"/>
  <c r="F175" i="18"/>
  <c r="F174" i="18"/>
  <c r="F173" i="18"/>
  <c r="F172" i="18"/>
  <c r="F171" i="18"/>
  <c r="F170" i="18"/>
  <c r="F168" i="18"/>
  <c r="F167" i="18"/>
  <c r="F166" i="18"/>
  <c r="F165" i="18"/>
  <c r="F164" i="18"/>
  <c r="F161" i="18"/>
  <c r="F160" i="18"/>
  <c r="F159" i="18"/>
  <c r="F158" i="18"/>
  <c r="F157" i="18"/>
  <c r="F154" i="18"/>
  <c r="F153" i="18"/>
  <c r="F152" i="18"/>
  <c r="F151" i="18"/>
  <c r="F150" i="18"/>
  <c r="F149" i="18"/>
  <c r="F148" i="18"/>
  <c r="F147" i="18"/>
  <c r="F146" i="18"/>
  <c r="F145" i="18"/>
  <c r="F144" i="18"/>
  <c r="F143" i="18"/>
  <c r="F142" i="18"/>
  <c r="F141" i="18"/>
  <c r="F140" i="18"/>
  <c r="F139" i="18"/>
  <c r="F138" i="18"/>
  <c r="F137" i="18"/>
  <c r="F136" i="18"/>
  <c r="F135" i="18"/>
  <c r="F134" i="18"/>
  <c r="F133" i="18"/>
  <c r="F132" i="18"/>
  <c r="F131" i="18"/>
  <c r="F130" i="18"/>
  <c r="F129" i="18"/>
  <c r="F126" i="18"/>
  <c r="F125" i="18"/>
  <c r="F124" i="18"/>
  <c r="F123" i="18"/>
  <c r="F122" i="18"/>
  <c r="F121" i="18"/>
  <c r="F120" i="18"/>
  <c r="F119" i="18"/>
  <c r="F116" i="18"/>
  <c r="F115" i="18"/>
  <c r="F114" i="18"/>
  <c r="F113" i="18"/>
  <c r="F112" i="18"/>
  <c r="F111" i="18"/>
  <c r="F110" i="18"/>
  <c r="F107" i="18"/>
  <c r="F106" i="18"/>
  <c r="F105" i="18"/>
  <c r="F104" i="18"/>
  <c r="F102" i="18"/>
  <c r="F101" i="18"/>
  <c r="F99" i="18"/>
  <c r="F98" i="18"/>
  <c r="F97" i="18"/>
  <c r="F96" i="18"/>
  <c r="F94" i="18"/>
  <c r="F93" i="18"/>
  <c r="F92" i="18"/>
  <c r="F91" i="18"/>
  <c r="F89" i="18"/>
  <c r="F88" i="18"/>
  <c r="F86" i="18"/>
  <c r="F85" i="18"/>
  <c r="F84" i="18"/>
  <c r="F83" i="18"/>
  <c r="F82" i="18"/>
  <c r="F81" i="18"/>
  <c r="F80" i="18"/>
  <c r="F79" i="18"/>
  <c r="F78" i="18"/>
  <c r="F77" i="18"/>
  <c r="F75" i="18"/>
  <c r="F74" i="18"/>
  <c r="F71" i="18"/>
  <c r="F70" i="18"/>
  <c r="F69" i="18"/>
  <c r="F68" i="18"/>
  <c r="F67" i="18"/>
  <c r="F66" i="18"/>
  <c r="F65" i="18"/>
  <c r="F62" i="18"/>
  <c r="F61" i="18"/>
  <c r="F60" i="18"/>
  <c r="F59" i="18"/>
  <c r="F58" i="18"/>
  <c r="F57" i="18"/>
  <c r="F56" i="18"/>
  <c r="F54" i="18"/>
  <c r="F53" i="18"/>
  <c r="F52" i="18"/>
  <c r="F51" i="18"/>
  <c r="F50" i="18"/>
  <c r="F49" i="18"/>
  <c r="F48" i="18"/>
  <c r="F47" i="18"/>
  <c r="F46" i="18"/>
  <c r="F45" i="18"/>
  <c r="F44" i="18"/>
  <c r="F42" i="18"/>
  <c r="F41" i="18"/>
  <c r="F40" i="18"/>
  <c r="F37" i="18"/>
  <c r="F36" i="18"/>
  <c r="F35" i="18"/>
  <c r="F34" i="18"/>
  <c r="F33" i="18"/>
  <c r="F32" i="18"/>
  <c r="F31" i="18"/>
  <c r="F30" i="18"/>
  <c r="F28" i="18"/>
  <c r="F26" i="18"/>
  <c r="F25" i="18"/>
  <c r="F24" i="18"/>
  <c r="F23" i="18"/>
  <c r="F22" i="18"/>
  <c r="F21" i="18"/>
  <c r="F20" i="18"/>
  <c r="F17" i="18"/>
  <c r="F15" i="18"/>
  <c r="F14" i="18"/>
  <c r="F13" i="18"/>
  <c r="F12" i="18"/>
  <c r="F9" i="18"/>
  <c r="F8" i="18"/>
  <c r="F7" i="18"/>
  <c r="F6" i="18"/>
  <c r="F5" i="18"/>
  <c r="F4" i="18"/>
  <c r="F3" i="18"/>
  <c r="F2" i="18"/>
  <c r="K365" i="21"/>
  <c r="K357" i="21"/>
  <c r="K347" i="21"/>
  <c r="K345" i="21"/>
  <c r="K340" i="21"/>
  <c r="K330" i="21"/>
  <c r="K316" i="21"/>
  <c r="K307" i="21"/>
  <c r="K305" i="21"/>
  <c r="K302" i="21"/>
  <c r="K298" i="21"/>
  <c r="K290" i="21"/>
  <c r="K286" i="21"/>
  <c r="K273" i="21"/>
  <c r="K268" i="21"/>
  <c r="K261" i="21"/>
  <c r="K257" i="21"/>
  <c r="K245" i="21"/>
  <c r="K234" i="21"/>
  <c r="K179" i="21"/>
  <c r="K121" i="21"/>
  <c r="K96" i="21"/>
  <c r="K81" i="21"/>
  <c r="K50" i="21"/>
  <c r="K44" i="21"/>
  <c r="K34" i="21"/>
  <c r="D316" i="21"/>
  <c r="E316" i="21"/>
  <c r="F316" i="21"/>
  <c r="G316" i="21"/>
  <c r="H316" i="21"/>
  <c r="I316" i="21"/>
  <c r="J316" i="21"/>
  <c r="C316" i="21"/>
  <c r="J286" i="21"/>
  <c r="I286" i="21"/>
  <c r="H286" i="21"/>
  <c r="G286" i="21"/>
  <c r="F286" i="21"/>
  <c r="E286" i="21"/>
  <c r="D286" i="21"/>
  <c r="C286" i="21"/>
  <c r="C81" i="21"/>
  <c r="C179" i="21"/>
  <c r="C13" i="21"/>
  <c r="D365" i="21"/>
  <c r="E365" i="21"/>
  <c r="F365" i="21"/>
  <c r="G365" i="21"/>
  <c r="H365" i="21"/>
  <c r="I365" i="21"/>
  <c r="J365" i="21"/>
  <c r="D357" i="21"/>
  <c r="E357" i="21"/>
  <c r="F357" i="21"/>
  <c r="G357" i="21"/>
  <c r="H357" i="21"/>
  <c r="I357" i="21"/>
  <c r="J357" i="21"/>
  <c r="D347" i="21"/>
  <c r="E347" i="21"/>
  <c r="F347" i="21"/>
  <c r="G347" i="21"/>
  <c r="H347" i="21"/>
  <c r="I347" i="21"/>
  <c r="J347" i="21"/>
  <c r="D345" i="21"/>
  <c r="E345" i="21"/>
  <c r="F345" i="21"/>
  <c r="G345" i="21"/>
  <c r="H345" i="21"/>
  <c r="I345" i="21"/>
  <c r="J345" i="21"/>
  <c r="D340" i="21"/>
  <c r="E340" i="21"/>
  <c r="F340" i="21"/>
  <c r="G340" i="21"/>
  <c r="H340" i="21"/>
  <c r="I340" i="21"/>
  <c r="J340" i="21"/>
  <c r="J330" i="21"/>
  <c r="D330" i="21"/>
  <c r="E330" i="21"/>
  <c r="F330" i="21"/>
  <c r="G330" i="21"/>
  <c r="H330" i="21"/>
  <c r="I330" i="21"/>
  <c r="D307" i="21"/>
  <c r="E307" i="21"/>
  <c r="F307" i="21"/>
  <c r="G307" i="21"/>
  <c r="H307" i="21"/>
  <c r="I307" i="21"/>
  <c r="J307" i="21"/>
  <c r="D305" i="21"/>
  <c r="E305" i="21"/>
  <c r="F305" i="21"/>
  <c r="G305" i="21"/>
  <c r="H305" i="21"/>
  <c r="I305" i="21"/>
  <c r="J305" i="21"/>
  <c r="D302" i="21"/>
  <c r="E302" i="21"/>
  <c r="F302" i="21"/>
  <c r="G302" i="21"/>
  <c r="H302" i="21"/>
  <c r="I302" i="21"/>
  <c r="J302" i="21"/>
  <c r="D298" i="21"/>
  <c r="E298" i="21"/>
  <c r="F298" i="21"/>
  <c r="G298" i="21"/>
  <c r="H298" i="21"/>
  <c r="I298" i="21"/>
  <c r="J298" i="21"/>
  <c r="D290" i="21"/>
  <c r="E290" i="21"/>
  <c r="F290" i="21"/>
  <c r="G290" i="21"/>
  <c r="H290" i="21"/>
  <c r="I290" i="21"/>
  <c r="J290" i="21"/>
  <c r="D273" i="21"/>
  <c r="E273" i="21"/>
  <c r="F273" i="21"/>
  <c r="G273" i="21"/>
  <c r="H273" i="21"/>
  <c r="I273" i="21"/>
  <c r="J273" i="21"/>
  <c r="D268" i="21"/>
  <c r="E268" i="21"/>
  <c r="F268" i="21"/>
  <c r="G268" i="21"/>
  <c r="H268" i="21"/>
  <c r="I268" i="21"/>
  <c r="J268" i="21"/>
  <c r="D261" i="21"/>
  <c r="E261" i="21"/>
  <c r="F261" i="21"/>
  <c r="G261" i="21"/>
  <c r="H261" i="21"/>
  <c r="I261" i="21"/>
  <c r="J261" i="21"/>
  <c r="D257" i="21"/>
  <c r="E257" i="21"/>
  <c r="F257" i="21"/>
  <c r="G257" i="21"/>
  <c r="H257" i="21"/>
  <c r="I257" i="21"/>
  <c r="J257" i="21"/>
  <c r="D245" i="21"/>
  <c r="E245" i="21"/>
  <c r="F245" i="21"/>
  <c r="G245" i="21"/>
  <c r="H245" i="21"/>
  <c r="I245" i="21"/>
  <c r="J245" i="21"/>
  <c r="D234" i="21"/>
  <c r="E234" i="21"/>
  <c r="F234" i="21"/>
  <c r="G234" i="21"/>
  <c r="H234" i="21"/>
  <c r="I234" i="21"/>
  <c r="J234" i="21"/>
  <c r="D179" i="21"/>
  <c r="E179" i="21"/>
  <c r="F179" i="21"/>
  <c r="G179" i="21"/>
  <c r="H179" i="21"/>
  <c r="I179" i="21"/>
  <c r="J179" i="21"/>
  <c r="D123" i="21"/>
  <c r="E123" i="21"/>
  <c r="F123" i="21"/>
  <c r="G123" i="21"/>
  <c r="H123" i="21"/>
  <c r="I123" i="21"/>
  <c r="J123" i="21"/>
  <c r="D121" i="21"/>
  <c r="E121" i="21"/>
  <c r="F121" i="21"/>
  <c r="G121" i="21"/>
  <c r="H121" i="21"/>
  <c r="I121" i="21"/>
  <c r="J121" i="21"/>
  <c r="D96" i="21"/>
  <c r="E96" i="21"/>
  <c r="F96" i="21"/>
  <c r="G96" i="21"/>
  <c r="H96" i="21"/>
  <c r="I96" i="21"/>
  <c r="J96" i="21"/>
  <c r="D81" i="21"/>
  <c r="E81" i="21"/>
  <c r="F81" i="21"/>
  <c r="G81" i="21"/>
  <c r="H81" i="21"/>
  <c r="I81" i="21"/>
  <c r="J81" i="21"/>
  <c r="D50" i="21"/>
  <c r="E50" i="21"/>
  <c r="F50" i="21"/>
  <c r="G50" i="21"/>
  <c r="H50" i="21"/>
  <c r="I50" i="21"/>
  <c r="J50" i="21"/>
  <c r="D44" i="21"/>
  <c r="E44" i="21"/>
  <c r="F44" i="21"/>
  <c r="G44" i="21"/>
  <c r="H44" i="21"/>
  <c r="I44" i="21"/>
  <c r="J44" i="21"/>
  <c r="D34" i="21"/>
  <c r="E34" i="21"/>
  <c r="F34" i="21"/>
  <c r="G34" i="21"/>
  <c r="H34" i="21"/>
  <c r="I34" i="21"/>
  <c r="J34" i="21"/>
  <c r="F242" i="16"/>
  <c r="F241" i="16"/>
  <c r="F240" i="16"/>
  <c r="F239" i="16"/>
  <c r="F238" i="16"/>
  <c r="F237" i="16"/>
  <c r="F235" i="16"/>
  <c r="F234" i="16"/>
  <c r="F230" i="16"/>
  <c r="F226" i="16"/>
  <c r="F225" i="16"/>
  <c r="F224" i="16"/>
  <c r="F221" i="16"/>
  <c r="F220" i="16"/>
  <c r="F219" i="16"/>
  <c r="F218" i="16"/>
  <c r="F217" i="16"/>
  <c r="F216" i="16"/>
  <c r="F213" i="16"/>
  <c r="F212" i="16"/>
  <c r="F211" i="16"/>
  <c r="F210" i="16"/>
  <c r="F209" i="16"/>
  <c r="F208" i="16"/>
  <c r="F207" i="16"/>
  <c r="F205" i="16"/>
  <c r="F202" i="16"/>
  <c r="F201" i="16"/>
  <c r="F200" i="16"/>
  <c r="F199" i="16"/>
  <c r="F198" i="16"/>
  <c r="F197" i="16"/>
  <c r="F196" i="16"/>
  <c r="F195" i="16"/>
  <c r="F194" i="16"/>
  <c r="F193" i="16"/>
  <c r="F192" i="16"/>
  <c r="F191" i="16"/>
  <c r="F190" i="16"/>
  <c r="F189" i="16"/>
  <c r="F188" i="16"/>
  <c r="F187" i="16"/>
  <c r="F186" i="16"/>
  <c r="F184" i="16"/>
  <c r="F183" i="16"/>
  <c r="F182" i="16"/>
  <c r="F180" i="16"/>
  <c r="F178" i="16"/>
  <c r="F177" i="16"/>
  <c r="F176" i="16"/>
  <c r="F175" i="16"/>
  <c r="F174" i="16"/>
  <c r="F173" i="16"/>
  <c r="F172" i="16"/>
  <c r="F171" i="16"/>
  <c r="F170" i="16"/>
  <c r="F168" i="16"/>
  <c r="F167" i="16"/>
  <c r="F166" i="16"/>
  <c r="F165" i="16"/>
  <c r="F164" i="16"/>
  <c r="F161" i="16"/>
  <c r="F160" i="16"/>
  <c r="F159" i="16"/>
  <c r="F158" i="16"/>
  <c r="F157" i="16"/>
  <c r="F154" i="16"/>
  <c r="F153" i="16"/>
  <c r="F152" i="16"/>
  <c r="F151" i="16"/>
  <c r="F150" i="16"/>
  <c r="F149" i="16"/>
  <c r="F148" i="16"/>
  <c r="F147" i="16"/>
  <c r="F146" i="16"/>
  <c r="F145" i="16"/>
  <c r="F144" i="16"/>
  <c r="F143" i="16"/>
  <c r="F142" i="16"/>
  <c r="F141" i="16"/>
  <c r="F140" i="16"/>
  <c r="F139" i="16"/>
  <c r="F138" i="16"/>
  <c r="F137" i="16"/>
  <c r="F136" i="16"/>
  <c r="F135" i="16"/>
  <c r="F134" i="16"/>
  <c r="F133" i="16"/>
  <c r="F132" i="16"/>
  <c r="F131" i="16"/>
  <c r="F130" i="16"/>
  <c r="F129" i="16"/>
  <c r="F126" i="16"/>
  <c r="F125" i="16"/>
  <c r="F124" i="16"/>
  <c r="F123" i="16"/>
  <c r="F122" i="16"/>
  <c r="F121" i="16"/>
  <c r="F118" i="16"/>
  <c r="F117" i="16"/>
  <c r="F116" i="16"/>
  <c r="F115" i="16"/>
  <c r="F114" i="16"/>
  <c r="F113" i="16"/>
  <c r="F110" i="16"/>
  <c r="F109" i="16"/>
  <c r="F108" i="16"/>
  <c r="F107" i="16"/>
  <c r="F105" i="16"/>
  <c r="F104" i="16"/>
  <c r="F102" i="16"/>
  <c r="F101" i="16"/>
  <c r="F100" i="16"/>
  <c r="F99" i="16"/>
  <c r="F97" i="16"/>
  <c r="F96" i="16"/>
  <c r="F95" i="16"/>
  <c r="F94" i="16"/>
  <c r="F92" i="16"/>
  <c r="F91" i="16"/>
  <c r="F89" i="16"/>
  <c r="F88" i="16"/>
  <c r="F87" i="16"/>
  <c r="F86" i="16"/>
  <c r="F85" i="16"/>
  <c r="F84" i="16"/>
  <c r="F83" i="16"/>
  <c r="F82" i="16"/>
  <c r="F81" i="16"/>
  <c r="F80" i="16"/>
  <c r="F78" i="16"/>
  <c r="F77" i="16"/>
  <c r="F74" i="16"/>
  <c r="F73" i="16"/>
  <c r="F72" i="16"/>
  <c r="F71" i="16"/>
  <c r="F70" i="16"/>
  <c r="F69" i="16"/>
  <c r="F68" i="16"/>
  <c r="F65" i="16"/>
  <c r="F64" i="16"/>
  <c r="F63" i="16"/>
  <c r="F62" i="16"/>
  <c r="F61" i="16"/>
  <c r="F60" i="16"/>
  <c r="F59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3" i="16"/>
  <c r="F42" i="16"/>
  <c r="F41" i="16"/>
  <c r="F40" i="16"/>
  <c r="F37" i="16"/>
  <c r="F36" i="16"/>
  <c r="F35" i="16"/>
  <c r="F34" i="16"/>
  <c r="F33" i="16"/>
  <c r="F32" i="16"/>
  <c r="F31" i="16"/>
  <c r="F30" i="16"/>
  <c r="F28" i="16"/>
  <c r="F26" i="16"/>
  <c r="F25" i="16"/>
  <c r="F24" i="16"/>
  <c r="F23" i="16"/>
  <c r="F22" i="16"/>
  <c r="F21" i="16"/>
  <c r="F20" i="16"/>
  <c r="F17" i="16"/>
  <c r="F15" i="16"/>
  <c r="F14" i="16"/>
  <c r="F13" i="16"/>
  <c r="F12" i="16"/>
  <c r="F9" i="16"/>
  <c r="F8" i="16"/>
  <c r="F7" i="16"/>
  <c r="F6" i="16"/>
  <c r="F5" i="16"/>
  <c r="F4" i="16"/>
  <c r="F3" i="16"/>
  <c r="F2" i="16"/>
  <c r="F538" i="16"/>
  <c r="F537" i="16"/>
  <c r="F536" i="16"/>
  <c r="F535" i="16"/>
  <c r="F534" i="16"/>
  <c r="F533" i="16"/>
  <c r="F532" i="16"/>
  <c r="F531" i="16"/>
  <c r="F530" i="16"/>
  <c r="F529" i="16"/>
  <c r="F528" i="16"/>
  <c r="F525" i="16"/>
  <c r="F524" i="16"/>
  <c r="F523" i="16"/>
  <c r="F522" i="16"/>
  <c r="F518" i="16"/>
  <c r="F517" i="16"/>
  <c r="F516" i="16"/>
  <c r="F515" i="16"/>
  <c r="F512" i="16"/>
  <c r="F509" i="16"/>
  <c r="F508" i="16"/>
  <c r="F507" i="16"/>
  <c r="F506" i="16"/>
  <c r="F505" i="16"/>
  <c r="F504" i="16"/>
  <c r="F502" i="16"/>
  <c r="F501" i="16"/>
  <c r="F500" i="16"/>
  <c r="F499" i="16"/>
  <c r="F498" i="16"/>
  <c r="F495" i="16"/>
  <c r="F493" i="16"/>
  <c r="F492" i="16"/>
  <c r="F491" i="16"/>
  <c r="F490" i="16"/>
  <c r="F488" i="16"/>
  <c r="F487" i="16"/>
  <c r="F486" i="16"/>
  <c r="F485" i="16"/>
  <c r="F484" i="16"/>
  <c r="F483" i="16"/>
  <c r="F482" i="16"/>
  <c r="F480" i="16"/>
  <c r="F479" i="16"/>
  <c r="F478" i="16"/>
  <c r="F477" i="16"/>
  <c r="F476" i="16"/>
  <c r="F475" i="16"/>
  <c r="F474" i="16"/>
  <c r="F473" i="16"/>
  <c r="F472" i="16"/>
  <c r="F471" i="16"/>
  <c r="F470" i="16"/>
  <c r="F469" i="16"/>
  <c r="F468" i="16"/>
  <c r="F466" i="16"/>
  <c r="F465" i="16"/>
  <c r="F464" i="16"/>
  <c r="F463" i="16"/>
  <c r="F462" i="16"/>
  <c r="F460" i="16"/>
  <c r="F458" i="16"/>
  <c r="F457" i="16"/>
  <c r="F455" i="16"/>
  <c r="F454" i="16"/>
  <c r="F452" i="16"/>
  <c r="F451" i="16"/>
  <c r="F450" i="16"/>
  <c r="F448" i="16"/>
  <c r="F447" i="16"/>
  <c r="F445" i="16"/>
  <c r="F444" i="16"/>
  <c r="F443" i="16"/>
  <c r="F442" i="16"/>
  <c r="F440" i="16"/>
  <c r="F438" i="16"/>
  <c r="F437" i="16"/>
  <c r="F435" i="16"/>
  <c r="F434" i="16"/>
  <c r="F433" i="16"/>
  <c r="F432" i="16"/>
  <c r="F431" i="16"/>
  <c r="F429" i="16"/>
  <c r="F428" i="16"/>
  <c r="F427" i="16"/>
  <c r="F425" i="16"/>
  <c r="F424" i="16"/>
  <c r="F423" i="16"/>
  <c r="F422" i="16"/>
  <c r="F421" i="16"/>
  <c r="F420" i="16"/>
  <c r="F419" i="16"/>
  <c r="F418" i="16"/>
  <c r="F417" i="16"/>
  <c r="F415" i="16"/>
  <c r="F414" i="16"/>
  <c r="F413" i="16"/>
  <c r="F412" i="16"/>
  <c r="F411" i="16"/>
  <c r="F410" i="16"/>
  <c r="F409" i="16"/>
  <c r="F408" i="16"/>
  <c r="F407" i="16"/>
  <c r="F405" i="16"/>
  <c r="F404" i="16"/>
  <c r="F403" i="16"/>
  <c r="F402" i="16"/>
  <c r="F401" i="16"/>
  <c r="F400" i="16"/>
  <c r="F399" i="16"/>
  <c r="F398" i="16"/>
  <c r="F397" i="16"/>
  <c r="F396" i="16"/>
  <c r="F395" i="16"/>
  <c r="F394" i="16"/>
  <c r="F393" i="16"/>
  <c r="F392" i="16"/>
  <c r="F391" i="16"/>
  <c r="F390" i="16"/>
  <c r="F389" i="16"/>
  <c r="F388" i="16"/>
  <c r="F387" i="16"/>
  <c r="F386" i="16"/>
  <c r="F385" i="16"/>
  <c r="F384" i="16"/>
  <c r="F383" i="16"/>
  <c r="F382" i="16"/>
  <c r="F381" i="16"/>
  <c r="F380" i="16"/>
  <c r="F379" i="16"/>
  <c r="F378" i="16"/>
  <c r="F377" i="16"/>
  <c r="F376" i="16"/>
  <c r="F375" i="16"/>
  <c r="F374" i="16"/>
  <c r="F373" i="16"/>
  <c r="F372" i="16"/>
  <c r="F371" i="16"/>
  <c r="F370" i="16"/>
  <c r="F369" i="16"/>
  <c r="F368" i="16"/>
  <c r="F367" i="16"/>
  <c r="F366" i="16"/>
  <c r="F365" i="16"/>
  <c r="F363" i="16"/>
  <c r="F362" i="16"/>
  <c r="F361" i="16"/>
  <c r="F360" i="16"/>
  <c r="F359" i="16"/>
  <c r="F358" i="16"/>
  <c r="F357" i="16"/>
  <c r="F356" i="16"/>
  <c r="F355" i="16"/>
  <c r="F354" i="16"/>
  <c r="F353" i="16"/>
  <c r="F352" i="16"/>
  <c r="F351" i="16"/>
  <c r="F350" i="16"/>
  <c r="F349" i="16"/>
  <c r="F348" i="16"/>
  <c r="F347" i="16"/>
  <c r="F346" i="16"/>
  <c r="F345" i="16"/>
  <c r="F344" i="16"/>
  <c r="F343" i="16"/>
  <c r="F342" i="16"/>
  <c r="F341" i="16"/>
  <c r="F340" i="16"/>
  <c r="F339" i="16"/>
  <c r="F338" i="16"/>
  <c r="F337" i="16"/>
  <c r="F336" i="16"/>
  <c r="F335" i="16"/>
  <c r="F334" i="16"/>
  <c r="F333" i="16"/>
  <c r="F332" i="16"/>
  <c r="F331" i="16"/>
  <c r="F330" i="16"/>
  <c r="F329" i="16"/>
  <c r="F328" i="16"/>
  <c r="F325" i="16"/>
  <c r="F323" i="16"/>
  <c r="F322" i="16"/>
  <c r="F321" i="16"/>
  <c r="F320" i="16"/>
  <c r="F319" i="16"/>
  <c r="F318" i="16"/>
  <c r="F317" i="16"/>
  <c r="F316" i="16"/>
  <c r="F315" i="16"/>
  <c r="F314" i="16"/>
  <c r="F313" i="16"/>
  <c r="F312" i="16"/>
  <c r="F310" i="16"/>
  <c r="F309" i="16"/>
  <c r="F308" i="16"/>
  <c r="F307" i="16"/>
  <c r="F305" i="16"/>
  <c r="F304" i="16"/>
  <c r="F303" i="16"/>
  <c r="F302" i="16"/>
  <c r="F301" i="16"/>
  <c r="F300" i="16"/>
  <c r="F299" i="16"/>
  <c r="F298" i="16"/>
  <c r="F297" i="16"/>
  <c r="F296" i="16"/>
  <c r="F295" i="16"/>
  <c r="F294" i="16"/>
  <c r="F292" i="16"/>
  <c r="F291" i="16"/>
  <c r="F290" i="16"/>
  <c r="F289" i="16"/>
  <c r="F288" i="16"/>
  <c r="F287" i="16"/>
  <c r="F286" i="16"/>
  <c r="F285" i="16"/>
  <c r="F284" i="16"/>
  <c r="F283" i="16"/>
  <c r="F282" i="16"/>
  <c r="F281" i="16"/>
  <c r="F280" i="16"/>
  <c r="F279" i="16"/>
  <c r="F278" i="16"/>
  <c r="F277" i="16"/>
  <c r="F276" i="16"/>
  <c r="F275" i="16"/>
  <c r="F274" i="16"/>
  <c r="F273" i="16"/>
  <c r="F270" i="16"/>
  <c r="F268" i="16"/>
  <c r="F266" i="16"/>
  <c r="F265" i="16"/>
  <c r="F264" i="16"/>
  <c r="F263" i="16"/>
  <c r="F262" i="16"/>
  <c r="F261" i="16"/>
  <c r="F260" i="16"/>
  <c r="F259" i="16"/>
  <c r="F257" i="16"/>
  <c r="F256" i="16"/>
  <c r="F255" i="16"/>
  <c r="F254" i="16"/>
  <c r="F253" i="16"/>
  <c r="F252" i="16"/>
  <c r="F251" i="16"/>
  <c r="F250" i="16"/>
  <c r="F249" i="16"/>
  <c r="F248" i="16"/>
  <c r="F247" i="16"/>
  <c r="F245" i="16"/>
  <c r="F244" i="16"/>
  <c r="F243" i="16"/>
  <c r="C121" i="21"/>
  <c r="C245" i="21"/>
  <c r="F528" i="15"/>
  <c r="F527" i="15"/>
  <c r="F526" i="15"/>
  <c r="F525" i="15"/>
  <c r="F524" i="15"/>
  <c r="F523" i="15"/>
  <c r="F522" i="15"/>
  <c r="F521" i="15"/>
  <c r="F520" i="15"/>
  <c r="F519" i="15"/>
  <c r="F518" i="15"/>
  <c r="F515" i="15"/>
  <c r="F514" i="15"/>
  <c r="F513" i="15"/>
  <c r="F512" i="15"/>
  <c r="F508" i="15"/>
  <c r="F507" i="15"/>
  <c r="F506" i="15"/>
  <c r="F505" i="15"/>
  <c r="F502" i="15"/>
  <c r="F499" i="15"/>
  <c r="F498" i="15"/>
  <c r="F497" i="15"/>
  <c r="F496" i="15"/>
  <c r="F495" i="15"/>
  <c r="F494" i="15"/>
  <c r="F492" i="15"/>
  <c r="F491" i="15"/>
  <c r="F490" i="15"/>
  <c r="F489" i="15"/>
  <c r="F488" i="15"/>
  <c r="F485" i="15"/>
  <c r="F483" i="15"/>
  <c r="F482" i="15"/>
  <c r="F481" i="15"/>
  <c r="F480" i="15"/>
  <c r="F478" i="15"/>
  <c r="F477" i="15"/>
  <c r="F476" i="15"/>
  <c r="F475" i="15"/>
  <c r="F474" i="15"/>
  <c r="F473" i="15"/>
  <c r="F472" i="15"/>
  <c r="F471" i="15"/>
  <c r="F469" i="15"/>
  <c r="F468" i="15"/>
  <c r="F467" i="15"/>
  <c r="F466" i="15"/>
  <c r="F465" i="15"/>
  <c r="F464" i="15"/>
  <c r="F463" i="15"/>
  <c r="F462" i="15"/>
  <c r="F461" i="15"/>
  <c r="F460" i="15"/>
  <c r="F459" i="15"/>
  <c r="F458" i="15"/>
  <c r="F457" i="15"/>
  <c r="F455" i="15"/>
  <c r="F454" i="15"/>
  <c r="F453" i="15"/>
  <c r="F452" i="15"/>
  <c r="F451" i="15"/>
  <c r="F449" i="15"/>
  <c r="F447" i="15"/>
  <c r="F446" i="15"/>
  <c r="F444" i="15"/>
  <c r="F443" i="15"/>
  <c r="F441" i="15"/>
  <c r="F440" i="15"/>
  <c r="F439" i="15"/>
  <c r="F437" i="15"/>
  <c r="F436" i="15"/>
  <c r="F434" i="15"/>
  <c r="F433" i="15"/>
  <c r="F432" i="15"/>
  <c r="F431" i="15"/>
  <c r="F429" i="15"/>
  <c r="F427" i="15"/>
  <c r="F426" i="15"/>
  <c r="F424" i="15"/>
  <c r="F423" i="15"/>
  <c r="F422" i="15"/>
  <c r="F421" i="15"/>
  <c r="F420" i="15"/>
  <c r="F418" i="15"/>
  <c r="F417" i="15"/>
  <c r="F416" i="15"/>
  <c r="F414" i="15"/>
  <c r="F413" i="15"/>
  <c r="F412" i="15"/>
  <c r="F411" i="15"/>
  <c r="F410" i="15"/>
  <c r="F409" i="15"/>
  <c r="F408" i="15"/>
  <c r="F407" i="15"/>
  <c r="F406" i="15"/>
  <c r="F404" i="15"/>
  <c r="F403" i="15"/>
  <c r="F402" i="15"/>
  <c r="F401" i="15"/>
  <c r="F400" i="15"/>
  <c r="F399" i="15"/>
  <c r="F398" i="15"/>
  <c r="F397" i="15"/>
  <c r="F395" i="15"/>
  <c r="F394" i="15"/>
  <c r="F393" i="15"/>
  <c r="F392" i="15"/>
  <c r="F391" i="15"/>
  <c r="F390" i="15"/>
  <c r="F389" i="15"/>
  <c r="F388" i="15"/>
  <c r="F387" i="15"/>
  <c r="F386" i="15"/>
  <c r="F385" i="15"/>
  <c r="F384" i="15"/>
  <c r="F383" i="15"/>
  <c r="F382" i="15"/>
  <c r="F381" i="15"/>
  <c r="F380" i="15"/>
  <c r="F379" i="15"/>
  <c r="F378" i="15"/>
  <c r="F377" i="15"/>
  <c r="F376" i="15"/>
  <c r="F375" i="15"/>
  <c r="F374" i="15"/>
  <c r="F373" i="15"/>
  <c r="F372" i="15"/>
  <c r="F371" i="15"/>
  <c r="F370" i="15"/>
  <c r="F369" i="15"/>
  <c r="F368" i="15"/>
  <c r="F367" i="15"/>
  <c r="F366" i="15"/>
  <c r="F365" i="15"/>
  <c r="F364" i="15"/>
  <c r="F363" i="15"/>
  <c r="F362" i="15"/>
  <c r="F361" i="15"/>
  <c r="F360" i="15"/>
  <c r="F359" i="15"/>
  <c r="F358" i="15"/>
  <c r="F357" i="15"/>
  <c r="F356" i="15"/>
  <c r="F355" i="15"/>
  <c r="F354" i="15"/>
  <c r="F352" i="15"/>
  <c r="F351" i="15"/>
  <c r="F350" i="15"/>
  <c r="F349" i="15"/>
  <c r="F348" i="15"/>
  <c r="F347" i="15"/>
  <c r="F346" i="15"/>
  <c r="F345" i="15"/>
  <c r="F344" i="15"/>
  <c r="F343" i="15"/>
  <c r="F342" i="15"/>
  <c r="F341" i="15"/>
  <c r="F340" i="15"/>
  <c r="F339" i="15"/>
  <c r="F338" i="15"/>
  <c r="F337" i="15"/>
  <c r="F336" i="15"/>
  <c r="F335" i="15"/>
  <c r="F334" i="15"/>
  <c r="F333" i="15"/>
  <c r="F332" i="15"/>
  <c r="F331" i="15"/>
  <c r="F330" i="15"/>
  <c r="F329" i="15"/>
  <c r="F328" i="15"/>
  <c r="F327" i="15"/>
  <c r="F326" i="15"/>
  <c r="F325" i="15"/>
  <c r="F324" i="15"/>
  <c r="F323" i="15"/>
  <c r="F322" i="15"/>
  <c r="F321" i="15"/>
  <c r="F320" i="15"/>
  <c r="F319" i="15"/>
  <c r="F318" i="15"/>
  <c r="F317" i="15"/>
  <c r="F314" i="15"/>
  <c r="F312" i="15"/>
  <c r="F311" i="15"/>
  <c r="F310" i="15"/>
  <c r="F309" i="15"/>
  <c r="F308" i="15"/>
  <c r="F307" i="15"/>
  <c r="F306" i="15"/>
  <c r="F305" i="15"/>
  <c r="F304" i="15"/>
  <c r="F303" i="15"/>
  <c r="F302" i="15"/>
  <c r="F300" i="15"/>
  <c r="F299" i="15"/>
  <c r="F298" i="15"/>
  <c r="F297" i="15"/>
  <c r="F295" i="15"/>
  <c r="F294" i="15"/>
  <c r="F293" i="15"/>
  <c r="F292" i="15"/>
  <c r="F291" i="15"/>
  <c r="F290" i="15"/>
  <c r="F289" i="15"/>
  <c r="F288" i="15"/>
  <c r="F287" i="15"/>
  <c r="F286" i="15"/>
  <c r="F285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67" i="15"/>
  <c r="F266" i="15"/>
  <c r="F263" i="15"/>
  <c r="F261" i="15"/>
  <c r="F259" i="15"/>
  <c r="F258" i="15"/>
  <c r="F257" i="15"/>
  <c r="F256" i="15"/>
  <c r="F255" i="15"/>
  <c r="F254" i="15"/>
  <c r="F253" i="15"/>
  <c r="F252" i="15"/>
  <c r="F250" i="15"/>
  <c r="F249" i="15"/>
  <c r="F248" i="15"/>
  <c r="F247" i="15"/>
  <c r="F246" i="15"/>
  <c r="F245" i="15"/>
  <c r="F244" i="15"/>
  <c r="F243" i="15"/>
  <c r="F242" i="15"/>
  <c r="F241" i="15"/>
  <c r="F240" i="15"/>
  <c r="F238" i="15"/>
  <c r="F237" i="15"/>
  <c r="F236" i="15"/>
  <c r="F235" i="15"/>
  <c r="F234" i="15"/>
  <c r="F233" i="15"/>
  <c r="F232" i="15"/>
  <c r="F231" i="15"/>
  <c r="F229" i="15"/>
  <c r="F228" i="15"/>
  <c r="F224" i="15"/>
  <c r="F220" i="15"/>
  <c r="F219" i="15"/>
  <c r="F218" i="15"/>
  <c r="F215" i="15"/>
  <c r="F214" i="15"/>
  <c r="F213" i="15"/>
  <c r="F212" i="15"/>
  <c r="F211" i="15"/>
  <c r="F210" i="15"/>
  <c r="F207" i="15"/>
  <c r="F206" i="15"/>
  <c r="F205" i="15"/>
  <c r="F204" i="15"/>
  <c r="F203" i="15"/>
  <c r="F201" i="15"/>
  <c r="F198" i="15"/>
  <c r="F197" i="15"/>
  <c r="F196" i="15"/>
  <c r="F195" i="15"/>
  <c r="F194" i="15"/>
  <c r="F193" i="15"/>
  <c r="F192" i="15"/>
  <c r="F191" i="15"/>
  <c r="F190" i="15"/>
  <c r="F189" i="15"/>
  <c r="F188" i="15"/>
  <c r="F187" i="15"/>
  <c r="F186" i="15"/>
  <c r="F185" i="15"/>
  <c r="F184" i="15"/>
  <c r="F183" i="15"/>
  <c r="F182" i="15"/>
  <c r="F180" i="15"/>
  <c r="F179" i="15"/>
  <c r="F178" i="15"/>
  <c r="F176" i="15"/>
  <c r="F174" i="15"/>
  <c r="F173" i="15"/>
  <c r="F172" i="15"/>
  <c r="F171" i="15"/>
  <c r="F170" i="15"/>
  <c r="F169" i="15"/>
  <c r="F168" i="15"/>
  <c r="F167" i="15"/>
  <c r="F166" i="15"/>
  <c r="F164" i="15"/>
  <c r="F163" i="15"/>
  <c r="F162" i="15"/>
  <c r="F161" i="15"/>
  <c r="F158" i="15"/>
  <c r="F157" i="15"/>
  <c r="F156" i="15"/>
  <c r="F155" i="15"/>
  <c r="F154" i="15"/>
  <c r="F151" i="15"/>
  <c r="F150" i="15"/>
  <c r="F149" i="15"/>
  <c r="F148" i="15"/>
  <c r="F147" i="15"/>
  <c r="F146" i="15"/>
  <c r="F145" i="15"/>
  <c r="F144" i="15"/>
  <c r="F143" i="15"/>
  <c r="F142" i="15"/>
  <c r="F141" i="15"/>
  <c r="F140" i="15"/>
  <c r="F139" i="15"/>
  <c r="F138" i="15"/>
  <c r="F137" i="15"/>
  <c r="F136" i="15"/>
  <c r="F135" i="15"/>
  <c r="F134" i="15"/>
  <c r="F133" i="15"/>
  <c r="F132" i="15"/>
  <c r="F131" i="15"/>
  <c r="F130" i="15"/>
  <c r="F129" i="15"/>
  <c r="F128" i="15"/>
  <c r="F127" i="15"/>
  <c r="F126" i="15"/>
  <c r="F123" i="15"/>
  <c r="F122" i="15"/>
  <c r="F121" i="15"/>
  <c r="F120" i="15"/>
  <c r="F119" i="15"/>
  <c r="F118" i="15"/>
  <c r="F115" i="15"/>
  <c r="F114" i="15"/>
  <c r="F113" i="15"/>
  <c r="F112" i="15"/>
  <c r="F111" i="15"/>
  <c r="F110" i="15"/>
  <c r="F109" i="15"/>
  <c r="F106" i="15"/>
  <c r="F105" i="15"/>
  <c r="F104" i="15"/>
  <c r="F103" i="15"/>
  <c r="F101" i="15"/>
  <c r="F100" i="15"/>
  <c r="F98" i="15"/>
  <c r="F97" i="15"/>
  <c r="F96" i="15"/>
  <c r="F95" i="15"/>
  <c r="F93" i="15"/>
  <c r="F92" i="15"/>
  <c r="F91" i="15"/>
  <c r="F90" i="15"/>
  <c r="F88" i="15"/>
  <c r="F87" i="15"/>
  <c r="F85" i="15"/>
  <c r="F84" i="15"/>
  <c r="F83" i="15"/>
  <c r="F82" i="15"/>
  <c r="F81" i="15"/>
  <c r="F80" i="15"/>
  <c r="F79" i="15"/>
  <c r="F78" i="15"/>
  <c r="F77" i="15"/>
  <c r="F76" i="15"/>
  <c r="F74" i="15"/>
  <c r="F73" i="15"/>
  <c r="F70" i="15"/>
  <c r="F69" i="15"/>
  <c r="F68" i="15"/>
  <c r="F67" i="15"/>
  <c r="F66" i="15"/>
  <c r="F63" i="15"/>
  <c r="F62" i="15"/>
  <c r="F61" i="15"/>
  <c r="F60" i="15"/>
  <c r="F59" i="15"/>
  <c r="F58" i="15"/>
  <c r="F57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2" i="15"/>
  <c r="F41" i="15"/>
  <c r="F40" i="15"/>
  <c r="F37" i="15"/>
  <c r="F36" i="15"/>
  <c r="F35" i="15"/>
  <c r="F34" i="15"/>
  <c r="F33" i="15"/>
  <c r="F32" i="15"/>
  <c r="F31" i="15"/>
  <c r="F30" i="15"/>
  <c r="F28" i="15"/>
  <c r="F26" i="15"/>
  <c r="F25" i="15"/>
  <c r="F24" i="15"/>
  <c r="F23" i="15"/>
  <c r="F22" i="15"/>
  <c r="F21" i="15"/>
  <c r="F20" i="15"/>
  <c r="F17" i="15"/>
  <c r="F15" i="15"/>
  <c r="F14" i="15"/>
  <c r="F13" i="15"/>
  <c r="F12" i="15"/>
  <c r="F9" i="15"/>
  <c r="F8" i="15"/>
  <c r="F7" i="15"/>
  <c r="F6" i="15"/>
  <c r="F5" i="15"/>
  <c r="F4" i="15"/>
  <c r="F3" i="15"/>
  <c r="F2" i="15"/>
  <c r="C365" i="21"/>
  <c r="C340" i="21"/>
  <c r="F522" i="14"/>
  <c r="F521" i="14"/>
  <c r="F520" i="14"/>
  <c r="F519" i="14"/>
  <c r="F518" i="14"/>
  <c r="F517" i="14"/>
  <c r="F516" i="14"/>
  <c r="F515" i="14"/>
  <c r="F514" i="14"/>
  <c r="F513" i="14"/>
  <c r="F512" i="14"/>
  <c r="F509" i="14"/>
  <c r="F508" i="14"/>
  <c r="F507" i="14"/>
  <c r="F506" i="14"/>
  <c r="F502" i="14"/>
  <c r="F501" i="14"/>
  <c r="F500" i="14"/>
  <c r="F499" i="14"/>
  <c r="F496" i="14"/>
  <c r="F493" i="14"/>
  <c r="F492" i="14"/>
  <c r="F491" i="14"/>
  <c r="F490" i="14"/>
  <c r="F489" i="14"/>
  <c r="F488" i="14"/>
  <c r="F486" i="14"/>
  <c r="F485" i="14"/>
  <c r="F484" i="14"/>
  <c r="F483" i="14"/>
  <c r="F482" i="14"/>
  <c r="F479" i="14"/>
  <c r="F477" i="14"/>
  <c r="F476" i="14"/>
  <c r="F475" i="14"/>
  <c r="F474" i="14"/>
  <c r="F472" i="14"/>
  <c r="F471" i="14"/>
  <c r="F470" i="14"/>
  <c r="F469" i="14"/>
  <c r="F468" i="14"/>
  <c r="F467" i="14"/>
  <c r="F466" i="14"/>
  <c r="F465" i="14"/>
  <c r="F463" i="14"/>
  <c r="F462" i="14"/>
  <c r="F461" i="14"/>
  <c r="F460" i="14"/>
  <c r="F459" i="14"/>
  <c r="F458" i="14"/>
  <c r="F457" i="14"/>
  <c r="F456" i="14"/>
  <c r="F455" i="14"/>
  <c r="F454" i="14"/>
  <c r="F453" i="14"/>
  <c r="F452" i="14"/>
  <c r="F451" i="14"/>
  <c r="F449" i="14"/>
  <c r="F448" i="14"/>
  <c r="F447" i="14"/>
  <c r="F446" i="14"/>
  <c r="F445" i="14"/>
  <c r="F443" i="14"/>
  <c r="F441" i="14"/>
  <c r="F440" i="14"/>
  <c r="F438" i="14"/>
  <c r="F437" i="14"/>
  <c r="F435" i="14"/>
  <c r="F434" i="14"/>
  <c r="F433" i="14"/>
  <c r="F431" i="14"/>
  <c r="F430" i="14"/>
  <c r="F428" i="14"/>
  <c r="F427" i="14"/>
  <c r="F426" i="14"/>
  <c r="F425" i="14"/>
  <c r="F423" i="14"/>
  <c r="F421" i="14"/>
  <c r="F420" i="14"/>
  <c r="F418" i="14"/>
  <c r="F417" i="14"/>
  <c r="F416" i="14"/>
  <c r="F415" i="14"/>
  <c r="F414" i="14"/>
  <c r="F412" i="14"/>
  <c r="F411" i="14"/>
  <c r="F410" i="14"/>
  <c r="F408" i="14"/>
  <c r="F407" i="14"/>
  <c r="F406" i="14"/>
  <c r="F405" i="14"/>
  <c r="F404" i="14"/>
  <c r="F403" i="14"/>
  <c r="F402" i="14"/>
  <c r="F401" i="14"/>
  <c r="F400" i="14"/>
  <c r="F398" i="14"/>
  <c r="F397" i="14"/>
  <c r="F396" i="14"/>
  <c r="F395" i="14"/>
  <c r="F394" i="14"/>
  <c r="F393" i="14"/>
  <c r="F391" i="14"/>
  <c r="F390" i="14"/>
  <c r="F389" i="14"/>
  <c r="F388" i="14"/>
  <c r="F387" i="14"/>
  <c r="F386" i="14"/>
  <c r="F385" i="14"/>
  <c r="F384" i="14"/>
  <c r="F383" i="14"/>
  <c r="F382" i="14"/>
  <c r="F381" i="14"/>
  <c r="F380" i="14"/>
  <c r="F379" i="14"/>
  <c r="F378" i="14"/>
  <c r="F377" i="14"/>
  <c r="F376" i="14"/>
  <c r="F375" i="14"/>
  <c r="F374" i="14"/>
  <c r="F373" i="14"/>
  <c r="F372" i="14"/>
  <c r="F371" i="14"/>
  <c r="F370" i="14"/>
  <c r="F369" i="14"/>
  <c r="F368" i="14"/>
  <c r="F367" i="14"/>
  <c r="F366" i="14"/>
  <c r="F365" i="14"/>
  <c r="F364" i="14"/>
  <c r="F363" i="14"/>
  <c r="F362" i="14"/>
  <c r="F361" i="14"/>
  <c r="F360" i="14"/>
  <c r="F359" i="14"/>
  <c r="F358" i="14"/>
  <c r="F357" i="14"/>
  <c r="F356" i="14"/>
  <c r="F355" i="14"/>
  <c r="F354" i="14"/>
  <c r="F353" i="14"/>
  <c r="F351" i="14"/>
  <c r="F350" i="14"/>
  <c r="F349" i="14"/>
  <c r="F348" i="14"/>
  <c r="F347" i="14"/>
  <c r="F346" i="14"/>
  <c r="F345" i="14"/>
  <c r="F344" i="14"/>
  <c r="F343" i="14"/>
  <c r="F342" i="14"/>
  <c r="F341" i="14"/>
  <c r="F340" i="14"/>
  <c r="F339" i="14"/>
  <c r="F338" i="14"/>
  <c r="F337" i="14"/>
  <c r="F336" i="14"/>
  <c r="F335" i="14"/>
  <c r="F334" i="14"/>
  <c r="F333" i="14"/>
  <c r="F332" i="14"/>
  <c r="F331" i="14"/>
  <c r="F330" i="14"/>
  <c r="F329" i="14"/>
  <c r="F328" i="14"/>
  <c r="F327" i="14"/>
  <c r="F326" i="14"/>
  <c r="F325" i="14"/>
  <c r="F324" i="14"/>
  <c r="F323" i="14"/>
  <c r="F322" i="14"/>
  <c r="F321" i="14"/>
  <c r="F320" i="14"/>
  <c r="F319" i="14"/>
  <c r="F318" i="14"/>
  <c r="F317" i="14"/>
  <c r="F314" i="14"/>
  <c r="F312" i="14"/>
  <c r="F311" i="14"/>
  <c r="F310" i="14"/>
  <c r="F309" i="14"/>
  <c r="F308" i="14"/>
  <c r="F307" i="14"/>
  <c r="F306" i="14"/>
  <c r="F305" i="14"/>
  <c r="F304" i="14"/>
  <c r="F303" i="14"/>
  <c r="F301" i="14"/>
  <c r="F300" i="14"/>
  <c r="F299" i="14"/>
  <c r="F297" i="14"/>
  <c r="F296" i="14"/>
  <c r="F295" i="14"/>
  <c r="F294" i="14"/>
  <c r="F293" i="14"/>
  <c r="F292" i="14"/>
  <c r="F291" i="14"/>
  <c r="F290" i="14"/>
  <c r="F289" i="14"/>
  <c r="F288" i="14"/>
  <c r="F287" i="14"/>
  <c r="F285" i="14"/>
  <c r="F284" i="14"/>
  <c r="F283" i="14"/>
  <c r="F282" i="14"/>
  <c r="F281" i="14"/>
  <c r="F280" i="14"/>
  <c r="F279" i="14"/>
  <c r="F278" i="14"/>
  <c r="F277" i="14"/>
  <c r="F276" i="14"/>
  <c r="F275" i="14"/>
  <c r="F274" i="14"/>
  <c r="F273" i="14"/>
  <c r="F272" i="14"/>
  <c r="F271" i="14"/>
  <c r="F270" i="14"/>
  <c r="F269" i="14"/>
  <c r="F268" i="14"/>
  <c r="F265" i="14"/>
  <c r="F263" i="14"/>
  <c r="F261" i="14"/>
  <c r="F260" i="14"/>
  <c r="F259" i="14"/>
  <c r="F258" i="14"/>
  <c r="F257" i="14"/>
  <c r="F256" i="14"/>
  <c r="F255" i="14"/>
  <c r="F254" i="14"/>
  <c r="F252" i="14"/>
  <c r="F251" i="14"/>
  <c r="F250" i="14"/>
  <c r="F249" i="14"/>
  <c r="F248" i="14"/>
  <c r="F247" i="14"/>
  <c r="F246" i="14"/>
  <c r="F245" i="14"/>
  <c r="F244" i="14"/>
  <c r="F243" i="14"/>
  <c r="F242" i="14"/>
  <c r="F240" i="14"/>
  <c r="F239" i="14"/>
  <c r="F238" i="14"/>
  <c r="F237" i="14"/>
  <c r="F236" i="14"/>
  <c r="F235" i="14"/>
  <c r="F234" i="14"/>
  <c r="F233" i="14"/>
  <c r="F231" i="14"/>
  <c r="F230" i="14"/>
  <c r="F226" i="14"/>
  <c r="F222" i="14"/>
  <c r="F221" i="14"/>
  <c r="F220" i="14"/>
  <c r="F217" i="14"/>
  <c r="F216" i="14"/>
  <c r="F215" i="14"/>
  <c r="F214" i="14"/>
  <c r="F213" i="14"/>
  <c r="F212" i="14"/>
  <c r="F209" i="14"/>
  <c r="F208" i="14"/>
  <c r="F207" i="14"/>
  <c r="F206" i="14"/>
  <c r="F205" i="14"/>
  <c r="F203" i="14"/>
  <c r="F200" i="14"/>
  <c r="F199" i="14"/>
  <c r="F198" i="14"/>
  <c r="F197" i="14"/>
  <c r="F196" i="14"/>
  <c r="F195" i="14"/>
  <c r="F194" i="14"/>
  <c r="F193" i="14"/>
  <c r="F192" i="14"/>
  <c r="F191" i="14"/>
  <c r="F190" i="14"/>
  <c r="F189" i="14"/>
  <c r="F188" i="14"/>
  <c r="F187" i="14"/>
  <c r="F186" i="14"/>
  <c r="F185" i="14"/>
  <c r="F183" i="14"/>
  <c r="F182" i="14"/>
  <c r="F181" i="14"/>
  <c r="F179" i="14"/>
  <c r="F177" i="14"/>
  <c r="F176" i="14"/>
  <c r="F175" i="14"/>
  <c r="F174" i="14"/>
  <c r="F173" i="14"/>
  <c r="F172" i="14"/>
  <c r="F171" i="14"/>
  <c r="F170" i="14"/>
  <c r="F169" i="14"/>
  <c r="F167" i="14"/>
  <c r="F166" i="14"/>
  <c r="F165" i="14"/>
  <c r="F164" i="14"/>
  <c r="F161" i="14"/>
  <c r="F160" i="14"/>
  <c r="F159" i="14"/>
  <c r="F158" i="14"/>
  <c r="F157" i="14"/>
  <c r="F154" i="14"/>
  <c r="F153" i="14"/>
  <c r="F152" i="14"/>
  <c r="F151" i="14"/>
  <c r="F150" i="14"/>
  <c r="F149" i="14"/>
  <c r="F148" i="14"/>
  <c r="F147" i="14"/>
  <c r="F146" i="14"/>
  <c r="F145" i="14"/>
  <c r="F144" i="14"/>
  <c r="F143" i="14"/>
  <c r="F142" i="14"/>
  <c r="F141" i="14"/>
  <c r="F140" i="14"/>
  <c r="F139" i="14"/>
  <c r="F138" i="14"/>
  <c r="F137" i="14"/>
  <c r="F136" i="14"/>
  <c r="F135" i="14"/>
  <c r="F134" i="14"/>
  <c r="F133" i="14"/>
  <c r="F132" i="14"/>
  <c r="F131" i="14"/>
  <c r="F130" i="14"/>
  <c r="F129" i="14"/>
  <c r="F126" i="14"/>
  <c r="F125" i="14"/>
  <c r="F124" i="14"/>
  <c r="F123" i="14"/>
  <c r="F122" i="14"/>
  <c r="F121" i="14"/>
  <c r="F118" i="14"/>
  <c r="F117" i="14"/>
  <c r="F116" i="14"/>
  <c r="F115" i="14"/>
  <c r="F114" i="14"/>
  <c r="F113" i="14"/>
  <c r="F112" i="14"/>
  <c r="F109" i="14"/>
  <c r="F108" i="14"/>
  <c r="F107" i="14"/>
  <c r="F106" i="14"/>
  <c r="F104" i="14"/>
  <c r="F103" i="14"/>
  <c r="F101" i="14"/>
  <c r="F100" i="14"/>
  <c r="F99" i="14"/>
  <c r="F98" i="14"/>
  <c r="F96" i="14"/>
  <c r="F95" i="14"/>
  <c r="F94" i="14"/>
  <c r="F93" i="14"/>
  <c r="F91" i="14"/>
  <c r="F90" i="14"/>
  <c r="F88" i="14"/>
  <c r="F87" i="14"/>
  <c r="F86" i="14"/>
  <c r="F85" i="14"/>
  <c r="F84" i="14"/>
  <c r="F83" i="14"/>
  <c r="F82" i="14"/>
  <c r="F81" i="14"/>
  <c r="F80" i="14"/>
  <c r="F79" i="14"/>
  <c r="F77" i="14"/>
  <c r="F76" i="14"/>
  <c r="F73" i="14"/>
  <c r="F72" i="14"/>
  <c r="F71" i="14"/>
  <c r="F70" i="14"/>
  <c r="F69" i="14"/>
  <c r="F68" i="14"/>
  <c r="F67" i="14"/>
  <c r="F64" i="14"/>
  <c r="F61" i="14"/>
  <c r="F60" i="14"/>
  <c r="F59" i="14"/>
  <c r="F58" i="14"/>
  <c r="F57" i="14"/>
  <c r="F56" i="14"/>
  <c r="F55" i="14"/>
  <c r="F53" i="14"/>
  <c r="F52" i="14"/>
  <c r="F51" i="14"/>
  <c r="F50" i="14"/>
  <c r="F49" i="14"/>
  <c r="F48" i="14"/>
  <c r="F47" i="14"/>
  <c r="F46" i="14"/>
  <c r="F45" i="14"/>
  <c r="F44" i="14"/>
  <c r="F43" i="14"/>
  <c r="F41" i="14"/>
  <c r="F40" i="14"/>
  <c r="F37" i="14"/>
  <c r="F36" i="14"/>
  <c r="F35" i="14"/>
  <c r="F34" i="14"/>
  <c r="F33" i="14"/>
  <c r="F32" i="14"/>
  <c r="F31" i="14"/>
  <c r="F30" i="14"/>
  <c r="F28" i="14"/>
  <c r="F26" i="14"/>
  <c r="F25" i="14"/>
  <c r="F24" i="14"/>
  <c r="F23" i="14"/>
  <c r="F22" i="14"/>
  <c r="F21" i="14"/>
  <c r="F20" i="14"/>
  <c r="F17" i="14"/>
  <c r="F15" i="14"/>
  <c r="F14" i="14"/>
  <c r="F13" i="14"/>
  <c r="F12" i="14"/>
  <c r="F9" i="14"/>
  <c r="F8" i="14"/>
  <c r="F7" i="14"/>
  <c r="F6" i="14"/>
  <c r="F5" i="14"/>
  <c r="F4" i="14"/>
  <c r="F3" i="14"/>
  <c r="F2" i="14"/>
  <c r="F515" i="13"/>
  <c r="F514" i="13"/>
  <c r="F513" i="13"/>
  <c r="F512" i="13"/>
  <c r="F511" i="13"/>
  <c r="F510" i="13"/>
  <c r="F509" i="13"/>
  <c r="F508" i="13"/>
  <c r="F507" i="13"/>
  <c r="F506" i="13"/>
  <c r="F503" i="13"/>
  <c r="F502" i="13"/>
  <c r="F501" i="13"/>
  <c r="F500" i="13"/>
  <c r="F496" i="13"/>
  <c r="F495" i="13"/>
  <c r="F494" i="13"/>
  <c r="F493" i="13"/>
  <c r="F490" i="13"/>
  <c r="F487" i="13"/>
  <c r="F486" i="13"/>
  <c r="F485" i="13"/>
  <c r="F484" i="13"/>
  <c r="F483" i="13"/>
  <c r="F481" i="13"/>
  <c r="F480" i="13"/>
  <c r="F479" i="13"/>
  <c r="F478" i="13"/>
  <c r="F477" i="13"/>
  <c r="F474" i="13"/>
  <c r="F472" i="13"/>
  <c r="F471" i="13"/>
  <c r="F470" i="13"/>
  <c r="F469" i="13"/>
  <c r="F467" i="13"/>
  <c r="F466" i="13"/>
  <c r="F465" i="13"/>
  <c r="F464" i="13"/>
  <c r="F463" i="13"/>
  <c r="F462" i="13"/>
  <c r="F461" i="13"/>
  <c r="F459" i="13"/>
  <c r="F458" i="13"/>
  <c r="F457" i="13"/>
  <c r="F456" i="13"/>
  <c r="F455" i="13"/>
  <c r="F454" i="13"/>
  <c r="F453" i="13"/>
  <c r="F452" i="13"/>
  <c r="F451" i="13"/>
  <c r="F450" i="13"/>
  <c r="F449" i="13"/>
  <c r="F448" i="13"/>
  <c r="F447" i="13"/>
  <c r="F445" i="13"/>
  <c r="F444" i="13"/>
  <c r="F443" i="13"/>
  <c r="F442" i="13"/>
  <c r="F441" i="13"/>
  <c r="F439" i="13"/>
  <c r="F437" i="13"/>
  <c r="F436" i="13"/>
  <c r="F434" i="13"/>
  <c r="F433" i="13"/>
  <c r="F431" i="13"/>
  <c r="F430" i="13"/>
  <c r="F429" i="13"/>
  <c r="F427" i="13"/>
  <c r="F426" i="13"/>
  <c r="F424" i="13"/>
  <c r="F423" i="13"/>
  <c r="F421" i="13"/>
  <c r="F419" i="13"/>
  <c r="F418" i="13"/>
  <c r="F416" i="13"/>
  <c r="F415" i="13"/>
  <c r="F414" i="13"/>
  <c r="F413" i="13"/>
  <c r="F412" i="13"/>
  <c r="F410" i="13"/>
  <c r="F409" i="13"/>
  <c r="F408" i="13"/>
  <c r="F406" i="13"/>
  <c r="F405" i="13"/>
  <c r="F404" i="13"/>
  <c r="F403" i="13"/>
  <c r="F402" i="13"/>
  <c r="F401" i="13"/>
  <c r="F400" i="13"/>
  <c r="F399" i="13"/>
  <c r="F398" i="13"/>
  <c r="F396" i="13"/>
  <c r="F395" i="13"/>
  <c r="F394" i="13"/>
  <c r="F393" i="13"/>
  <c r="F392" i="13"/>
  <c r="F391" i="13"/>
  <c r="F389" i="13"/>
  <c r="F388" i="13"/>
  <c r="F387" i="13"/>
  <c r="F386" i="13"/>
  <c r="F385" i="13"/>
  <c r="F384" i="13"/>
  <c r="F383" i="13"/>
  <c r="F382" i="13"/>
  <c r="F381" i="13"/>
  <c r="F380" i="13"/>
  <c r="F379" i="13"/>
  <c r="F378" i="13"/>
  <c r="F377" i="13"/>
  <c r="F376" i="13"/>
  <c r="F375" i="13"/>
  <c r="F374" i="13"/>
  <c r="F373" i="13"/>
  <c r="F372" i="13"/>
  <c r="F371" i="13"/>
  <c r="F370" i="13"/>
  <c r="F369" i="13"/>
  <c r="F368" i="13"/>
  <c r="F367" i="13"/>
  <c r="F366" i="13"/>
  <c r="F365" i="13"/>
  <c r="F364" i="13"/>
  <c r="F363" i="13"/>
  <c r="F362" i="13"/>
  <c r="F361" i="13"/>
  <c r="F360" i="13"/>
  <c r="F359" i="13"/>
  <c r="F358" i="13"/>
  <c r="F357" i="13"/>
  <c r="F356" i="13"/>
  <c r="F355" i="13"/>
  <c r="F354" i="13"/>
  <c r="F353" i="13"/>
  <c r="F352" i="13"/>
  <c r="F351" i="13"/>
  <c r="F349" i="13"/>
  <c r="F348" i="13"/>
  <c r="F347" i="13"/>
  <c r="F346" i="13"/>
  <c r="F345" i="13"/>
  <c r="F344" i="13"/>
  <c r="F343" i="13"/>
  <c r="F342" i="13"/>
  <c r="F341" i="13"/>
  <c r="F340" i="13"/>
  <c r="F339" i="13"/>
  <c r="F338" i="13"/>
  <c r="F337" i="13"/>
  <c r="F336" i="13"/>
  <c r="F335" i="13"/>
  <c r="F334" i="13"/>
  <c r="F333" i="13"/>
  <c r="F332" i="13"/>
  <c r="F331" i="13"/>
  <c r="F330" i="13"/>
  <c r="F329" i="13"/>
  <c r="F328" i="13"/>
  <c r="F327" i="13"/>
  <c r="F326" i="13"/>
  <c r="F325" i="13"/>
  <c r="F324" i="13"/>
  <c r="F323" i="13"/>
  <c r="F322" i="13"/>
  <c r="F321" i="13"/>
  <c r="F320" i="13"/>
  <c r="F319" i="13"/>
  <c r="F318" i="13"/>
  <c r="F317" i="13"/>
  <c r="F314" i="13"/>
  <c r="F312" i="13"/>
  <c r="F311" i="13"/>
  <c r="F310" i="13"/>
  <c r="F309" i="13"/>
  <c r="F308" i="13"/>
  <c r="F307" i="13"/>
  <c r="F306" i="13"/>
  <c r="F305" i="13"/>
  <c r="F304" i="13"/>
  <c r="F302" i="13"/>
  <c r="F301" i="13"/>
  <c r="F300" i="13"/>
  <c r="F298" i="13"/>
  <c r="F297" i="13"/>
  <c r="F296" i="13"/>
  <c r="F295" i="13"/>
  <c r="F294" i="13"/>
  <c r="F293" i="13"/>
  <c r="F292" i="13"/>
  <c r="F291" i="13"/>
  <c r="F290" i="13"/>
  <c r="F289" i="13"/>
  <c r="F288" i="13"/>
  <c r="F286" i="13"/>
  <c r="F285" i="13"/>
  <c r="F284" i="13"/>
  <c r="F283" i="13"/>
  <c r="F282" i="13"/>
  <c r="F281" i="13"/>
  <c r="F280" i="13"/>
  <c r="F279" i="13"/>
  <c r="F278" i="13"/>
  <c r="F277" i="13"/>
  <c r="F276" i="13"/>
  <c r="F275" i="13"/>
  <c r="F274" i="13"/>
  <c r="F273" i="13"/>
  <c r="F272" i="13"/>
  <c r="F271" i="13"/>
  <c r="F270" i="13"/>
  <c r="F269" i="13"/>
  <c r="F266" i="13"/>
  <c r="F264" i="13"/>
  <c r="F262" i="13"/>
  <c r="F261" i="13"/>
  <c r="F260" i="13"/>
  <c r="F259" i="13"/>
  <c r="F258" i="13"/>
  <c r="F257" i="13"/>
  <c r="F256" i="13"/>
  <c r="F255" i="13"/>
  <c r="F253" i="13"/>
  <c r="F252" i="13"/>
  <c r="F251" i="13"/>
  <c r="F250" i="13"/>
  <c r="F249" i="13"/>
  <c r="F248" i="13"/>
  <c r="F247" i="13"/>
  <c r="F246" i="13"/>
  <c r="F245" i="13"/>
  <c r="F244" i="13"/>
  <c r="F243" i="13"/>
  <c r="F241" i="13"/>
  <c r="F240" i="13"/>
  <c r="F239" i="13"/>
  <c r="F238" i="13"/>
  <c r="F237" i="13"/>
  <c r="F236" i="13"/>
  <c r="F235" i="13"/>
  <c r="F234" i="13"/>
  <c r="F232" i="13"/>
  <c r="F231" i="13"/>
  <c r="F227" i="13"/>
  <c r="F223" i="13"/>
  <c r="F222" i="13"/>
  <c r="F221" i="13"/>
  <c r="F218" i="13"/>
  <c r="F217" i="13"/>
  <c r="F216" i="13"/>
  <c r="F215" i="13"/>
  <c r="F214" i="13"/>
  <c r="F213" i="13"/>
  <c r="F210" i="13"/>
  <c r="F209" i="13"/>
  <c r="F208" i="13"/>
  <c r="F207" i="13"/>
  <c r="F206" i="13"/>
  <c r="F204" i="13"/>
  <c r="F201" i="13"/>
  <c r="F200" i="13"/>
  <c r="F199" i="13"/>
  <c r="F198" i="13"/>
  <c r="F197" i="13"/>
  <c r="F196" i="13"/>
  <c r="F195" i="13"/>
  <c r="F194" i="13"/>
  <c r="F193" i="13"/>
  <c r="F192" i="13"/>
  <c r="F191" i="13"/>
  <c r="F190" i="13"/>
  <c r="F189" i="13"/>
  <c r="F188" i="13"/>
  <c r="F187" i="13"/>
  <c r="F186" i="13"/>
  <c r="F184" i="13"/>
  <c r="F183" i="13"/>
  <c r="F182" i="13"/>
  <c r="F180" i="13"/>
  <c r="F178" i="13"/>
  <c r="F177" i="13"/>
  <c r="F176" i="13"/>
  <c r="F175" i="13"/>
  <c r="F174" i="13"/>
  <c r="F173" i="13"/>
  <c r="F172" i="13"/>
  <c r="F171" i="13"/>
  <c r="F170" i="13"/>
  <c r="F168" i="13"/>
  <c r="F167" i="13"/>
  <c r="F166" i="13"/>
  <c r="F165" i="13"/>
  <c r="F162" i="13"/>
  <c r="F161" i="13"/>
  <c r="F160" i="13"/>
  <c r="F159" i="13"/>
  <c r="F158" i="13"/>
  <c r="F155" i="13"/>
  <c r="F154" i="13"/>
  <c r="F153" i="13"/>
  <c r="F152" i="13"/>
  <c r="F151" i="13"/>
  <c r="F150" i="13"/>
  <c r="F149" i="13"/>
  <c r="F148" i="13"/>
  <c r="F147" i="13"/>
  <c r="F146" i="13"/>
  <c r="F145" i="13"/>
  <c r="F144" i="13"/>
  <c r="F143" i="13"/>
  <c r="F142" i="13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7" i="13"/>
  <c r="F126" i="13"/>
  <c r="F125" i="13"/>
  <c r="F124" i="13"/>
  <c r="F123" i="13"/>
  <c r="F122" i="13"/>
  <c r="F121" i="13"/>
  <c r="F118" i="13"/>
  <c r="F117" i="13"/>
  <c r="F116" i="13"/>
  <c r="F115" i="13"/>
  <c r="F114" i="13"/>
  <c r="F113" i="13"/>
  <c r="F110" i="13"/>
  <c r="F109" i="13"/>
  <c r="F108" i="13"/>
  <c r="F107" i="13"/>
  <c r="F105" i="13"/>
  <c r="F104" i="13"/>
  <c r="F102" i="13"/>
  <c r="F101" i="13"/>
  <c r="F100" i="13"/>
  <c r="F99" i="13"/>
  <c r="F97" i="13"/>
  <c r="F96" i="13"/>
  <c r="F95" i="13"/>
  <c r="F94" i="13"/>
  <c r="F92" i="13"/>
  <c r="F91" i="13"/>
  <c r="F89" i="13"/>
  <c r="F88" i="13"/>
  <c r="F87" i="13"/>
  <c r="F86" i="13"/>
  <c r="F85" i="13"/>
  <c r="F84" i="13"/>
  <c r="F83" i="13"/>
  <c r="F82" i="13"/>
  <c r="F81" i="13"/>
  <c r="F80" i="13"/>
  <c r="F78" i="13"/>
  <c r="F77" i="13"/>
  <c r="F74" i="13"/>
  <c r="F73" i="13"/>
  <c r="F72" i="13"/>
  <c r="F71" i="13"/>
  <c r="F70" i="13"/>
  <c r="F69" i="13"/>
  <c r="F68" i="13"/>
  <c r="F65" i="13"/>
  <c r="F62" i="13"/>
  <c r="F61" i="13"/>
  <c r="F60" i="13"/>
  <c r="F59" i="13"/>
  <c r="F58" i="13"/>
  <c r="F57" i="13"/>
  <c r="F56" i="13"/>
  <c r="F54" i="13"/>
  <c r="F53" i="13"/>
  <c r="F52" i="13"/>
  <c r="F51" i="13"/>
  <c r="F50" i="13"/>
  <c r="F49" i="13"/>
  <c r="F48" i="13"/>
  <c r="F47" i="13"/>
  <c r="F46" i="13"/>
  <c r="F45" i="13"/>
  <c r="F44" i="13"/>
  <c r="F42" i="13"/>
  <c r="F41" i="13"/>
  <c r="F40" i="13"/>
  <c r="F37" i="13"/>
  <c r="F36" i="13"/>
  <c r="F35" i="13"/>
  <c r="F34" i="13"/>
  <c r="F33" i="13"/>
  <c r="F32" i="13"/>
  <c r="F31" i="13"/>
  <c r="F30" i="13"/>
  <c r="F28" i="13"/>
  <c r="F26" i="13"/>
  <c r="F25" i="13"/>
  <c r="F24" i="13"/>
  <c r="F23" i="13"/>
  <c r="F22" i="13"/>
  <c r="F21" i="13"/>
  <c r="F20" i="13"/>
  <c r="F17" i="13"/>
  <c r="F15" i="13"/>
  <c r="F14" i="13"/>
  <c r="F13" i="13"/>
  <c r="F12" i="13"/>
  <c r="F9" i="13"/>
  <c r="F8" i="13"/>
  <c r="F7" i="13"/>
  <c r="F6" i="13"/>
  <c r="F5" i="13"/>
  <c r="F4" i="13"/>
  <c r="F3" i="13"/>
  <c r="F2" i="13"/>
  <c r="C302" i="21"/>
  <c r="C305" i="21"/>
  <c r="C307" i="21"/>
  <c r="C330" i="21"/>
  <c r="C345" i="21"/>
  <c r="C347" i="21"/>
  <c r="C357" i="21"/>
  <c r="C298" i="21"/>
  <c r="C290" i="21"/>
  <c r="C273" i="21"/>
  <c r="C268" i="21"/>
  <c r="C261" i="21"/>
  <c r="C257" i="21"/>
  <c r="C234" i="21"/>
  <c r="C44" i="21"/>
  <c r="C34" i="21"/>
  <c r="G3" i="12"/>
  <c r="G4" i="12"/>
  <c r="G5" i="12"/>
  <c r="G6" i="12"/>
  <c r="G7" i="12"/>
  <c r="G8" i="12"/>
  <c r="G9" i="12"/>
  <c r="G12" i="12"/>
  <c r="G13" i="12"/>
  <c r="G14" i="12"/>
  <c r="G15" i="12"/>
  <c r="G17" i="12"/>
  <c r="G20" i="12"/>
  <c r="G21" i="12"/>
  <c r="G22" i="12"/>
  <c r="G23" i="12"/>
  <c r="G24" i="12"/>
  <c r="G25" i="12"/>
  <c r="G26" i="12"/>
  <c r="G28" i="12"/>
  <c r="G30" i="12"/>
  <c r="G31" i="12"/>
  <c r="G32" i="12"/>
  <c r="G33" i="12"/>
  <c r="G34" i="12"/>
  <c r="G35" i="12"/>
  <c r="G36" i="12"/>
  <c r="G37" i="12"/>
  <c r="G38" i="12"/>
  <c r="G39" i="12"/>
  <c r="G40" i="12"/>
  <c r="G43" i="12"/>
  <c r="G44" i="12"/>
  <c r="G45" i="12"/>
  <c r="G47" i="12"/>
  <c r="G48" i="12"/>
  <c r="G49" i="12"/>
  <c r="G50" i="12"/>
  <c r="G51" i="12"/>
  <c r="G52" i="12"/>
  <c r="G53" i="12"/>
  <c r="G54" i="12"/>
  <c r="G55" i="12"/>
  <c r="G56" i="12"/>
  <c r="G57" i="12"/>
  <c r="G59" i="12"/>
  <c r="G60" i="12"/>
  <c r="G61" i="12"/>
  <c r="G62" i="12"/>
  <c r="G63" i="12"/>
  <c r="G64" i="12"/>
  <c r="G65" i="12"/>
  <c r="G68" i="12"/>
  <c r="G71" i="12"/>
  <c r="G72" i="12"/>
  <c r="G73" i="12"/>
  <c r="G74" i="12"/>
  <c r="G75" i="12"/>
  <c r="G76" i="12"/>
  <c r="G77" i="12"/>
  <c r="G80" i="12"/>
  <c r="G81" i="12"/>
  <c r="G83" i="12"/>
  <c r="G84" i="12"/>
  <c r="G85" i="12"/>
  <c r="G86" i="12"/>
  <c r="G87" i="12"/>
  <c r="G88" i="12"/>
  <c r="G89" i="12"/>
  <c r="G90" i="12"/>
  <c r="G91" i="12"/>
  <c r="G92" i="12"/>
  <c r="G94" i="12"/>
  <c r="G95" i="12"/>
  <c r="G97" i="12"/>
  <c r="G98" i="12"/>
  <c r="G99" i="12"/>
  <c r="G100" i="12"/>
  <c r="G102" i="12"/>
  <c r="G103" i="12"/>
  <c r="G104" i="12"/>
  <c r="G105" i="12"/>
  <c r="G107" i="12"/>
  <c r="G108" i="12"/>
  <c r="G110" i="12"/>
  <c r="G111" i="12"/>
  <c r="G112" i="12"/>
  <c r="G113" i="12"/>
  <c r="G116" i="12"/>
  <c r="G117" i="12"/>
  <c r="G118" i="12"/>
  <c r="G119" i="12"/>
  <c r="G120" i="12"/>
  <c r="G121" i="12"/>
  <c r="G124" i="12"/>
  <c r="G125" i="12"/>
  <c r="G126" i="12"/>
  <c r="G127" i="12"/>
  <c r="G128" i="12"/>
  <c r="G129" i="12"/>
  <c r="G130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61" i="12"/>
  <c r="G162" i="12"/>
  <c r="G163" i="12"/>
  <c r="G164" i="12"/>
  <c r="G165" i="12"/>
  <c r="G168" i="12"/>
  <c r="G169" i="12"/>
  <c r="G170" i="12"/>
  <c r="G171" i="12"/>
  <c r="G173" i="12"/>
  <c r="G174" i="12"/>
  <c r="G175" i="12"/>
  <c r="G176" i="12"/>
  <c r="G177" i="12"/>
  <c r="G178" i="12"/>
  <c r="G179" i="12"/>
  <c r="G180" i="12"/>
  <c r="G181" i="12"/>
  <c r="G183" i="12"/>
  <c r="G185" i="12"/>
  <c r="G186" i="12"/>
  <c r="G187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6" i="12"/>
  <c r="G208" i="12"/>
  <c r="G209" i="12"/>
  <c r="G210" i="12"/>
  <c r="G211" i="12"/>
  <c r="G212" i="12"/>
  <c r="G215" i="12"/>
  <c r="G216" i="12"/>
  <c r="G217" i="12"/>
  <c r="G218" i="12"/>
  <c r="G219" i="12"/>
  <c r="G220" i="12"/>
  <c r="G223" i="12"/>
  <c r="G224" i="12"/>
  <c r="G225" i="12"/>
  <c r="G229" i="12"/>
  <c r="G233" i="12"/>
  <c r="G234" i="12"/>
  <c r="G236" i="12"/>
  <c r="G237" i="12"/>
  <c r="G238" i="12"/>
  <c r="G239" i="12"/>
  <c r="G240" i="12"/>
  <c r="G241" i="12"/>
  <c r="G242" i="12"/>
  <c r="G243" i="12"/>
  <c r="G245" i="12"/>
  <c r="G246" i="12"/>
  <c r="G247" i="12"/>
  <c r="G248" i="12"/>
  <c r="G249" i="12"/>
  <c r="G250" i="12"/>
  <c r="G251" i="12"/>
  <c r="G252" i="12"/>
  <c r="G253" i="12"/>
  <c r="G254" i="12"/>
  <c r="G255" i="12"/>
  <c r="G257" i="12"/>
  <c r="G258" i="12"/>
  <c r="G259" i="12"/>
  <c r="G260" i="12"/>
  <c r="G261" i="12"/>
  <c r="G262" i="12"/>
  <c r="G263" i="12"/>
  <c r="G264" i="12"/>
  <c r="G266" i="12"/>
  <c r="G268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90" i="12"/>
  <c r="G291" i="12"/>
  <c r="G292" i="12"/>
  <c r="G293" i="12"/>
  <c r="G294" i="12"/>
  <c r="G295" i="12"/>
  <c r="G296" i="12"/>
  <c r="G297" i="12"/>
  <c r="G298" i="12"/>
  <c r="G299" i="12"/>
  <c r="G300" i="12"/>
  <c r="G302" i="12"/>
  <c r="G303" i="12"/>
  <c r="G304" i="12"/>
  <c r="G306" i="12"/>
  <c r="G307" i="12"/>
  <c r="G308" i="12"/>
  <c r="G309" i="12"/>
  <c r="G310" i="12"/>
  <c r="G311" i="12"/>
  <c r="G312" i="12"/>
  <c r="G313" i="12"/>
  <c r="G315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2" i="12"/>
  <c r="G393" i="12"/>
  <c r="G394" i="12"/>
  <c r="G395" i="12"/>
  <c r="G396" i="12"/>
  <c r="G397" i="12"/>
  <c r="G399" i="12"/>
  <c r="G400" i="12"/>
  <c r="G401" i="12"/>
  <c r="G402" i="12"/>
  <c r="G403" i="12"/>
  <c r="G404" i="12"/>
  <c r="G405" i="12"/>
  <c r="G406" i="12"/>
  <c r="G407" i="12"/>
  <c r="G409" i="12"/>
  <c r="G410" i="12"/>
  <c r="G411" i="12"/>
  <c r="G413" i="12"/>
  <c r="G414" i="12"/>
  <c r="G415" i="12"/>
  <c r="G416" i="12"/>
  <c r="G417" i="12"/>
  <c r="G419" i="12"/>
  <c r="G420" i="12"/>
  <c r="G422" i="12"/>
  <c r="G424" i="12"/>
  <c r="G425" i="12"/>
  <c r="G427" i="12"/>
  <c r="G428" i="12"/>
  <c r="G430" i="12"/>
  <c r="G431" i="12"/>
  <c r="G432" i="12"/>
  <c r="G434" i="12"/>
  <c r="G435" i="12"/>
  <c r="G437" i="12"/>
  <c r="G438" i="12"/>
  <c r="G440" i="12"/>
  <c r="G442" i="12"/>
  <c r="G443" i="12"/>
  <c r="G444" i="12"/>
  <c r="G445" i="12"/>
  <c r="G446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2" i="12"/>
  <c r="G463" i="12"/>
  <c r="G464" i="12"/>
  <c r="G465" i="12"/>
  <c r="G466" i="12"/>
  <c r="G467" i="12"/>
  <c r="G468" i="12"/>
  <c r="G470" i="12"/>
  <c r="G471" i="12"/>
  <c r="G472" i="12"/>
  <c r="G473" i="12"/>
  <c r="G475" i="12"/>
  <c r="G478" i="12"/>
  <c r="G479" i="12"/>
  <c r="G480" i="12"/>
  <c r="G481" i="12"/>
  <c r="G482" i="12"/>
  <c r="G484" i="12"/>
  <c r="G485" i="12"/>
  <c r="G486" i="12"/>
  <c r="G487" i="12"/>
  <c r="G488" i="12"/>
  <c r="G491" i="12"/>
  <c r="G494" i="12"/>
  <c r="G495" i="12"/>
  <c r="G496" i="12"/>
  <c r="G497" i="12"/>
  <c r="G501" i="12"/>
  <c r="G502" i="12"/>
  <c r="G503" i="12"/>
  <c r="G504" i="12"/>
  <c r="G507" i="12"/>
  <c r="G508" i="12"/>
  <c r="G509" i="12"/>
  <c r="G510" i="12"/>
  <c r="G511" i="12"/>
  <c r="G512" i="12"/>
  <c r="G513" i="12"/>
  <c r="G514" i="12"/>
  <c r="G515" i="12"/>
  <c r="G516" i="12"/>
  <c r="G2" i="12"/>
  <c r="G3" i="11"/>
  <c r="G4" i="11"/>
  <c r="G5" i="11"/>
  <c r="G6" i="11"/>
  <c r="G7" i="11"/>
  <c r="G8" i="11"/>
  <c r="G9" i="11"/>
  <c r="G12" i="11"/>
  <c r="G13" i="11"/>
  <c r="G14" i="11"/>
  <c r="G15" i="11"/>
  <c r="G17" i="11"/>
  <c r="G20" i="11"/>
  <c r="G21" i="11"/>
  <c r="G22" i="11"/>
  <c r="G23" i="11"/>
  <c r="G24" i="11"/>
  <c r="G25" i="11"/>
  <c r="G27" i="11"/>
  <c r="G29" i="11"/>
  <c r="G30" i="11"/>
  <c r="G31" i="11"/>
  <c r="G32" i="11"/>
  <c r="G33" i="11"/>
  <c r="G34" i="11"/>
  <c r="G35" i="11"/>
  <c r="G36" i="11"/>
  <c r="G37" i="11"/>
  <c r="G38" i="11"/>
  <c r="G39" i="11"/>
  <c r="G42" i="11"/>
  <c r="G43" i="11"/>
  <c r="G44" i="11"/>
  <c r="G46" i="11"/>
  <c r="G47" i="11"/>
  <c r="G48" i="11"/>
  <c r="G49" i="11"/>
  <c r="G50" i="11"/>
  <c r="G51" i="11"/>
  <c r="G52" i="11"/>
  <c r="G53" i="11"/>
  <c r="G54" i="11"/>
  <c r="G55" i="11"/>
  <c r="G56" i="11"/>
  <c r="G58" i="11"/>
  <c r="G59" i="11"/>
  <c r="G60" i="11"/>
  <c r="G61" i="11"/>
  <c r="G62" i="11"/>
  <c r="G63" i="11"/>
  <c r="G64" i="11"/>
  <c r="G67" i="11"/>
  <c r="G70" i="11"/>
  <c r="G71" i="11"/>
  <c r="G72" i="11"/>
  <c r="G73" i="11"/>
  <c r="G74" i="11"/>
  <c r="G75" i="11"/>
  <c r="G76" i="11"/>
  <c r="G79" i="11"/>
  <c r="G80" i="11"/>
  <c r="G82" i="11"/>
  <c r="G83" i="11"/>
  <c r="G84" i="11"/>
  <c r="G85" i="11"/>
  <c r="G86" i="11"/>
  <c r="G87" i="11"/>
  <c r="G88" i="11"/>
  <c r="G89" i="11"/>
  <c r="G90" i="11"/>
  <c r="G91" i="11"/>
  <c r="G93" i="11"/>
  <c r="G94" i="11"/>
  <c r="G96" i="11"/>
  <c r="G97" i="11"/>
  <c r="G98" i="11"/>
  <c r="G99" i="11"/>
  <c r="G101" i="11"/>
  <c r="G102" i="11"/>
  <c r="G103" i="11"/>
  <c r="G104" i="11"/>
  <c r="G106" i="11"/>
  <c r="G107" i="11"/>
  <c r="G109" i="11"/>
  <c r="G110" i="11"/>
  <c r="G111" i="11"/>
  <c r="G112" i="11"/>
  <c r="G115" i="11"/>
  <c r="G116" i="11"/>
  <c r="G117" i="11"/>
  <c r="G118" i="11"/>
  <c r="G119" i="11"/>
  <c r="G120" i="11"/>
  <c r="G123" i="11"/>
  <c r="G124" i="11"/>
  <c r="G125" i="11"/>
  <c r="G126" i="11"/>
  <c r="G127" i="11"/>
  <c r="G128" i="11"/>
  <c r="G129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60" i="11"/>
  <c r="G161" i="11"/>
  <c r="G162" i="11"/>
  <c r="G163" i="11"/>
  <c r="G164" i="11"/>
  <c r="G167" i="11"/>
  <c r="G168" i="11"/>
  <c r="G169" i="11"/>
  <c r="G170" i="11"/>
  <c r="G172" i="11"/>
  <c r="G173" i="11"/>
  <c r="G174" i="11"/>
  <c r="G175" i="11"/>
  <c r="G176" i="11"/>
  <c r="G177" i="11"/>
  <c r="G178" i="11"/>
  <c r="G179" i="11"/>
  <c r="G180" i="11"/>
  <c r="G182" i="11"/>
  <c r="G184" i="11"/>
  <c r="G185" i="11"/>
  <c r="G186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6" i="11"/>
  <c r="G208" i="11"/>
  <c r="G209" i="11"/>
  <c r="G210" i="11"/>
  <c r="G211" i="11"/>
  <c r="G212" i="11"/>
  <c r="G215" i="11"/>
  <c r="G216" i="11"/>
  <c r="G217" i="11"/>
  <c r="G218" i="11"/>
  <c r="G219" i="11"/>
  <c r="G220" i="11"/>
  <c r="G223" i="11"/>
  <c r="G224" i="11"/>
  <c r="G225" i="11"/>
  <c r="G229" i="11"/>
  <c r="G233" i="11"/>
  <c r="G234" i="11"/>
  <c r="G236" i="11"/>
  <c r="G237" i="11"/>
  <c r="G238" i="11"/>
  <c r="G239" i="11"/>
  <c r="G240" i="11"/>
  <c r="G241" i="11"/>
  <c r="G242" i="11"/>
  <c r="G243" i="11"/>
  <c r="G245" i="11"/>
  <c r="G246" i="11"/>
  <c r="G247" i="11"/>
  <c r="G248" i="11"/>
  <c r="G249" i="11"/>
  <c r="G250" i="11"/>
  <c r="G251" i="11"/>
  <c r="G252" i="11"/>
  <c r="G253" i="11"/>
  <c r="G254" i="11"/>
  <c r="G255" i="11"/>
  <c r="G257" i="11"/>
  <c r="G258" i="11"/>
  <c r="G259" i="11"/>
  <c r="G260" i="11"/>
  <c r="G261" i="11"/>
  <c r="G262" i="11"/>
  <c r="G263" i="11"/>
  <c r="G264" i="11"/>
  <c r="G266" i="11"/>
  <c r="G268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1" i="11"/>
  <c r="G292" i="11"/>
  <c r="G293" i="11"/>
  <c r="G294" i="11"/>
  <c r="G295" i="11"/>
  <c r="G296" i="11"/>
  <c r="G297" i="11"/>
  <c r="G298" i="11"/>
  <c r="G299" i="11"/>
  <c r="G300" i="11"/>
  <c r="G301" i="11"/>
  <c r="G303" i="11"/>
  <c r="G304" i="11"/>
  <c r="G305" i="11"/>
  <c r="G307" i="11"/>
  <c r="G308" i="11"/>
  <c r="G309" i="11"/>
  <c r="G310" i="11"/>
  <c r="G311" i="11"/>
  <c r="G312" i="11"/>
  <c r="G313" i="11"/>
  <c r="G315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90" i="11"/>
  <c r="G391" i="11"/>
  <c r="G392" i="11"/>
  <c r="G393" i="11"/>
  <c r="G394" i="11"/>
  <c r="G395" i="11"/>
  <c r="G397" i="11"/>
  <c r="G398" i="11"/>
  <c r="G399" i="11"/>
  <c r="G400" i="11"/>
  <c r="G401" i="11"/>
  <c r="G402" i="11"/>
  <c r="G403" i="11"/>
  <c r="G404" i="11"/>
  <c r="G406" i="11"/>
  <c r="G407" i="11"/>
  <c r="G408" i="11"/>
  <c r="G410" i="11"/>
  <c r="G411" i="11"/>
  <c r="G412" i="11"/>
  <c r="G413" i="11"/>
  <c r="G414" i="11"/>
  <c r="G416" i="11"/>
  <c r="G417" i="11"/>
  <c r="G419" i="11"/>
  <c r="G421" i="11"/>
  <c r="G422" i="11"/>
  <c r="G424" i="11"/>
  <c r="G425" i="11"/>
  <c r="G427" i="11"/>
  <c r="G428" i="11"/>
  <c r="G429" i="11"/>
  <c r="G431" i="11"/>
  <c r="G433" i="11"/>
  <c r="G435" i="11"/>
  <c r="G437" i="11"/>
  <c r="G438" i="11"/>
  <c r="G439" i="11"/>
  <c r="G440" i="11"/>
  <c r="G441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7" i="11"/>
  <c r="G458" i="11"/>
  <c r="G459" i="11"/>
  <c r="G460" i="11"/>
  <c r="G461" i="11"/>
  <c r="G462" i="11"/>
  <c r="G463" i="11"/>
  <c r="G465" i="11"/>
  <c r="G466" i="11"/>
  <c r="G467" i="11"/>
  <c r="G468" i="11"/>
  <c r="G470" i="11"/>
  <c r="G473" i="11"/>
  <c r="G474" i="11"/>
  <c r="G475" i="11"/>
  <c r="G476" i="11"/>
  <c r="G477" i="11"/>
  <c r="G479" i="11"/>
  <c r="G480" i="11"/>
  <c r="G481" i="11"/>
  <c r="G482" i="11"/>
  <c r="G485" i="11"/>
  <c r="G488" i="11"/>
  <c r="G489" i="11"/>
  <c r="G490" i="11"/>
  <c r="G491" i="11"/>
  <c r="G495" i="11"/>
  <c r="G496" i="11"/>
  <c r="G497" i="11"/>
  <c r="G498" i="11"/>
  <c r="G501" i="11"/>
  <c r="G502" i="11"/>
  <c r="G503" i="11"/>
  <c r="G504" i="11"/>
  <c r="G505" i="11"/>
  <c r="G506" i="11"/>
  <c r="G507" i="11"/>
  <c r="G508" i="11"/>
  <c r="G509" i="11"/>
  <c r="G2" i="11"/>
  <c r="G495" i="10"/>
  <c r="G494" i="10"/>
  <c r="G493" i="10"/>
  <c r="G492" i="10"/>
  <c r="G491" i="10"/>
  <c r="G479" i="10"/>
  <c r="G478" i="10"/>
  <c r="G477" i="10"/>
  <c r="G476" i="10"/>
  <c r="G473" i="10"/>
  <c r="G470" i="10"/>
  <c r="G469" i="10"/>
  <c r="G468" i="10"/>
  <c r="G466" i="10"/>
  <c r="G465" i="10"/>
  <c r="G462" i="10"/>
  <c r="G460" i="10"/>
  <c r="G459" i="10"/>
  <c r="G458" i="10"/>
  <c r="G457" i="10"/>
  <c r="G455" i="10"/>
  <c r="G454" i="10"/>
  <c r="G453" i="10"/>
  <c r="G452" i="10"/>
  <c r="G451" i="10"/>
  <c r="G450" i="10"/>
  <c r="G449" i="10"/>
  <c r="G447" i="10"/>
  <c r="G446" i="10"/>
  <c r="G445" i="10"/>
  <c r="G444" i="10"/>
  <c r="G443" i="10"/>
  <c r="G442" i="10"/>
  <c r="G441" i="10"/>
  <c r="G440" i="10"/>
  <c r="G439" i="10"/>
  <c r="G438" i="10"/>
  <c r="G437" i="10"/>
  <c r="G436" i="10"/>
  <c r="G435" i="10"/>
  <c r="G433" i="10"/>
  <c r="G432" i="10"/>
  <c r="G431" i="10"/>
  <c r="G430" i="10"/>
  <c r="G428" i="10"/>
  <c r="G426" i="10"/>
  <c r="G424" i="10"/>
  <c r="G422" i="10"/>
  <c r="G421" i="10"/>
  <c r="G420" i="10"/>
  <c r="G418" i="10"/>
  <c r="G417" i="10"/>
  <c r="G415" i="10"/>
  <c r="G414" i="10"/>
  <c r="G412" i="10"/>
  <c r="G410" i="10"/>
  <c r="G409" i="10"/>
  <c r="G407" i="10"/>
  <c r="G406" i="10"/>
  <c r="G405" i="10"/>
  <c r="G404" i="10"/>
  <c r="G403" i="10"/>
  <c r="G401" i="10"/>
  <c r="G400" i="10"/>
  <c r="G399" i="10"/>
  <c r="G397" i="10"/>
  <c r="G396" i="10"/>
  <c r="G395" i="10"/>
  <c r="G394" i="10"/>
  <c r="G393" i="10"/>
  <c r="G392" i="10"/>
  <c r="G391" i="10"/>
  <c r="G389" i="10"/>
  <c r="G388" i="10"/>
  <c r="G387" i="10"/>
  <c r="G386" i="10"/>
  <c r="G385" i="10"/>
  <c r="G384" i="10"/>
  <c r="G382" i="10"/>
  <c r="G381" i="10"/>
  <c r="G380" i="10"/>
  <c r="G379" i="10"/>
  <c r="G378" i="10"/>
  <c r="G377" i="10"/>
  <c r="G376" i="10"/>
  <c r="G375" i="10"/>
  <c r="G374" i="10"/>
  <c r="G373" i="10"/>
  <c r="G372" i="10"/>
  <c r="G371" i="10"/>
  <c r="G370" i="10"/>
  <c r="G369" i="10"/>
  <c r="G368" i="10"/>
  <c r="G367" i="10"/>
  <c r="G366" i="10"/>
  <c r="G365" i="10"/>
  <c r="G364" i="10"/>
  <c r="G363" i="10"/>
  <c r="G362" i="10"/>
  <c r="G361" i="10"/>
  <c r="G360" i="10"/>
  <c r="G359" i="10"/>
  <c r="G358" i="10"/>
  <c r="G357" i="10"/>
  <c r="G356" i="10"/>
  <c r="G355" i="10"/>
  <c r="G354" i="10"/>
  <c r="G353" i="10"/>
  <c r="G352" i="10"/>
  <c r="G351" i="10"/>
  <c r="G349" i="10"/>
  <c r="G348" i="10"/>
  <c r="G347" i="10"/>
  <c r="G346" i="10"/>
  <c r="G345" i="10"/>
  <c r="G344" i="10"/>
  <c r="G343" i="10"/>
  <c r="G342" i="10"/>
  <c r="G341" i="10"/>
  <c r="G340" i="10"/>
  <c r="G339" i="10"/>
  <c r="G338" i="10"/>
  <c r="G337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22" i="10"/>
  <c r="G321" i="10"/>
  <c r="G320" i="10"/>
  <c r="G319" i="10"/>
  <c r="G318" i="10"/>
  <c r="G315" i="10"/>
  <c r="G313" i="10"/>
  <c r="G312" i="10"/>
  <c r="G311" i="10"/>
  <c r="G310" i="10"/>
  <c r="G309" i="10"/>
  <c r="G308" i="10"/>
  <c r="G307" i="10"/>
  <c r="G305" i="10"/>
  <c r="G304" i="10"/>
  <c r="G302" i="10"/>
  <c r="G301" i="10"/>
  <c r="G300" i="10"/>
  <c r="G299" i="10"/>
  <c r="G298" i="10"/>
  <c r="G297" i="10"/>
  <c r="G296" i="10"/>
  <c r="G295" i="10"/>
  <c r="G294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1" i="10"/>
  <c r="G269" i="10"/>
  <c r="G267" i="10"/>
  <c r="G266" i="10"/>
  <c r="G265" i="10"/>
  <c r="G264" i="10"/>
  <c r="G263" i="10"/>
  <c r="G262" i="10"/>
  <c r="G260" i="10"/>
  <c r="G259" i="10"/>
  <c r="G258" i="10"/>
  <c r="G257" i="10"/>
  <c r="G256" i="10"/>
  <c r="G255" i="10"/>
  <c r="G254" i="10"/>
  <c r="G253" i="10"/>
  <c r="G252" i="10"/>
  <c r="G251" i="10"/>
  <c r="G249" i="10"/>
  <c r="G248" i="10"/>
  <c r="G235" i="10"/>
  <c r="G231" i="10"/>
  <c r="G230" i="10"/>
  <c r="G229" i="10"/>
  <c r="G226" i="10"/>
  <c r="G225" i="10"/>
  <c r="G224" i="10"/>
  <c r="G223" i="10"/>
  <c r="G222" i="10"/>
  <c r="G221" i="10"/>
  <c r="G218" i="10"/>
  <c r="G217" i="10"/>
  <c r="G216" i="10"/>
  <c r="G215" i="10"/>
  <c r="G214" i="10"/>
  <c r="G212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1" i="10"/>
  <c r="G190" i="10"/>
  <c r="G189" i="10"/>
  <c r="G187" i="10"/>
  <c r="G185" i="10"/>
  <c r="G184" i="10"/>
  <c r="G183" i="10"/>
  <c r="G182" i="10"/>
  <c r="G181" i="10"/>
  <c r="G180" i="10"/>
  <c r="G179" i="10"/>
  <c r="G178" i="10"/>
  <c r="G177" i="10"/>
  <c r="G175" i="10"/>
  <c r="G174" i="10"/>
  <c r="G173" i="10"/>
  <c r="G172" i="10"/>
  <c r="G169" i="10"/>
  <c r="G168" i="10"/>
  <c r="G167" i="10"/>
  <c r="G166" i="10"/>
  <c r="G165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2" i="10"/>
  <c r="G131" i="10"/>
  <c r="G130" i="10"/>
  <c r="G129" i="10"/>
  <c r="G128" i="10"/>
  <c r="G121" i="10"/>
  <c r="G120" i="10"/>
  <c r="G119" i="10"/>
  <c r="G118" i="10"/>
  <c r="G117" i="10"/>
  <c r="G116" i="10"/>
  <c r="G113" i="10"/>
  <c r="G112" i="10"/>
  <c r="G111" i="10"/>
  <c r="G110" i="10"/>
  <c r="G108" i="10"/>
  <c r="G107" i="10"/>
  <c r="G105" i="10"/>
  <c r="G104" i="10"/>
  <c r="G103" i="10"/>
  <c r="G102" i="10"/>
  <c r="G100" i="10"/>
  <c r="G99" i="10"/>
  <c r="G98" i="10"/>
  <c r="G97" i="10"/>
  <c r="G95" i="10"/>
  <c r="G94" i="10"/>
  <c r="G92" i="10"/>
  <c r="G91" i="10"/>
  <c r="G90" i="10"/>
  <c r="G89" i="10"/>
  <c r="G88" i="10"/>
  <c r="G87" i="10"/>
  <c r="G86" i="10"/>
  <c r="G85" i="10"/>
  <c r="G84" i="10"/>
  <c r="G83" i="10"/>
  <c r="G81" i="10"/>
  <c r="G80" i="10"/>
  <c r="G77" i="10"/>
  <c r="G76" i="10"/>
  <c r="G75" i="10"/>
  <c r="G74" i="10"/>
  <c r="G73" i="10"/>
  <c r="G72" i="10"/>
  <c r="G71" i="10"/>
  <c r="G68" i="10"/>
  <c r="G65" i="10"/>
  <c r="G64" i="10"/>
  <c r="G63" i="10"/>
  <c r="G62" i="10"/>
  <c r="G61" i="10"/>
  <c r="G60" i="10"/>
  <c r="G59" i="10"/>
  <c r="G57" i="10"/>
  <c r="G56" i="10"/>
  <c r="G55" i="10"/>
  <c r="G54" i="10"/>
  <c r="G53" i="10"/>
  <c r="G52" i="10"/>
  <c r="G51" i="10"/>
  <c r="G50" i="10"/>
  <c r="G49" i="10"/>
  <c r="G48" i="10"/>
  <c r="G47" i="10"/>
  <c r="G45" i="10"/>
  <c r="G44" i="10"/>
  <c r="G43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7" i="10"/>
  <c r="G25" i="10"/>
  <c r="G24" i="10"/>
  <c r="G23" i="10"/>
  <c r="G22" i="10"/>
  <c r="G21" i="10"/>
  <c r="G20" i="10"/>
  <c r="G17" i="10"/>
  <c r="G15" i="10"/>
  <c r="G14" i="10"/>
  <c r="G13" i="10"/>
  <c r="G12" i="10"/>
  <c r="G9" i="10"/>
  <c r="G8" i="10"/>
  <c r="G7" i="10"/>
  <c r="G6" i="10"/>
  <c r="G5" i="10"/>
  <c r="G4" i="10"/>
  <c r="C123" i="21"/>
  <c r="C50" i="21"/>
  <c r="BO119" i="21" l="1"/>
  <c r="BO11" i="21"/>
  <c r="BO83" i="21"/>
  <c r="BO114" i="21"/>
  <c r="BO137" i="21"/>
  <c r="BO151" i="21"/>
  <c r="BO164" i="21"/>
  <c r="BO182" i="21"/>
  <c r="BO210" i="21"/>
  <c r="BO242" i="21"/>
  <c r="BO278" i="21"/>
  <c r="BO12" i="21"/>
  <c r="BO84" i="21"/>
  <c r="BO138" i="21"/>
  <c r="BO152" i="21"/>
  <c r="BO165" i="21"/>
  <c r="BO183" i="21"/>
  <c r="BO197" i="21"/>
  <c r="BO211" i="21"/>
  <c r="BO243" i="21"/>
  <c r="BO259" i="21"/>
  <c r="BO279" i="21"/>
  <c r="BO304" i="21"/>
  <c r="BO319" i="21"/>
  <c r="BO332" i="21"/>
  <c r="BO369" i="21"/>
  <c r="BO74" i="21"/>
  <c r="BO247" i="21"/>
  <c r="BO36" i="21"/>
  <c r="BO53" i="21"/>
  <c r="BO72" i="21"/>
  <c r="BO100" i="21"/>
  <c r="BO139" i="21"/>
  <c r="BO166" i="21"/>
  <c r="BO184" i="21"/>
  <c r="BO198" i="21"/>
  <c r="BO260" i="21"/>
  <c r="BO281" i="21"/>
  <c r="BO320" i="21"/>
  <c r="BO333" i="21"/>
  <c r="BO103" i="21"/>
  <c r="BO214" i="21"/>
  <c r="BO15" i="21"/>
  <c r="BO37" i="21"/>
  <c r="BO58" i="21"/>
  <c r="BO101" i="21"/>
  <c r="BO118" i="21"/>
  <c r="BO140" i="21"/>
  <c r="BO154" i="21"/>
  <c r="BO185" i="21"/>
  <c r="BO213" i="21"/>
  <c r="BO230" i="21"/>
  <c r="BO321" i="21"/>
  <c r="BO334" i="21"/>
  <c r="BO371" i="21"/>
  <c r="BO88" i="21"/>
  <c r="BO201" i="21"/>
  <c r="BO39" i="21"/>
  <c r="BO89" i="21"/>
  <c r="BO202" i="21"/>
  <c r="BO248" i="21"/>
  <c r="BO265" i="21"/>
  <c r="BO310" i="21"/>
  <c r="BO323" i="21"/>
  <c r="BO337" i="21"/>
  <c r="BO356" i="21"/>
  <c r="BO17" i="21"/>
  <c r="BO60" i="21"/>
  <c r="BO75" i="21"/>
  <c r="BO120" i="21"/>
  <c r="BO142" i="21"/>
  <c r="BO171" i="21"/>
  <c r="BO19" i="21"/>
  <c r="BO40" i="21"/>
  <c r="BO61" i="21"/>
  <c r="BO90" i="21"/>
  <c r="BO143" i="21"/>
  <c r="BO157" i="21"/>
  <c r="BO189" i="21"/>
  <c r="BO203" i="21"/>
  <c r="BO219" i="21"/>
  <c r="BO249" i="21"/>
  <c r="BO288" i="21"/>
  <c r="BO324" i="21"/>
  <c r="BO338" i="21"/>
  <c r="BO38" i="21"/>
  <c r="BO186" i="21"/>
  <c r="BO322" i="21"/>
  <c r="BO62" i="21"/>
  <c r="BO77" i="21"/>
  <c r="BO144" i="21"/>
  <c r="BO173" i="21"/>
  <c r="BO190" i="21"/>
  <c r="BO204" i="21"/>
  <c r="BO220" i="21"/>
  <c r="BO250" i="21"/>
  <c r="BO267" i="21"/>
  <c r="BO312" i="21"/>
  <c r="BO325" i="21"/>
  <c r="BO339" i="21"/>
  <c r="BO63" i="21"/>
  <c r="BO78" i="21"/>
  <c r="BO110" i="21"/>
  <c r="BO133" i="21"/>
  <c r="BO146" i="21"/>
  <c r="BO160" i="21"/>
  <c r="BO206" i="21"/>
  <c r="BO236" i="21"/>
  <c r="BO252" i="21"/>
  <c r="BO326" i="21"/>
  <c r="BO16" i="21"/>
  <c r="BO141" i="21"/>
  <c r="BO231" i="21"/>
  <c r="BO6" i="21"/>
  <c r="BO64" i="21"/>
  <c r="BO93" i="21"/>
  <c r="BO111" i="21"/>
  <c r="BO134" i="21"/>
  <c r="BO148" i="21"/>
  <c r="BO161" i="21"/>
  <c r="BO192" i="21"/>
  <c r="BO207" i="21"/>
  <c r="BO223" i="21"/>
  <c r="BO237" i="21"/>
  <c r="BO254" i="21"/>
  <c r="BO293" i="21"/>
  <c r="BO294" i="21"/>
  <c r="BO327" i="21"/>
  <c r="BO342" i="21"/>
  <c r="BO362" i="21"/>
  <c r="BO59" i="21"/>
  <c r="BO155" i="21"/>
  <c r="BO309" i="21"/>
  <c r="BO65" i="21"/>
  <c r="BO80" i="21"/>
  <c r="BO94" i="21"/>
  <c r="BO135" i="21"/>
  <c r="BO149" i="21"/>
  <c r="BO193" i="21"/>
  <c r="BO224" i="21"/>
  <c r="BO238" i="21"/>
  <c r="BO255" i="21"/>
  <c r="BO275" i="21"/>
  <c r="BO276" i="21" s="1"/>
  <c r="BO297" i="21"/>
  <c r="BO328" i="21"/>
  <c r="BO343" i="21"/>
  <c r="BO363" i="21"/>
  <c r="BO9" i="21"/>
  <c r="BO27" i="21"/>
  <c r="BO67" i="21"/>
  <c r="BO113" i="21"/>
  <c r="BO136" i="21"/>
  <c r="BO150" i="21"/>
  <c r="BO163" i="21"/>
  <c r="BO181" i="21"/>
  <c r="BO195" i="21"/>
  <c r="BO240" i="21"/>
  <c r="BO256" i="21"/>
  <c r="BO329" i="21"/>
  <c r="BO344" i="21"/>
  <c r="BO364" i="21"/>
  <c r="AB81" i="21"/>
  <c r="AB127" i="21" s="1"/>
  <c r="AB129" i="21"/>
  <c r="AB366" i="21"/>
  <c r="AB340" i="21"/>
  <c r="AB234" i="21"/>
  <c r="AB128" i="21"/>
  <c r="AB51" i="21"/>
  <c r="AB316" i="21"/>
  <c r="AB130" i="21"/>
  <c r="U367" i="21"/>
  <c r="U375" i="21" s="1"/>
  <c r="P125" i="21"/>
  <c r="P126" i="21" s="1"/>
  <c r="C51" i="21"/>
  <c r="O34" i="21"/>
  <c r="O13" i="21"/>
  <c r="O44" i="21"/>
  <c r="O290" i="21"/>
  <c r="O302" i="21"/>
  <c r="O50" i="21"/>
  <c r="O347" i="21"/>
  <c r="O123" i="21"/>
  <c r="F491" i="13"/>
  <c r="O245" i="21"/>
  <c r="O81" i="21"/>
  <c r="O96" i="21"/>
  <c r="O298" i="21"/>
  <c r="O121" i="21"/>
  <c r="O286" i="21"/>
  <c r="O316" i="21"/>
  <c r="O48" i="21"/>
  <c r="O234" i="21"/>
  <c r="O357" i="21"/>
  <c r="O340" i="21"/>
  <c r="O257" i="21"/>
  <c r="O365" i="21"/>
  <c r="O345" i="21"/>
  <c r="O102" i="21"/>
  <c r="O268" i="21"/>
  <c r="O330" i="21"/>
  <c r="O273" i="21"/>
  <c r="O307" i="21"/>
  <c r="O276" i="21"/>
  <c r="O305" i="21"/>
  <c r="O179" i="21"/>
  <c r="N348" i="21"/>
  <c r="O261" i="21"/>
  <c r="N51" i="21"/>
  <c r="N124" i="21"/>
  <c r="N366" i="21"/>
  <c r="M51" i="21"/>
  <c r="M124" i="21"/>
  <c r="F65" i="20"/>
  <c r="F73" i="20"/>
  <c r="F169" i="20"/>
  <c r="F185" i="20"/>
  <c r="F217" i="20"/>
  <c r="F225" i="20"/>
  <c r="F265" i="20"/>
  <c r="F281" i="20"/>
  <c r="F337" i="20"/>
  <c r="F425" i="20"/>
  <c r="F449" i="20"/>
  <c r="F473" i="20"/>
  <c r="F481" i="20"/>
  <c r="F10" i="20"/>
  <c r="F18" i="20"/>
  <c r="F74" i="20"/>
  <c r="F162" i="20"/>
  <c r="F218" i="20"/>
  <c r="F226" i="20"/>
  <c r="F234" i="20"/>
  <c r="F274" i="20"/>
  <c r="F322" i="20"/>
  <c r="F458" i="20"/>
  <c r="F466" i="20"/>
  <c r="F11" i="20"/>
  <c r="F19" i="20"/>
  <c r="F27" i="20"/>
  <c r="F43" i="20"/>
  <c r="F91" i="20"/>
  <c r="F155" i="20"/>
  <c r="F163" i="20"/>
  <c r="F179" i="20"/>
  <c r="F235" i="20"/>
  <c r="F339" i="20"/>
  <c r="F379" i="20"/>
  <c r="F435" i="20"/>
  <c r="F515" i="20"/>
  <c r="F531" i="20"/>
  <c r="F547" i="20"/>
  <c r="M366" i="21"/>
  <c r="F156" i="20"/>
  <c r="F204" i="20"/>
  <c r="F236" i="20"/>
  <c r="F316" i="20"/>
  <c r="F340" i="20"/>
  <c r="F460" i="20"/>
  <c r="F476" i="20"/>
  <c r="F524" i="20"/>
  <c r="F532" i="20"/>
  <c r="F540" i="20"/>
  <c r="F548" i="20"/>
  <c r="F29" i="20"/>
  <c r="F77" i="20"/>
  <c r="F101" i="20"/>
  <c r="F109" i="20"/>
  <c r="F181" i="20"/>
  <c r="F205" i="20"/>
  <c r="F253" i="20"/>
  <c r="F445" i="20"/>
  <c r="F469" i="20"/>
  <c r="F517" i="20"/>
  <c r="F541" i="20"/>
  <c r="F110" i="20"/>
  <c r="F118" i="20"/>
  <c r="F126" i="20"/>
  <c r="F230" i="20"/>
  <c r="F278" i="20"/>
  <c r="F502" i="20"/>
  <c r="F510" i="20"/>
  <c r="F518" i="20"/>
  <c r="F534" i="20"/>
  <c r="F39" i="20"/>
  <c r="F119" i="20"/>
  <c r="F127" i="20"/>
  <c r="F207" i="20"/>
  <c r="F231" i="20"/>
  <c r="F239" i="20"/>
  <c r="F303" i="20"/>
  <c r="F455" i="20"/>
  <c r="F479" i="20"/>
  <c r="F535" i="20"/>
  <c r="F16" i="20"/>
  <c r="F40" i="20"/>
  <c r="F56" i="20"/>
  <c r="F64" i="20"/>
  <c r="F88" i="20"/>
  <c r="F96" i="20"/>
  <c r="F104" i="20"/>
  <c r="F232" i="20"/>
  <c r="F280" i="20"/>
  <c r="F488" i="20"/>
  <c r="M348" i="21"/>
  <c r="F253" i="19"/>
  <c r="L366" i="21"/>
  <c r="F205" i="19"/>
  <c r="K124" i="21"/>
  <c r="F37" i="19"/>
  <c r="F29" i="19"/>
  <c r="F117" i="19"/>
  <c r="F181" i="19"/>
  <c r="F485" i="19"/>
  <c r="L348" i="21"/>
  <c r="F54" i="19"/>
  <c r="F62" i="19"/>
  <c r="F86" i="19"/>
  <c r="F94" i="19"/>
  <c r="F102" i="19"/>
  <c r="F126" i="19"/>
  <c r="F230" i="19"/>
  <c r="F278" i="19"/>
  <c r="F422" i="19"/>
  <c r="F446" i="19"/>
  <c r="F470" i="19"/>
  <c r="F478" i="19"/>
  <c r="F63" i="19"/>
  <c r="F71" i="19"/>
  <c r="F127" i="19"/>
  <c r="F207" i="19"/>
  <c r="F231" i="19"/>
  <c r="F239" i="19"/>
  <c r="F303" i="19"/>
  <c r="F455" i="19"/>
  <c r="F463" i="19"/>
  <c r="K366" i="21"/>
  <c r="F16" i="19"/>
  <c r="F72" i="19"/>
  <c r="F232" i="19"/>
  <c r="F280" i="19"/>
  <c r="F336" i="19"/>
  <c r="F432" i="19"/>
  <c r="F512" i="19"/>
  <c r="F528" i="19"/>
  <c r="F544" i="19"/>
  <c r="F41" i="19"/>
  <c r="F89" i="19"/>
  <c r="F169" i="19"/>
  <c r="F185" i="19"/>
  <c r="F217" i="19"/>
  <c r="F225" i="19"/>
  <c r="F265" i="19"/>
  <c r="F281" i="19"/>
  <c r="F321" i="19"/>
  <c r="F457" i="19"/>
  <c r="F473" i="19"/>
  <c r="F521" i="19"/>
  <c r="F529" i="19"/>
  <c r="F537" i="19"/>
  <c r="F545" i="19"/>
  <c r="L124" i="21"/>
  <c r="F10" i="19"/>
  <c r="F18" i="19"/>
  <c r="F162" i="19"/>
  <c r="F218" i="19"/>
  <c r="F226" i="19"/>
  <c r="F234" i="19"/>
  <c r="F274" i="19"/>
  <c r="F338" i="19"/>
  <c r="F378" i="19"/>
  <c r="F442" i="19"/>
  <c r="F466" i="19"/>
  <c r="F514" i="19"/>
  <c r="F538" i="19"/>
  <c r="F11" i="19"/>
  <c r="F19" i="19"/>
  <c r="F27" i="19"/>
  <c r="F75" i="19"/>
  <c r="F99" i="19"/>
  <c r="F107" i="19"/>
  <c r="F155" i="19"/>
  <c r="F163" i="19"/>
  <c r="F179" i="19"/>
  <c r="F235" i="19"/>
  <c r="F339" i="19"/>
  <c r="F499" i="19"/>
  <c r="F507" i="19"/>
  <c r="F515" i="19"/>
  <c r="F531" i="19"/>
  <c r="L51" i="21"/>
  <c r="F36" i="19"/>
  <c r="F108" i="19"/>
  <c r="F116" i="19"/>
  <c r="F156" i="19"/>
  <c r="F204" i="19"/>
  <c r="F236" i="19"/>
  <c r="F316" i="19"/>
  <c r="F452" i="19"/>
  <c r="F476" i="19"/>
  <c r="F532" i="19"/>
  <c r="F10" i="18"/>
  <c r="F18" i="18"/>
  <c r="F90" i="18"/>
  <c r="F162" i="18"/>
  <c r="F218" i="18"/>
  <c r="F226" i="18"/>
  <c r="F234" i="18"/>
  <c r="F274" i="18"/>
  <c r="F418" i="18"/>
  <c r="F442" i="18"/>
  <c r="F466" i="18"/>
  <c r="F474" i="18"/>
  <c r="F11" i="18"/>
  <c r="F19" i="18"/>
  <c r="F27" i="18"/>
  <c r="F43" i="18"/>
  <c r="F155" i="18"/>
  <c r="F163" i="18"/>
  <c r="F179" i="18"/>
  <c r="F235" i="18"/>
  <c r="F451" i="18"/>
  <c r="F459" i="18"/>
  <c r="K348" i="21"/>
  <c r="F76" i="18"/>
  <c r="F100" i="18"/>
  <c r="F108" i="18"/>
  <c r="F156" i="18"/>
  <c r="F204" i="18"/>
  <c r="F236" i="18"/>
  <c r="F316" i="18"/>
  <c r="F428" i="18"/>
  <c r="F29" i="18"/>
  <c r="F109" i="18"/>
  <c r="F117" i="18"/>
  <c r="F181" i="18"/>
  <c r="F205" i="18"/>
  <c r="F253" i="18"/>
  <c r="F453" i="18"/>
  <c r="F469" i="18"/>
  <c r="F509" i="18"/>
  <c r="F525" i="18"/>
  <c r="F541" i="18"/>
  <c r="F38" i="18"/>
  <c r="F118" i="18"/>
  <c r="F230" i="18"/>
  <c r="F278" i="18"/>
  <c r="F334" i="18"/>
  <c r="F438" i="18"/>
  <c r="F462" i="18"/>
  <c r="F518" i="18"/>
  <c r="F526" i="18"/>
  <c r="F534" i="18"/>
  <c r="F542" i="18"/>
  <c r="F39" i="18"/>
  <c r="F55" i="18"/>
  <c r="F63" i="18"/>
  <c r="F87" i="18"/>
  <c r="F95" i="18"/>
  <c r="F103" i="18"/>
  <c r="F127" i="18"/>
  <c r="F207" i="18"/>
  <c r="F231" i="18"/>
  <c r="F239" i="18"/>
  <c r="F303" i="18"/>
  <c r="F495" i="18"/>
  <c r="F511" i="18"/>
  <c r="F535" i="18"/>
  <c r="F16" i="18"/>
  <c r="F64" i="18"/>
  <c r="F72" i="18"/>
  <c r="F128" i="18"/>
  <c r="F232" i="18"/>
  <c r="F280" i="18"/>
  <c r="F336" i="18"/>
  <c r="F376" i="18"/>
  <c r="F448" i="18"/>
  <c r="F472" i="18"/>
  <c r="F504" i="18"/>
  <c r="F512" i="18"/>
  <c r="F528" i="18"/>
  <c r="F73" i="18"/>
  <c r="F169" i="18"/>
  <c r="F185" i="18"/>
  <c r="F217" i="18"/>
  <c r="F225" i="18"/>
  <c r="F265" i="18"/>
  <c r="F281" i="18"/>
  <c r="F321" i="18"/>
  <c r="F337" i="18"/>
  <c r="F481" i="18"/>
  <c r="F529" i="18"/>
  <c r="J366" i="21"/>
  <c r="K51" i="21"/>
  <c r="F366" i="21"/>
  <c r="D366" i="21"/>
  <c r="I124" i="21"/>
  <c r="G124" i="21"/>
  <c r="H124" i="21"/>
  <c r="F51" i="21"/>
  <c r="D348" i="21"/>
  <c r="G51" i="21"/>
  <c r="E124" i="21"/>
  <c r="J348" i="21"/>
  <c r="I366" i="21"/>
  <c r="D124" i="21"/>
  <c r="H366" i="21"/>
  <c r="H348" i="21"/>
  <c r="J124" i="21"/>
  <c r="E348" i="21"/>
  <c r="F348" i="21"/>
  <c r="E51" i="21"/>
  <c r="G366" i="21"/>
  <c r="D51" i="21"/>
  <c r="J51" i="21"/>
  <c r="E366" i="21"/>
  <c r="H51" i="21"/>
  <c r="I348" i="21"/>
  <c r="F124" i="21"/>
  <c r="G348" i="21"/>
  <c r="I51" i="21"/>
  <c r="F324" i="16"/>
  <c r="F436" i="16"/>
  <c r="F364" i="16"/>
  <c r="F11" i="16"/>
  <c r="F19" i="16"/>
  <c r="F27" i="16"/>
  <c r="F67" i="16"/>
  <c r="F75" i="16"/>
  <c r="F155" i="16"/>
  <c r="F163" i="16"/>
  <c r="F179" i="16"/>
  <c r="F203" i="16"/>
  <c r="F227" i="16"/>
  <c r="F269" i="16"/>
  <c r="F293" i="16"/>
  <c r="F453" i="16"/>
  <c r="F461" i="16"/>
  <c r="F44" i="16"/>
  <c r="F76" i="16"/>
  <c r="F156" i="16"/>
  <c r="F204" i="16"/>
  <c r="F228" i="16"/>
  <c r="F236" i="16"/>
  <c r="F246" i="16"/>
  <c r="F326" i="16"/>
  <c r="F406" i="16"/>
  <c r="F430" i="16"/>
  <c r="F446" i="16"/>
  <c r="F494" i="16"/>
  <c r="F510" i="16"/>
  <c r="F526" i="16"/>
  <c r="F29" i="16"/>
  <c r="F93" i="16"/>
  <c r="F181" i="16"/>
  <c r="F229" i="16"/>
  <c r="F271" i="16"/>
  <c r="F311" i="16"/>
  <c r="F327" i="16"/>
  <c r="F439" i="16"/>
  <c r="F503" i="16"/>
  <c r="F511" i="16"/>
  <c r="F519" i="16"/>
  <c r="F527" i="16"/>
  <c r="F38" i="16"/>
  <c r="F206" i="16"/>
  <c r="F214" i="16"/>
  <c r="F222" i="16"/>
  <c r="F272" i="16"/>
  <c r="F416" i="16"/>
  <c r="F456" i="16"/>
  <c r="F496" i="16"/>
  <c r="F520" i="16"/>
  <c r="F39" i="16"/>
  <c r="F79" i="16"/>
  <c r="F103" i="16"/>
  <c r="F111" i="16"/>
  <c r="F119" i="16"/>
  <c r="F127" i="16"/>
  <c r="F215" i="16"/>
  <c r="F223" i="16"/>
  <c r="F231" i="16"/>
  <c r="F441" i="16"/>
  <c r="F449" i="16"/>
  <c r="F481" i="16"/>
  <c r="F489" i="16"/>
  <c r="F497" i="16"/>
  <c r="F513" i="16"/>
  <c r="F16" i="16"/>
  <c r="F112" i="16"/>
  <c r="F120" i="16"/>
  <c r="F128" i="16"/>
  <c r="F232" i="16"/>
  <c r="F258" i="16"/>
  <c r="F306" i="16"/>
  <c r="F426" i="16"/>
  <c r="F514" i="16"/>
  <c r="F169" i="16"/>
  <c r="F185" i="16"/>
  <c r="F233" i="16"/>
  <c r="F267" i="16"/>
  <c r="F459" i="16"/>
  <c r="F467" i="16"/>
  <c r="F10" i="16"/>
  <c r="F18" i="16"/>
  <c r="F58" i="16"/>
  <c r="F66" i="16"/>
  <c r="F90" i="16"/>
  <c r="F98" i="16"/>
  <c r="F106" i="16"/>
  <c r="F162" i="16"/>
  <c r="F65" i="15"/>
  <c r="F89" i="15"/>
  <c r="F153" i="15"/>
  <c r="F177" i="15"/>
  <c r="F209" i="15"/>
  <c r="F217" i="15"/>
  <c r="F225" i="15"/>
  <c r="F265" i="15"/>
  <c r="F313" i="15"/>
  <c r="F353" i="15"/>
  <c r="F425" i="15"/>
  <c r="F10" i="15"/>
  <c r="F18" i="15"/>
  <c r="F202" i="15"/>
  <c r="F226" i="15"/>
  <c r="F442" i="15"/>
  <c r="F450" i="15"/>
  <c r="F11" i="15"/>
  <c r="F19" i="15"/>
  <c r="F27" i="15"/>
  <c r="F43" i="15"/>
  <c r="F75" i="15"/>
  <c r="F99" i="15"/>
  <c r="F107" i="15"/>
  <c r="F227" i="15"/>
  <c r="F251" i="15"/>
  <c r="F315" i="15"/>
  <c r="F419" i="15"/>
  <c r="F435" i="15"/>
  <c r="F108" i="15"/>
  <c r="F116" i="15"/>
  <c r="F124" i="15"/>
  <c r="F260" i="15"/>
  <c r="F284" i="15"/>
  <c r="F316" i="15"/>
  <c r="F396" i="15"/>
  <c r="F428" i="15"/>
  <c r="F484" i="15"/>
  <c r="F500" i="15"/>
  <c r="F516" i="15"/>
  <c r="F29" i="15"/>
  <c r="F117" i="15"/>
  <c r="F125" i="15"/>
  <c r="F165" i="15"/>
  <c r="F181" i="15"/>
  <c r="F221" i="15"/>
  <c r="F301" i="15"/>
  <c r="F405" i="15"/>
  <c r="F445" i="15"/>
  <c r="F493" i="15"/>
  <c r="F501" i="15"/>
  <c r="F509" i="15"/>
  <c r="F517" i="15"/>
  <c r="F38" i="15"/>
  <c r="F86" i="15"/>
  <c r="F94" i="15"/>
  <c r="F102" i="15"/>
  <c r="F222" i="15"/>
  <c r="F230" i="15"/>
  <c r="F262" i="15"/>
  <c r="F430" i="15"/>
  <c r="F438" i="15"/>
  <c r="F470" i="15"/>
  <c r="F486" i="15"/>
  <c r="F510" i="15"/>
  <c r="F39" i="15"/>
  <c r="F71" i="15"/>
  <c r="F159" i="15"/>
  <c r="F175" i="15"/>
  <c r="F199" i="15"/>
  <c r="F223" i="15"/>
  <c r="F239" i="15"/>
  <c r="F415" i="15"/>
  <c r="F479" i="15"/>
  <c r="F487" i="15"/>
  <c r="F503" i="15"/>
  <c r="F16" i="15"/>
  <c r="F56" i="15"/>
  <c r="F64" i="15"/>
  <c r="F72" i="15"/>
  <c r="F152" i="15"/>
  <c r="F160" i="15"/>
  <c r="F200" i="15"/>
  <c r="F208" i="15"/>
  <c r="F216" i="15"/>
  <c r="F264" i="15"/>
  <c r="F296" i="15"/>
  <c r="F448" i="15"/>
  <c r="F456" i="15"/>
  <c r="F504" i="15"/>
  <c r="F111" i="14"/>
  <c r="F119" i="14"/>
  <c r="F63" i="14"/>
  <c r="F127" i="14"/>
  <c r="F39" i="14"/>
  <c r="F11" i="14"/>
  <c r="F19" i="14"/>
  <c r="F27" i="14"/>
  <c r="F75" i="14"/>
  <c r="F155" i="14"/>
  <c r="F163" i="14"/>
  <c r="F211" i="14"/>
  <c r="F219" i="14"/>
  <c r="F227" i="14"/>
  <c r="F267" i="14"/>
  <c r="F315" i="14"/>
  <c r="F419" i="14"/>
  <c r="F92" i="14"/>
  <c r="F156" i="14"/>
  <c r="F180" i="14"/>
  <c r="F204" i="14"/>
  <c r="F228" i="14"/>
  <c r="F316" i="14"/>
  <c r="F436" i="14"/>
  <c r="F444" i="14"/>
  <c r="F29" i="14"/>
  <c r="F229" i="14"/>
  <c r="F253" i="14"/>
  <c r="F413" i="14"/>
  <c r="F429" i="14"/>
  <c r="F38" i="14"/>
  <c r="F54" i="14"/>
  <c r="F62" i="14"/>
  <c r="F78" i="14"/>
  <c r="F102" i="14"/>
  <c r="F110" i="14"/>
  <c r="F262" i="14"/>
  <c r="F286" i="14"/>
  <c r="F302" i="14"/>
  <c r="F422" i="14"/>
  <c r="F478" i="14"/>
  <c r="F494" i="14"/>
  <c r="F510" i="14"/>
  <c r="F223" i="14"/>
  <c r="F399" i="14"/>
  <c r="F439" i="14"/>
  <c r="F487" i="14"/>
  <c r="F495" i="14"/>
  <c r="F503" i="14"/>
  <c r="F511" i="14"/>
  <c r="F16" i="14"/>
  <c r="F120" i="14"/>
  <c r="F128" i="14"/>
  <c r="F168" i="14"/>
  <c r="F184" i="14"/>
  <c r="F224" i="14"/>
  <c r="F232" i="14"/>
  <c r="F264" i="14"/>
  <c r="F352" i="14"/>
  <c r="F392" i="14"/>
  <c r="F424" i="14"/>
  <c r="F432" i="14"/>
  <c r="F464" i="14"/>
  <c r="F480" i="14"/>
  <c r="F504" i="14"/>
  <c r="F65" i="14"/>
  <c r="F89" i="14"/>
  <c r="F97" i="14"/>
  <c r="F105" i="14"/>
  <c r="F201" i="14"/>
  <c r="F225" i="14"/>
  <c r="F241" i="14"/>
  <c r="F313" i="14"/>
  <c r="F409" i="14"/>
  <c r="F473" i="14"/>
  <c r="F481" i="14"/>
  <c r="F497" i="14"/>
  <c r="F10" i="14"/>
  <c r="F18" i="14"/>
  <c r="F42" i="14"/>
  <c r="F66" i="14"/>
  <c r="F74" i="14"/>
  <c r="F162" i="14"/>
  <c r="F178" i="14"/>
  <c r="F202" i="14"/>
  <c r="F210" i="14"/>
  <c r="F218" i="14"/>
  <c r="F266" i="14"/>
  <c r="F298" i="14"/>
  <c r="F442" i="14"/>
  <c r="F450" i="14"/>
  <c r="F498" i="14"/>
  <c r="G11" i="11"/>
  <c r="F428" i="13"/>
  <c r="F316" i="13"/>
  <c r="F220" i="13"/>
  <c r="F164" i="13"/>
  <c r="F212" i="13"/>
  <c r="F476" i="13"/>
  <c r="F420" i="13"/>
  <c r="F156" i="13"/>
  <c r="F460" i="13"/>
  <c r="F468" i="13"/>
  <c r="F228" i="13"/>
  <c r="F268" i="13"/>
  <c r="F492" i="13"/>
  <c r="F76" i="13"/>
  <c r="F29" i="13"/>
  <c r="F93" i="13"/>
  <c r="F157" i="13"/>
  <c r="F181" i="13"/>
  <c r="F205" i="13"/>
  <c r="F229" i="13"/>
  <c r="F397" i="13"/>
  <c r="F38" i="13"/>
  <c r="F230" i="13"/>
  <c r="F254" i="13"/>
  <c r="F350" i="13"/>
  <c r="F390" i="13"/>
  <c r="F422" i="13"/>
  <c r="F438" i="13"/>
  <c r="F446" i="13"/>
  <c r="F39" i="13"/>
  <c r="F55" i="13"/>
  <c r="F63" i="13"/>
  <c r="F79" i="13"/>
  <c r="F103" i="13"/>
  <c r="F111" i="13"/>
  <c r="F119" i="13"/>
  <c r="F263" i="13"/>
  <c r="F287" i="13"/>
  <c r="F303" i="13"/>
  <c r="F407" i="13"/>
  <c r="F16" i="13"/>
  <c r="F64" i="13"/>
  <c r="F112" i="13"/>
  <c r="F120" i="13"/>
  <c r="F128" i="13"/>
  <c r="F224" i="13"/>
  <c r="F432" i="13"/>
  <c r="F440" i="13"/>
  <c r="F488" i="13"/>
  <c r="F504" i="13"/>
  <c r="F129" i="13"/>
  <c r="F169" i="13"/>
  <c r="F185" i="13"/>
  <c r="F225" i="13"/>
  <c r="F233" i="13"/>
  <c r="F265" i="13"/>
  <c r="F313" i="13"/>
  <c r="F417" i="13"/>
  <c r="F425" i="13"/>
  <c r="F473" i="13"/>
  <c r="F489" i="13"/>
  <c r="F497" i="13"/>
  <c r="F505" i="13"/>
  <c r="F10" i="13"/>
  <c r="F18" i="13"/>
  <c r="F66" i="13"/>
  <c r="F90" i="13"/>
  <c r="F98" i="13"/>
  <c r="F106" i="13"/>
  <c r="F202" i="13"/>
  <c r="F226" i="13"/>
  <c r="F242" i="13"/>
  <c r="F482" i="13"/>
  <c r="F498" i="13"/>
  <c r="F11" i="13"/>
  <c r="F19" i="13"/>
  <c r="F27" i="13"/>
  <c r="F43" i="13"/>
  <c r="F67" i="13"/>
  <c r="F75" i="13"/>
  <c r="F163" i="13"/>
  <c r="F179" i="13"/>
  <c r="F203" i="13"/>
  <c r="F211" i="13"/>
  <c r="F219" i="13"/>
  <c r="F267" i="13"/>
  <c r="F299" i="13"/>
  <c r="F315" i="13"/>
  <c r="F411" i="13"/>
  <c r="F435" i="13"/>
  <c r="F475" i="13"/>
  <c r="G66" i="12"/>
  <c r="G58" i="12"/>
  <c r="G96" i="12"/>
  <c r="G114" i="12"/>
  <c r="G256" i="12"/>
  <c r="G226" i="12"/>
  <c r="G122" i="12"/>
  <c r="G490" i="12"/>
  <c r="G184" i="12"/>
  <c r="G498" i="12"/>
  <c r="G418" i="12"/>
  <c r="G16" i="12"/>
  <c r="G408" i="12"/>
  <c r="G82" i="12"/>
  <c r="G474" i="12"/>
  <c r="G426" i="12"/>
  <c r="G314" i="12"/>
  <c r="G506" i="12"/>
  <c r="G232" i="12"/>
  <c r="G160" i="12"/>
  <c r="G106" i="12"/>
  <c r="G42" i="12"/>
  <c r="G18" i="12"/>
  <c r="G10" i="12"/>
  <c r="G505" i="12"/>
  <c r="G489" i="12"/>
  <c r="G441" i="12"/>
  <c r="G433" i="12"/>
  <c r="G305" i="12"/>
  <c r="G289" i="12"/>
  <c r="G265" i="12"/>
  <c r="G41" i="12"/>
  <c r="G447" i="12"/>
  <c r="G439" i="12"/>
  <c r="G423" i="12"/>
  <c r="G391" i="12"/>
  <c r="G351" i="12"/>
  <c r="G231" i="12"/>
  <c r="G207" i="12"/>
  <c r="G167" i="12"/>
  <c r="G159" i="12"/>
  <c r="G79" i="12"/>
  <c r="G398" i="12"/>
  <c r="G270" i="12"/>
  <c r="G230" i="12"/>
  <c r="G222" i="12"/>
  <c r="G214" i="12"/>
  <c r="G182" i="12"/>
  <c r="G166" i="12"/>
  <c r="G78" i="12"/>
  <c r="G70" i="12"/>
  <c r="G46" i="12"/>
  <c r="G493" i="12"/>
  <c r="G477" i="12"/>
  <c r="G469" i="12"/>
  <c r="G461" i="12"/>
  <c r="G429" i="12"/>
  <c r="G421" i="12"/>
  <c r="G317" i="12"/>
  <c r="G301" i="12"/>
  <c r="G269" i="12"/>
  <c r="G221" i="12"/>
  <c r="G213" i="12"/>
  <c r="G205" i="12"/>
  <c r="G109" i="12"/>
  <c r="G101" i="12"/>
  <c r="G93" i="12"/>
  <c r="G69" i="12"/>
  <c r="G29" i="12"/>
  <c r="G492" i="12"/>
  <c r="G476" i="12"/>
  <c r="G436" i="12"/>
  <c r="G412" i="12"/>
  <c r="G316" i="12"/>
  <c r="G244" i="12"/>
  <c r="G228" i="12"/>
  <c r="G204" i="12"/>
  <c r="G188" i="12"/>
  <c r="G172" i="12"/>
  <c r="G132" i="12"/>
  <c r="G499" i="12"/>
  <c r="G483" i="12"/>
  <c r="G267" i="12"/>
  <c r="G235" i="12"/>
  <c r="G227" i="12"/>
  <c r="G131" i="12"/>
  <c r="G123" i="12"/>
  <c r="G115" i="12"/>
  <c r="G67" i="12"/>
  <c r="G27" i="12"/>
  <c r="G19" i="12"/>
  <c r="G11" i="12"/>
  <c r="G10" i="11"/>
  <c r="C366" i="21"/>
  <c r="G472" i="11"/>
  <c r="G418" i="11"/>
  <c r="G290" i="11"/>
  <c r="G66" i="11"/>
  <c r="G314" i="11"/>
  <c r="G306" i="11"/>
  <c r="G18" i="11"/>
  <c r="G426" i="11"/>
  <c r="G26" i="11"/>
  <c r="G434" i="11"/>
  <c r="G114" i="11"/>
  <c r="G442" i="11"/>
  <c r="G226" i="11"/>
  <c r="G130" i="11"/>
  <c r="G122" i="11"/>
  <c r="G432" i="11"/>
  <c r="G352" i="11"/>
  <c r="G464" i="11"/>
  <c r="G456" i="11"/>
  <c r="G409" i="11"/>
  <c r="G265" i="11"/>
  <c r="G121" i="11"/>
  <c r="G113" i="11"/>
  <c r="G105" i="11"/>
  <c r="G81" i="11"/>
  <c r="G65" i="11"/>
  <c r="G57" i="11"/>
  <c r="G41" i="11"/>
  <c r="G256" i="11"/>
  <c r="G232" i="11"/>
  <c r="G40" i="11"/>
  <c r="G16" i="11"/>
  <c r="G487" i="11"/>
  <c r="G471" i="11"/>
  <c r="G423" i="11"/>
  <c r="G415" i="11"/>
  <c r="G231" i="11"/>
  <c r="G207" i="11"/>
  <c r="G183" i="11"/>
  <c r="G159" i="11"/>
  <c r="G95" i="11"/>
  <c r="G486" i="11"/>
  <c r="G478" i="11"/>
  <c r="G430" i="11"/>
  <c r="G302" i="11"/>
  <c r="G270" i="11"/>
  <c r="G230" i="11"/>
  <c r="G222" i="11"/>
  <c r="G214" i="11"/>
  <c r="G166" i="11"/>
  <c r="G158" i="11"/>
  <c r="G78" i="11"/>
  <c r="G493" i="11"/>
  <c r="G469" i="11"/>
  <c r="G405" i="11"/>
  <c r="G389" i="11"/>
  <c r="G317" i="11"/>
  <c r="G269" i="11"/>
  <c r="G221" i="11"/>
  <c r="G213" i="11"/>
  <c r="G205" i="11"/>
  <c r="G181" i="11"/>
  <c r="G165" i="11"/>
  <c r="G77" i="11"/>
  <c r="G69" i="11"/>
  <c r="G45" i="11"/>
  <c r="G500" i="11"/>
  <c r="G492" i="11"/>
  <c r="G484" i="11"/>
  <c r="G436" i="11"/>
  <c r="G420" i="11"/>
  <c r="G396" i="11"/>
  <c r="G316" i="11"/>
  <c r="G244" i="11"/>
  <c r="G228" i="11"/>
  <c r="G204" i="11"/>
  <c r="G108" i="11"/>
  <c r="G100" i="11"/>
  <c r="G92" i="11"/>
  <c r="G68" i="11"/>
  <c r="G28" i="11"/>
  <c r="G499" i="11"/>
  <c r="G483" i="11"/>
  <c r="G267" i="11"/>
  <c r="G235" i="11"/>
  <c r="G227" i="11"/>
  <c r="G187" i="11"/>
  <c r="G171" i="11"/>
  <c r="G131" i="11"/>
  <c r="G19" i="11"/>
  <c r="C348" i="21"/>
  <c r="C124" i="21"/>
  <c r="BO277" i="21" l="1"/>
  <c r="BO286" i="21" s="1"/>
  <c r="BO272" i="21"/>
  <c r="BO273" i="21" s="1"/>
  <c r="BO45" i="21"/>
  <c r="BO48" i="21" s="1"/>
  <c r="BO258" i="21"/>
  <c r="BO261" i="21" s="1"/>
  <c r="BO358" i="21"/>
  <c r="BO365" i="21" s="1"/>
  <c r="BO292" i="21"/>
  <c r="BO298" i="21" s="1"/>
  <c r="BO287" i="21"/>
  <c r="BO290" i="21" s="1"/>
  <c r="BO368" i="21"/>
  <c r="BO374" i="21" s="1"/>
  <c r="BO308" i="21"/>
  <c r="BO316" i="21" s="1"/>
  <c r="BO4" i="21"/>
  <c r="BO13" i="21" s="1"/>
  <c r="BO346" i="21"/>
  <c r="BO347" i="21" s="1"/>
  <c r="BO82" i="21"/>
  <c r="BO96" i="21" s="1"/>
  <c r="BO128" i="21" s="1"/>
  <c r="BO246" i="21"/>
  <c r="BO257" i="21" s="1"/>
  <c r="BO331" i="21"/>
  <c r="BO340" i="21" s="1"/>
  <c r="BO49" i="21"/>
  <c r="BO50" i="21" s="1"/>
  <c r="BO317" i="21"/>
  <c r="BO330" i="21" s="1"/>
  <c r="BO180" i="21"/>
  <c r="BO234" i="21" s="1"/>
  <c r="BO132" i="21"/>
  <c r="BO179" i="21" s="1"/>
  <c r="BO122" i="21"/>
  <c r="BO123" i="21" s="1"/>
  <c r="BO131" i="21" s="1"/>
  <c r="BO353" i="21"/>
  <c r="BO357" i="21" s="1"/>
  <c r="BO366" i="21" s="1"/>
  <c r="BO14" i="21"/>
  <c r="BO34" i="21" s="1"/>
  <c r="BO303" i="21"/>
  <c r="BO305" i="21" s="1"/>
  <c r="BO262" i="21"/>
  <c r="BO268" i="21" s="1"/>
  <c r="BO99" i="21"/>
  <c r="BO102" i="21" s="1"/>
  <c r="BO129" i="21" s="1"/>
  <c r="BO235" i="21"/>
  <c r="BO245" i="21" s="1"/>
  <c r="BO52" i="21"/>
  <c r="BO81" i="21" s="1"/>
  <c r="BO301" i="21"/>
  <c r="BO302" i="21" s="1"/>
  <c r="BO341" i="21"/>
  <c r="BO345" i="21" s="1"/>
  <c r="BO109" i="21"/>
  <c r="BO35" i="21"/>
  <c r="BO44" i="21" s="1"/>
  <c r="AB124" i="21"/>
  <c r="AB125" i="21" s="1"/>
  <c r="AB348" i="21"/>
  <c r="I125" i="21"/>
  <c r="I126" i="21" s="1"/>
  <c r="V367" i="21"/>
  <c r="V375" i="21" s="1"/>
  <c r="T367" i="21"/>
  <c r="T375" i="21" s="1"/>
  <c r="S367" i="21"/>
  <c r="S375" i="21" s="1"/>
  <c r="P367" i="21"/>
  <c r="P375" i="21" s="1"/>
  <c r="Q367" i="21"/>
  <c r="Q375" i="21" s="1"/>
  <c r="R367" i="21"/>
  <c r="R375" i="21" s="1"/>
  <c r="O124" i="21"/>
  <c r="K125" i="21"/>
  <c r="K126" i="21" s="1"/>
  <c r="N125" i="21"/>
  <c r="N126" i="21" s="1"/>
  <c r="O348" i="21"/>
  <c r="O366" i="21"/>
  <c r="M125" i="21"/>
  <c r="M126" i="21" s="1"/>
  <c r="L125" i="21"/>
  <c r="L126" i="21" s="1"/>
  <c r="H125" i="21"/>
  <c r="H126" i="21" s="1"/>
  <c r="G125" i="21"/>
  <c r="G126" i="21" s="1"/>
  <c r="J125" i="21"/>
  <c r="J126" i="21" s="1"/>
  <c r="F125" i="21"/>
  <c r="F126" i="21" s="1"/>
  <c r="E125" i="21"/>
  <c r="E126" i="21" s="1"/>
  <c r="D125" i="21"/>
  <c r="D126" i="21" s="1"/>
  <c r="BO127" i="21" l="1"/>
  <c r="BO51" i="21"/>
  <c r="BO348" i="21"/>
  <c r="BO121" i="21"/>
  <c r="BO130" i="21" s="1"/>
  <c r="BO379" i="21"/>
  <c r="AB126" i="21"/>
  <c r="AB367" i="21"/>
  <c r="AB375" i="21" s="1"/>
  <c r="I367" i="21"/>
  <c r="N367" i="21"/>
  <c r="K367" i="21"/>
  <c r="M367" i="21"/>
  <c r="L367" i="21"/>
  <c r="G367" i="21"/>
  <c r="J367" i="21"/>
  <c r="H367" i="21"/>
  <c r="F367" i="21"/>
  <c r="E367" i="21"/>
  <c r="D367" i="21"/>
  <c r="BO124" i="21" l="1"/>
  <c r="BO125" i="21" s="1"/>
  <c r="BO126" i="21" s="1"/>
  <c r="AB376" i="21"/>
  <c r="C125" i="21"/>
  <c r="O125" i="21" s="1"/>
  <c r="O51" i="21"/>
  <c r="BO367" i="21" l="1"/>
  <c r="BO376" i="21" s="1"/>
  <c r="C367" i="21"/>
  <c r="C126" i="21"/>
  <c r="O126" i="21"/>
  <c r="F542" i="20" l="1"/>
  <c r="G494" i="11"/>
  <c r="F505" i="14"/>
  <c r="F499" i="13"/>
  <c r="F521" i="16"/>
  <c r="F511" i="15"/>
  <c r="F539" i="19"/>
  <c r="F536" i="18"/>
  <c r="G500" i="12"/>
  <c r="O367" i="21"/>
  <c r="C11" i="22" l="1"/>
  <c r="C16" i="22"/>
  <c r="C18" i="22" l="1"/>
  <c r="C19" i="22" s="1"/>
  <c r="C28" i="22"/>
  <c r="C30" i="22" l="1"/>
  <c r="C33" i="22"/>
  <c r="C49" i="22" l="1"/>
  <c r="C53" i="22" l="1"/>
  <c r="C54" i="22" s="1"/>
  <c r="C64" i="22" l="1"/>
  <c r="C83" i="22" l="1"/>
  <c r="C93" i="22" l="1"/>
  <c r="C94" i="22" l="1"/>
  <c r="C109" i="22" l="1"/>
  <c r="C112" i="22" l="1"/>
  <c r="C123" i="22" l="1"/>
  <c r="C126" i="22" s="1"/>
  <c r="C131" i="22" l="1"/>
  <c r="C134" i="22" l="1"/>
  <c r="C137" i="22" l="1"/>
  <c r="C142" i="22" s="1"/>
  <c r="C160" i="22" l="1"/>
  <c r="C143" i="22"/>
  <c r="C146" i="22" l="1"/>
  <c r="C161" i="22" s="1"/>
  <c r="F112" i="1" l="1"/>
  <c r="C201" i="22"/>
  <c r="C168" i="22"/>
  <c r="C207" i="22" l="1"/>
  <c r="C213" i="22" s="1"/>
  <c r="C226" i="22" l="1"/>
  <c r="C223" i="22"/>
  <c r="C230" i="22" l="1"/>
  <c r="C279" i="22" s="1"/>
  <c r="C257" i="22"/>
  <c r="C258" i="22" l="1"/>
  <c r="C260" i="22" s="1"/>
  <c r="C269" i="22" l="1"/>
  <c r="C270" i="22" s="1"/>
  <c r="C283" i="22" s="1"/>
  <c r="C285" i="22" l="1"/>
  <c r="C289" i="22" s="1"/>
  <c r="C291" i="22" s="1"/>
  <c r="C292" i="22" l="1"/>
  <c r="C294" i="22" s="1"/>
  <c r="F230" i="1" s="1"/>
  <c r="C295" i="22" l="1"/>
  <c r="J11" i="22"/>
  <c r="N11" i="22"/>
  <c r="Z11" i="22"/>
  <c r="V11" i="22"/>
  <c r="D11" i="22"/>
  <c r="AC11" i="22"/>
  <c r="AC16" i="22"/>
  <c r="AC18" i="22" s="1"/>
  <c r="C296" i="22" l="1"/>
  <c r="F232" i="1"/>
  <c r="V16" i="22"/>
  <c r="R16" i="22"/>
  <c r="R18" i="22" s="1"/>
  <c r="R19" i="22" s="1"/>
  <c r="R28" i="22" s="1"/>
  <c r="N16" i="22"/>
  <c r="K16" i="22"/>
  <c r="AB16" i="22"/>
  <c r="K18" i="22"/>
  <c r="X18" i="22"/>
  <c r="AC19" i="22"/>
  <c r="S18" i="22"/>
  <c r="AB18" i="22"/>
  <c r="D16" i="22"/>
  <c r="L16" i="22"/>
  <c r="U11" i="22"/>
  <c r="U16" i="22" s="1"/>
  <c r="M28" i="22"/>
  <c r="V18" i="22"/>
  <c r="O18" i="22"/>
  <c r="T11" i="22"/>
  <c r="T16" i="22" s="1"/>
  <c r="P16" i="22"/>
  <c r="E11" i="22"/>
  <c r="E16" i="22" s="1"/>
  <c r="H16" i="22"/>
  <c r="N18" i="22"/>
  <c r="Y11" i="22"/>
  <c r="Y16" i="22"/>
  <c r="I11" i="22"/>
  <c r="I16" i="22"/>
  <c r="J16" i="22"/>
  <c r="G11" i="22"/>
  <c r="Z16" i="22"/>
  <c r="W11" i="22"/>
  <c r="Q16" i="22"/>
  <c r="AA16" i="22"/>
  <c r="AN16" i="22"/>
  <c r="AN18" i="22" s="1"/>
  <c r="AN19" i="22" s="1"/>
  <c r="AN28" i="22" l="1"/>
  <c r="AN30" i="22" s="1"/>
  <c r="R30" i="22"/>
  <c r="R33" i="22"/>
  <c r="R49" i="22"/>
  <c r="T18" i="22"/>
  <c r="AB19" i="22"/>
  <c r="AB28" i="22" s="1"/>
  <c r="F30" i="22"/>
  <c r="F33" i="22" s="1"/>
  <c r="F49" i="22" s="1"/>
  <c r="Q18" i="22"/>
  <c r="V19" i="22"/>
  <c r="V28" i="22" s="1"/>
  <c r="W16" i="22"/>
  <c r="J18" i="22"/>
  <c r="Y18" i="22"/>
  <c r="N19" i="22"/>
  <c r="U18" i="22"/>
  <c r="H18" i="22"/>
  <c r="Z18" i="22"/>
  <c r="I18" i="22"/>
  <c r="L18" i="22"/>
  <c r="K19" i="22"/>
  <c r="P18" i="22"/>
  <c r="AC28" i="22"/>
  <c r="E18" i="22"/>
  <c r="M30" i="22"/>
  <c r="M33" i="22"/>
  <c r="AA18" i="22"/>
  <c r="G16" i="22"/>
  <c r="D18" i="22"/>
  <c r="AN33" i="22" l="1"/>
  <c r="Z19" i="22"/>
  <c r="Z28" i="22" s="1"/>
  <c r="F53" i="22"/>
  <c r="G18" i="22"/>
  <c r="L19" i="22"/>
  <c r="P19" i="22"/>
  <c r="P28" i="22" s="1"/>
  <c r="AB30" i="22"/>
  <c r="AB33" i="22" s="1"/>
  <c r="M49" i="22"/>
  <c r="M53" i="22" s="1"/>
  <c r="M54" i="22" s="1"/>
  <c r="S28" i="22"/>
  <c r="N28" i="22"/>
  <c r="R53" i="22"/>
  <c r="AA19" i="22"/>
  <c r="Y19" i="22"/>
  <c r="Q19" i="22"/>
  <c r="Q28" i="22" s="1"/>
  <c r="V30" i="22"/>
  <c r="E19" i="22"/>
  <c r="AC30" i="22"/>
  <c r="AC33" i="22"/>
  <c r="I19" i="22"/>
  <c r="I28" i="22" s="1"/>
  <c r="W18" i="22"/>
  <c r="H19" i="22"/>
  <c r="H28" i="22" s="1"/>
  <c r="O28" i="22"/>
  <c r="D19" i="22"/>
  <c r="D28" i="22"/>
  <c r="U19" i="22"/>
  <c r="X28" i="22"/>
  <c r="J19" i="22"/>
  <c r="T19" i="22"/>
  <c r="K28" i="22"/>
  <c r="AN49" i="22"/>
  <c r="H30" i="22" l="1"/>
  <c r="H33" i="22" s="1"/>
  <c r="Q30" i="22"/>
  <c r="Q33" i="22" s="1"/>
  <c r="Q49" i="22" s="1"/>
  <c r="Y28" i="22"/>
  <c r="V33" i="22"/>
  <c r="V49" i="22" s="1"/>
  <c r="G19" i="22"/>
  <c r="U28" i="22"/>
  <c r="W19" i="22"/>
  <c r="N30" i="22"/>
  <c r="N33" i="22" s="1"/>
  <c r="J28" i="22"/>
  <c r="E28" i="22"/>
  <c r="Z30" i="22"/>
  <c r="Z33" i="22" s="1"/>
  <c r="S30" i="22"/>
  <c r="S33" i="22"/>
  <c r="AA28" i="22"/>
  <c r="I30" i="22"/>
  <c r="I33" i="22" s="1"/>
  <c r="K30" i="22"/>
  <c r="K33" i="22"/>
  <c r="R54" i="22"/>
  <c r="T28" i="22"/>
  <c r="M64" i="22"/>
  <c r="AB49" i="22"/>
  <c r="P30" i="22"/>
  <c r="P33" i="22" s="1"/>
  <c r="P49" i="22" s="1"/>
  <c r="D30" i="22"/>
  <c r="D33" i="22" s="1"/>
  <c r="X30" i="22"/>
  <c r="X33" i="22"/>
  <c r="F64" i="22"/>
  <c r="O30" i="22"/>
  <c r="AC49" i="22"/>
  <c r="AC53" i="22" s="1"/>
  <c r="AC54" i="22" s="1"/>
  <c r="L28" i="22"/>
  <c r="AN53" i="22"/>
  <c r="AC64" i="22" l="1"/>
  <c r="AC83" i="22"/>
  <c r="AC93" i="22" s="1"/>
  <c r="R64" i="22"/>
  <c r="R83" i="22" s="1"/>
  <c r="R93" i="22" s="1"/>
  <c r="I49" i="22"/>
  <c r="I53" i="22" s="1"/>
  <c r="H49" i="22"/>
  <c r="W28" i="22"/>
  <c r="S49" i="22"/>
  <c r="L30" i="22"/>
  <c r="L33" i="22" s="1"/>
  <c r="AB53" i="22"/>
  <c r="D49" i="22"/>
  <c r="D53" i="22" s="1"/>
  <c r="Z49" i="22"/>
  <c r="Q53" i="22"/>
  <c r="N49" i="22"/>
  <c r="AA30" i="22"/>
  <c r="E30" i="22"/>
  <c r="G28" i="22"/>
  <c r="K49" i="22"/>
  <c r="K53" i="22" s="1"/>
  <c r="K54" i="22" s="1"/>
  <c r="P53" i="22"/>
  <c r="P54" i="22" s="1"/>
  <c r="U30" i="22"/>
  <c r="U33" i="22" s="1"/>
  <c r="U49" i="22" s="1"/>
  <c r="F83" i="22"/>
  <c r="X49" i="22"/>
  <c r="X53" i="22" s="1"/>
  <c r="X54" i="22" s="1"/>
  <c r="X64" i="22" s="1"/>
  <c r="M83" i="22"/>
  <c r="M93" i="22" s="1"/>
  <c r="V53" i="22"/>
  <c r="V54" i="22" s="1"/>
  <c r="Y30" i="22"/>
  <c r="Y33" i="22" s="1"/>
  <c r="O33" i="22"/>
  <c r="O49" i="22" s="1"/>
  <c r="T30" i="22"/>
  <c r="T33" i="22"/>
  <c r="J30" i="22"/>
  <c r="AN54" i="22"/>
  <c r="AC94" i="22" l="1"/>
  <c r="P64" i="22"/>
  <c r="AN64" i="22"/>
  <c r="Z53" i="22"/>
  <c r="Z54" i="22" s="1"/>
  <c r="V64" i="22"/>
  <c r="V83" i="22" s="1"/>
  <c r="D54" i="22"/>
  <c r="D64" i="22"/>
  <c r="G30" i="22"/>
  <c r="M94" i="22"/>
  <c r="AB54" i="22"/>
  <c r="K64" i="22"/>
  <c r="K83" i="22" s="1"/>
  <c r="K93" i="22" s="1"/>
  <c r="F93" i="22"/>
  <c r="U53" i="22"/>
  <c r="U54" i="22" s="1"/>
  <c r="U64" i="22" s="1"/>
  <c r="P83" i="22"/>
  <c r="W30" i="22"/>
  <c r="W33" i="22" s="1"/>
  <c r="T49" i="22"/>
  <c r="T53" i="22" s="1"/>
  <c r="Q54" i="22"/>
  <c r="Q64" i="22" s="1"/>
  <c r="E33" i="22"/>
  <c r="I54" i="22"/>
  <c r="J49" i="22"/>
  <c r="AA33" i="22"/>
  <c r="Y49" i="22"/>
  <c r="R94" i="22"/>
  <c r="X83" i="22"/>
  <c r="J33" i="22"/>
  <c r="O53" i="22"/>
  <c r="S53" i="22"/>
  <c r="N53" i="22"/>
  <c r="H53" i="22"/>
  <c r="L49" i="22"/>
  <c r="AC96" i="22" l="1"/>
  <c r="AN83" i="22"/>
  <c r="AC109" i="22"/>
  <c r="AC112" i="22" s="1"/>
  <c r="AC123" i="22" s="1"/>
  <c r="L53" i="22"/>
  <c r="L54" i="22" s="1"/>
  <c r="Z64" i="22"/>
  <c r="K94" i="22"/>
  <c r="T54" i="22"/>
  <c r="I83" i="22"/>
  <c r="W49" i="22"/>
  <c r="D83" i="22"/>
  <c r="S54" i="22"/>
  <c r="K109" i="22"/>
  <c r="N54" i="22"/>
  <c r="R96" i="22"/>
  <c r="I64" i="22"/>
  <c r="X93" i="22"/>
  <c r="Y53" i="22"/>
  <c r="M109" i="22"/>
  <c r="O54" i="22"/>
  <c r="J53" i="22"/>
  <c r="V93" i="22"/>
  <c r="E49" i="22"/>
  <c r="E53" i="22" s="1"/>
  <c r="E54" i="22" s="1"/>
  <c r="AC126" i="22"/>
  <c r="Q83" i="22"/>
  <c r="Q93" i="22" s="1"/>
  <c r="F94" i="22"/>
  <c r="F109" i="22"/>
  <c r="U83" i="22"/>
  <c r="AA49" i="22"/>
  <c r="H54" i="22"/>
  <c r="H64" i="22"/>
  <c r="P93" i="22"/>
  <c r="AB64" i="22"/>
  <c r="G33" i="22"/>
  <c r="AN93" i="22" l="1"/>
  <c r="E64" i="22"/>
  <c r="Z83" i="22"/>
  <c r="Z93" i="22" s="1"/>
  <c r="Z94" i="22" s="1"/>
  <c r="Z96" i="22" s="1"/>
  <c r="Z109" i="22" s="1"/>
  <c r="L64" i="22"/>
  <c r="L83" i="22" s="1"/>
  <c r="L93" i="22" s="1"/>
  <c r="L94" i="22" s="1"/>
  <c r="L109" i="22" s="1"/>
  <c r="J54" i="22"/>
  <c r="E83" i="22"/>
  <c r="U93" i="22"/>
  <c r="AB83" i="22"/>
  <c r="M112" i="22"/>
  <c r="M123" i="22" s="1"/>
  <c r="P94" i="22"/>
  <c r="P96" i="22" s="1"/>
  <c r="E93" i="22"/>
  <c r="E109" i="22" s="1"/>
  <c r="Y54" i="22"/>
  <c r="R109" i="22"/>
  <c r="R112" i="22" s="1"/>
  <c r="X94" i="22"/>
  <c r="S64" i="22"/>
  <c r="D93" i="22"/>
  <c r="D109" i="22" s="1"/>
  <c r="F112" i="22"/>
  <c r="AC131" i="22"/>
  <c r="AC134" i="22" s="1"/>
  <c r="N64" i="22"/>
  <c r="H83" i="22"/>
  <c r="AA53" i="22"/>
  <c r="AA54" i="22" s="1"/>
  <c r="I93" i="22"/>
  <c r="I109" i="22" s="1"/>
  <c r="Q94" i="22"/>
  <c r="T64" i="22"/>
  <c r="T83" i="22" s="1"/>
  <c r="T93" i="22" s="1"/>
  <c r="V94" i="22"/>
  <c r="V96" i="22" s="1"/>
  <c r="G49" i="22"/>
  <c r="O64" i="22"/>
  <c r="K112" i="22"/>
  <c r="W53" i="22"/>
  <c r="AN94" i="22" l="1"/>
  <c r="V109" i="22"/>
  <c r="T94" i="22"/>
  <c r="T96" i="22" s="1"/>
  <c r="I112" i="22"/>
  <c r="E112" i="22"/>
  <c r="D112" i="22"/>
  <c r="L112" i="22"/>
  <c r="T109" i="22"/>
  <c r="J64" i="22"/>
  <c r="Q96" i="22"/>
  <c r="N83" i="22"/>
  <c r="S83" i="22"/>
  <c r="S93" i="22"/>
  <c r="Z112" i="22"/>
  <c r="Z123" i="22" s="1"/>
  <c r="H93" i="22"/>
  <c r="F123" i="22"/>
  <c r="U94" i="22"/>
  <c r="AB93" i="22"/>
  <c r="E94" i="22"/>
  <c r="O83" i="22"/>
  <c r="M126" i="22"/>
  <c r="M131" i="22" s="1"/>
  <c r="I94" i="22"/>
  <c r="D94" i="22"/>
  <c r="D123" i="22"/>
  <c r="G53" i="22"/>
  <c r="G54" i="22" s="1"/>
  <c r="AC137" i="22"/>
  <c r="P109" i="22"/>
  <c r="P112" i="22" s="1"/>
  <c r="Y64" i="22"/>
  <c r="X96" i="22"/>
  <c r="X109" i="22" s="1"/>
  <c r="W54" i="22"/>
  <c r="W64" i="22"/>
  <c r="W83" i="22"/>
  <c r="K123" i="22"/>
  <c r="K126" i="22" s="1"/>
  <c r="V112" i="22"/>
  <c r="AA64" i="22"/>
  <c r="AC142" i="22"/>
  <c r="R123" i="22"/>
  <c r="R126" i="22" s="1"/>
  <c r="AN96" i="22" l="1"/>
  <c r="AN109" i="22"/>
  <c r="G64" i="22"/>
  <c r="P123" i="22"/>
  <c r="P126" i="22" s="1"/>
  <c r="AB94" i="22"/>
  <c r="AB96" i="22" s="1"/>
  <c r="I123" i="22"/>
  <c r="I126" i="22" s="1"/>
  <c r="V123" i="22"/>
  <c r="V126" i="22" s="1"/>
  <c r="D126" i="22"/>
  <c r="AC143" i="22"/>
  <c r="W93" i="22"/>
  <c r="AA83" i="22"/>
  <c r="L126" i="22"/>
  <c r="S94" i="22"/>
  <c r="S96" i="22" s="1"/>
  <c r="E123" i="22"/>
  <c r="E126" i="22" s="1"/>
  <c r="H94" i="22"/>
  <c r="H109" i="22"/>
  <c r="T112" i="22"/>
  <c r="G83" i="22"/>
  <c r="X112" i="22"/>
  <c r="U96" i="22"/>
  <c r="J83" i="22"/>
  <c r="J93" i="22" s="1"/>
  <c r="O93" i="22"/>
  <c r="R131" i="22"/>
  <c r="F126" i="22"/>
  <c r="Z126" i="22"/>
  <c r="K131" i="22"/>
  <c r="Y83" i="22"/>
  <c r="Q109" i="22"/>
  <c r="Q112" i="22" s="1"/>
  <c r="M134" i="22"/>
  <c r="N93" i="22"/>
  <c r="L123" i="22"/>
  <c r="AN112" i="22" l="1"/>
  <c r="AN123" i="22"/>
  <c r="M137" i="22"/>
  <c r="M142" i="22" s="1"/>
  <c r="Q123" i="22"/>
  <c r="Q126" i="22" s="1"/>
  <c r="Q131" i="22" s="1"/>
  <c r="U109" i="22"/>
  <c r="G93" i="22"/>
  <c r="Y93" i="22"/>
  <c r="AA93" i="22"/>
  <c r="T123" i="22"/>
  <c r="T126" i="22" s="1"/>
  <c r="R134" i="22"/>
  <c r="R137" i="22" s="1"/>
  <c r="AC146" i="22"/>
  <c r="S109" i="22"/>
  <c r="I131" i="22"/>
  <c r="J94" i="22"/>
  <c r="J109" i="22" s="1"/>
  <c r="F131" i="22"/>
  <c r="F134" i="22" s="1"/>
  <c r="AB109" i="22"/>
  <c r="K134" i="22"/>
  <c r="K137" i="22" s="1"/>
  <c r="K142" i="22" s="1"/>
  <c r="Z131" i="22"/>
  <c r="V131" i="22"/>
  <c r="V134" i="22" s="1"/>
  <c r="O94" i="22"/>
  <c r="E131" i="22"/>
  <c r="E134" i="22" s="1"/>
  <c r="L131" i="22"/>
  <c r="L134" i="22" s="1"/>
  <c r="H112" i="22"/>
  <c r="P131" i="22"/>
  <c r="N94" i="22"/>
  <c r="N96" i="22" s="1"/>
  <c r="X123" i="22"/>
  <c r="X126" i="22" s="1"/>
  <c r="W94" i="22"/>
  <c r="D131" i="22"/>
  <c r="D134" i="22" s="1"/>
  <c r="AC160" i="22" l="1"/>
  <c r="AC161" i="22" s="1"/>
  <c r="M143" i="22"/>
  <c r="AN126" i="22"/>
  <c r="AN131" i="22" s="1"/>
  <c r="R142" i="22"/>
  <c r="R143" i="22" s="1"/>
  <c r="R146" i="22" s="1"/>
  <c r="M160" i="22"/>
  <c r="K143" i="22"/>
  <c r="K146" i="22" s="1"/>
  <c r="R160" i="22"/>
  <c r="W96" i="22"/>
  <c r="O96" i="22"/>
  <c r="V137" i="22"/>
  <c r="V142" i="22" s="1"/>
  <c r="U112" i="22"/>
  <c r="T131" i="22"/>
  <c r="T134" i="22" s="1"/>
  <c r="H123" i="22"/>
  <c r="AB112" i="22"/>
  <c r="P134" i="22"/>
  <c r="P137" i="22" s="1"/>
  <c r="L137" i="22"/>
  <c r="Y94" i="22"/>
  <c r="Y96" i="22" s="1"/>
  <c r="M146" i="22"/>
  <c r="M201" i="22" s="1"/>
  <c r="X131" i="22"/>
  <c r="X134" i="22" s="1"/>
  <c r="I134" i="22"/>
  <c r="I137" i="22" s="1"/>
  <c r="I142" i="22" s="1"/>
  <c r="G94" i="22"/>
  <c r="G109" i="22"/>
  <c r="D137" i="22"/>
  <c r="D142" i="22" s="1"/>
  <c r="AA94" i="22"/>
  <c r="Q134" i="22"/>
  <c r="Q137" i="22" s="1"/>
  <c r="Q142" i="22" s="1"/>
  <c r="E137" i="22"/>
  <c r="E142" i="22" s="1"/>
  <c r="E160" i="22" s="1"/>
  <c r="F137" i="22"/>
  <c r="F142" i="22" s="1"/>
  <c r="S112" i="22"/>
  <c r="Z134" i="22"/>
  <c r="Z137" i="22" s="1"/>
  <c r="N109" i="22"/>
  <c r="K160" i="22"/>
  <c r="J112" i="22"/>
  <c r="AN134" i="22" l="1"/>
  <c r="AN137" i="22" s="1"/>
  <c r="Q143" i="22"/>
  <c r="D143" i="22"/>
  <c r="D146" i="22" s="1"/>
  <c r="D160" i="22"/>
  <c r="V143" i="22"/>
  <c r="V146" i="22" s="1"/>
  <c r="V160" i="22"/>
  <c r="I143" i="22"/>
  <c r="F143" i="22"/>
  <c r="F160" i="22"/>
  <c r="W109" i="22"/>
  <c r="U126" i="22"/>
  <c r="U131" i="22" s="1"/>
  <c r="AB123" i="22"/>
  <c r="I160" i="22"/>
  <c r="Z142" i="22"/>
  <c r="U123" i="22"/>
  <c r="P142" i="22"/>
  <c r="M168" i="22"/>
  <c r="S123" i="22"/>
  <c r="S126" i="22" s="1"/>
  <c r="G112" i="22"/>
  <c r="Q160" i="22"/>
  <c r="AC168" i="22"/>
  <c r="H126" i="22"/>
  <c r="H131" i="22" s="1"/>
  <c r="O109" i="22"/>
  <c r="O112" i="22" s="1"/>
  <c r="T137" i="22"/>
  <c r="E143" i="22"/>
  <c r="E146" i="22" s="1"/>
  <c r="E161" i="22" s="1"/>
  <c r="Y109" i="22"/>
  <c r="Y112" i="22" s="1"/>
  <c r="T142" i="22"/>
  <c r="AA96" i="22"/>
  <c r="X137" i="22"/>
  <c r="X142" i="22" s="1"/>
  <c r="J123" i="22"/>
  <c r="J126" i="22" s="1"/>
  <c r="N112" i="22"/>
  <c r="L142" i="22"/>
  <c r="AC201" i="22" l="1"/>
  <c r="AN142" i="22"/>
  <c r="T160" i="22"/>
  <c r="S131" i="22"/>
  <c r="X143" i="22"/>
  <c r="Y123" i="22"/>
  <c r="O123" i="22"/>
  <c r="O126" i="22" s="1"/>
  <c r="O131" i="22" s="1"/>
  <c r="U134" i="22"/>
  <c r="AA109" i="22"/>
  <c r="AA112" i="22" s="1"/>
  <c r="M207" i="22"/>
  <c r="M213" i="22"/>
  <c r="E201" i="22"/>
  <c r="D161" i="22"/>
  <c r="D168" i="22" s="1"/>
  <c r="U137" i="22"/>
  <c r="U142" i="22" s="1"/>
  <c r="P143" i="22"/>
  <c r="P146" i="22" s="1"/>
  <c r="P160" i="22"/>
  <c r="V161" i="22"/>
  <c r="V168" i="22" s="1"/>
  <c r="F146" i="22"/>
  <c r="K201" i="22"/>
  <c r="K207" i="22" s="1"/>
  <c r="W112" i="22"/>
  <c r="G123" i="22"/>
  <c r="G126" i="22" s="1"/>
  <c r="R201" i="22"/>
  <c r="J131" i="22"/>
  <c r="J134" i="22" s="1"/>
  <c r="Z143" i="22"/>
  <c r="Z160" i="22"/>
  <c r="X160" i="22"/>
  <c r="AB126" i="22"/>
  <c r="AB131" i="22" s="1"/>
  <c r="L160" i="22"/>
  <c r="L143" i="22"/>
  <c r="L146" i="22" s="1"/>
  <c r="E168" i="22"/>
  <c r="T143" i="22"/>
  <c r="N123" i="22"/>
  <c r="AC207" i="22"/>
  <c r="AC213" i="22" s="1"/>
  <c r="AC223" i="22" s="1"/>
  <c r="H134" i="22"/>
  <c r="H137" i="22" s="1"/>
  <c r="H142" i="22" s="1"/>
  <c r="R168" i="22"/>
  <c r="I146" i="22"/>
  <c r="I161" i="22" s="1"/>
  <c r="Q146" i="22"/>
  <c r="AN143" i="22" l="1"/>
  <c r="Q168" i="22"/>
  <c r="K213" i="22"/>
  <c r="K226" i="22" s="1"/>
  <c r="U143" i="22"/>
  <c r="U160" i="22"/>
  <c r="AA123" i="22"/>
  <c r="H143" i="22"/>
  <c r="I168" i="22"/>
  <c r="O134" i="22"/>
  <c r="O137" i="22" s="1"/>
  <c r="I201" i="22"/>
  <c r="I207" i="22" s="1"/>
  <c r="H160" i="22"/>
  <c r="F201" i="22"/>
  <c r="M226" i="22"/>
  <c r="N126" i="22"/>
  <c r="N131" i="22" s="1"/>
  <c r="F168" i="22"/>
  <c r="W123" i="22"/>
  <c r="W126" i="22" s="1"/>
  <c r="M223" i="22"/>
  <c r="V207" i="22"/>
  <c r="T146" i="22"/>
  <c r="AC226" i="22"/>
  <c r="AC230" i="22" s="1"/>
  <c r="Y126" i="22"/>
  <c r="E207" i="22"/>
  <c r="Q201" i="22"/>
  <c r="Q207" i="22" s="1"/>
  <c r="S134" i="22"/>
  <c r="S137" i="22" s="1"/>
  <c r="S142" i="22" s="1"/>
  <c r="V201" i="22"/>
  <c r="R207" i="22"/>
  <c r="R213" i="22"/>
  <c r="X146" i="22"/>
  <c r="Z146" i="22"/>
  <c r="Z168" i="22" s="1"/>
  <c r="D201" i="22"/>
  <c r="D207" i="22" s="1"/>
  <c r="AB134" i="22"/>
  <c r="AB137" i="22" s="1"/>
  <c r="J137" i="22"/>
  <c r="G131" i="22"/>
  <c r="Z161" i="22" l="1"/>
  <c r="T201" i="22"/>
  <c r="T161" i="22"/>
  <c r="AN146" i="22"/>
  <c r="AN160" i="22" s="1"/>
  <c r="K223" i="22"/>
  <c r="X168" i="22"/>
  <c r="F207" i="22"/>
  <c r="V213" i="22"/>
  <c r="V223" i="22" s="1"/>
  <c r="AA126" i="22"/>
  <c r="AA131" i="22" s="1"/>
  <c r="AA134" i="22" s="1"/>
  <c r="M257" i="22"/>
  <c r="N137" i="22"/>
  <c r="N142" i="22" s="1"/>
  <c r="N160" i="22" s="1"/>
  <c r="AC257" i="22"/>
  <c r="J160" i="22"/>
  <c r="V226" i="22"/>
  <c r="S160" i="22"/>
  <c r="S143" i="22"/>
  <c r="AB142" i="22"/>
  <c r="O142" i="22"/>
  <c r="J142" i="22"/>
  <c r="D213" i="22"/>
  <c r="K257" i="22"/>
  <c r="F213" i="22"/>
  <c r="R226" i="22"/>
  <c r="F223" i="22"/>
  <c r="Y134" i="22"/>
  <c r="X201" i="22"/>
  <c r="E213" i="22"/>
  <c r="N134" i="22"/>
  <c r="P201" i="22"/>
  <c r="K230" i="22"/>
  <c r="K279" i="22" s="1"/>
  <c r="M230" i="22"/>
  <c r="R223" i="22"/>
  <c r="T168" i="22"/>
  <c r="H146" i="22"/>
  <c r="H168" i="22" s="1"/>
  <c r="I213" i="22"/>
  <c r="I223" i="22" s="1"/>
  <c r="W131" i="22"/>
  <c r="L201" i="22"/>
  <c r="L168" i="22"/>
  <c r="Q213" i="22"/>
  <c r="Z201" i="22"/>
  <c r="Z207" i="22" s="1"/>
  <c r="G134" i="22"/>
  <c r="G137" i="22" s="1"/>
  <c r="Q223" i="22"/>
  <c r="Y131" i="22"/>
  <c r="U146" i="22"/>
  <c r="U161" i="22" s="1"/>
  <c r="M258" i="22" l="1"/>
  <c r="M260" i="22" s="1"/>
  <c r="M269" i="22"/>
  <c r="R230" i="22"/>
  <c r="M279" i="22"/>
  <c r="L207" i="22"/>
  <c r="L213" i="22" s="1"/>
  <c r="L223" i="22" s="1"/>
  <c r="V257" i="22"/>
  <c r="U168" i="22"/>
  <c r="E226" i="22"/>
  <c r="T207" i="22"/>
  <c r="T213" i="22"/>
  <c r="AB143" i="22"/>
  <c r="AB146" i="22" s="1"/>
  <c r="AB160" i="22" s="1"/>
  <c r="K258" i="22"/>
  <c r="K260" i="22" s="1"/>
  <c r="I226" i="22"/>
  <c r="I257" i="22" s="1"/>
  <c r="D226" i="22"/>
  <c r="S146" i="22"/>
  <c r="G142" i="22"/>
  <c r="Y137" i="22"/>
  <c r="J143" i="22"/>
  <c r="J146" i="22" s="1"/>
  <c r="J161" i="22" s="1"/>
  <c r="V230" i="22"/>
  <c r="P207" i="22"/>
  <c r="R279" i="22"/>
  <c r="U201" i="22"/>
  <c r="R257" i="22"/>
  <c r="O143" i="22"/>
  <c r="W134" i="22"/>
  <c r="W137" i="22" s="1"/>
  <c r="W142" i="22" s="1"/>
  <c r="AC258" i="22"/>
  <c r="AA137" i="22"/>
  <c r="AA142" i="22" s="1"/>
  <c r="F226" i="22"/>
  <c r="F257" i="22" s="1"/>
  <c r="F230" i="22"/>
  <c r="O160" i="22"/>
  <c r="Z213" i="22"/>
  <c r="Z223" i="22" s="1"/>
  <c r="Q226" i="22"/>
  <c r="Q257" i="22" s="1"/>
  <c r="H201" i="22"/>
  <c r="H207" i="22" s="1"/>
  <c r="E223" i="22"/>
  <c r="D223" i="22"/>
  <c r="N143" i="22"/>
  <c r="N146" i="22" s="1"/>
  <c r="N161" i="22" s="1"/>
  <c r="X207" i="22"/>
  <c r="M270" i="22" l="1"/>
  <c r="M283" i="22" s="1"/>
  <c r="V258" i="22"/>
  <c r="V260" i="22" s="1"/>
  <c r="K269" i="22"/>
  <c r="K270" i="22" s="1"/>
  <c r="K283" i="22" s="1"/>
  <c r="X213" i="22"/>
  <c r="X223" i="22" s="1"/>
  <c r="F279" i="22"/>
  <c r="S168" i="22"/>
  <c r="AA143" i="22"/>
  <c r="M285" i="22"/>
  <c r="M289" i="22"/>
  <c r="M291" i="22" s="1"/>
  <c r="T226" i="22"/>
  <c r="U207" i="22"/>
  <c r="U213" i="22" s="1"/>
  <c r="U223" i="22" s="1"/>
  <c r="I279" i="22"/>
  <c r="X226" i="22"/>
  <c r="W143" i="22"/>
  <c r="W160" i="22"/>
  <c r="V279" i="22"/>
  <c r="V269" i="22"/>
  <c r="F258" i="22"/>
  <c r="F260" i="22" s="1"/>
  <c r="F269" i="22" s="1"/>
  <c r="J168" i="22"/>
  <c r="T223" i="22"/>
  <c r="G143" i="22"/>
  <c r="G160" i="22"/>
  <c r="N201" i="22"/>
  <c r="Q230" i="22"/>
  <c r="Q258" i="22" s="1"/>
  <c r="Q260" i="22" s="1"/>
  <c r="AC260" i="22"/>
  <c r="AC269" i="22"/>
  <c r="S201" i="22"/>
  <c r="P213" i="22"/>
  <c r="P223" i="22" s="1"/>
  <c r="E230" i="22"/>
  <c r="I230" i="22"/>
  <c r="I258" i="22" s="1"/>
  <c r="I260" i="22" s="1"/>
  <c r="O146" i="22"/>
  <c r="R258" i="22"/>
  <c r="R260" i="22" s="1"/>
  <c r="D257" i="22"/>
  <c r="L226" i="22"/>
  <c r="L257" i="22" s="1"/>
  <c r="E257" i="22"/>
  <c r="Y142" i="22"/>
  <c r="J201" i="22"/>
  <c r="H213" i="22"/>
  <c r="N168" i="22"/>
  <c r="Z226" i="22"/>
  <c r="Z230" i="22"/>
  <c r="D230" i="22"/>
  <c r="R269" i="22" l="1"/>
  <c r="R270" i="22" s="1"/>
  <c r="R283" i="22" s="1"/>
  <c r="N207" i="22"/>
  <c r="Z279" i="22"/>
  <c r="S207" i="22"/>
  <c r="S213" i="22"/>
  <c r="S223" i="22" s="1"/>
  <c r="N213" i="22"/>
  <c r="O168" i="22"/>
  <c r="X257" i="22"/>
  <c r="X258" i="22" s="1"/>
  <c r="X260" i="22" s="1"/>
  <c r="F270" i="22"/>
  <c r="F283" i="22" s="1"/>
  <c r="N226" i="22"/>
  <c r="K285" i="22"/>
  <c r="K289" i="22"/>
  <c r="K291" i="22" s="1"/>
  <c r="AC270" i="22"/>
  <c r="M292" i="22"/>
  <c r="M294" i="22" s="1"/>
  <c r="M295" i="22" s="1"/>
  <c r="I269" i="22"/>
  <c r="X230" i="22"/>
  <c r="D279" i="22"/>
  <c r="H223" i="22"/>
  <c r="V270" i="22"/>
  <c r="V283" i="22" s="1"/>
  <c r="Y143" i="22"/>
  <c r="AB207" i="22"/>
  <c r="Y160" i="22"/>
  <c r="J207" i="22"/>
  <c r="L230" i="22"/>
  <c r="L269" i="22" s="1"/>
  <c r="W146" i="22"/>
  <c r="W161" i="22" s="1"/>
  <c r="T230" i="22"/>
  <c r="Q269" i="22"/>
  <c r="Q279" i="22"/>
  <c r="U226" i="22"/>
  <c r="U257" i="22" s="1"/>
  <c r="Z257" i="22"/>
  <c r="D258" i="22"/>
  <c r="D260" i="22" s="1"/>
  <c r="D269" i="22" s="1"/>
  <c r="P226" i="22"/>
  <c r="P230" i="22" s="1"/>
  <c r="P279" i="22" s="1"/>
  <c r="E279" i="22"/>
  <c r="O201" i="22"/>
  <c r="T257" i="22"/>
  <c r="E258" i="22"/>
  <c r="E260" i="22" s="1"/>
  <c r="E269" i="22" s="1"/>
  <c r="N223" i="22"/>
  <c r="H226" i="22"/>
  <c r="G146" i="22"/>
  <c r="G161" i="22" s="1"/>
  <c r="AA146" i="22"/>
  <c r="AA160" i="22" s="1"/>
  <c r="AC279" i="22" l="1"/>
  <c r="L258" i="22"/>
  <c r="L260" i="22" s="1"/>
  <c r="L270" i="22" s="1"/>
  <c r="L283" i="22" s="1"/>
  <c r="L285" i="22" s="1"/>
  <c r="L279" i="22"/>
  <c r="H230" i="22"/>
  <c r="X269" i="22"/>
  <c r="X270" i="22" s="1"/>
  <c r="X283" i="22" s="1"/>
  <c r="S226" i="22"/>
  <c r="S257" i="22" s="1"/>
  <c r="O207" i="22"/>
  <c r="O213" i="22" s="1"/>
  <c r="W168" i="22"/>
  <c r="X279" i="22"/>
  <c r="H257" i="22"/>
  <c r="U230" i="22"/>
  <c r="U279" i="22" s="1"/>
  <c r="D270" i="22"/>
  <c r="D283" i="22" s="1"/>
  <c r="D285" i="22" s="1"/>
  <c r="V285" i="22"/>
  <c r="V289" i="22"/>
  <c r="V291" i="22" s="1"/>
  <c r="E270" i="22"/>
  <c r="E283" i="22" s="1"/>
  <c r="R285" i="22"/>
  <c r="R289" i="22"/>
  <c r="R291" i="22" s="1"/>
  <c r="F285" i="22"/>
  <c r="F289" i="22" s="1"/>
  <c r="F291" i="22" s="1"/>
  <c r="K292" i="22"/>
  <c r="K294" i="22" s="1"/>
  <c r="W201" i="22"/>
  <c r="Z258" i="22"/>
  <c r="G201" i="22"/>
  <c r="T279" i="22"/>
  <c r="T258" i="22"/>
  <c r="T260" i="22" s="1"/>
  <c r="I270" i="22"/>
  <c r="I283" i="22" s="1"/>
  <c r="AC283" i="22"/>
  <c r="AC285" i="22" s="1"/>
  <c r="N230" i="22"/>
  <c r="AB213" i="22"/>
  <c r="S230" i="22"/>
  <c r="S269" i="22" s="1"/>
  <c r="N257" i="22"/>
  <c r="G168" i="22"/>
  <c r="Y146" i="22"/>
  <c r="Y161" i="22" s="1"/>
  <c r="J213" i="22"/>
  <c r="J223" i="22" s="1"/>
  <c r="Q270" i="22"/>
  <c r="Q283" i="22" s="1"/>
  <c r="P257" i="22"/>
  <c r="H279" i="22"/>
  <c r="S258" i="22" l="1"/>
  <c r="S260" i="22" s="1"/>
  <c r="S270" i="22" s="1"/>
  <c r="S283" i="22" s="1"/>
  <c r="U258" i="22"/>
  <c r="G207" i="22"/>
  <c r="H258" i="22"/>
  <c r="H260" i="22" s="1"/>
  <c r="AC289" i="22"/>
  <c r="AC291" i="22" s="1"/>
  <c r="AC292" i="22" s="1"/>
  <c r="AC294" i="22" s="1"/>
  <c r="Y168" i="22"/>
  <c r="T269" i="22"/>
  <c r="T270" i="22" s="1"/>
  <c r="T283" i="22" s="1"/>
  <c r="S279" i="22"/>
  <c r="X285" i="22"/>
  <c r="X289" i="22" s="1"/>
  <c r="X291" i="22" s="1"/>
  <c r="E285" i="22"/>
  <c r="E289" i="22" s="1"/>
  <c r="E291" i="22" s="1"/>
  <c r="F292" i="22"/>
  <c r="F294" i="22" s="1"/>
  <c r="Q285" i="22"/>
  <c r="Q289" i="22" s="1"/>
  <c r="Q291" i="22" s="1"/>
  <c r="O226" i="22"/>
  <c r="Z260" i="22"/>
  <c r="Z269" i="22" s="1"/>
  <c r="N258" i="22"/>
  <c r="N260" i="22" s="1"/>
  <c r="N269" i="22" s="1"/>
  <c r="J226" i="22"/>
  <c r="J257" i="22" s="1"/>
  <c r="J230" i="22"/>
  <c r="AB223" i="22"/>
  <c r="G223" i="22"/>
  <c r="R292" i="22"/>
  <c r="R294" i="22" s="1"/>
  <c r="W207" i="22"/>
  <c r="AA168" i="22"/>
  <c r="AA201" i="22" s="1"/>
  <c r="V292" i="22"/>
  <c r="V294" i="22" s="1"/>
  <c r="V295" i="22" s="1"/>
  <c r="V296" i="22" s="1"/>
  <c r="N279" i="22"/>
  <c r="P258" i="22"/>
  <c r="D289" i="22"/>
  <c r="D291" i="22" s="1"/>
  <c r="G213" i="22"/>
  <c r="L289" i="22"/>
  <c r="L291" i="22" s="1"/>
  <c r="Y201" i="22"/>
  <c r="I285" i="22"/>
  <c r="I289" i="22"/>
  <c r="I291" i="22" s="1"/>
  <c r="U260" i="22"/>
  <c r="U269" i="22" s="1"/>
  <c r="O223" i="22"/>
  <c r="O230" i="22" s="1"/>
  <c r="R295" i="22" l="1"/>
  <c r="F295" i="22"/>
  <c r="AC295" i="22"/>
  <c r="AC296" i="22" s="1"/>
  <c r="H269" i="22"/>
  <c r="H270" i="22" s="1"/>
  <c r="H283" i="22" s="1"/>
  <c r="O257" i="22"/>
  <c r="O258" i="22" s="1"/>
  <c r="J279" i="22"/>
  <c r="H285" i="22"/>
  <c r="H289" i="22"/>
  <c r="H291" i="22" s="1"/>
  <c r="U270" i="22"/>
  <c r="U283" i="22" s="1"/>
  <c r="Q292" i="22"/>
  <c r="Q294" i="22" s="1"/>
  <c r="S285" i="22"/>
  <c r="S289" i="22"/>
  <c r="S291" i="22" s="1"/>
  <c r="N270" i="22"/>
  <c r="N283" i="22" s="1"/>
  <c r="E292" i="22"/>
  <c r="E294" i="22" s="1"/>
  <c r="E295" i="22" s="1"/>
  <c r="T285" i="22"/>
  <c r="T289" i="22" s="1"/>
  <c r="T291" i="22" s="1"/>
  <c r="X292" i="22"/>
  <c r="X294" i="22" s="1"/>
  <c r="Z270" i="22"/>
  <c r="Z283" i="22" s="1"/>
  <c r="Y207" i="22"/>
  <c r="I292" i="22"/>
  <c r="I294" i="22" s="1"/>
  <c r="W213" i="22"/>
  <c r="W223" i="22" s="1"/>
  <c r="J258" i="22"/>
  <c r="G226" i="22"/>
  <c r="G257" i="22" s="1"/>
  <c r="O279" i="22"/>
  <c r="P260" i="22"/>
  <c r="P269" i="22" s="1"/>
  <c r="AB226" i="22"/>
  <c r="AA207" i="22"/>
  <c r="L292" i="22"/>
  <c r="L294" i="22" s="1"/>
  <c r="D292" i="22"/>
  <c r="D294" i="22" s="1"/>
  <c r="D295" i="22" s="1"/>
  <c r="D296" i="22" s="1"/>
  <c r="E296" i="22" l="1"/>
  <c r="Q295" i="22"/>
  <c r="X295" i="22"/>
  <c r="L295" i="22"/>
  <c r="I295" i="22"/>
  <c r="I296" i="22" s="1"/>
  <c r="G230" i="22"/>
  <c r="N285" i="22"/>
  <c r="N289" i="22" s="1"/>
  <c r="N291" i="22" s="1"/>
  <c r="U285" i="22"/>
  <c r="U289" i="22"/>
  <c r="U291" i="22" s="1"/>
  <c r="Z285" i="22"/>
  <c r="Z289" i="22"/>
  <c r="Z291" i="22" s="1"/>
  <c r="G279" i="22"/>
  <c r="O260" i="22"/>
  <c r="O269" i="22"/>
  <c r="J260" i="22"/>
  <c r="J269" i="22"/>
  <c r="P270" i="22"/>
  <c r="P283" i="22" s="1"/>
  <c r="Y213" i="22"/>
  <c r="S292" i="22"/>
  <c r="S294" i="22" s="1"/>
  <c r="H292" i="22"/>
  <c r="H294" i="22" s="1"/>
  <c r="H295" i="22" s="1"/>
  <c r="G258" i="22"/>
  <c r="G260" i="22" s="1"/>
  <c r="G269" i="22" s="1"/>
  <c r="W226" i="22"/>
  <c r="W257" i="22" s="1"/>
  <c r="AB230" i="22"/>
  <c r="T292" i="22"/>
  <c r="T294" i="22" s="1"/>
  <c r="T295" i="22" s="1"/>
  <c r="T296" i="22" s="1"/>
  <c r="AA213" i="22"/>
  <c r="AN295" i="22" l="1"/>
  <c r="AN298" i="22" s="1"/>
  <c r="S295" i="22"/>
  <c r="P285" i="22"/>
  <c r="P289" i="22"/>
  <c r="P291" i="22" s="1"/>
  <c r="G270" i="22"/>
  <c r="G283" i="22" s="1"/>
  <c r="O270" i="22"/>
  <c r="O283" i="22" s="1"/>
  <c r="Z292" i="22"/>
  <c r="Z294" i="22" s="1"/>
  <c r="Z295" i="22" s="1"/>
  <c r="Z296" i="22" s="1"/>
  <c r="Y226" i="22"/>
  <c r="W230" i="22"/>
  <c r="W279" i="22" s="1"/>
  <c r="N292" i="22"/>
  <c r="N294" i="22" s="1"/>
  <c r="N295" i="22" s="1"/>
  <c r="N296" i="22" s="1"/>
  <c r="AB257" i="22"/>
  <c r="Y223" i="22"/>
  <c r="AA223" i="22"/>
  <c r="U292" i="22"/>
  <c r="U294" i="22" s="1"/>
  <c r="J270" i="22"/>
  <c r="J283" i="22" s="1"/>
  <c r="U295" i="22" l="1"/>
  <c r="U296" i="22" s="1"/>
  <c r="W258" i="22"/>
  <c r="W260" i="22" s="1"/>
  <c r="W269" i="22" s="1"/>
  <c r="J285" i="22"/>
  <c r="J289" i="22"/>
  <c r="J291" i="22" s="1"/>
  <c r="O285" i="22"/>
  <c r="O289" i="22"/>
  <c r="O291" i="22" s="1"/>
  <c r="G285" i="22"/>
  <c r="G289" i="22"/>
  <c r="G291" i="22" s="1"/>
  <c r="AA226" i="22"/>
  <c r="AA230" i="22" s="1"/>
  <c r="AA257" i="22" s="1"/>
  <c r="Y230" i="22"/>
  <c r="Y279" i="22" s="1"/>
  <c r="P292" i="22"/>
  <c r="P294" i="22" s="1"/>
  <c r="AB258" i="22"/>
  <c r="AB260" i="22" s="1"/>
  <c r="AB269" i="22" s="1"/>
  <c r="Y257" i="22"/>
  <c r="W270" i="22" l="1"/>
  <c r="W283" i="22" s="1"/>
  <c r="W285" i="22" s="1"/>
  <c r="AA258" i="22"/>
  <c r="AA260" i="22" s="1"/>
  <c r="Y258" i="22"/>
  <c r="Y260" i="22" s="1"/>
  <c r="AB270" i="22"/>
  <c r="AB279" i="22" s="1"/>
  <c r="O292" i="22"/>
  <c r="O294" i="22" s="1"/>
  <c r="W289" i="22"/>
  <c r="W291" i="22" s="1"/>
  <c r="G292" i="22"/>
  <c r="G294" i="22" s="1"/>
  <c r="G295" i="22" s="1"/>
  <c r="G296" i="22" s="1"/>
  <c r="J292" i="22"/>
  <c r="J294" i="22" s="1"/>
  <c r="J295" i="22" s="1"/>
  <c r="J296" i="22" s="1"/>
  <c r="AA269" i="22"/>
  <c r="O295" i="22" l="1"/>
  <c r="Y269" i="22"/>
  <c r="AA270" i="22"/>
  <c r="AA279" i="22" s="1"/>
  <c r="W292" i="22"/>
  <c r="W294" i="22" s="1"/>
  <c r="W295" i="22" s="1"/>
  <c r="W296" i="22" s="1"/>
  <c r="AB283" i="22"/>
  <c r="AB285" i="22" s="1"/>
  <c r="Y270" i="22"/>
  <c r="Y283" i="22" s="1"/>
  <c r="Y285" i="22" l="1"/>
  <c r="Y289" i="22"/>
  <c r="Y291" i="22" s="1"/>
  <c r="AB289" i="22"/>
  <c r="AB291" i="22" s="1"/>
  <c r="AA283" i="22"/>
  <c r="AA285" i="22" s="1"/>
  <c r="AB292" i="22" l="1"/>
  <c r="AB294" i="22" s="1"/>
  <c r="AA289" i="22"/>
  <c r="AA291" i="22" s="1"/>
  <c r="Y292" i="22"/>
  <c r="Y294" i="22" s="1"/>
  <c r="Y295" i="22" s="1"/>
  <c r="Y296" i="22" s="1"/>
  <c r="AA292" i="22" l="1"/>
  <c r="AA294" i="22" s="1"/>
  <c r="AA295" i="22" s="1"/>
  <c r="AA11" i="22"/>
  <c r="AA161" i="22" s="1"/>
  <c r="AB168" i="22"/>
  <c r="AB201" i="22"/>
  <c r="O11" i="22"/>
  <c r="O16" i="22"/>
  <c r="O19" i="22" s="1"/>
  <c r="P168" i="22"/>
  <c r="P295" i="22" s="1"/>
  <c r="S11" i="22"/>
  <c r="S16" i="22"/>
  <c r="S19" i="22" s="1"/>
  <c r="H11" i="22"/>
  <c r="H161" i="22" s="1"/>
  <c r="H296" i="22" s="1"/>
  <c r="X11" i="22"/>
  <c r="X16" i="22"/>
  <c r="X19" i="22" s="1"/>
  <c r="L11" i="22"/>
  <c r="L161" i="22" s="1"/>
  <c r="L296" i="22" s="1"/>
  <c r="Q11" i="22"/>
  <c r="Q161" i="22" s="1"/>
  <c r="Q296" i="22" s="1"/>
  <c r="R11" i="22"/>
  <c r="R161" i="22" s="1"/>
  <c r="R296" i="22" s="1"/>
  <c r="F11" i="22"/>
  <c r="F18" i="22"/>
  <c r="F16" i="22"/>
  <c r="F28" i="22"/>
  <c r="F54" i="22" s="1"/>
  <c r="M11" i="22"/>
  <c r="M18" i="22"/>
  <c r="M16" i="22"/>
  <c r="M19" i="22" s="1"/>
  <c r="K168" i="22"/>
  <c r="K295" i="22" s="1"/>
  <c r="AB11" i="22"/>
  <c r="AB161" i="22" s="1"/>
  <c r="AN11" i="22"/>
  <c r="P11" i="22"/>
  <c r="P161" i="22" s="1"/>
  <c r="K11" i="22"/>
  <c r="K161" i="22" s="1"/>
  <c r="AN161" i="22" l="1"/>
  <c r="AN296" i="22" s="1"/>
  <c r="O161" i="22"/>
  <c r="O296" i="22" s="1"/>
  <c r="X161" i="22"/>
  <c r="X296" i="22" s="1"/>
  <c r="AB295" i="22"/>
  <c r="AI298" i="22" s="1"/>
  <c r="S161" i="22"/>
  <c r="S296" i="22" s="1"/>
  <c r="F19" i="22"/>
  <c r="F161" i="22" s="1"/>
  <c r="F296" i="22" s="1"/>
  <c r="AB298" i="22"/>
  <c r="AK298" i="22"/>
  <c r="AE298" i="22"/>
  <c r="AC298" i="22"/>
  <c r="AA296" i="22"/>
  <c r="P296" i="22"/>
  <c r="K296" i="22"/>
  <c r="M161" i="22"/>
  <c r="M296" i="22" s="1"/>
  <c r="AG298" i="22" l="1"/>
  <c r="AJ298" i="22"/>
  <c r="AB296" i="22"/>
  <c r="AM298" i="22"/>
  <c r="AH298" i="22"/>
  <c r="AL298" i="22"/>
  <c r="AD298" i="22"/>
  <c r="AF298" i="22"/>
</calcChain>
</file>

<file path=xl/sharedStrings.xml><?xml version="1.0" encoding="utf-8"?>
<sst xmlns="http://schemas.openxmlformats.org/spreadsheetml/2006/main" count="18327" uniqueCount="2084">
  <si>
    <t>1000000</t>
  </si>
  <si>
    <t>A S S E T S</t>
  </si>
  <si>
    <t/>
  </si>
  <si>
    <t>= = = = = =</t>
  </si>
  <si>
    <t>10101</t>
  </si>
  <si>
    <t>1011100380 PettyCash IDR SANGATTA</t>
  </si>
  <si>
    <t>0.0</t>
  </si>
  <si>
    <t>1016109751 Bank IDR Mandiri 1480004169325 MB-SANGATA_COL</t>
  </si>
  <si>
    <t>1016109761 Bank IDR Mandiri 1480004169309 MB-SANGATA_OPR</t>
  </si>
  <si>
    <t>1016109769 Bank IDR Mandiri 1480004169309 FxV-SANGATA_OPR</t>
  </si>
  <si>
    <t>1016162071 Bank IDR Mandiri 148-001-687266-8 MB SGT</t>
  </si>
  <si>
    <t>1016162079 Bank IDR Mandiri 148-001-687266-8 FxV SGT</t>
  </si>
  <si>
    <t>101</t>
  </si>
  <si>
    <t>10201</t>
  </si>
  <si>
    <t>1110101000 AR Gross Trade 3rd Party</t>
  </si>
  <si>
    <t>1110101009 AR Gross Trade 3rd Party FxV</t>
  </si>
  <si>
    <t>1110102000 AR Gross Trade Rel Party</t>
  </si>
  <si>
    <t>1110102009 AR Gross Trade Rel Party FxV</t>
  </si>
  <si>
    <t>10202</t>
  </si>
  <si>
    <t>1120101000 AR Gross Trade 3rd Party Allowance</t>
  </si>
  <si>
    <t>102</t>
  </si>
  <si>
    <t>10301</t>
  </si>
  <si>
    <t>1211101000 AR Claim Warranty Pending 3rd Party</t>
  </si>
  <si>
    <t>1211101001 AR Claim Warranty Pend Claim 3rd Party New Acct</t>
  </si>
  <si>
    <t>1211201211 AR Others Back Charge Clearing Account</t>
  </si>
  <si>
    <t>1211201311 AR Claim TWLBR</t>
  </si>
  <si>
    <t>1211301000 AR Claim Warranty Claim 3rd Party</t>
  </si>
  <si>
    <t>1211301001 AR Claim Warranty Claim 3rd Party New</t>
  </si>
  <si>
    <t>1211401001 AR Claim 3rd Party Goodwill (New Acct)</t>
  </si>
  <si>
    <t>1211401310 AR Claim Warranty Claim-Goodwill 3rd Party OEM</t>
  </si>
  <si>
    <t>10302</t>
  </si>
  <si>
    <t>1212001010 AR Claim 3rd Party CAT Parts Core</t>
  </si>
  <si>
    <t>10306</t>
  </si>
  <si>
    <t>1110101230 AR Gross Trade 3rd Party Art23</t>
  </si>
  <si>
    <t>1110101239 AR Gross Trade 3rd Party Art23 FxV</t>
  </si>
  <si>
    <t>1110181000 AR Gross Others Project System Over Under</t>
  </si>
  <si>
    <t>1216001020 AR Claim 3rd Party CAT PSDN</t>
  </si>
  <si>
    <t>1218301010 AR Claim 3rd Party CAT (APD)</t>
  </si>
  <si>
    <t>1218301019 AR Claim 3rd Party CAT (APD) FxV</t>
  </si>
  <si>
    <t>1219301000 AR Claim Others 3rd Party</t>
  </si>
  <si>
    <t>1219301009 AR Claim Others 3rd Party FxV</t>
  </si>
  <si>
    <t>1219301510 AR Claim Others 3rd Party Insurance</t>
  </si>
  <si>
    <t>1219302070 AR Claim Others Rel Party CKB</t>
  </si>
  <si>
    <t>103</t>
  </si>
  <si>
    <t>10501</t>
  </si>
  <si>
    <t>1411198000 Inventory PP Non CAT Accessories</t>
  </si>
  <si>
    <t>1460200000 Inventory PP GIT Non Trade</t>
  </si>
  <si>
    <t>10502</t>
  </si>
  <si>
    <t>1415101000 Inventory Parts Stock On Hand</t>
  </si>
  <si>
    <t>1415141666 Inventory Parts PVRG SPM - SOA</t>
  </si>
  <si>
    <t>1415192000 Inventory Parts Gross Hub Turn Over</t>
  </si>
  <si>
    <t>1461001210 Inventory Parts GINI</t>
  </si>
  <si>
    <t>1465011000 Inventory Parts GIT</t>
  </si>
  <si>
    <t>1465011001 Inventory Parts GIT - Parts Back Order</t>
  </si>
  <si>
    <t>1465011002 Inventory Parts Freight &amp; Handling (CLEARING)</t>
  </si>
  <si>
    <t>1515001213 Landed Cost - Parts FH ITL Inbound Actual</t>
  </si>
  <si>
    <t>1515001214 Landed Cost - Parts FH LCL Inbound Actual</t>
  </si>
  <si>
    <t>1515001215 Landed Cost - Parts FH LCL Outbound Actual</t>
  </si>
  <si>
    <t>1515001216 Landed Cost - Parts FH ITL Outbound Actual</t>
  </si>
  <si>
    <t>10503</t>
  </si>
  <si>
    <t>1565000000 WIP Parts</t>
  </si>
  <si>
    <t>1565000511 WIP Parts S.O.S.</t>
  </si>
  <si>
    <t>1566000010 WIP Service Labor</t>
  </si>
  <si>
    <t>1566000020 WIP Service LPO</t>
  </si>
  <si>
    <t>1566000050 WIP Service Travel</t>
  </si>
  <si>
    <t>105</t>
  </si>
  <si>
    <t>10701</t>
  </si>
  <si>
    <t>1612001010 Prepayment 3rd Party Office Rent</t>
  </si>
  <si>
    <t>1612001020 Prepayment 3rd Party Office Rent Imp (LHI)</t>
  </si>
  <si>
    <t>107</t>
  </si>
  <si>
    <t>11001</t>
  </si>
  <si>
    <t>1811102000 FA Acquisition Owned Self Usage Building</t>
  </si>
  <si>
    <t>1821102000 FA Accumulated Depreciation Owned Building</t>
  </si>
  <si>
    <t>11003</t>
  </si>
  <si>
    <t>1811115000 FA Acquisition Owned Warehouse Equip</t>
  </si>
  <si>
    <t>1811116000 FA Acquisition Owned Workshop Equip</t>
  </si>
  <si>
    <t>1811117000 FA Acquisition Owned Service Tool</t>
  </si>
  <si>
    <t>1811119000 FA Acquisition Owned Training Center Equipment</t>
  </si>
  <si>
    <t>1811140000 FA Acquisition Owned Office Equipment</t>
  </si>
  <si>
    <t>1821115000 FA Accumulated Depreciation Owned Warehouse Equip</t>
  </si>
  <si>
    <t>1821116000 FA Accumulated Depreciation Owned Workshop Equip</t>
  </si>
  <si>
    <t>1821117000 FA Accumulated Depreciation Owned Service Tool</t>
  </si>
  <si>
    <t>1821119000 FA Accumulated Depreciation Owned TC Equip</t>
  </si>
  <si>
    <t>1821140000 FA Accumulated Depreciation Owned Office Equipment</t>
  </si>
  <si>
    <t>11004</t>
  </si>
  <si>
    <t>1811301000 FA Acquisition Owned Rental Fleet Machine</t>
  </si>
  <si>
    <t>1821301000 FA Accumulated Depreciation Owned Rental Fleet Mac</t>
  </si>
  <si>
    <t>11005</t>
  </si>
  <si>
    <t>1811130000 FA Acquisition Owned Vehicle Sedan</t>
  </si>
  <si>
    <t>1811131000 FA Acquisition Owned Vehicle Truck</t>
  </si>
  <si>
    <t>1821130000 FA Accumulated Depreciation Owned Vehicle Sedan</t>
  </si>
  <si>
    <t>1821131000 FA Accumulated Depreciation Owned Vehicle Truck</t>
  </si>
  <si>
    <t>11006</t>
  </si>
  <si>
    <t>1811160000 FA Acquisition Owned IT Devices Computer</t>
  </si>
  <si>
    <t>1813103000 FA Acquisition Lease IT Device</t>
  </si>
  <si>
    <t>1821160000 FA Accumulated Depreciation Owned IT Devices Comp</t>
  </si>
  <si>
    <t>1823103000 FA Accumulated Depreciation IT Device</t>
  </si>
  <si>
    <t>11007</t>
  </si>
  <si>
    <t>1811200010 FA Acquisition Owned Component</t>
  </si>
  <si>
    <t>1821200010 FA Accumulated Depreciation Owned Component</t>
  </si>
  <si>
    <t>11008</t>
  </si>
  <si>
    <t>1811150000 FA Acquisition Owned Office Furniture</t>
  </si>
  <si>
    <t>1821150000 FA Accumulated Depreciation Owned Office Furniture</t>
  </si>
  <si>
    <t>110</t>
  </si>
  <si>
    <t>11301</t>
  </si>
  <si>
    <t>1813101000 FA Acquisition Lease Facility</t>
  </si>
  <si>
    <t>1813102000 FA Acquisition Lease Vehicle</t>
  </si>
  <si>
    <t>1823101000 FA Accumulated Depreciation Facility</t>
  </si>
  <si>
    <t>1823102000 FA Accumulated Depreciation Vehicle</t>
  </si>
  <si>
    <t>1910015010 IFRS 15 Deferred Expenses Part Voucher</t>
  </si>
  <si>
    <t>1910015020 IFRS 15 Deffered Expenses Sos Lab</t>
  </si>
  <si>
    <t>1910015040 IFRS 15 Deferred Expenses EPP</t>
  </si>
  <si>
    <t>113</t>
  </si>
  <si>
    <t>Total assets</t>
  </si>
  <si>
    <t>============</t>
  </si>
  <si>
    <t>2000000</t>
  </si>
  <si>
    <t>LIABILITIES &amp; EQUITY</t>
  </si>
  <si>
    <t>= = = = = = = = = = =</t>
  </si>
  <si>
    <t>20201</t>
  </si>
  <si>
    <t>2110101000 AP Trade 3rd Party</t>
  </si>
  <si>
    <t>2110101009 AP Trade 3rd Party FxV</t>
  </si>
  <si>
    <t>202</t>
  </si>
  <si>
    <t>20301</t>
  </si>
  <si>
    <t>2110201000 AP Non Trade 3rd Party</t>
  </si>
  <si>
    <t>2110201009 AP Non Trade 3rd Party FxV</t>
  </si>
  <si>
    <t>2200100001 GR/IR Trade Adjustment</t>
  </si>
  <si>
    <t>2200110002 GR/IR Parts - Dealer Net</t>
  </si>
  <si>
    <t>2200110003 GR/IR Parts - Service Charge</t>
  </si>
  <si>
    <t>2200110004 GR/IR Parts - Import Charge</t>
  </si>
  <si>
    <t>2200110012 GR/IR Parts - Dealer Net Adjustment</t>
  </si>
  <si>
    <t>2200110013 GR/IR Parts - Service Charge Adjustment</t>
  </si>
  <si>
    <t>2200110014 GR/IR Parts - Import Charge Adjustment</t>
  </si>
  <si>
    <t>2200130102 GR/IR Parts Int'l Freight &amp; Handling Inbound</t>
  </si>
  <si>
    <t>2200130112 GR/IR Parts Int'l Freight &amp; Handling Inbound Adj</t>
  </si>
  <si>
    <t>2200130202 GR/IR Parts Int'l Freight &amp; Handling Outbond</t>
  </si>
  <si>
    <t>2200130212 GR/IR Parts Int'l Freight &amp; Handling Outbond Adj</t>
  </si>
  <si>
    <t>2200130302 GR/IR Parts Local Freight &amp; Handling Inbound</t>
  </si>
  <si>
    <t>2200130312 GR/IR Parts Local Freight &amp; Handling Inbound Adj</t>
  </si>
  <si>
    <t>2200130402 GR/IR Parts Local Freight &amp; Handling Outbond</t>
  </si>
  <si>
    <t>2200130412 GR/IR Parts Local Freight &amp; Handling Outbond Adj</t>
  </si>
  <si>
    <t>2200160003 GR/IR Service OWSS</t>
  </si>
  <si>
    <t>2200160013 GR/IR Service OWSS Adjustment</t>
  </si>
  <si>
    <t>2200200000 GR/IR Non Trade</t>
  </si>
  <si>
    <t>2200200001 GR/IR Non Trade Adjustment</t>
  </si>
  <si>
    <t>2200316040 GR/IR Other IFRS16 Clearing Account Asset</t>
  </si>
  <si>
    <t>2310000120 AP Interco Clearing MST</t>
  </si>
  <si>
    <t>2310000129 AP Interco Clearing MST FxV</t>
  </si>
  <si>
    <t>2460200000 Accrual Payable Non Trade</t>
  </si>
  <si>
    <t>203</t>
  </si>
  <si>
    <t>20401</t>
  </si>
  <si>
    <t>2611004000 Tax Payable ART 4(2)</t>
  </si>
  <si>
    <t>2611004001 Tax Payable ART 4(2)</t>
  </si>
  <si>
    <t>2611021000 Tax Payable ART 21</t>
  </si>
  <si>
    <t>2611023000 Tax Payable ART 23</t>
  </si>
  <si>
    <t>2611023001 Tax Payable ART 23</t>
  </si>
  <si>
    <t>204</t>
  </si>
  <si>
    <t>20501</t>
  </si>
  <si>
    <t>2510300000 Obligation Warranty</t>
  </si>
  <si>
    <t>2510401000 FREE GL 2 ( tidak terpakai )</t>
  </si>
  <si>
    <t>2510403000 Obligation Marketing Program EPP</t>
  </si>
  <si>
    <t>2510501000 Obligation Warranty New Engine</t>
  </si>
  <si>
    <t>2510600000 Obligation Warranty Parts PEX</t>
  </si>
  <si>
    <t>20502</t>
  </si>
  <si>
    <t>2464100010 Employee Payable Salary</t>
  </si>
  <si>
    <t>2464100020 Employee Payable Jamsostek/Astek</t>
  </si>
  <si>
    <t>2464100030 Employee Payable BPJS</t>
  </si>
  <si>
    <t>2464100060 Employee Accrual Expense THR / Lebaran</t>
  </si>
  <si>
    <t>2464100070 Employee Accrual Expense PA Bonus</t>
  </si>
  <si>
    <t>2464100090 Employee Payable BPJS Jaminan Pensiun</t>
  </si>
  <si>
    <t>2464100100 Employee Payable Iuran SPSI</t>
  </si>
  <si>
    <t>2464100991 Employee Payable Dapen Trakindo</t>
  </si>
  <si>
    <t>2464100992 Employee Payable Dapen DPLK Bank BNI</t>
  </si>
  <si>
    <t>20503</t>
  </si>
  <si>
    <t>2461401000 Accrual Interest Leasing IFRS</t>
  </si>
  <si>
    <t>20504</t>
  </si>
  <si>
    <t>2510803000 Provision Insurance Personal Accident</t>
  </si>
  <si>
    <t>2510805000 Provision Insurance Rental Store</t>
  </si>
  <si>
    <t>2510807000 Provision Insurance Stock Thruput</t>
  </si>
  <si>
    <t>20505</t>
  </si>
  <si>
    <t>2460101000 Accrual Payable Trade 3rd Party</t>
  </si>
  <si>
    <t>2465100020 Accrual Trading Related PP Freight</t>
  </si>
  <si>
    <t>2465100030 Accrual Trading Related PP UPA</t>
  </si>
  <si>
    <t>2465100040 Accrual Trading Related PP Unit/Attachment</t>
  </si>
  <si>
    <t>2465100050 Accrual Trading Related PP Custom Duties</t>
  </si>
  <si>
    <t>2465100060 Accrual Trading Related PP Commissioning</t>
  </si>
  <si>
    <t>2465100090 Accrual Trading Related RUE Cushion</t>
  </si>
  <si>
    <t>2465100200 Accrual Trading Related PP Preventive Maintenance</t>
  </si>
  <si>
    <t>2465101000 Temporary Employee Medical Excess Deduction</t>
  </si>
  <si>
    <t>2465101010 Temporary Employee Corporate Mobile PhoneDeduction</t>
  </si>
  <si>
    <t>2465101020 Temporary Employee Travel &amp; CC Deduction</t>
  </si>
  <si>
    <t>2465101040 Temporary Employee Medical Excess Loan</t>
  </si>
  <si>
    <t>2465101070 Temporary Employee Personal Advance Loan</t>
  </si>
  <si>
    <t>2465101080 Temporary Employee Medical Advance</t>
  </si>
  <si>
    <t>2465101081 Temporary Employee Travel Advance</t>
  </si>
  <si>
    <t>2465101100 Temporary Employee Clearing Payroll</t>
  </si>
  <si>
    <t>2469200000 Accrual Other Year End</t>
  </si>
  <si>
    <t>2510281000 Provision PM Rental Unit</t>
  </si>
  <si>
    <t>205</t>
  </si>
  <si>
    <t>20601</t>
  </si>
  <si>
    <t>2730001070 Advance Customer 3rd Party MARC</t>
  </si>
  <si>
    <t>20602</t>
  </si>
  <si>
    <t>2660015010 IFRS 15 Deferred Revenue Part voucher</t>
  </si>
  <si>
    <t>2660015030 IFRS 15 Deferred Revenue EPP (Extended Protection)</t>
  </si>
  <si>
    <t>2660015070 IFRS 15 Deferred Revenue PM Parts Only</t>
  </si>
  <si>
    <t>2660015090 IFRS 15 Deferred Revenue SOS Lab</t>
  </si>
  <si>
    <t>2660015140 IFRS 15 Deferred Revenue Revisit PS</t>
  </si>
  <si>
    <t>2730001000 Advance Customer 3rd Party</t>
  </si>
  <si>
    <t>2730001009 Advance Customer 3rd Party FxV</t>
  </si>
  <si>
    <t>2730001080 Advance Customer 3rd Party Project Solution</t>
  </si>
  <si>
    <t>2730001090 Advance Customer 3rd Party CVA FLat Rate</t>
  </si>
  <si>
    <t>206</t>
  </si>
  <si>
    <t>20701</t>
  </si>
  <si>
    <t>2800100010 Short Term Liability Facility</t>
  </si>
  <si>
    <t>2800100020 Short Term Liability Vehicle</t>
  </si>
  <si>
    <t>2800100030 Short Term Liability IT Device</t>
  </si>
  <si>
    <t>2862001000 Long Term Liability Facility</t>
  </si>
  <si>
    <t>2862002000 Long Term Liability Vehicle</t>
  </si>
  <si>
    <t>2862003000 Long Term Liability IT Device</t>
  </si>
  <si>
    <t>207</t>
  </si>
  <si>
    <t>20901</t>
  </si>
  <si>
    <t>3910000400 Branch Off Account TU/TUS Miscellaneous Charges</t>
  </si>
  <si>
    <t>3910010000 Branch Off Account TU/TUS Stock Transfer (New)</t>
  </si>
  <si>
    <t>3910100000 Interbranch Automatic</t>
  </si>
  <si>
    <t>209</t>
  </si>
  <si>
    <t>2000001</t>
  </si>
  <si>
    <t>21201</t>
  </si>
  <si>
    <t>3810000000 Retained Earnings (RE)</t>
  </si>
  <si>
    <t>212</t>
  </si>
  <si>
    <t>2000002</t>
  </si>
  <si>
    <t>2010000</t>
  </si>
  <si>
    <t>Stockholders' equity</t>
  </si>
  <si>
    <t>====================</t>
  </si>
  <si>
    <t>2014100</t>
  </si>
  <si>
    <t>Total stockholders' equity</t>
  </si>
  <si>
    <t>==========================</t>
  </si>
  <si>
    <t>Total liabilities &amp;equity</t>
  </si>
  <si>
    <t>=================</t>
  </si>
  <si>
    <t>3000000</t>
  </si>
  <si>
    <t>Profit and loss statement</t>
  </si>
  <si>
    <t>= = = = = = = = = = = = =</t>
  </si>
  <si>
    <t>30101</t>
  </si>
  <si>
    <t>4010000000 Sales PP Unit</t>
  </si>
  <si>
    <t>4010300100 Sales PP Attachment Accessories</t>
  </si>
  <si>
    <t>4010402000 Sales PP Power System Acc Defferal</t>
  </si>
  <si>
    <t>30102</t>
  </si>
  <si>
    <t>4020100101 Sales Parts Through Counter</t>
  </si>
  <si>
    <t>4020400101 Sales Parts Through Counter CORE</t>
  </si>
  <si>
    <t>4020500100 Sales Parts SOS Bottle</t>
  </si>
  <si>
    <t>4020800101 Sales Parts Through Counter PEX Product Parts</t>
  </si>
  <si>
    <t>4020800102 Sales Parts Through Counter PEX Core Parts</t>
  </si>
  <si>
    <t>4020900100 Sales Parts Freight Charges</t>
  </si>
  <si>
    <t>4021000101 Sales Parts Discount TPCP</t>
  </si>
  <si>
    <t>4021400103 Sales Parts PEX Fee</t>
  </si>
  <si>
    <t>30103</t>
  </si>
  <si>
    <t>4030100201 Sales Service Flat Rate Variance Labor</t>
  </si>
  <si>
    <t>4030100203 Sales Service Flat Rate PO</t>
  </si>
  <si>
    <t>4030100204 Sales Service Flat Rate Supplies</t>
  </si>
  <si>
    <t>4030100207 Sales Service Flat Rate Labor</t>
  </si>
  <si>
    <t>4030100208 Sales Service Flat Rate Variance Misc.</t>
  </si>
  <si>
    <t>4030500100 Sales Service SOS Lab Analysist</t>
  </si>
  <si>
    <t>30104</t>
  </si>
  <si>
    <t>4050000000 Sales RUE Unit</t>
  </si>
  <si>
    <t>4051500000 IFRS 15 Sales RUE Used Equipment</t>
  </si>
  <si>
    <t>30105</t>
  </si>
  <si>
    <t>4040000101 Sales MARC Billing</t>
  </si>
  <si>
    <t>301</t>
  </si>
  <si>
    <t>30201</t>
  </si>
  <si>
    <t>5010000000 COGS PP Unit</t>
  </si>
  <si>
    <t>5010300100 COGS PP Attachment Accessories</t>
  </si>
  <si>
    <t>5010500300 COGS PP Power System Project Service</t>
  </si>
  <si>
    <t>5011001000 COGS PP International Freight Inbound</t>
  </si>
  <si>
    <t>5011002000 COGS PP Local Freight/Handling Inbound</t>
  </si>
  <si>
    <t>5011003000 COGS PP Custom Duty</t>
  </si>
  <si>
    <t>5011004000 COGS PP UPA</t>
  </si>
  <si>
    <t>5011006000 COGS PP Insurance</t>
  </si>
  <si>
    <t>5011008000 COGS PP Warranty</t>
  </si>
  <si>
    <t>5011010000 COGS PP Local Freight/Handling Outbound</t>
  </si>
  <si>
    <t>5011012000 COGS PP CAT Discount</t>
  </si>
  <si>
    <t>5011015000 COGS PP Marketing Program EPP</t>
  </si>
  <si>
    <t>5012000000 COGS PP Unit Estimated</t>
  </si>
  <si>
    <t>5012001000 COGS PP International Freight Inbound Estimated</t>
  </si>
  <si>
    <t>5012002000 COGS PP Local Freight/Handling Inbound Estimated</t>
  </si>
  <si>
    <t>5012003000 COGS PP Custom Duty Estimated</t>
  </si>
  <si>
    <t>5012007000 COGS PP Commissioning Estimated</t>
  </si>
  <si>
    <t>5012010000 COGS PP Local Freight/Handling Outbond Estimated</t>
  </si>
  <si>
    <t>5012014000 COGS PP Marketing Program PM Estimated</t>
  </si>
  <si>
    <t>30202</t>
  </si>
  <si>
    <t>5020100101 COGS Parts Through Counter</t>
  </si>
  <si>
    <t>5020400101 COGS Parts Through Counter CORE</t>
  </si>
  <si>
    <t>5020500100 COGS Parts SOS Bottle</t>
  </si>
  <si>
    <t>5020600101 COGS Parts Adjustment</t>
  </si>
  <si>
    <t>5020600301 COGS Parts Adjustment - ITR3A</t>
  </si>
  <si>
    <t>5020600303 COGS Parts Adjustment PO Buy Back</t>
  </si>
  <si>
    <t>5020800101 COGS Parts Through Counter PEX Parts</t>
  </si>
  <si>
    <t>5020800102 COGS Parts Through Counter PEX Parts Core</t>
  </si>
  <si>
    <t>5020800301 COGS Parts PEX Cross Charging CRC to Branch</t>
  </si>
  <si>
    <t>5021400102 COGS Parts PEX Warranty</t>
  </si>
  <si>
    <t>30203</t>
  </si>
  <si>
    <t>5030100203 COGS Service Flat Rate PO</t>
  </si>
  <si>
    <t>5030100207 COGS Service Flat Rate Labor</t>
  </si>
  <si>
    <t>5030500100 COGS Service SOS Lab</t>
  </si>
  <si>
    <t>30204</t>
  </si>
  <si>
    <t>5051006000 COGS RUE Insurance</t>
  </si>
  <si>
    <t>5051010000 COGS RUE Local Freight/Handling Outbound</t>
  </si>
  <si>
    <t>5051012000 COGS RUE CAT Discount</t>
  </si>
  <si>
    <t>5051016000 COGS RUE Depreciation</t>
  </si>
  <si>
    <t>5051017000 COGS RUE Maintenance &amp; Repair</t>
  </si>
  <si>
    <t>5052016000 COGS RUE Depreciation Estimated</t>
  </si>
  <si>
    <t>5052017000 COGS RUE Maintenance &amp; Repair Estimated</t>
  </si>
  <si>
    <t>5052019000 COGS RUE Cushion Estimated</t>
  </si>
  <si>
    <t>30205</t>
  </si>
  <si>
    <t>5040000103 COGS MARC Billing Actual</t>
  </si>
  <si>
    <t>302</t>
  </si>
  <si>
    <t>303</t>
  </si>
  <si>
    <t>6000000101 GME - Salary Direct Serviceman - Basic</t>
  </si>
  <si>
    <t>6000000103 GME - Salary Direct Serviceman - Transport Allow</t>
  </si>
  <si>
    <t>6000000108 GME - Salary Direct Serviceman - Spc Location</t>
  </si>
  <si>
    <t>6000000109 GME - Salary Direct Serviceman - National Allow</t>
  </si>
  <si>
    <t>6000000110 GME - Salary Direct Serviceman - Other Bonus</t>
  </si>
  <si>
    <t>6000000200 GME - Salary Direct Serviceman - Overtime</t>
  </si>
  <si>
    <t>6000000301 GME - Salary Direct Serviceman - Accrual AHR</t>
  </si>
  <si>
    <t>6000000400 GME - Service Recovery - SRE Service Recovery</t>
  </si>
  <si>
    <t>6000001403 GME - Service Travel Expenses Internal</t>
  </si>
  <si>
    <t>6000001500 GME - SRE Others - UCR Supplies Inventory</t>
  </si>
  <si>
    <t>6000001700 GME - Service Supplies Inventory - Consumables</t>
  </si>
  <si>
    <t>6000001908 LGS - Material Costs - Material</t>
  </si>
  <si>
    <t>6000002001 GME - Company Policy Adjustment - Marketing Policy</t>
  </si>
  <si>
    <t>6000002104 GME - Salary Direct Serviceman - Buss Spec Allow</t>
  </si>
  <si>
    <t>6000002300 GME - Supplies Inventory - Parts Battery</t>
  </si>
  <si>
    <t>6000002603 CV - Service Vehicle - Repair &amp; Maint Veh</t>
  </si>
  <si>
    <t>6000002605 CV - Service Vehicle - Vehicle License</t>
  </si>
  <si>
    <t>6000002608 CV - Service Vehicle - Vehicle Fuel</t>
  </si>
  <si>
    <t>6000002700 TS - Returns &amp; Customer Complaints - PP Immobli</t>
  </si>
  <si>
    <t>6000003100 GME - SRE Service Tool Expense</t>
  </si>
  <si>
    <t>30401</t>
  </si>
  <si>
    <t>7000000101 CB - Salary - Basic Salary</t>
  </si>
  <si>
    <t>7000000110 CB - Salary - Accrued Anugerah Hari Raya</t>
  </si>
  <si>
    <t>7000000111 CB - Salary Based Premiums - Tax Allowance</t>
  </si>
  <si>
    <t>7000000113 CB - Salary Based Premiums - Spc Location Allownce</t>
  </si>
  <si>
    <t>7000000117 CB - Salary Based Premiums - Transport Allowance</t>
  </si>
  <si>
    <t>7000000203 CB - Bonus - Accrued Bonus</t>
  </si>
  <si>
    <t>7000000204 CB - Bonus - IKPLK</t>
  </si>
  <si>
    <t>7000000302 CB - Individual Benefits - Service Year Award</t>
  </si>
  <si>
    <t>7000000305 CB - Individual Benefits - Nat. Housing Utilities</t>
  </si>
  <si>
    <t>7000000401 CB - Health Benefits &amp; Life Med - Ins Emp.Life</t>
  </si>
  <si>
    <t>7000000500 CB - Overtime Premium - Salary Overtime Payroll</t>
  </si>
  <si>
    <t>7000000704 CB - Pension &amp; Saving Benefits - Jamsostek JHT</t>
  </si>
  <si>
    <t>7000000706 CB - Pension &amp; Saving Benefits - BPJS Pensiun</t>
  </si>
  <si>
    <t>7000000707 CB - Pension &amp; Saving Benefits - Dapen TU</t>
  </si>
  <si>
    <t>7000000708 CB - Pension &amp; Saving Benefits - Dapen LK</t>
  </si>
  <si>
    <t>7000000801 CB - Health Benefits &amp; Life Ins - Nat. Out Patient</t>
  </si>
  <si>
    <t>7000000802 CB - Health Benefits &amp; Life Ins - Nat. Hospital</t>
  </si>
  <si>
    <t>7000000804 CB - Health Benefits &amp; Life Ins - Nat. Spectacles</t>
  </si>
  <si>
    <t>7000000807 CB - Health Benefits &amp; Life Ins - Nat. Check Up</t>
  </si>
  <si>
    <t>7000000819 CB - Health Benefits &amp; Life Ins - BPJS JK/JKK</t>
  </si>
  <si>
    <t>7000000820 CB - Health Benefits &amp; Life Ins - BPJS Kesehatan</t>
  </si>
  <si>
    <t>7000001002 CB - International Mobility - Exp. Housing Utility</t>
  </si>
  <si>
    <t>7000001100 CB - Domestic Mobility - Nat. Leave Passage</t>
  </si>
  <si>
    <t>7000001106 CB - Domestic Mobility - Nat. Relocation</t>
  </si>
  <si>
    <t>7000001108 CB - Domestic Mobility - Nat. Lumpsum Relocation</t>
  </si>
  <si>
    <t>7000001109 CB - Domestic Mobility - Nat. Housing Allowance</t>
  </si>
  <si>
    <t>7000001501 PRD - Recruitment - Travel &amp; Accommodation</t>
  </si>
  <si>
    <t>7000001507 PRD – Non CO-OP Internship</t>
  </si>
  <si>
    <t>7000010000 CB - Pandemic Cost</t>
  </si>
  <si>
    <t>30402</t>
  </si>
  <si>
    <t>7000002001 TR - Airfare - Airline Ticket</t>
  </si>
  <si>
    <t>7000002004 TR - Lodging - Hotel Accommodation</t>
  </si>
  <si>
    <t>7000002005 TR - Rental Car - Travel Car Rent</t>
  </si>
  <si>
    <t>7000002006 TR - Meals - Travel Meals</t>
  </si>
  <si>
    <t>7000002007 TR - Local Transportation - Local Transport Travel</t>
  </si>
  <si>
    <t>7000002010 TR - Cost Travel Provider - Travel Agent Cost</t>
  </si>
  <si>
    <t>7000002011 TR - Other Travel Costs - Other Travel Cost</t>
  </si>
  <si>
    <t>7000002301 SSR - Cus Rltionship Mgmt - Entertainment Allow</t>
  </si>
  <si>
    <t>30403</t>
  </si>
  <si>
    <t>7000003603 CB - Perk Cars - Entitle Vehicle - Repair &amp; Maint</t>
  </si>
  <si>
    <t>7000003604 CB - Perk Cars - Entitle Vehicle - Fuel</t>
  </si>
  <si>
    <t>7000003613 CV - Pool Vehicle - Repair &amp; Maintenance</t>
  </si>
  <si>
    <t>7000003615 CV - Pool Vehicle - TMT Rental</t>
  </si>
  <si>
    <t>7000003617 CV - Pool Vehicle - Fuel</t>
  </si>
  <si>
    <t>30404</t>
  </si>
  <si>
    <t>7000004601 TC - Fixed Line Telephony - Telephone &amp; Other Comm</t>
  </si>
  <si>
    <t>7000004602 TC - Mobile Telephony - Mobile Phone</t>
  </si>
  <si>
    <t>7000004604 FRS - Mail/Packed Services - Mail &amp; Courier</t>
  </si>
  <si>
    <t>30405</t>
  </si>
  <si>
    <t>7000004101 TC - Tech Equipment &amp; Maint - IP Ph/Comp/Devices</t>
  </si>
  <si>
    <t>7000005501 TC - Software Maintenance &amp; Fees - Software &amp; R&amp;M</t>
  </si>
  <si>
    <t>7000005502 TC - Data Communication Services - Sattelite Comm</t>
  </si>
  <si>
    <t>7000005503 TC - Data Communication Services - Connectivity</t>
  </si>
  <si>
    <t>30407</t>
  </si>
  <si>
    <t>7000005214 ED - Internal Events - Events Non Corporate</t>
  </si>
  <si>
    <t>7000005215 FRS - Internal Events - Meeting</t>
  </si>
  <si>
    <t>30408</t>
  </si>
  <si>
    <t>7000001403 PRD - Training - Technical</t>
  </si>
  <si>
    <t>30409</t>
  </si>
  <si>
    <t>7000003000 FRS - Office Supplies - Office Supplies</t>
  </si>
  <si>
    <t>7000005809 FRS - Printer &amp; Copier Equipment - New,Lease &amp; R&amp;M</t>
  </si>
  <si>
    <t>30411</t>
  </si>
  <si>
    <t>7000004900 GRR - Others Regulatory Fees-Licence,Levies &amp; Tax</t>
  </si>
  <si>
    <t>30412</t>
  </si>
  <si>
    <t>7000005800 FRS - PPE &amp; Uniforms - Safety Supplies</t>
  </si>
  <si>
    <t>7000005801 FRS - PPE &amp; Uniforms - Uniforms</t>
  </si>
  <si>
    <t>30413</t>
  </si>
  <si>
    <t>7000005201 ED - Donation - Donation Others</t>
  </si>
  <si>
    <t>30414</t>
  </si>
  <si>
    <t>7000001900 FRS - Facility Benefits - Pantry Supplies</t>
  </si>
  <si>
    <t>7000001901 FRS - Facility Benefits - Catering Subsidy</t>
  </si>
  <si>
    <t>7000004709 FS - Bank Charges - Bank Charges &amp; Stamp Duty</t>
  </si>
  <si>
    <t>7000005206 CB - Token Condolence</t>
  </si>
  <si>
    <t>30419</t>
  </si>
  <si>
    <t>7000003701 GME - Depreciation &amp; Amortization - Workshop Equip</t>
  </si>
  <si>
    <t>7000003704 GME - Depreciation &amp; Amortization - IT Devices</t>
  </si>
  <si>
    <t>7000003705 GME - Depreciation &amp; Amortization - Tools</t>
  </si>
  <si>
    <t>7000003706 GME - Depreciation &amp; Amortization - Godown/Equip</t>
  </si>
  <si>
    <t>7000003707 GME - Depreciation &amp; Amortization - Ofc/Furniture</t>
  </si>
  <si>
    <t>7000003708 GME - Depreciation &amp; Amortization - Ofc/Building</t>
  </si>
  <si>
    <t>7000003710 GME - Depreciation &amp; Amortization - Own Sedan</t>
  </si>
  <si>
    <t>7000003711 GME - Depreciation &amp; Amortization - Own Truck</t>
  </si>
  <si>
    <t>7000003716 GME - Depreciation &amp; Amortization - Own Component</t>
  </si>
  <si>
    <t>7000003820 GME - Depreciation &amp; Amortization - Vehicle</t>
  </si>
  <si>
    <t>7000003830 GME - Depreciation &amp; Amortization - IT Device</t>
  </si>
  <si>
    <t>30420</t>
  </si>
  <si>
    <t>7000003501 MC - Building &amp; Fac Maint Matr - Workshop</t>
  </si>
  <si>
    <t>7000003502 MC - Building &amp; Fac Maint Matr - Godown</t>
  </si>
  <si>
    <t>7000003504 MC - Building &amp; Fac Maint Matr - Office</t>
  </si>
  <si>
    <t>7000003506 MC - Building &amp; Fac Maint Matr - House Own/Rent</t>
  </si>
  <si>
    <t>7000003510 MC - Office Equip &amp; Mach Maint Matr - Machinery</t>
  </si>
  <si>
    <t>30421</t>
  </si>
  <si>
    <t>7000001902 FRS - Facility Benefits - Utilities</t>
  </si>
  <si>
    <t>7000005806 FRS - WEG - Water</t>
  </si>
  <si>
    <t>7000005807 FRS - WEG - Electricity</t>
  </si>
  <si>
    <t>7000005808 FRS - WEG - Gas &amp; Solar</t>
  </si>
  <si>
    <t>30423</t>
  </si>
  <si>
    <t>7000005901 GME - Service Recovery - OHD Service Recovery</t>
  </si>
  <si>
    <t>304</t>
  </si>
  <si>
    <t>30601</t>
  </si>
  <si>
    <t>8010000300 GME - Gaim/Loss Inc/Exp Fixed Asset ROU</t>
  </si>
  <si>
    <t>8040000700 GME - Miscellaneous Exp - Inventory Adj PVRG ITR3A</t>
  </si>
  <si>
    <t>30602</t>
  </si>
  <si>
    <t>8030000700 GME - Warranty Income/Expenses</t>
  </si>
  <si>
    <t>8040000100 GME - Miscellaneous Exp - Prov &amp; W/O AR Bad Debt</t>
  </si>
  <si>
    <t>8040000400 GME - Miscellaneous Exp - Inventory Adj/Scrap/WO</t>
  </si>
  <si>
    <t>306</t>
  </si>
  <si>
    <t>30701</t>
  </si>
  <si>
    <t>8020000200 GME - Deposit Int &amp; Jasa Giro - Income Jasa Giro</t>
  </si>
  <si>
    <t>307</t>
  </si>
  <si>
    <t>30801</t>
  </si>
  <si>
    <t>8030000403 GME - Interest for IFRS 16</t>
  </si>
  <si>
    <t>308</t>
  </si>
  <si>
    <t>Operating profit</t>
  </si>
  <si>
    <t>================</t>
  </si>
  <si>
    <t>7000000</t>
  </si>
  <si>
    <t>Uses of profits and losses</t>
  </si>
  <si>
    <t>7090000</t>
  </si>
  <si>
    <t>Income from P+L</t>
  </si>
  <si>
    <t>8000000</t>
  </si>
  <si>
    <t>Accounts not assigned</t>
  </si>
  <si>
    <t>=====================</t>
  </si>
  <si>
    <t>2460102000 Accrual Payable Trade Related Party</t>
  </si>
  <si>
    <t>2460201000 Accrual Payable Non Trade 3rd Party</t>
  </si>
  <si>
    <t>2469300000 Reconciliation Posting CO-FI</t>
  </si>
  <si>
    <t>3910200000 Clearing Account for FI Doc Splitting</t>
  </si>
  <si>
    <t>Total: accounts not assigned</t>
  </si>
  <si>
    <t>============================</t>
  </si>
  <si>
    <t>Financial Statement Item</t>
  </si>
  <si>
    <t>Text for B/S P&amp;L item</t>
  </si>
  <si>
    <t>Total of reporting period</t>
  </si>
  <si>
    <t>Total of the comparison period</t>
  </si>
  <si>
    <t>Absolute difference</t>
  </si>
  <si>
    <t>Percentage difference</t>
  </si>
  <si>
    <t>4.7-</t>
  </si>
  <si>
    <t>0.4-</t>
  </si>
  <si>
    <t>0.1</t>
  </si>
  <si>
    <t>16.5-</t>
  </si>
  <si>
    <t>15.4</t>
  </si>
  <si>
    <t>59.8</t>
  </si>
  <si>
    <t>100.0-</t>
  </si>
  <si>
    <t>45.4</t>
  </si>
  <si>
    <t>1110202000 AR Gross Non Trade Rel Party</t>
  </si>
  <si>
    <t>1110202009 AR Gross Non Trade Rel Party FxV</t>
  </si>
  <si>
    <t>2.3</t>
  </si>
  <si>
    <t>3.4</t>
  </si>
  <si>
    <t>6.5-</t>
  </si>
  <si>
    <t>1.2-</t>
  </si>
  <si>
    <t>3.8</t>
  </si>
  <si>
    <t>5.9-</t>
  </si>
  <si>
    <t>26.8</t>
  </si>
  <si>
    <t>9.4</t>
  </si>
  <si>
    <t>0.7</t>
  </si>
  <si>
    <t>0.2</t>
  </si>
  <si>
    <t>36.6</t>
  </si>
  <si>
    <t>26.0</t>
  </si>
  <si>
    <t>1630000010 Advance To Employee PC Advance</t>
  </si>
  <si>
    <t>1630000019 Advance To Employee PC Advance FxV</t>
  </si>
  <si>
    <t>1630000110 Advance To Employee Travel</t>
  </si>
  <si>
    <t>1630000119 Advance To Employee Travel Adv FxV</t>
  </si>
  <si>
    <t>1.3-</t>
  </si>
  <si>
    <t>0.3</t>
  </si>
  <si>
    <t>0.5</t>
  </si>
  <si>
    <t>0.2-</t>
  </si>
  <si>
    <t>0.9-</t>
  </si>
  <si>
    <t>1.5-</t>
  </si>
  <si>
    <t>2.3-</t>
  </si>
  <si>
    <t>6.5</t>
  </si>
  <si>
    <t>1.0-</t>
  </si>
  <si>
    <t>2.6-</t>
  </si>
  <si>
    <t>2.8-</t>
  </si>
  <si>
    <t>2.2-</t>
  </si>
  <si>
    <t>1.2</t>
  </si>
  <si>
    <t>0.7-</t>
  </si>
  <si>
    <t>1.0</t>
  </si>
  <si>
    <t>32.4</t>
  </si>
  <si>
    <t>17.2-</t>
  </si>
  <si>
    <t>45.1</t>
  </si>
  <si>
    <t>13.9</t>
  </si>
  <si>
    <t>75.4</t>
  </si>
  <si>
    <t>75.4-</t>
  </si>
  <si>
    <t>27.4-</t>
  </si>
  <si>
    <t>0.9</t>
  </si>
  <si>
    <t>15.3-</t>
  </si>
  <si>
    <t>12.7-</t>
  </si>
  <si>
    <t>1.8</t>
  </si>
  <si>
    <t>0.3-</t>
  </si>
  <si>
    <t>1.9</t>
  </si>
  <si>
    <t>0.6</t>
  </si>
  <si>
    <t>4.1</t>
  </si>
  <si>
    <t>22.5</t>
  </si>
  <si>
    <t>1.1</t>
  </si>
  <si>
    <t>20.0</t>
  </si>
  <si>
    <t>28.0-</t>
  </si>
  <si>
    <t>9.3</t>
  </si>
  <si>
    <t>2.2</t>
  </si>
  <si>
    <t>100.0</t>
  </si>
  <si>
    <t>5.7</t>
  </si>
  <si>
    <t>18.3</t>
  </si>
  <si>
    <t>2.5</t>
  </si>
  <si>
    <t>65.0-</t>
  </si>
  <si>
    <t>4020100202 Sales Parts Through Service Flat Rate</t>
  </si>
  <si>
    <t>4020100206 Sales Parts Through Service Flat Rate Variance</t>
  </si>
  <si>
    <t>69.0-</t>
  </si>
  <si>
    <t>38.9-</t>
  </si>
  <si>
    <t>46.3-</t>
  </si>
  <si>
    <t>54.7</t>
  </si>
  <si>
    <t>5010600000 COGS PP Attachment</t>
  </si>
  <si>
    <t>109.2</t>
  </si>
  <si>
    <t>12.2</t>
  </si>
  <si>
    <t>57.4</t>
  </si>
  <si>
    <t>30.8</t>
  </si>
  <si>
    <t>100.4</t>
  </si>
  <si>
    <t>5020100202 COGS Parts Through Service Flat Rate</t>
  </si>
  <si>
    <t>63.3</t>
  </si>
  <si>
    <t>35.1</t>
  </si>
  <si>
    <t>17.2</t>
  </si>
  <si>
    <t>69.8</t>
  </si>
  <si>
    <t>93.1</t>
  </si>
  <si>
    <t>5050000000 COGS RUE Unit</t>
  </si>
  <si>
    <t>49.2</t>
  </si>
  <si>
    <t>5052010000 COGS RUE Local Freight/Handling Outbound Estimated</t>
  </si>
  <si>
    <t>100.3</t>
  </si>
  <si>
    <t>6000000105 GME - Salary Direct Serviceman - Hari Raya</t>
  </si>
  <si>
    <t>6000000106 GME - Salary Direct Serviceman - Service Award</t>
  </si>
  <si>
    <t>6000000800 GME - Service Redo Job</t>
  </si>
  <si>
    <t>6000001907 LGS - 3PL Service Variable Costs Third Party</t>
  </si>
  <si>
    <t>7000000107 CB - Salary - Anugerah Hari Raya</t>
  </si>
  <si>
    <t>7000000115 CB - Salary Based Premiums - National Allowance</t>
  </si>
  <si>
    <t>107.5</t>
  </si>
  <si>
    <t>7000000120 CB - Salary Based Premiums - Bridging Incentives</t>
  </si>
  <si>
    <t>7000000303 CB - Individual Benefits - Gift Service Year Award</t>
  </si>
  <si>
    <t>2.1</t>
  </si>
  <si>
    <t>106.2</t>
  </si>
  <si>
    <t>7000000805 CB - Health Benefits &amp; Life Ins - Nat. Maternity</t>
  </si>
  <si>
    <t>13.6</t>
  </si>
  <si>
    <t>7000001417 CB - Severances - Severances</t>
  </si>
  <si>
    <t>7000002302 SSR - Cus Rltionship Mgmt - Entertainment Disallow</t>
  </si>
  <si>
    <t>7000003605 CV - Pool Vehicle - License - Own</t>
  </si>
  <si>
    <t>7000003606 CB - Perk Cars - Entitle Vehicle - License</t>
  </si>
  <si>
    <t>98.8</t>
  </si>
  <si>
    <t>0.4</t>
  </si>
  <si>
    <t>19.6</t>
  </si>
  <si>
    <t>104.1</t>
  </si>
  <si>
    <t>7000001401 PRD - Training - General</t>
  </si>
  <si>
    <t>41.1</t>
  </si>
  <si>
    <t>7000001405 PRD - Training - MDP</t>
  </si>
  <si>
    <t>30410</t>
  </si>
  <si>
    <t>7000003401 OSR - Support Services Outsource - Administrative</t>
  </si>
  <si>
    <t>7000005803 OSR - Facility Services Outsource - Clean &amp; Garden</t>
  </si>
  <si>
    <t>92.2</t>
  </si>
  <si>
    <t>101.5</t>
  </si>
  <si>
    <t>52.4</t>
  </si>
  <si>
    <t>7000003509 MC - Office Equip &amp; Mach Maint Matr - Office</t>
  </si>
  <si>
    <t>33.8</t>
  </si>
  <si>
    <t>8010000401 GME - One off Gains&amp;Losses - Miscellaneous Income</t>
  </si>
  <si>
    <t>51.5</t>
  </si>
  <si>
    <t>8010000402 GME - One off Gains&amp;Losses - Miscellaneous Expense</t>
  </si>
  <si>
    <t>35.6-</t>
  </si>
  <si>
    <t>7000003404 OSR - Support Services Outsource - IT Support</t>
  </si>
  <si>
    <t>15.0</t>
  </si>
  <si>
    <t>10.1</t>
  </si>
  <si>
    <t>5.6-</t>
  </si>
  <si>
    <t>22.0</t>
  </si>
  <si>
    <t>1415111800 Inventory Parts PEX Core Raw Material</t>
  </si>
  <si>
    <t>5.3-</t>
  </si>
  <si>
    <t>3.3-</t>
  </si>
  <si>
    <t>57.3-</t>
  </si>
  <si>
    <t>58.4-</t>
  </si>
  <si>
    <t>1.7</t>
  </si>
  <si>
    <t>5.4-</t>
  </si>
  <si>
    <t>15.2</t>
  </si>
  <si>
    <t>28.6-</t>
  </si>
  <si>
    <t>6.6-</t>
  </si>
  <si>
    <t>101.3</t>
  </si>
  <si>
    <t>0.6-</t>
  </si>
  <si>
    <t>5.3</t>
  </si>
  <si>
    <t>21.1</t>
  </si>
  <si>
    <t>33.1</t>
  </si>
  <si>
    <t>2.5-</t>
  </si>
  <si>
    <t>0.8-</t>
  </si>
  <si>
    <t>16.2</t>
  </si>
  <si>
    <t>7.3-</t>
  </si>
  <si>
    <t>13.5</t>
  </si>
  <si>
    <t>33.2</t>
  </si>
  <si>
    <t>13.2-</t>
  </si>
  <si>
    <t>13.2</t>
  </si>
  <si>
    <t>7.7-</t>
  </si>
  <si>
    <t>8.3</t>
  </si>
  <si>
    <t>40.8</t>
  </si>
  <si>
    <t>0.1-</t>
  </si>
  <si>
    <t>34.8</t>
  </si>
  <si>
    <t>32.3</t>
  </si>
  <si>
    <t>24.8</t>
  </si>
  <si>
    <t>3.7-</t>
  </si>
  <si>
    <t>1.4-</t>
  </si>
  <si>
    <t>1.7-</t>
  </si>
  <si>
    <t>6.2</t>
  </si>
  <si>
    <t>23.2-</t>
  </si>
  <si>
    <t>12.2-</t>
  </si>
  <si>
    <t>1.9-</t>
  </si>
  <si>
    <t>6.8</t>
  </si>
  <si>
    <t>9.5-</t>
  </si>
  <si>
    <t>32.3-</t>
  </si>
  <si>
    <t>4.4</t>
  </si>
  <si>
    <t>33.2-</t>
  </si>
  <si>
    <t>5011007000 COGS PP Commissioning</t>
  </si>
  <si>
    <t>16.0</t>
  </si>
  <si>
    <t>26.4-</t>
  </si>
  <si>
    <t>3.1</t>
  </si>
  <si>
    <t>51.2</t>
  </si>
  <si>
    <t>32.8</t>
  </si>
  <si>
    <t>5051009000 COGS RUE Miscellaneous</t>
  </si>
  <si>
    <t>56.8</t>
  </si>
  <si>
    <t>42.8</t>
  </si>
  <si>
    <t>49.8</t>
  </si>
  <si>
    <t>50.4</t>
  </si>
  <si>
    <t>6000001404 GME - Service Travel Expense External</t>
  </si>
  <si>
    <t>51.4</t>
  </si>
  <si>
    <t>6000001909 LGS - Own Storage Equipment - Repair &amp; Maintenance</t>
  </si>
  <si>
    <t>42.5</t>
  </si>
  <si>
    <t>6000002602 CV - Service Vehicle - External Rental</t>
  </si>
  <si>
    <t>6000002901 GME - SRE Others - Repair Maint &amp; Preservation</t>
  </si>
  <si>
    <t>6000003409 TS - Warehouse to Customer (2nd Tier)-City Courier</t>
  </si>
  <si>
    <t>48.9</t>
  </si>
  <si>
    <t>17.6</t>
  </si>
  <si>
    <t>22.4</t>
  </si>
  <si>
    <t>2.0</t>
  </si>
  <si>
    <t>7.2</t>
  </si>
  <si>
    <t>43.8</t>
  </si>
  <si>
    <t>43.6</t>
  </si>
  <si>
    <t>7000000702 CB - Pension &amp; Saving Benefits - PSAK 24</t>
  </si>
  <si>
    <t>7000000806 CB - Health Benefits &amp; Life Ins - Nat. Evacuation</t>
  </si>
  <si>
    <t>33.7</t>
  </si>
  <si>
    <t>84.5</t>
  </si>
  <si>
    <t>38.6</t>
  </si>
  <si>
    <t>343.2</t>
  </si>
  <si>
    <t>92.4</t>
  </si>
  <si>
    <t>7000003602 CB - Perk Cars - Entitle Vehicle - Ext Rental</t>
  </si>
  <si>
    <t>4.9</t>
  </si>
  <si>
    <t>11.7</t>
  </si>
  <si>
    <t>28.7</t>
  </si>
  <si>
    <t>13.8</t>
  </si>
  <si>
    <t>30406</t>
  </si>
  <si>
    <t>7000005221 FRS- External Event - External Event</t>
  </si>
  <si>
    <t>9.6</t>
  </si>
  <si>
    <t>60.9</t>
  </si>
  <si>
    <t>71.4</t>
  </si>
  <si>
    <t>97.4</t>
  </si>
  <si>
    <t>7000005805 OSR - Facility Services Outsource - Security</t>
  </si>
  <si>
    <t>5.7-</t>
  </si>
  <si>
    <t>7000005802 FRS - Drugs &amp; IV Solution - Medicines</t>
  </si>
  <si>
    <t>56.7</t>
  </si>
  <si>
    <t>50.0</t>
  </si>
  <si>
    <t>7000003810 GME - Depreciation &amp; Amortization - Facility</t>
  </si>
  <si>
    <t>28.1</t>
  </si>
  <si>
    <t>58.2</t>
  </si>
  <si>
    <t>8030000400 FS - Bank Charges - Bank Charges &amp; Stamp Duty</t>
  </si>
  <si>
    <t>77.7</t>
  </si>
  <si>
    <t>2460202000 Accrual Payable Non Trade Related Party</t>
  </si>
  <si>
    <t>98.1</t>
  </si>
  <si>
    <t>3.0</t>
  </si>
  <si>
    <t>10.2</t>
  </si>
  <si>
    <t>22.2</t>
  </si>
  <si>
    <t>12.0</t>
  </si>
  <si>
    <t>21.3</t>
  </si>
  <si>
    <t>11.7-</t>
  </si>
  <si>
    <t>6.1</t>
  </si>
  <si>
    <t>18.9</t>
  </si>
  <si>
    <t>10.0</t>
  </si>
  <si>
    <t>12.6-</t>
  </si>
  <si>
    <t>5.6</t>
  </si>
  <si>
    <t>68.2</t>
  </si>
  <si>
    <t>5.5</t>
  </si>
  <si>
    <t>44.1</t>
  </si>
  <si>
    <t>6.9</t>
  </si>
  <si>
    <t>2.6</t>
  </si>
  <si>
    <t>3.8-</t>
  </si>
  <si>
    <t>14.2-</t>
  </si>
  <si>
    <t>2.9-</t>
  </si>
  <si>
    <t>3.1-</t>
  </si>
  <si>
    <t>1.8-</t>
  </si>
  <si>
    <t>2.4-</t>
  </si>
  <si>
    <t>7.7</t>
  </si>
  <si>
    <t>20.1-</t>
  </si>
  <si>
    <t>6.6</t>
  </si>
  <si>
    <t>19.6-</t>
  </si>
  <si>
    <t>14.6</t>
  </si>
  <si>
    <t>15.9</t>
  </si>
  <si>
    <t>1.5</t>
  </si>
  <si>
    <t>75.0</t>
  </si>
  <si>
    <t>5.0-</t>
  </si>
  <si>
    <t>2.7-</t>
  </si>
  <si>
    <t>29.8-</t>
  </si>
  <si>
    <t>4.5-</t>
  </si>
  <si>
    <t>3.5-</t>
  </si>
  <si>
    <t>64.4</t>
  </si>
  <si>
    <t>14.4-</t>
  </si>
  <si>
    <t>28.2-</t>
  </si>
  <si>
    <t>14.1-</t>
  </si>
  <si>
    <t>35.6</t>
  </si>
  <si>
    <t>10.5</t>
  </si>
  <si>
    <t>8.4</t>
  </si>
  <si>
    <t>4010401000 Sales PP Power System Accrual/Defferal</t>
  </si>
  <si>
    <t>26.7-</t>
  </si>
  <si>
    <t>20.3-</t>
  </si>
  <si>
    <t>26.9-</t>
  </si>
  <si>
    <t>25.4-</t>
  </si>
  <si>
    <t>30.5</t>
  </si>
  <si>
    <t>21.5-</t>
  </si>
  <si>
    <t>22.9-</t>
  </si>
  <si>
    <t>22.5-</t>
  </si>
  <si>
    <t>25.7-</t>
  </si>
  <si>
    <t>4.3</t>
  </si>
  <si>
    <t>44.9</t>
  </si>
  <si>
    <t>2.8</t>
  </si>
  <si>
    <t>26.5</t>
  </si>
  <si>
    <t>27.7</t>
  </si>
  <si>
    <t>27.6</t>
  </si>
  <si>
    <t>9.2-</t>
  </si>
  <si>
    <t>25.8</t>
  </si>
  <si>
    <t>24.0</t>
  </si>
  <si>
    <t>34.7</t>
  </si>
  <si>
    <t>33.4</t>
  </si>
  <si>
    <t>13.3</t>
  </si>
  <si>
    <t>34.0</t>
  </si>
  <si>
    <t>19.3-</t>
  </si>
  <si>
    <t>31.2</t>
  </si>
  <si>
    <t>69.9</t>
  </si>
  <si>
    <t>14.0</t>
  </si>
  <si>
    <t>28.8</t>
  </si>
  <si>
    <t>14.5</t>
  </si>
  <si>
    <t>51.9</t>
  </si>
  <si>
    <t>7000000200 CB - Bonus - Bonus</t>
  </si>
  <si>
    <t>33.5</t>
  </si>
  <si>
    <t>7000000709 CB - Pension &amp; Saving Benefits - EIF/ORF</t>
  </si>
  <si>
    <t>16.3</t>
  </si>
  <si>
    <t>7000000818 CB - Health Benefits &amp; Life Ins - Ins Per.Accident</t>
  </si>
  <si>
    <t>35.0</t>
  </si>
  <si>
    <t>34.2</t>
  </si>
  <si>
    <t>24.3</t>
  </si>
  <si>
    <t>23.2</t>
  </si>
  <si>
    <t>10.9</t>
  </si>
  <si>
    <t>15.8</t>
  </si>
  <si>
    <t>15.6</t>
  </si>
  <si>
    <t>74.7</t>
  </si>
  <si>
    <t>34.5</t>
  </si>
  <si>
    <t>21.7</t>
  </si>
  <si>
    <t>4.5</t>
  </si>
  <si>
    <t>31.4</t>
  </si>
  <si>
    <t>25.5</t>
  </si>
  <si>
    <t>94.4</t>
  </si>
  <si>
    <t>7.9</t>
  </si>
  <si>
    <t>18.1</t>
  </si>
  <si>
    <t>14.1</t>
  </si>
  <si>
    <t>35.3-</t>
  </si>
  <si>
    <t>27.8</t>
  </si>
  <si>
    <t>33.3</t>
  </si>
  <si>
    <t>36.0</t>
  </si>
  <si>
    <t>111.9</t>
  </si>
  <si>
    <t>7000003511 OSR - Facility Services Outsource - Maint Facility</t>
  </si>
  <si>
    <t>8010000100 GME - Gain/Loss Fixed Asset - FA</t>
  </si>
  <si>
    <t>58.4</t>
  </si>
  <si>
    <t>38.8</t>
  </si>
  <si>
    <t>45.4-</t>
  </si>
  <si>
    <t>7000003403 OSR - Support Services Outsource - Non Administrat</t>
  </si>
  <si>
    <t>121.3-</t>
  </si>
  <si>
    <t>18.7</t>
  </si>
  <si>
    <t>41.2</t>
  </si>
  <si>
    <t>18.4</t>
  </si>
  <si>
    <t>2.0-</t>
  </si>
  <si>
    <t>2.7</t>
  </si>
  <si>
    <t>29.2</t>
  </si>
  <si>
    <t>16.6-</t>
  </si>
  <si>
    <t>12.9-</t>
  </si>
  <si>
    <t>13.0-</t>
  </si>
  <si>
    <t>57.2-</t>
  </si>
  <si>
    <t>56.5-</t>
  </si>
  <si>
    <t>58.1-</t>
  </si>
  <si>
    <t>0.8</t>
  </si>
  <si>
    <t>32.9</t>
  </si>
  <si>
    <t>1.3</t>
  </si>
  <si>
    <t>2.4</t>
  </si>
  <si>
    <t>15.4-</t>
  </si>
  <si>
    <t>8.6-</t>
  </si>
  <si>
    <t>20.8-</t>
  </si>
  <si>
    <t>5.2</t>
  </si>
  <si>
    <t>13.0</t>
  </si>
  <si>
    <t>3.4-</t>
  </si>
  <si>
    <t>4010001000 Sales PP Discount</t>
  </si>
  <si>
    <t>14.6-</t>
  </si>
  <si>
    <t>26.3-</t>
  </si>
  <si>
    <t>42.2</t>
  </si>
  <si>
    <t>90.5-</t>
  </si>
  <si>
    <t>5012004000 COGS PP UPA Estimated</t>
  </si>
  <si>
    <t>19.9-</t>
  </si>
  <si>
    <t>10.3</t>
  </si>
  <si>
    <t>23.3</t>
  </si>
  <si>
    <t>27.4</t>
  </si>
  <si>
    <t>37.8</t>
  </si>
  <si>
    <t>5050100000 COGS RUE Attachment</t>
  </si>
  <si>
    <t>11.2</t>
  </si>
  <si>
    <t>13.1</t>
  </si>
  <si>
    <t>5052000000 COGS RUE Unit Estimated</t>
  </si>
  <si>
    <t>31.3</t>
  </si>
  <si>
    <t>21.8</t>
  </si>
  <si>
    <t>6000000502 OSR - Operational Services Outsource - Service</t>
  </si>
  <si>
    <t>30.3</t>
  </si>
  <si>
    <t>6000004201 MSR - Campaigns - Market Plan</t>
  </si>
  <si>
    <t>27.1</t>
  </si>
  <si>
    <t>12.8</t>
  </si>
  <si>
    <t>12.9</t>
  </si>
  <si>
    <t>24.2</t>
  </si>
  <si>
    <t>23.0</t>
  </si>
  <si>
    <t>24.7</t>
  </si>
  <si>
    <t>25.1</t>
  </si>
  <si>
    <t>2.9</t>
  </si>
  <si>
    <t>7000005212 CB - Employee Engagement Prog - TUSRA</t>
  </si>
  <si>
    <t>23.9</t>
  </si>
  <si>
    <t>19.2</t>
  </si>
  <si>
    <t>26.4</t>
  </si>
  <si>
    <t>50.3</t>
  </si>
  <si>
    <t>7000003616 CV - Pool Vehicle - Ext Rental</t>
  </si>
  <si>
    <t>25.3</t>
  </si>
  <si>
    <t>24.5</t>
  </si>
  <si>
    <t>20.4</t>
  </si>
  <si>
    <t>1.6</t>
  </si>
  <si>
    <t>14.3</t>
  </si>
  <si>
    <t>42.0</t>
  </si>
  <si>
    <t>24.9</t>
  </si>
  <si>
    <t>39.0</t>
  </si>
  <si>
    <t>20.1</t>
  </si>
  <si>
    <t>22.6</t>
  </si>
  <si>
    <t>24.6</t>
  </si>
  <si>
    <t>37.2</t>
  </si>
  <si>
    <t>8010000200 GME - Gain/Loss Fixed Asset - Write Off FA</t>
  </si>
  <si>
    <t>30.4</t>
  </si>
  <si>
    <t>96.2</t>
  </si>
  <si>
    <t>21.4</t>
  </si>
  <si>
    <t>7000003406 OSR - Operational Services Outsource - Part &amp; Lgst</t>
  </si>
  <si>
    <t>13.7-</t>
  </si>
  <si>
    <t>3.2-</t>
  </si>
  <si>
    <t>8.3-</t>
  </si>
  <si>
    <t>21.6</t>
  </si>
  <si>
    <t>124.3</t>
  </si>
  <si>
    <t>65.6-</t>
  </si>
  <si>
    <t>16.2-</t>
  </si>
  <si>
    <t>7.2-</t>
  </si>
  <si>
    <t>1565000016 WIP Parts Minor Component (MICRC)</t>
  </si>
  <si>
    <t>6.1-</t>
  </si>
  <si>
    <t>3.6</t>
  </si>
  <si>
    <t>1.6-</t>
  </si>
  <si>
    <t>0.5-</t>
  </si>
  <si>
    <t>4.8</t>
  </si>
  <si>
    <t>12.0-</t>
  </si>
  <si>
    <t>37.7</t>
  </si>
  <si>
    <t>34.3-</t>
  </si>
  <si>
    <t>43.8-</t>
  </si>
  <si>
    <t>56.4</t>
  </si>
  <si>
    <t>8.0</t>
  </si>
  <si>
    <t>60.9-</t>
  </si>
  <si>
    <t>52.2</t>
  </si>
  <si>
    <t>29.0-</t>
  </si>
  <si>
    <t>11.6</t>
  </si>
  <si>
    <t>8.6</t>
  </si>
  <si>
    <t>11.3</t>
  </si>
  <si>
    <t>15.2-</t>
  </si>
  <si>
    <t>17.4</t>
  </si>
  <si>
    <t>1.1-</t>
  </si>
  <si>
    <t>82.2</t>
  </si>
  <si>
    <t>103.3</t>
  </si>
  <si>
    <t>21.2</t>
  </si>
  <si>
    <t>8.9</t>
  </si>
  <si>
    <t>87.8</t>
  </si>
  <si>
    <t>28.5-</t>
  </si>
  <si>
    <t>19.3</t>
  </si>
  <si>
    <t>31.7</t>
  </si>
  <si>
    <t>4.0</t>
  </si>
  <si>
    <t>6000001800 GME - PP Pre Delivery &amp; Revisit</t>
  </si>
  <si>
    <t>11.4</t>
  </si>
  <si>
    <t>29.4</t>
  </si>
  <si>
    <t>20.6</t>
  </si>
  <si>
    <t>19.8</t>
  </si>
  <si>
    <t>18.0</t>
  </si>
  <si>
    <t>20.7</t>
  </si>
  <si>
    <t>7000001101 CB - Domestic Mobility - Nat. Housing Rent</t>
  </si>
  <si>
    <t>7000001506 PRD - Recruitment - General</t>
  </si>
  <si>
    <t>40.6</t>
  </si>
  <si>
    <t>16.6</t>
  </si>
  <si>
    <t>17.8</t>
  </si>
  <si>
    <t>19.7</t>
  </si>
  <si>
    <t>7000005216 ED - Associations &amp; Membership - Corp. Membership</t>
  </si>
  <si>
    <t>6.4</t>
  </si>
  <si>
    <t>31.6</t>
  </si>
  <si>
    <t>10.4</t>
  </si>
  <si>
    <t>21.0</t>
  </si>
  <si>
    <t>7000006100 LGS - Other Logistics Services - FA Transfer</t>
  </si>
  <si>
    <t>33.9</t>
  </si>
  <si>
    <t>4.4-</t>
  </si>
  <si>
    <t>4.3-</t>
  </si>
  <si>
    <t>40.1</t>
  </si>
  <si>
    <t>1.4</t>
  </si>
  <si>
    <t>14.9</t>
  </si>
  <si>
    <t>38.9</t>
  </si>
  <si>
    <t>70.3</t>
  </si>
  <si>
    <t>38.0-</t>
  </si>
  <si>
    <t>29.6</t>
  </si>
  <si>
    <t>41.0</t>
  </si>
  <si>
    <t>12.5</t>
  </si>
  <si>
    <t>10.7-</t>
  </si>
  <si>
    <t>18.6-</t>
  </si>
  <si>
    <t>9.3-</t>
  </si>
  <si>
    <t>11.8-</t>
  </si>
  <si>
    <t>11.4-</t>
  </si>
  <si>
    <t>4020500101 Sales Parts Through Counter USED Parts</t>
  </si>
  <si>
    <t>31.3-</t>
  </si>
  <si>
    <t>11.1</t>
  </si>
  <si>
    <t>5020500101 COGS Parts Through Counter USED Parts</t>
  </si>
  <si>
    <t>38.0</t>
  </si>
  <si>
    <t>14.7</t>
  </si>
  <si>
    <t>14.4</t>
  </si>
  <si>
    <t>15.7</t>
  </si>
  <si>
    <t>28.6</t>
  </si>
  <si>
    <t>49.0</t>
  </si>
  <si>
    <t>7.0</t>
  </si>
  <si>
    <t>26.7</t>
  </si>
  <si>
    <t>23.7</t>
  </si>
  <si>
    <t>16.8</t>
  </si>
  <si>
    <t>17.0</t>
  </si>
  <si>
    <t>14.2</t>
  </si>
  <si>
    <t>12.1</t>
  </si>
  <si>
    <t>134.8</t>
  </si>
  <si>
    <t>7000001416 PRD - Assessment Center</t>
  </si>
  <si>
    <t>12.4</t>
  </si>
  <si>
    <t>37.3</t>
  </si>
  <si>
    <t>11.5</t>
  </si>
  <si>
    <t>1110102230 AR Gross Trade Rel Party Art23</t>
  </si>
  <si>
    <t>1110102239 AR Gross Trade Rel Party Art23 FxV</t>
  </si>
  <si>
    <t>1411191200 Inventory PP Freight &amp; Handling (CLEARING)</t>
  </si>
  <si>
    <t>1415141000 Inventory Parts PVRG</t>
  </si>
  <si>
    <t>1565000010 WIP Parts Salvage</t>
  </si>
  <si>
    <t>10601</t>
  </si>
  <si>
    <t>1661023000 Prepaid Tax ART 23</t>
  </si>
  <si>
    <t>106</t>
  </si>
  <si>
    <t>1612002000 Prepayment Related Party</t>
  </si>
  <si>
    <t>1811190000 FA Acquisition Owned Low Value Asset</t>
  </si>
  <si>
    <t>1821190000 FA Accumulated Depreciation Owned Low Value Asset</t>
  </si>
  <si>
    <t>2110102000 AP Trade Rel Party</t>
  </si>
  <si>
    <t>2110102009 AP Trade Rel Party FxV</t>
  </si>
  <si>
    <t>2460100000 Accrual Payable Trade</t>
  </si>
  <si>
    <t>2200160000 GR/IR PP Subletting</t>
  </si>
  <si>
    <t>2200160001 GR/IR PP Subletting Adjustment</t>
  </si>
  <si>
    <t>2310000010 AP Interco Clearing TMT</t>
  </si>
  <si>
    <t>2310000019 AP Interco Clearing TMT FxV</t>
  </si>
  <si>
    <t>4031500006 IFRS 15 Product Support Adjustment</t>
  </si>
  <si>
    <t>6000001101 GME - Service Transport and Travel Recovery</t>
  </si>
  <si>
    <t>6000001910 LGS - Other Logistics Serv - Logistic Outsourced</t>
  </si>
  <si>
    <t>7000000306 CB - Individual Benefits - Nat. School Fee</t>
  </si>
  <si>
    <t>7000004102 TC - IT Support Outsourcing - Outsourced</t>
  </si>
  <si>
    <t>7000005220 ED - Corporate External Events</t>
  </si>
  <si>
    <t>7000003703 GME - Depreciation &amp; Amortization - Training Equip</t>
  </si>
  <si>
    <t>8030000600 GME - One off Gains&amp;Losses - Factoring Leasing</t>
  </si>
  <si>
    <t>7.6</t>
  </si>
  <si>
    <t>61.7</t>
  </si>
  <si>
    <t>7.1</t>
  </si>
  <si>
    <t>6.9-</t>
  </si>
  <si>
    <t>136.4</t>
  </si>
  <si>
    <t>60.1-</t>
  </si>
  <si>
    <t>37.9</t>
  </si>
  <si>
    <t>62.5-</t>
  </si>
  <si>
    <t>1110201000 AR Gross Non Trade 3rd Party</t>
  </si>
  <si>
    <t>1110201009 AR Gross Non Trade 3rd Party FxV</t>
  </si>
  <si>
    <t>118.0-</t>
  </si>
  <si>
    <t>326.2-</t>
  </si>
  <si>
    <t>196.7-</t>
  </si>
  <si>
    <t>350.0-</t>
  </si>
  <si>
    <t>311.2-</t>
  </si>
  <si>
    <t>383.3</t>
  </si>
  <si>
    <t>68.4</t>
  </si>
  <si>
    <t>250.0</t>
  </si>
  <si>
    <t>433.5</t>
  </si>
  <si>
    <t>400.0-</t>
  </si>
  <si>
    <t>260.9-</t>
  </si>
  <si>
    <t>4,500.0-</t>
  </si>
  <si>
    <t>1,785.4-</t>
  </si>
  <si>
    <t>862.3</t>
  </si>
  <si>
    <t>675.6-</t>
  </si>
  <si>
    <t>78.9-</t>
  </si>
  <si>
    <t>159.4</t>
  </si>
  <si>
    <t>159.4-</t>
  </si>
  <si>
    <t>26.0-</t>
  </si>
  <si>
    <t>32.4-</t>
  </si>
  <si>
    <t>143.4-</t>
  </si>
  <si>
    <t>143.4</t>
  </si>
  <si>
    <t>92.2-</t>
  </si>
  <si>
    <t>5.9</t>
  </si>
  <si>
    <t>31.9-</t>
  </si>
  <si>
    <t>93.8-</t>
  </si>
  <si>
    <t>31.1-</t>
  </si>
  <si>
    <t>286.6</t>
  </si>
  <si>
    <t>29,755.0</t>
  </si>
  <si>
    <t>2465100070 Accrual Trading Related Marketing Vouchers</t>
  </si>
  <si>
    <t>42.9</t>
  </si>
  <si>
    <t>14.8</t>
  </si>
  <si>
    <t>54.9</t>
  </si>
  <si>
    <t>189.7</t>
  </si>
  <si>
    <t>71.1-</t>
  </si>
  <si>
    <t>100.2-</t>
  </si>
  <si>
    <t>4719300.0</t>
  </si>
  <si>
    <t>64.0</t>
  </si>
  <si>
    <t>100.5-</t>
  </si>
  <si>
    <t>187.3</t>
  </si>
  <si>
    <t>70.7-</t>
  </si>
  <si>
    <t>119.0-</t>
  </si>
  <si>
    <t>206,085.4</t>
  </si>
  <si>
    <t>95.5-</t>
  </si>
  <si>
    <t>76.9-</t>
  </si>
  <si>
    <t>54.9-</t>
  </si>
  <si>
    <t>96.3-</t>
  </si>
  <si>
    <t>76.4</t>
  </si>
  <si>
    <t>282.8-</t>
  </si>
  <si>
    <t>76.3</t>
  </si>
  <si>
    <t>262.6-</t>
  </si>
  <si>
    <t>2,495.6-</t>
  </si>
  <si>
    <t>33,397.5-</t>
  </si>
  <si>
    <t>295.5-</t>
  </si>
  <si>
    <t>184.9-</t>
  </si>
  <si>
    <t>5012013000 COGS PP Marketing Program Voucher Estimated</t>
  </si>
  <si>
    <t>300.0-</t>
  </si>
  <si>
    <t>227.2-</t>
  </si>
  <si>
    <t>73.1</t>
  </si>
  <si>
    <t>461.0</t>
  </si>
  <si>
    <t>79.3-</t>
  </si>
  <si>
    <t>224.8</t>
  </si>
  <si>
    <t>106.5</t>
  </si>
  <si>
    <t>75.3</t>
  </si>
  <si>
    <t>113.1</t>
  </si>
  <si>
    <t>105.5</t>
  </si>
  <si>
    <t>97.0</t>
  </si>
  <si>
    <t>167.1</t>
  </si>
  <si>
    <t>76.2</t>
  </si>
  <si>
    <t>96.3</t>
  </si>
  <si>
    <t>100.8</t>
  </si>
  <si>
    <t>128.2</t>
  </si>
  <si>
    <t>53.0</t>
  </si>
  <si>
    <t>85.5</t>
  </si>
  <si>
    <t>98.3</t>
  </si>
  <si>
    <t>61.1</t>
  </si>
  <si>
    <t>90.8-</t>
  </si>
  <si>
    <t>877.0</t>
  </si>
  <si>
    <t>6000000900 GME - Service Overhaul Revisit</t>
  </si>
  <si>
    <t>298.9-</t>
  </si>
  <si>
    <t>2,334.0</t>
  </si>
  <si>
    <t>157.0</t>
  </si>
  <si>
    <t>55.2</t>
  </si>
  <si>
    <t>2,284.2</t>
  </si>
  <si>
    <t>2,485.1</t>
  </si>
  <si>
    <t>144.9-</t>
  </si>
  <si>
    <t>178.0</t>
  </si>
  <si>
    <t>180.8</t>
  </si>
  <si>
    <t>292.9</t>
  </si>
  <si>
    <t>3,641.8</t>
  </si>
  <si>
    <t>170.2</t>
  </si>
  <si>
    <t>118.7</t>
  </si>
  <si>
    <t>1,376.7</t>
  </si>
  <si>
    <t>129.4</t>
  </si>
  <si>
    <t>116.0</t>
  </si>
  <si>
    <t>110.2</t>
  </si>
  <si>
    <t>124.8</t>
  </si>
  <si>
    <t>156.2</t>
  </si>
  <si>
    <t>74.8</t>
  </si>
  <si>
    <t>76.9</t>
  </si>
  <si>
    <t>100.2</t>
  </si>
  <si>
    <t>10.6</t>
  </si>
  <si>
    <t>32.2</t>
  </si>
  <si>
    <t>108.9</t>
  </si>
  <si>
    <t>7000005213 ES - Employee Engagement Prog - Emp Engagement</t>
  </si>
  <si>
    <t>57.0</t>
  </si>
  <si>
    <t>3,113.1</t>
  </si>
  <si>
    <t>114.4</t>
  </si>
  <si>
    <t>986.8</t>
  </si>
  <si>
    <t>1,004.5</t>
  </si>
  <si>
    <t>138.2</t>
  </si>
  <si>
    <t>131.2</t>
  </si>
  <si>
    <t>101.1</t>
  </si>
  <si>
    <t>149.2</t>
  </si>
  <si>
    <t>99.6-</t>
  </si>
  <si>
    <t>7.4</t>
  </si>
  <si>
    <t>58.3</t>
  </si>
  <si>
    <t>10,871.4</t>
  </si>
  <si>
    <t>76.7</t>
  </si>
  <si>
    <t>124.4</t>
  </si>
  <si>
    <t>103.9</t>
  </si>
  <si>
    <t>27,833.5</t>
  </si>
  <si>
    <t>95.6</t>
  </si>
  <si>
    <t>45.0-</t>
  </si>
  <si>
    <t>68.5</t>
  </si>
  <si>
    <t>864.9</t>
  </si>
  <si>
    <t>515.8</t>
  </si>
  <si>
    <t>100.1</t>
  </si>
  <si>
    <t>139.4</t>
  </si>
  <si>
    <t>103.8</t>
  </si>
  <si>
    <t>67.1</t>
  </si>
  <si>
    <t>44.7</t>
  </si>
  <si>
    <t>72.4</t>
  </si>
  <si>
    <t>102.5</t>
  </si>
  <si>
    <t>193.2</t>
  </si>
  <si>
    <t>110.8</t>
  </si>
  <si>
    <t>109.0</t>
  </si>
  <si>
    <t>82.6</t>
  </si>
  <si>
    <t>271.4</t>
  </si>
  <si>
    <t>163.3</t>
  </si>
  <si>
    <t>279.0</t>
  </si>
  <si>
    <t>273.2</t>
  </si>
  <si>
    <t>628.5</t>
  </si>
  <si>
    <t>143.5</t>
  </si>
  <si>
    <t>856.9</t>
  </si>
  <si>
    <t>116.4</t>
  </si>
  <si>
    <t>116.9</t>
  </si>
  <si>
    <t>401.3</t>
  </si>
  <si>
    <t>185.9</t>
  </si>
  <si>
    <t>59.7</t>
  </si>
  <si>
    <t>245.3</t>
  </si>
  <si>
    <t>170.3</t>
  </si>
  <si>
    <t>112.1-</t>
  </si>
  <si>
    <t>110.4</t>
  </si>
  <si>
    <t>8030000401 FS - Bank Charges - Trade Finance Charges</t>
  </si>
  <si>
    <t>80.2</t>
  </si>
  <si>
    <t>1,022.7</t>
  </si>
  <si>
    <t>69.8-</t>
  </si>
  <si>
    <t>29.7-</t>
  </si>
  <si>
    <t>15.5-</t>
  </si>
  <si>
    <t>23.7-</t>
  </si>
  <si>
    <t>140.0</t>
  </si>
  <si>
    <t>591.2</t>
  </si>
  <si>
    <t>167.8</t>
  </si>
  <si>
    <t>218.4</t>
  </si>
  <si>
    <t>275.6</t>
  </si>
  <si>
    <t>213.5-</t>
  </si>
  <si>
    <t>115.6</t>
  </si>
  <si>
    <t>126.4</t>
  </si>
  <si>
    <t>145.5</t>
  </si>
  <si>
    <t>247.3</t>
  </si>
  <si>
    <t>56.0</t>
  </si>
  <si>
    <t>47.6</t>
  </si>
  <si>
    <t>16.0-</t>
  </si>
  <si>
    <t>35.2-</t>
  </si>
  <si>
    <t>14.0-</t>
  </si>
  <si>
    <t>119.8</t>
  </si>
  <si>
    <t>40.7-</t>
  </si>
  <si>
    <t>152.7</t>
  </si>
  <si>
    <t>96.9</t>
  </si>
  <si>
    <t>24.7-</t>
  </si>
  <si>
    <t>104.5</t>
  </si>
  <si>
    <t>9.1-</t>
  </si>
  <si>
    <t>103.3-</t>
  </si>
  <si>
    <t>107.3-</t>
  </si>
  <si>
    <t>100.9-</t>
  </si>
  <si>
    <t>145.9-</t>
  </si>
  <si>
    <t>47.4</t>
  </si>
  <si>
    <t>57.7</t>
  </si>
  <si>
    <t>18.7-</t>
  </si>
  <si>
    <t>47.4-</t>
  </si>
  <si>
    <t>57.7-</t>
  </si>
  <si>
    <t>303.0-</t>
  </si>
  <si>
    <t>303.0</t>
  </si>
  <si>
    <t>24.6-</t>
  </si>
  <si>
    <t>27.8-</t>
  </si>
  <si>
    <t>64.4-</t>
  </si>
  <si>
    <t>331.4-</t>
  </si>
  <si>
    <t>331.4</t>
  </si>
  <si>
    <t>176.2-</t>
  </si>
  <si>
    <t>176.2</t>
  </si>
  <si>
    <t>93.3-</t>
  </si>
  <si>
    <t>15.6-</t>
  </si>
  <si>
    <t>40.4</t>
  </si>
  <si>
    <t>102.4-</t>
  </si>
  <si>
    <t>98.7-</t>
  </si>
  <si>
    <t>88.0</t>
  </si>
  <si>
    <t>379.8-</t>
  </si>
  <si>
    <t>285.2</t>
  </si>
  <si>
    <t>527.0</t>
  </si>
  <si>
    <t>15.3</t>
  </si>
  <si>
    <t>37.8-</t>
  </si>
  <si>
    <t>64.8-</t>
  </si>
  <si>
    <t>188.2-</t>
  </si>
  <si>
    <t>72.3</t>
  </si>
  <si>
    <t>62.8-</t>
  </si>
  <si>
    <t>58.6-</t>
  </si>
  <si>
    <t>98.2-</t>
  </si>
  <si>
    <t>53.7-</t>
  </si>
  <si>
    <t>107.2</t>
  </si>
  <si>
    <t>4031500003 IFRS 15 Service SOS Lab</t>
  </si>
  <si>
    <t>36.9-</t>
  </si>
  <si>
    <t>285.2-</t>
  </si>
  <si>
    <t>55.5</t>
  </si>
  <si>
    <t>121.5-</t>
  </si>
  <si>
    <t>68.0</t>
  </si>
  <si>
    <t>99.4</t>
  </si>
  <si>
    <t>162.4</t>
  </si>
  <si>
    <t>60.0</t>
  </si>
  <si>
    <t>186.5</t>
  </si>
  <si>
    <t>44.2-</t>
  </si>
  <si>
    <t>123.6</t>
  </si>
  <si>
    <t>45.5-</t>
  </si>
  <si>
    <t>58.7</t>
  </si>
  <si>
    <t>99.7</t>
  </si>
  <si>
    <t>53.8</t>
  </si>
  <si>
    <t>62.0</t>
  </si>
  <si>
    <t>282.8</t>
  </si>
  <si>
    <t>63.7</t>
  </si>
  <si>
    <t>50.8</t>
  </si>
  <si>
    <t>409.1</t>
  </si>
  <si>
    <t>201.4</t>
  </si>
  <si>
    <t>141.3</t>
  </si>
  <si>
    <t>71.7</t>
  </si>
  <si>
    <t>351.6</t>
  </si>
  <si>
    <t>3,272.9</t>
  </si>
  <si>
    <t>62.2</t>
  </si>
  <si>
    <t>6000002004 GME - Marketing Program - Marketing Programs</t>
  </si>
  <si>
    <t>718.7</t>
  </si>
  <si>
    <t>62.8</t>
  </si>
  <si>
    <t>384.3</t>
  </si>
  <si>
    <t>92.3</t>
  </si>
  <si>
    <t>82.9</t>
  </si>
  <si>
    <t>194.0</t>
  </si>
  <si>
    <t>54.1</t>
  </si>
  <si>
    <t>274.5</t>
  </si>
  <si>
    <t>41.8</t>
  </si>
  <si>
    <t>43.5</t>
  </si>
  <si>
    <t>46.2</t>
  </si>
  <si>
    <t>52.1</t>
  </si>
  <si>
    <t>51.3</t>
  </si>
  <si>
    <t>49.9</t>
  </si>
  <si>
    <t>32.7</t>
  </si>
  <si>
    <t>234.4</t>
  </si>
  <si>
    <t>47.3</t>
  </si>
  <si>
    <t>399.2</t>
  </si>
  <si>
    <t>61.6</t>
  </si>
  <si>
    <t>1,362.0</t>
  </si>
  <si>
    <t>228.6</t>
  </si>
  <si>
    <t>1,874.6</t>
  </si>
  <si>
    <t>200.4</t>
  </si>
  <si>
    <t>206.5</t>
  </si>
  <si>
    <t>102.1</t>
  </si>
  <si>
    <t>164.8</t>
  </si>
  <si>
    <t>73.2</t>
  </si>
  <si>
    <t>794.0</t>
  </si>
  <si>
    <t>13,366.1</t>
  </si>
  <si>
    <t>533.4</t>
  </si>
  <si>
    <t>3.9</t>
  </si>
  <si>
    <t>67.2</t>
  </si>
  <si>
    <t>4,619.1</t>
  </si>
  <si>
    <t>65.6</t>
  </si>
  <si>
    <t>89.8</t>
  </si>
  <si>
    <t>571.1</t>
  </si>
  <si>
    <t>472.1</t>
  </si>
  <si>
    <t>115.2</t>
  </si>
  <si>
    <t>110.3</t>
  </si>
  <si>
    <t>158.0</t>
  </si>
  <si>
    <t>115.1</t>
  </si>
  <si>
    <t>179.6</t>
  </si>
  <si>
    <t>582.3</t>
  </si>
  <si>
    <t>73.5</t>
  </si>
  <si>
    <t>69.6</t>
  </si>
  <si>
    <t>114.2</t>
  </si>
  <si>
    <t>52.6</t>
  </si>
  <si>
    <t>51.7</t>
  </si>
  <si>
    <t>60.8</t>
  </si>
  <si>
    <t>55.9</t>
  </si>
  <si>
    <t>74.5</t>
  </si>
  <si>
    <t>511.2</t>
  </si>
  <si>
    <t>174.3</t>
  </si>
  <si>
    <t>81.5</t>
  </si>
  <si>
    <t>128.3</t>
  </si>
  <si>
    <t>8010001100 GME - Gain/Loss Fixed Asset - Clearing on AssetSal</t>
  </si>
  <si>
    <t>8010001300 GME - Commercial Losses - Write Off A/R</t>
  </si>
  <si>
    <t>83.3</t>
  </si>
  <si>
    <t>169.5</t>
  </si>
  <si>
    <t>59.4</t>
  </si>
  <si>
    <t>38.6-</t>
  </si>
  <si>
    <t>39.2</t>
  </si>
  <si>
    <t>46.1-</t>
  </si>
  <si>
    <t>490.1-</t>
  </si>
  <si>
    <t>12.3-</t>
  </si>
  <si>
    <t>74.5-</t>
  </si>
  <si>
    <t>449.2-</t>
  </si>
  <si>
    <t>6.8-</t>
  </si>
  <si>
    <t>336.6</t>
  </si>
  <si>
    <t>51.1-</t>
  </si>
  <si>
    <t>1,464.1</t>
  </si>
  <si>
    <t>819.3-</t>
  </si>
  <si>
    <t>2,299.7-</t>
  </si>
  <si>
    <t>93.8</t>
  </si>
  <si>
    <t>142.4</t>
  </si>
  <si>
    <t>39.5</t>
  </si>
  <si>
    <t>23.4-</t>
  </si>
  <si>
    <t>115.8</t>
  </si>
  <si>
    <t>4,352.0-</t>
  </si>
  <si>
    <t>148.2</t>
  </si>
  <si>
    <t>19.5</t>
  </si>
  <si>
    <t>1,951.6</t>
  </si>
  <si>
    <t>1,350.0-</t>
  </si>
  <si>
    <t>11.8</t>
  </si>
  <si>
    <t>4.2-</t>
  </si>
  <si>
    <t>5,945.2</t>
  </si>
  <si>
    <t>35.7</t>
  </si>
  <si>
    <t>664.7</t>
  </si>
  <si>
    <t>58.1</t>
  </si>
  <si>
    <t>348.8-</t>
  </si>
  <si>
    <t>348.8</t>
  </si>
  <si>
    <t>67.9</t>
  </si>
  <si>
    <t>67.9-</t>
  </si>
  <si>
    <t>57.5-</t>
  </si>
  <si>
    <t>77.0</t>
  </si>
  <si>
    <t>25.8-</t>
  </si>
  <si>
    <t>125.2</t>
  </si>
  <si>
    <t>49.1-</t>
  </si>
  <si>
    <t>9.8</t>
  </si>
  <si>
    <t>64.9-</t>
  </si>
  <si>
    <t>79.2</t>
  </si>
  <si>
    <t>158.8-</t>
  </si>
  <si>
    <t>217.5-</t>
  </si>
  <si>
    <t>35.8</t>
  </si>
  <si>
    <t>32.5-</t>
  </si>
  <si>
    <t>37.4-</t>
  </si>
  <si>
    <t>10.0-</t>
  </si>
  <si>
    <t>35.8-</t>
  </si>
  <si>
    <t>32.8-</t>
  </si>
  <si>
    <t>155.3</t>
  </si>
  <si>
    <t>182.1</t>
  </si>
  <si>
    <t>354.9</t>
  </si>
  <si>
    <t>308.3-</t>
  </si>
  <si>
    <t>415.6</t>
  </si>
  <si>
    <t>145.8-</t>
  </si>
  <si>
    <t>32.5</t>
  </si>
  <si>
    <t>51.1</t>
  </si>
  <si>
    <t>133.8</t>
  </si>
  <si>
    <t>96.1-</t>
  </si>
  <si>
    <t>55.4</t>
  </si>
  <si>
    <t>162.1</t>
  </si>
  <si>
    <t>3,158.8</t>
  </si>
  <si>
    <t>118.1</t>
  </si>
  <si>
    <t>361.2-</t>
  </si>
  <si>
    <t>97.4-</t>
  </si>
  <si>
    <t>71.0-</t>
  </si>
  <si>
    <t>37.0</t>
  </si>
  <si>
    <t>24.1</t>
  </si>
  <si>
    <t>7,707.2</t>
  </si>
  <si>
    <t>333.3-</t>
  </si>
  <si>
    <t>224.8-</t>
  </si>
  <si>
    <t>54.6</t>
  </si>
  <si>
    <t>36.1</t>
  </si>
  <si>
    <t>120.0</t>
  </si>
  <si>
    <t>47.9</t>
  </si>
  <si>
    <t>99.5</t>
  </si>
  <si>
    <t>55.8</t>
  </si>
  <si>
    <t>25.6</t>
  </si>
  <si>
    <t>57.9</t>
  </si>
  <si>
    <t>145.2</t>
  </si>
  <si>
    <t>224.3</t>
  </si>
  <si>
    <t>328.3</t>
  </si>
  <si>
    <t>225.8</t>
  </si>
  <si>
    <t>560.6</t>
  </si>
  <si>
    <t>78.7</t>
  </si>
  <si>
    <t>84.9</t>
  </si>
  <si>
    <t>696.8-</t>
  </si>
  <si>
    <t>155.4</t>
  </si>
  <si>
    <t>7000004201 C - Consultants - Consultant Fee</t>
  </si>
  <si>
    <t>56.9-</t>
  </si>
  <si>
    <t>64.7</t>
  </si>
  <si>
    <t>17.1</t>
  </si>
  <si>
    <t>40.3</t>
  </si>
  <si>
    <t>61.3-</t>
  </si>
  <si>
    <t>65.2</t>
  </si>
  <si>
    <t>59.9-</t>
  </si>
  <si>
    <t>4,907.5-</t>
  </si>
  <si>
    <t>87.1</t>
  </si>
  <si>
    <t>27.1-</t>
  </si>
  <si>
    <t>85.6</t>
  </si>
  <si>
    <t>34.6-</t>
  </si>
  <si>
    <t>13.7</t>
  </si>
  <si>
    <t>711.3-</t>
  </si>
  <si>
    <t>9.5</t>
  </si>
  <si>
    <t>35.0-</t>
  </si>
  <si>
    <t>59.8-</t>
  </si>
  <si>
    <t>106.7</t>
  </si>
  <si>
    <t>12.3</t>
  </si>
  <si>
    <t>91.3-</t>
  </si>
  <si>
    <t>82.5</t>
  </si>
  <si>
    <t>31.6-</t>
  </si>
  <si>
    <t>5050000601 COGS RUE L1 Maintenance &amp; Repair Machine</t>
  </si>
  <si>
    <t>7000001504 PRD - Recruitment - Third Party</t>
  </si>
  <si>
    <t>24.4</t>
  </si>
  <si>
    <t>9.0</t>
  </si>
  <si>
    <t>25.9-</t>
  </si>
  <si>
    <t>1996102000 Temporary Acc FA Acc Dep-Own Self Us Build</t>
  </si>
  <si>
    <t>23.6-</t>
  </si>
  <si>
    <t>6000002400 GME - Parts ASDIP - Assembly &amp; Disassembly</t>
  </si>
  <si>
    <t>6000004209 MSR - Customer Experience - Customer Experience</t>
  </si>
  <si>
    <t>7000003904 GME - Customer Training - Expenses</t>
  </si>
  <si>
    <t>65.8</t>
  </si>
  <si>
    <t>7000003508 MC - Building &amp; Fac Maint Matr - Infrastructure</t>
  </si>
  <si>
    <t>8010000600 GRR - Governmental Taxes &amp; Penalties - Tax Expense</t>
  </si>
  <si>
    <t>7000003405 OSR - Operational Services Outsource - MKT &amp; SLS</t>
  </si>
  <si>
    <t>1411101100 Inventory PP Unit</t>
  </si>
  <si>
    <t>1415141007 Inv Parts Gross PVRG PO BUY BACK</t>
  </si>
  <si>
    <t>8.0-</t>
  </si>
  <si>
    <t>5030100105 COGS Service Field Adjustment</t>
  </si>
  <si>
    <t>48.7-</t>
  </si>
  <si>
    <t>55.0</t>
  </si>
  <si>
    <t>7000001505 PRD - Recruitment - Selection Process</t>
  </si>
  <si>
    <t>46.7</t>
  </si>
  <si>
    <t>17.7</t>
  </si>
  <si>
    <t>18.6</t>
  </si>
  <si>
    <t>4.1-</t>
  </si>
  <si>
    <t>36.3</t>
  </si>
  <si>
    <t>16.4</t>
  </si>
  <si>
    <t>688.0-</t>
  </si>
  <si>
    <t>61.8-</t>
  </si>
  <si>
    <t>3,447.6-</t>
  </si>
  <si>
    <t>99.9</t>
  </si>
  <si>
    <t>2,652.8-</t>
  </si>
  <si>
    <t>1,107.9-</t>
  </si>
  <si>
    <t>104.3</t>
  </si>
  <si>
    <t>89.1-</t>
  </si>
  <si>
    <t>25.9</t>
  </si>
  <si>
    <t>81.1-</t>
  </si>
  <si>
    <t>9.8-</t>
  </si>
  <si>
    <t>2,361.7</t>
  </si>
  <si>
    <t>23,100.0-</t>
  </si>
  <si>
    <t>72.1-</t>
  </si>
  <si>
    <t>811.4</t>
  </si>
  <si>
    <t>53.4</t>
  </si>
  <si>
    <t>2,388.6</t>
  </si>
  <si>
    <t>54.4</t>
  </si>
  <si>
    <t>1,077.9</t>
  </si>
  <si>
    <t>24.4-</t>
  </si>
  <si>
    <t>34.8-</t>
  </si>
  <si>
    <t>876.0</t>
  </si>
  <si>
    <t>876.0-</t>
  </si>
  <si>
    <t>99.2</t>
  </si>
  <si>
    <t>99.2-</t>
  </si>
  <si>
    <t>92.9-</t>
  </si>
  <si>
    <t>92.9</t>
  </si>
  <si>
    <t>56.9</t>
  </si>
  <si>
    <t>32.9-</t>
  </si>
  <si>
    <t>107.5-</t>
  </si>
  <si>
    <t>3,829.6-</t>
  </si>
  <si>
    <t>30.4-</t>
  </si>
  <si>
    <t>117.5</t>
  </si>
  <si>
    <t>116.3-</t>
  </si>
  <si>
    <t>112.6-</t>
  </si>
  <si>
    <t>25.0-</t>
  </si>
  <si>
    <t>73.2-</t>
  </si>
  <si>
    <t>145.0-</t>
  </si>
  <si>
    <t>92.8-</t>
  </si>
  <si>
    <t>4010400000 Sales PP Power System Project</t>
  </si>
  <si>
    <t>4011500000 IFRS 15 Prime Product</t>
  </si>
  <si>
    <t>4011500100 IFRS 15 Prime Product unit Adjustment</t>
  </si>
  <si>
    <t>143.9-</t>
  </si>
  <si>
    <t>21.8-</t>
  </si>
  <si>
    <t>100.1-</t>
  </si>
  <si>
    <t>21.1-</t>
  </si>
  <si>
    <t>62.1-</t>
  </si>
  <si>
    <t>15.1-</t>
  </si>
  <si>
    <t>194.1</t>
  </si>
  <si>
    <t>133.0</t>
  </si>
  <si>
    <t>67.3</t>
  </si>
  <si>
    <t>125.5</t>
  </si>
  <si>
    <t>767.3</t>
  </si>
  <si>
    <t>2,637.3</t>
  </si>
  <si>
    <t>71.5</t>
  </si>
  <si>
    <t>147.4</t>
  </si>
  <si>
    <t>154.4</t>
  </si>
  <si>
    <t>1,089.3</t>
  </si>
  <si>
    <t>5011500001 IFRS 15 COGS EPP - Prime Product</t>
  </si>
  <si>
    <t>900.9</t>
  </si>
  <si>
    <t>238.7</t>
  </si>
  <si>
    <t>129.3</t>
  </si>
  <si>
    <t>46.3</t>
  </si>
  <si>
    <t>85.9</t>
  </si>
  <si>
    <t>66.9</t>
  </si>
  <si>
    <t>6000004200 MSR - Campaigns - Marketing Promotion</t>
  </si>
  <si>
    <t>31.8</t>
  </si>
  <si>
    <t>525.9</t>
  </si>
  <si>
    <t>119.9</t>
  </si>
  <si>
    <t>67.6</t>
  </si>
  <si>
    <t>224.2</t>
  </si>
  <si>
    <t>62.7</t>
  </si>
  <si>
    <t>7000003905 GME - Customer Training - Expenses Recovery</t>
  </si>
  <si>
    <t>8.8</t>
  </si>
  <si>
    <t>7000001903 CV - Pool Vehicle - Shuttle Bus</t>
  </si>
  <si>
    <t>411.2</t>
  </si>
  <si>
    <t>59.9</t>
  </si>
  <si>
    <t>21.2-</t>
  </si>
  <si>
    <t>228.0-</t>
  </si>
  <si>
    <t>4051500100 IFRS 15 Sales RUE Used Equipment Adjustment</t>
  </si>
  <si>
    <t>7000000301 CB - Individual Benefits - Leave Passage</t>
  </si>
  <si>
    <t>5030100103 COGS Service Actual LPO</t>
  </si>
  <si>
    <t>7000000501 CB - Overtime Premium - Overtime Meal</t>
  </si>
  <si>
    <t>PRIME PRODUCT</t>
  </si>
  <si>
    <t>TOTAL  REVENUE</t>
  </si>
  <si>
    <t>PARTS</t>
  </si>
  <si>
    <t>SERVICE</t>
  </si>
  <si>
    <t>RUE</t>
  </si>
  <si>
    <t>MARC</t>
  </si>
  <si>
    <t>COS PRIME PRODUCT</t>
  </si>
  <si>
    <t>COS PARTS</t>
  </si>
  <si>
    <t>COS SERVICE</t>
  </si>
  <si>
    <t>COS RENTAL</t>
  </si>
  <si>
    <t>COS MARC</t>
  </si>
  <si>
    <t>TOTAL COS</t>
  </si>
  <si>
    <t>MARGIN</t>
  </si>
  <si>
    <t>MARGIN (%)</t>
  </si>
  <si>
    <t>TOTAL SRE</t>
  </si>
  <si>
    <t>TOTAL OHD</t>
  </si>
  <si>
    <t>COMPENSATION &amp; BENEFIT</t>
  </si>
  <si>
    <t>TRAVEL &amp; ENTERTAIN</t>
  </si>
  <si>
    <t>CARS</t>
  </si>
  <si>
    <t>COMMUNICATION</t>
  </si>
  <si>
    <t>INFORMATION</t>
  </si>
  <si>
    <t>CONFERENCE</t>
  </si>
  <si>
    <t>PRINTING &amp; STATIONERY</t>
  </si>
  <si>
    <t>OUTSOURCING</t>
  </si>
  <si>
    <t>SAFETY</t>
  </si>
  <si>
    <t>Donation</t>
  </si>
  <si>
    <t>OTHER</t>
  </si>
  <si>
    <t>DEPREC &amp; AMORT</t>
  </si>
  <si>
    <t>REPAIR &amp; MAINTENANCE</t>
  </si>
  <si>
    <t>UTILITY</t>
  </si>
  <si>
    <t>OHD SERVICE REC.</t>
  </si>
  <si>
    <t>STOCK VAR. ADJ.</t>
  </si>
  <si>
    <t>OTHER OPERATING</t>
  </si>
  <si>
    <t>OTHER INC / EXP</t>
  </si>
  <si>
    <t>Operating Profit</t>
  </si>
  <si>
    <t>A</t>
  </si>
  <si>
    <t>YTD 2023</t>
  </si>
  <si>
    <t>MARGIN PP (%)</t>
  </si>
  <si>
    <t>MARGIN PARTS (%)</t>
  </si>
  <si>
    <t>MARGIN SERVICE (%)</t>
  </si>
  <si>
    <t>MARGIN MARC (%)</t>
  </si>
  <si>
    <t>Interest Internal</t>
  </si>
  <si>
    <t>PBT / PAT</t>
  </si>
  <si>
    <t>FINANCE INC / EXP</t>
  </si>
  <si>
    <t>ACCOUNT RECEIVABLE</t>
  </si>
  <si>
    <t>TOTAL ACCOUNT RECEIVABLE</t>
  </si>
  <si>
    <t>Warranty Claim</t>
  </si>
  <si>
    <t>Core Charge Claim</t>
  </si>
  <si>
    <t>Other</t>
  </si>
  <si>
    <t>WIP</t>
  </si>
  <si>
    <t>Inventory</t>
  </si>
  <si>
    <t>FIXED ASSET</t>
  </si>
  <si>
    <t>Plant &amp; Equipment</t>
  </si>
  <si>
    <t>Rental Fleet</t>
  </si>
  <si>
    <t>Computers</t>
  </si>
  <si>
    <t>Other Current Asset</t>
  </si>
  <si>
    <t>Non CAT - Payable</t>
  </si>
  <si>
    <t>OTHER PAYABLE</t>
  </si>
  <si>
    <t>TAX PAYABLE</t>
  </si>
  <si>
    <t>WARRANTY PROVISION</t>
  </si>
  <si>
    <t>PAYROLL ACCRUAL</t>
  </si>
  <si>
    <t>INTEREST</t>
  </si>
  <si>
    <t>OVERHEAD ACCRUALS</t>
  </si>
  <si>
    <t>OTHER ACCRUALS</t>
  </si>
  <si>
    <t>Total Accrued Expenses</t>
  </si>
  <si>
    <t>Advance from Customer</t>
  </si>
  <si>
    <t>Current Maturities of Lease Payable</t>
  </si>
  <si>
    <t>Leased Payable, Less Current Maturities</t>
  </si>
  <si>
    <t>INTERCOY ACCOUNT</t>
  </si>
  <si>
    <t>RETAINED EARNINGS</t>
  </si>
  <si>
    <t>CASH &amp; BANK</t>
  </si>
  <si>
    <t>Other Receivable</t>
  </si>
  <si>
    <t>Machine</t>
  </si>
  <si>
    <t>Parts</t>
  </si>
  <si>
    <t>Prepayments &amp; Deposits</t>
  </si>
  <si>
    <t>Land &amp; Building</t>
  </si>
  <si>
    <t>Motor Vehicles</t>
  </si>
  <si>
    <t>Parts Exchange</t>
  </si>
  <si>
    <t>Jul-23</t>
  </si>
  <si>
    <t>Jan-23</t>
  </si>
  <si>
    <t>Feb-23</t>
  </si>
  <si>
    <t>Mar-23</t>
  </si>
  <si>
    <t>Apr-23</t>
  </si>
  <si>
    <t>May-23</t>
  </si>
  <si>
    <t>Jun-23</t>
  </si>
  <si>
    <t>Aug-23</t>
  </si>
  <si>
    <t>Sept-23</t>
  </si>
  <si>
    <t>Oct-23</t>
  </si>
  <si>
    <t>Nov-23</t>
  </si>
  <si>
    <t>Des-23</t>
  </si>
  <si>
    <t>CAT Alliance Prog. Claim</t>
  </si>
  <si>
    <t>Other Non Current Asset</t>
  </si>
  <si>
    <t>Loan Account to HO - Total</t>
  </si>
  <si>
    <t>MARC Provisions</t>
  </si>
  <si>
    <t>Adv. Payment / Def. Income</t>
  </si>
  <si>
    <t>1565000800 WIP Parts PEX (Trakindo REMAN)</t>
  </si>
  <si>
    <t>2931000000 Employee Benefit Liability Pension</t>
  </si>
  <si>
    <t>Long Term Employee Benefits</t>
  </si>
  <si>
    <t>1415141001 Inventory Parts PVRG Service Order</t>
  </si>
  <si>
    <t>2110202000 AP Non Trade Rel Party</t>
  </si>
  <si>
    <t>2110202009 AP Non Trade Rel Party FxV</t>
  </si>
  <si>
    <t>1461001110 Inventory PP GINI Unit</t>
  </si>
  <si>
    <t>1461002120 Inventory PP GINI Accessories</t>
  </si>
  <si>
    <t>4020400202 Sales Parts Through Service CORE Flat Rate</t>
  </si>
  <si>
    <t>5010500100 COGS PP Power System Project Core</t>
  </si>
  <si>
    <t>7000003614 CV - Pool Vehicle - Vehicle Accident</t>
  </si>
  <si>
    <t>7000005804 FRS - Recycling/Waste Cost</t>
  </si>
  <si>
    <t>Description</t>
  </si>
  <si>
    <t>Machine Sales</t>
  </si>
  <si>
    <t>Forklift Sales</t>
  </si>
  <si>
    <t>Machine Attachment Sales</t>
  </si>
  <si>
    <t xml:space="preserve">Engine Sales </t>
  </si>
  <si>
    <t>Engine Sales</t>
  </si>
  <si>
    <t>Project System Sales</t>
  </si>
  <si>
    <t>Engine Attachment Sales</t>
  </si>
  <si>
    <t>Used Equipment Sales</t>
  </si>
  <si>
    <t>Certified Mac. Rebuild Sales</t>
  </si>
  <si>
    <t>Parts Sales</t>
  </si>
  <si>
    <t>Trading Revenue</t>
  </si>
  <si>
    <t>Service Sales</t>
  </si>
  <si>
    <t>Maint. Contract. Sales</t>
  </si>
  <si>
    <t>Service Revenue</t>
  </si>
  <si>
    <t>Rental Sales</t>
  </si>
  <si>
    <t>Rental Revenue</t>
  </si>
  <si>
    <t>Total Revenue</t>
  </si>
  <si>
    <t xml:space="preserve">Machine GP </t>
  </si>
  <si>
    <t>Machine GP</t>
  </si>
  <si>
    <t>Forklift GP</t>
  </si>
  <si>
    <t>Machine Attachment GP</t>
  </si>
  <si>
    <t>Engine GP</t>
  </si>
  <si>
    <t>Project System GP</t>
  </si>
  <si>
    <t>Engine Attachment GP</t>
  </si>
  <si>
    <t>Used Equipment GP</t>
  </si>
  <si>
    <t>Certified Mac. Rebuild GP</t>
  </si>
  <si>
    <t>Parts GP</t>
  </si>
  <si>
    <t>Trading GP</t>
  </si>
  <si>
    <t>Service GP</t>
  </si>
  <si>
    <t>Maint. Contract. GP</t>
  </si>
  <si>
    <t>Rental GP</t>
  </si>
  <si>
    <t>Total Gross Profit</t>
  </si>
  <si>
    <t>S.R.E.</t>
  </si>
  <si>
    <t>SRE Marketing</t>
  </si>
  <si>
    <t>SRE Sales</t>
  </si>
  <si>
    <t>SRE Supply Chain</t>
  </si>
  <si>
    <t>SRE Service</t>
  </si>
  <si>
    <t>Overhead</t>
  </si>
  <si>
    <t>Direct OHD.</t>
  </si>
  <si>
    <t>Indirect OHD.</t>
  </si>
  <si>
    <t>OHD. Svc. Recovery</t>
  </si>
  <si>
    <t>Exchange Gain / (Loss)</t>
  </si>
  <si>
    <t>Realized</t>
  </si>
  <si>
    <t>Unrealized</t>
  </si>
  <si>
    <t>Other Operating Income</t>
  </si>
  <si>
    <t>Other Operating Expenses</t>
  </si>
  <si>
    <t>Total Operating Expenses</t>
  </si>
  <si>
    <t>Finance Income</t>
  </si>
  <si>
    <t>Finance Expenses</t>
  </si>
  <si>
    <t>Profit Before Tax</t>
  </si>
  <si>
    <t>Income Tax Expense</t>
  </si>
  <si>
    <t>Profit After Tax</t>
  </si>
  <si>
    <t>Other Comprehensive Income</t>
  </si>
  <si>
    <t>Total Comprehensive Income</t>
  </si>
  <si>
    <t>EBITDA</t>
  </si>
  <si>
    <t>Cash &amp; Bank</t>
  </si>
  <si>
    <t>Account Receivable</t>
  </si>
  <si>
    <t>Engine</t>
  </si>
  <si>
    <t>Used Equipment</t>
  </si>
  <si>
    <t>Services</t>
  </si>
  <si>
    <t>Marc</t>
  </si>
  <si>
    <t>Rentals</t>
  </si>
  <si>
    <t>Provisions</t>
  </si>
  <si>
    <t>SPAR  Claim</t>
  </si>
  <si>
    <t>Parts Return Acknow. Claim</t>
  </si>
  <si>
    <t>Note Receivable</t>
  </si>
  <si>
    <t>HPA</t>
  </si>
  <si>
    <t>Unit</t>
  </si>
  <si>
    <t>Forklift</t>
  </si>
  <si>
    <t>Attachment</t>
  </si>
  <si>
    <t>Provision</t>
  </si>
  <si>
    <t>Project System</t>
  </si>
  <si>
    <t>Work In Progress</t>
  </si>
  <si>
    <t>WIP MARC</t>
  </si>
  <si>
    <t>Prepaid Value-Added Taxes</t>
  </si>
  <si>
    <t>Total Current Asset</t>
  </si>
  <si>
    <t>Deferred Tax Asset</t>
  </si>
  <si>
    <t>Investment in Shares of Stock</t>
  </si>
  <si>
    <t>Fixed Assets</t>
  </si>
  <si>
    <t>Constr. In Progress</t>
  </si>
  <si>
    <t>Non Current Receivable</t>
  </si>
  <si>
    <t>Claims for Tax Refund</t>
  </si>
  <si>
    <t>Goodwill</t>
  </si>
  <si>
    <t>Intangible Asset</t>
  </si>
  <si>
    <t>Total Non Current Asset</t>
  </si>
  <si>
    <t>Total Asset</t>
  </si>
  <si>
    <t>Short-term Loan</t>
  </si>
  <si>
    <t>Account Payable</t>
  </si>
  <si>
    <t>CAT</t>
  </si>
  <si>
    <t>Non CAT</t>
  </si>
  <si>
    <t>Other Payable</t>
  </si>
  <si>
    <t>Taxes Payable</t>
  </si>
  <si>
    <t>Accrued Expenses</t>
  </si>
  <si>
    <t>Warranty Provision</t>
  </si>
  <si>
    <t>Payroll Accruals</t>
  </si>
  <si>
    <t>Interest</t>
  </si>
  <si>
    <t>Overhead Accruals</t>
  </si>
  <si>
    <t>Other Accruals</t>
  </si>
  <si>
    <t>Short-term Employee Benefits</t>
  </si>
  <si>
    <t>Total Current Liabilities</t>
  </si>
  <si>
    <t>Long-term Loan</t>
  </si>
  <si>
    <t>Intercoy Account</t>
  </si>
  <si>
    <t>Long-term Employee Benefits</t>
  </si>
  <si>
    <t>Total Non Current Liabilities</t>
  </si>
  <si>
    <t>Total Liabilities</t>
  </si>
  <si>
    <t>Share Capital</t>
  </si>
  <si>
    <t>Retained Earnings</t>
  </si>
  <si>
    <t>Previous Year</t>
  </si>
  <si>
    <t>Current Year - Retained Earnings Total</t>
  </si>
  <si>
    <t>Dividend</t>
  </si>
  <si>
    <t>Current Year</t>
  </si>
  <si>
    <t>Total Equity</t>
  </si>
  <si>
    <t>Total Liability &amp; Equity</t>
  </si>
  <si>
    <t>Dec ’22</t>
  </si>
  <si>
    <t xml:space="preserve"> Movement</t>
  </si>
  <si>
    <t>Aug’23</t>
  </si>
  <si>
    <r>
      <t>( + )</t>
    </r>
    <r>
      <rPr>
        <sz val="18"/>
        <color rgb="FF000000"/>
        <rFont val="Arial Narrow"/>
        <family val="2"/>
      </rPr>
      <t xml:space="preserve"> 3,849.5</t>
    </r>
  </si>
  <si>
    <r>
      <t>( + )</t>
    </r>
    <r>
      <rPr>
        <sz val="18"/>
        <color rgb="FF000000"/>
        <rFont val="Arial Narrow"/>
        <family val="2"/>
      </rPr>
      <t xml:space="preserve"> 582.3</t>
    </r>
  </si>
  <si>
    <r>
      <t>( + )</t>
    </r>
    <r>
      <rPr>
        <sz val="18"/>
        <color rgb="FF000000"/>
        <rFont val="Arial Narrow"/>
        <family val="2"/>
      </rPr>
      <t xml:space="preserve"> 95.8</t>
    </r>
  </si>
  <si>
    <t>1213101000 AR Claim 3rd Party CAT SPAR Pending Claim</t>
  </si>
  <si>
    <t>1213101009 AR Claim 3rd Party CAT SPAR Pending Claim FxV</t>
  </si>
  <si>
    <t>1411102100 Inventory PP Attachment</t>
  </si>
  <si>
    <t>1612001110 Prepayment 3rd Party Staff House Rent</t>
  </si>
  <si>
    <t>5011009000 COGS PP Miscellaneous</t>
  </si>
  <si>
    <t>OTHER RECEIVABLE</t>
  </si>
  <si>
    <t>AR ALLOWANCE</t>
  </si>
  <si>
    <t>SPAR CLAIM</t>
  </si>
  <si>
    <t>CORE CLAIM</t>
  </si>
  <si>
    <t>WARRANTY CLAIM</t>
  </si>
  <si>
    <t>INVENTORY PP</t>
  </si>
  <si>
    <t>INVENTORY PARTS</t>
  </si>
  <si>
    <t>INVENTORY</t>
  </si>
  <si>
    <t>PREPAYMENT &amp; DEPOSIT</t>
  </si>
  <si>
    <t>LAND &amp; BUILDING</t>
  </si>
  <si>
    <t>PLANT &amp; EQUIPMENT</t>
  </si>
  <si>
    <t>RENTAL FLEET</t>
  </si>
  <si>
    <t>MOTOR VEHICLE</t>
  </si>
  <si>
    <t>COMPUTERS</t>
  </si>
  <si>
    <t>PARTS EXCHANGE</t>
  </si>
  <si>
    <t>OTHER NON CURRENT ASSET</t>
  </si>
  <si>
    <t>2710004000 Customer Deposit Part Bonus 3rd Party</t>
  </si>
  <si>
    <t>2710004009 Customer Deposit Part Bonus 3rd Party FxV</t>
  </si>
  <si>
    <t>7000001001 CB - International Mobility - Exp. Housing Rent</t>
  </si>
  <si>
    <t>5051004000 COGS RUE UPA</t>
  </si>
  <si>
    <t>6000001100 GME - Service Transport Internal</t>
  </si>
  <si>
    <t>7000001502 PRD - Recruitment - Medical</t>
  </si>
  <si>
    <t>7000003507 MC - Building &amp; Fac Maint Matr - Temporary Account</t>
  </si>
  <si>
    <t>1016162072 Bank IDR Mandiri 148-001-687266-8 BIC SGT</t>
  </si>
  <si>
    <t>1016162073 Bank IDR Mandiri 148-001-687266-8 BOC SGT</t>
  </si>
  <si>
    <t>1515001112 Landed Cost - Parts Duties Actual</t>
  </si>
  <si>
    <t>1515001412 Landed Cost - Parts Miscellaneous Actual</t>
  </si>
  <si>
    <t>7000005221 FRS - Meeting - External Meeting</t>
  </si>
  <si>
    <t>7000005215 FRS - Meeting - Internal Meeting</t>
  </si>
  <si>
    <t>1411104000 Inventory PP Gross Project System BOP</t>
  </si>
  <si>
    <t>Apr-24</t>
  </si>
  <si>
    <t>May-24</t>
  </si>
  <si>
    <t>Jun-24</t>
  </si>
  <si>
    <t>Jul-24</t>
  </si>
  <si>
    <t>Aug-24</t>
  </si>
  <si>
    <t>Sept-24</t>
  </si>
  <si>
    <t>Oct-24</t>
  </si>
  <si>
    <t>Nov-24</t>
  </si>
  <si>
    <t>Des-24</t>
  </si>
  <si>
    <t>Jan-24</t>
  </si>
  <si>
    <t>Feb'24</t>
  </si>
  <si>
    <t>Mar'24</t>
  </si>
  <si>
    <t>1661022000 Prepaid Tax ART 22</t>
  </si>
  <si>
    <t>2465101035 Temporary Employee Asset Deduction</t>
  </si>
  <si>
    <t>YTD 2024</t>
  </si>
  <si>
    <t>1630000810 Advance To Employee Clearing</t>
  </si>
  <si>
    <t>1630000819 Advance To Employee Clearing FxV</t>
  </si>
  <si>
    <t>2710001000 Customer Deposit 3rd Party</t>
  </si>
  <si>
    <t>2710001009 Customer Deposit 3rd Party FxV</t>
  </si>
  <si>
    <t>2465101090 Temporary Employee Loan Repayment External</t>
  </si>
  <si>
    <t>5051002000 COGS RUE Local Freight/Handling Inbound</t>
  </si>
  <si>
    <t>5052002000 COGS RUE Local Freight/Handling Inbound Estimated</t>
  </si>
  <si>
    <t>7000003001 FRS - Office Supplies - Meterai,Signature&amp;Stempel</t>
  </si>
  <si>
    <t>7000002009 TR - Crew Vessel/ Boat - Boat Ticket</t>
  </si>
  <si>
    <t>CORPORATE PROMOTION</t>
  </si>
  <si>
    <t>TRAINING &amp; RECRUITMENT</t>
  </si>
  <si>
    <t>CONSULTANT (Regulatory Fee)</t>
  </si>
  <si>
    <t>MARGIN RUE (%)</t>
  </si>
  <si>
    <t>1415141008 Inv Parts Gross PVRG PO Return</t>
  </si>
  <si>
    <t>4021500002 IFRS 15 Preventive Maintenance Parts</t>
  </si>
  <si>
    <t>6000003001 GME - SOS Lab Expense</t>
  </si>
  <si>
    <t>6000003003 GME - SOS Lab Expense - Recovery</t>
  </si>
  <si>
    <t>5010500200 COGS PP Power System Project BOP</t>
  </si>
  <si>
    <t>6000004205 MSR - Campaigns - Sport Sponsorship</t>
  </si>
  <si>
    <t>7000000823 CB - HB&amp;L Ins - Nat. Evacuation - WAcc.Emg.Illness</t>
  </si>
  <si>
    <t>7000001107 CB - Cost Allocation Major Account</t>
  </si>
  <si>
    <t>4010600000 Sales PP Attachment</t>
  </si>
  <si>
    <t>4021900101 Sales Parts Discount PSWEB</t>
  </si>
  <si>
    <t>8010000600 GME – Tax Expense</t>
  </si>
  <si>
    <t>4020500200 Sales Digital Subscription</t>
  </si>
  <si>
    <t>5010400000 COGS PP Over/Under (COGS After Sales)</t>
  </si>
  <si>
    <t>5051005000 COGS RUE Subletting Charges</t>
  </si>
  <si>
    <t>7000002701 MSR - Marketing Expenses - Market Plan</t>
  </si>
  <si>
    <t>1611201000 Advance Non Trade 3rd Party</t>
  </si>
  <si>
    <t>1611201009 Advance Non Trade 3rd Party FxV</t>
  </si>
  <si>
    <t>Jan-25</t>
  </si>
  <si>
    <t>Feb'25</t>
  </si>
  <si>
    <t>Mar'25</t>
  </si>
  <si>
    <t>Apr-25</t>
  </si>
  <si>
    <t>May-25</t>
  </si>
  <si>
    <t>Jun-25</t>
  </si>
  <si>
    <t>Jul-25</t>
  </si>
  <si>
    <t>Aug-25</t>
  </si>
  <si>
    <t>Sept-25</t>
  </si>
  <si>
    <t>Oct-25</t>
  </si>
  <si>
    <t>Nov-25</t>
  </si>
  <si>
    <t>Des-25</t>
  </si>
  <si>
    <t>YTD 2025</t>
  </si>
  <si>
    <t>1813102100 FA Acquisition Lease Vehicle</t>
  </si>
  <si>
    <t>1813103100 FA Acquisition Lease IT Device</t>
  </si>
  <si>
    <t>1823102100 FA Accumulated Depreciation Vehicle</t>
  </si>
  <si>
    <t>1823103100 FA Accumulated Depreciation IT Device</t>
  </si>
  <si>
    <t>2461402000 Accrual Interest Leasing IFRS (ST)</t>
  </si>
  <si>
    <t>5020500200 COGS Digital Subscription</t>
  </si>
  <si>
    <t>2465100300 Accrual of digital subscription thru Parts channel</t>
  </si>
  <si>
    <t>1813101100 FA Acquisition Lease Facility</t>
  </si>
  <si>
    <t>1823101100 FA Accumulated Depreciation Facility</t>
  </si>
  <si>
    <t>Month To Date</t>
  </si>
  <si>
    <t>Year To Date</t>
  </si>
  <si>
    <t>Full Year</t>
  </si>
  <si>
    <t>Actual</t>
  </si>
  <si>
    <t>Budget</t>
  </si>
  <si>
    <t>Forecast</t>
  </si>
  <si>
    <t>Amount</t>
  </si>
  <si>
    <t>%</t>
  </si>
  <si>
    <t>Year to Date</t>
  </si>
  <si>
    <t>MRS</t>
  </si>
  <si>
    <t>5011014000 COGS PP Marketing Program Preventive Maintenance</t>
  </si>
  <si>
    <t>5021500002 IFRS 15 COGS PS-Parts Marketing Program Prev Maint</t>
  </si>
  <si>
    <t>6000004206 MSR - Product Promotion - Merchandise</t>
  </si>
  <si>
    <t>7000003608 CB - Perk Cars - Entitle Vehicle - Toll &amp; Park</t>
  </si>
  <si>
    <t>1461001220 Inventory Parts GINI Rebuild</t>
  </si>
  <si>
    <t>1218301070 AR Claim 3rd Party CAT (APD) Merchandising Claim</t>
  </si>
  <si>
    <t>7000001406 PRD - Training - Black Belt Program</t>
  </si>
  <si>
    <t>7000000304 CB - Individual Benefits - Special Assistance</t>
  </si>
  <si>
    <t>6000001401 GME - Service Transport and Travel Expenses</t>
  </si>
  <si>
    <t>2200295100 GR/IR Non Trade Fixed Asset Clearing Account</t>
  </si>
  <si>
    <t>7000003607 CV - Pool Vehicle - License - Rental</t>
  </si>
  <si>
    <t>1565000528 WIP Minestar</t>
  </si>
  <si>
    <t>7000004106 TC - Digital Cost &amp; Initiative - Digital Support</t>
  </si>
  <si>
    <t>4020500202 Sales Parts Through Service USED Parts Flat Rate</t>
  </si>
  <si>
    <t>1460200000 GIT Non Trade</t>
  </si>
  <si>
    <t>1110117000 Unbilled Receivable Non Trade Interco</t>
  </si>
  <si>
    <t>2465100079 Accrual Trading Related PP Marketing Vouchers FxV</t>
  </si>
  <si>
    <t>4021000101 SLS Parts Discount</t>
  </si>
  <si>
    <t>7000003901 GME - Training Expenses Others</t>
  </si>
  <si>
    <t>8010000902 GME - Below OI (or EBITDA) - Forex Dif Unrealize</t>
  </si>
  <si>
    <t>Exchange Gain / Loss</t>
  </si>
  <si>
    <t>Feb'26</t>
  </si>
  <si>
    <t>Mar'26</t>
  </si>
  <si>
    <t>Apr-26</t>
  </si>
  <si>
    <t>May-26</t>
  </si>
  <si>
    <t>Jun-26</t>
  </si>
  <si>
    <t>Jul-26</t>
  </si>
  <si>
    <t>Aug-26</t>
  </si>
  <si>
    <t>Sept-26</t>
  </si>
  <si>
    <t>Oct-26</t>
  </si>
  <si>
    <t>Nov-26</t>
  </si>
  <si>
    <t>Des-26</t>
  </si>
  <si>
    <t>YTD 2026</t>
  </si>
  <si>
    <t>Jan-26</t>
  </si>
  <si>
    <t>Service Recovery</t>
  </si>
  <si>
    <t>6000002101 CB - Sales Commission - Commision</t>
  </si>
  <si>
    <t>6000003413 TS - Returns &amp; Complaints - Return Cost</t>
  </si>
  <si>
    <t>4020500107 Sales Parts SOS Lab Bottle Actual Discount</t>
  </si>
  <si>
    <t>4030500107 Sales Service SOS Lab Actual Discount</t>
  </si>
  <si>
    <t>7000001418 GME - Training Center Operation Expenses</t>
  </si>
  <si>
    <t>Target</t>
  </si>
  <si>
    <t>2026 Budget</t>
  </si>
  <si>
    <t>2026 Budget (MTD)</t>
  </si>
  <si>
    <t>YTD Sep Actual</t>
  </si>
  <si>
    <t>MTD Oct Forecast</t>
  </si>
  <si>
    <t>MTD Nov Forecast</t>
  </si>
  <si>
    <t>MTD Dec Forecast</t>
  </si>
  <si>
    <t>Oct - Dec Forecast</t>
  </si>
  <si>
    <t>YTD Dec Forecast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</si>
  <si>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</si>
  <si>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</si>
  <si>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</si>
  <si>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</si>
  <si>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</si>
  <si>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</si>
  <si>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</si>
  <si>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</si>
  <si>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</si>
  <si>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</si>
  <si>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</si>
  <si>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</si>
  <si>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Dec Est. Actual</t>
  </si>
  <si>
    <t xml:space="preserve"> </t>
  </si>
  <si>
    <t>2026 Budget (FY)</t>
  </si>
  <si>
    <t>2026 Budget (YTD)</t>
  </si>
  <si>
    <t>YTD Oct Forecast</t>
  </si>
  <si>
    <t>YTD Nov Forecast</t>
  </si>
  <si>
    <t>Dec Actual Forecast</t>
  </si>
  <si>
    <t>Loan Account to HO</t>
  </si>
  <si>
    <t>AR CK/SS &gt;60 days</t>
  </si>
  <si>
    <t>Interest Rate</t>
  </si>
  <si>
    <t>STAFF COST</t>
  </si>
  <si>
    <t>MTD Dec Estimate</t>
  </si>
  <si>
    <t>Dec For. Actual</t>
  </si>
  <si>
    <t>Sales</t>
  </si>
  <si>
    <t>Compensation</t>
  </si>
  <si>
    <t>Travel &amp; Entertainment</t>
  </si>
  <si>
    <t>Cars</t>
  </si>
  <si>
    <t>Total</t>
  </si>
  <si>
    <t>Product Support</t>
  </si>
  <si>
    <t>Marketing</t>
  </si>
  <si>
    <t>Management</t>
  </si>
  <si>
    <t>Supply Chain</t>
  </si>
  <si>
    <t>HRD &amp; Admin</t>
  </si>
  <si>
    <t>Finance</t>
  </si>
  <si>
    <t>Innovation</t>
  </si>
  <si>
    <t>Internal Audit</t>
  </si>
  <si>
    <t>Total Staff Related Cost</t>
  </si>
  <si>
    <t>Office Accom. &amp; Services</t>
  </si>
  <si>
    <t>Communication</t>
  </si>
  <si>
    <t>Information</t>
  </si>
  <si>
    <t>Corporate Promotion</t>
  </si>
  <si>
    <t>Conference</t>
  </si>
  <si>
    <t>Training &amp; Recruitment</t>
  </si>
  <si>
    <t>Printing &amp; Stationeries</t>
  </si>
  <si>
    <t>Outsourcing</t>
  </si>
  <si>
    <t>Consultant</t>
  </si>
  <si>
    <t>Safety Supplies</t>
  </si>
  <si>
    <t>CSR</t>
  </si>
  <si>
    <t>TUSRA &amp; Employee Engagement</t>
  </si>
  <si>
    <t>Sub Total</t>
  </si>
  <si>
    <t>Facilities Charges</t>
  </si>
  <si>
    <t>Commercial Vehicle Charges</t>
  </si>
  <si>
    <t>Office Rental</t>
  </si>
  <si>
    <t>Deprec &amp; Amortisations</t>
  </si>
  <si>
    <t>Repair &amp; Maintenance</t>
  </si>
  <si>
    <t>Utilities</t>
  </si>
  <si>
    <t>Overhead Parts &amp; Machine Rebuild</t>
  </si>
  <si>
    <t>Total Office Accom. &amp; Services</t>
  </si>
  <si>
    <t>Total Overhead</t>
  </si>
  <si>
    <t>Direct./Indirect Overhead Analysis :</t>
  </si>
  <si>
    <t>Staff Number</t>
  </si>
  <si>
    <t>SRE Marketing Promotion</t>
  </si>
  <si>
    <t>SRE Marketing Program</t>
  </si>
  <si>
    <t>SRE Immobilization</t>
  </si>
  <si>
    <t>SRE Warranty Replacement</t>
  </si>
  <si>
    <t>SRE Others</t>
  </si>
  <si>
    <t>SUBTOTAL SRE MARKETING</t>
  </si>
  <si>
    <t>SRE Prime Product Delivery &amp; Revisit</t>
  </si>
  <si>
    <t>SRE Salesmen Commission</t>
  </si>
  <si>
    <t>SRE Company Policy</t>
  </si>
  <si>
    <t>SUBTOTAL SRE SALES</t>
  </si>
  <si>
    <t>SRE Supplies Inventory</t>
  </si>
  <si>
    <t>SRE Domestic Transfer - SEA / ROAD (Unused)</t>
  </si>
  <si>
    <t>SRE Domestic Transfer - Recovery (Unused)</t>
  </si>
  <si>
    <t>SRE Parts Battery</t>
  </si>
  <si>
    <t>SRE Parts Assembly &amp; Disassembly</t>
  </si>
  <si>
    <t>SRE Non Return Parts Write off</t>
  </si>
  <si>
    <t>SRE Truck Expenses</t>
  </si>
  <si>
    <t>SRE Restocking Charges (Unused)</t>
  </si>
  <si>
    <t>SRE Emergency Order Air Freight (Unused)</t>
  </si>
  <si>
    <t>SRE Emergency Order Air Freight Recov (Unused)</t>
  </si>
  <si>
    <t>SRE Parts Delivery Expenses</t>
  </si>
  <si>
    <t>SRE Domestic Transfer - Air (Unused)</t>
  </si>
  <si>
    <t>SRE Stock Holding Cost - Lease of Warehouse</t>
  </si>
  <si>
    <t>SUBTOTAL SRE SUPPLY CHAIN</t>
  </si>
  <si>
    <t>SRE Salary Direct Servicemen</t>
  </si>
  <si>
    <t>SRE Overtime Direct Servicemen</t>
  </si>
  <si>
    <t>SRE Salary Servicemen Recovery (Unused)</t>
  </si>
  <si>
    <t>SRE Casual Labor Direct Servicemen</t>
  </si>
  <si>
    <t>SRE Service Allowed Time (Unused)</t>
  </si>
  <si>
    <t>SRE Training Time Servicemen (Unused)</t>
  </si>
  <si>
    <t>SRE Lost / Clean Up Time (Unused)</t>
  </si>
  <si>
    <t>SRE Service Redo</t>
  </si>
  <si>
    <t>SRE Overhaul Revisit</t>
  </si>
  <si>
    <t>SRE Job Supv. &amp; Inspect &amp; Prep.</t>
  </si>
  <si>
    <t>SRE PTTU Transport Income</t>
  </si>
  <si>
    <t>SRE Truck Expenses - Intern Recovery</t>
  </si>
  <si>
    <t>SRE Travel Expense</t>
  </si>
  <si>
    <t>SRE Travel Time Dir. Servicemen (FOC) (Unused)</t>
  </si>
  <si>
    <t>SRE Travel Expense Recovery (Unused)</t>
  </si>
  <si>
    <t>SRE Small Tools</t>
  </si>
  <si>
    <t>SRE Supplies Internal Use / Scrapsale</t>
  </si>
  <si>
    <t>SRE Domestic Transfer - Sea/Road</t>
  </si>
  <si>
    <t>SRE Domestic Transfer - Sea/Road (Rec)</t>
  </si>
  <si>
    <t>SRE Non Return Parts Write Off</t>
  </si>
  <si>
    <t>SRE SOSLAB Expenses</t>
  </si>
  <si>
    <t>SRE Supplier UCR Material</t>
  </si>
  <si>
    <t>SRE Emergency Order Air Freight</t>
  </si>
  <si>
    <t>SRE Emergency Order Air Freight (Recov.)</t>
  </si>
  <si>
    <t>SRE Domestic Transfer - Air</t>
  </si>
  <si>
    <t>SRE Service Other Recovery</t>
  </si>
  <si>
    <t>SRE Component Rebuild</t>
  </si>
  <si>
    <t>SUBTOTAL SRE SERVICE</t>
  </si>
  <si>
    <t>TOTAL SALES RELATED EXPENSE</t>
  </si>
  <si>
    <t>4021000201 Sales PS Parts Discount Thru Service</t>
  </si>
  <si>
    <t>4021000202 Sales PS Parts Variance Discount Thru Service</t>
  </si>
  <si>
    <t>2465100210 Acc Provision PM Rental Unit</t>
  </si>
  <si>
    <t>Remark</t>
  </si>
  <si>
    <t>Sub dari REVENUE PRIME PRODUCT</t>
  </si>
  <si>
    <t>Sub dari REVENUE PARTS</t>
  </si>
  <si>
    <t>Sub dari REVENUE SERVICE</t>
  </si>
  <si>
    <t>Sub dari REVENUE RUE</t>
  </si>
  <si>
    <t>Sub dari REVENUE MARC</t>
  </si>
  <si>
    <t>Sub dari COS PRIME PRODUCT</t>
  </si>
  <si>
    <t>Sub dari COS PARTS</t>
  </si>
  <si>
    <t>Sub dari COS SERVICE</t>
  </si>
  <si>
    <t>Sub dari COS RENTAL</t>
  </si>
  <si>
    <t>Sub dari COS MARC</t>
  </si>
  <si>
    <t>Sub dari SRE</t>
  </si>
  <si>
    <t>Sub dari COMPENSATION &amp; BENEFIT</t>
  </si>
  <si>
    <t>Sub dari TRAVEL &amp; ENTERTAIN</t>
  </si>
  <si>
    <t>Sub dari CARS</t>
  </si>
  <si>
    <t>Sub dari COMMUNICATION</t>
  </si>
  <si>
    <t>Sub dari INFORMATION</t>
  </si>
  <si>
    <t>Sub dari CORPORATE PROMOTION</t>
  </si>
  <si>
    <t>Sub dari CONFERENCE</t>
  </si>
  <si>
    <t>Sub dari TRAINING &amp; RECRUITMENT</t>
  </si>
  <si>
    <t>Sub dari PRINTING &amp; STATIONERY</t>
  </si>
  <si>
    <t>Sub dari OUTSOURCING</t>
  </si>
  <si>
    <t>Sub dari CONSULTANT (Regulatory Fee)</t>
  </si>
  <si>
    <t>Sub dari SAFETY</t>
  </si>
  <si>
    <t>Sub dari Donation</t>
  </si>
  <si>
    <t>Sub dari OTHER</t>
  </si>
  <si>
    <t>Sub dari DEPREC &amp; AMORT</t>
  </si>
  <si>
    <t>Sub dari REPAIR &amp; MAINTENANCE</t>
  </si>
  <si>
    <t>Sub dari UTILITY</t>
  </si>
  <si>
    <t>Sub dari OHD SERVICE REC.</t>
  </si>
  <si>
    <t>Sub dari TOTAL REVENUE</t>
  </si>
  <si>
    <t>Sub dari TOTAL COS</t>
  </si>
  <si>
    <t>Sub dari TOTAL OHD</t>
  </si>
  <si>
    <t>Sub dari Exchange Gain / Loss</t>
  </si>
  <si>
    <t>Sub dari STOCK VAR. ADJ.</t>
  </si>
  <si>
    <t>Sub dari OTHER OPERATING</t>
  </si>
  <si>
    <t>Sub dari OTHER INC / EXP</t>
  </si>
  <si>
    <t>Sub dari FINANCE INC / EXP</t>
  </si>
  <si>
    <t>Sub dari Operating Profit</t>
  </si>
  <si>
    <t>Sub dari PBT / PAT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</si>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</sst>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_-;\-* #,##0_-;_-* &quot;-&quot;_-;_-@_-"/>
    <numFmt numFmtId="165" formatCode="_-* #,##0.00_-;\-* #,##0.00_-;_-* &quot;-&quot;??_-;_-@_-"/>
    <numFmt numFmtId="166" formatCode="#,##0.00_ ;\-#,##0.00\ "/>
    <numFmt numFmtId="167" formatCode="[$-409]mmm\-yy;@"/>
    <numFmt numFmtId="168" formatCode="#,##0.0"/>
    <numFmt numFmtId="169" formatCode="#,##0.0000;\-#,##0.0000"/>
    <numFmt numFmtId="170" formatCode="#,##0.00000;\-#,##0.00000"/>
    <numFmt numFmtId="171" formatCode="#,##0.0000_ ;\-#,##0.0000\ "/>
    <numFmt numFmtId="172" formatCode="#,##0.00000_ ;\-#,##0.00000\ "/>
    <numFmt numFmtId="173" formatCode="0.00000"/>
    <numFmt numFmtId="174" formatCode="0;\-0;;@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8"/>
      <color rgb="FFFF3399"/>
      <name val="Calibri"/>
      <family val="2"/>
      <scheme val="minor"/>
    </font>
    <font>
      <sz val="10"/>
      <name val="Arial"/>
      <family val="2"/>
    </font>
    <font>
      <b/>
      <sz val="18"/>
      <color rgb="FFFFFFFF"/>
      <name val="Arial Narrow"/>
      <family val="2"/>
    </font>
    <font>
      <sz val="18"/>
      <color rgb="FF000000"/>
      <name val="Arial Narrow"/>
      <family val="2"/>
    </font>
    <font>
      <b/>
      <sz val="18"/>
      <color rgb="FFFF0000"/>
      <name val="Arial Narrow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rgb="FFEE0000"/>
      <name val="Calibri"/>
      <family val="2"/>
      <scheme val="minor"/>
    </font>
    <font>
      <b/>
      <sz val="8"/>
      <color rgb="FFFFC000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CC1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A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21" fillId="0" borderId="0" applyFont="0" applyFill="0" applyBorder="0" applyAlignment="0" applyProtection="0"/>
  </cellStyleXfs>
  <cellXfs count="282"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4" fontId="3" fillId="0" borderId="0" xfId="0" applyNumberFormat="1" applyFont="1" applyAlignment="1">
      <alignment horizontal="right" vertical="top"/>
    </xf>
    <xf numFmtId="0" fontId="3" fillId="0" borderId="0" xfId="0" quotePrefix="1" applyFont="1" applyAlignment="1">
      <alignment vertical="top"/>
    </xf>
    <xf numFmtId="0" fontId="5" fillId="5" borderId="0" xfId="0" applyFont="1" applyFill="1" applyAlignment="1">
      <alignment vertical="top"/>
    </xf>
    <xf numFmtId="166" fontId="5" fillId="5" borderId="0" xfId="1" applyNumberFormat="1" applyFont="1" applyFill="1" applyAlignment="1">
      <alignment horizontal="right" vertical="top"/>
    </xf>
    <xf numFmtId="166" fontId="3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5" fillId="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top"/>
    </xf>
    <xf numFmtId="166" fontId="5" fillId="4" borderId="0" xfId="1" applyNumberFormat="1" applyFont="1" applyFill="1" applyAlignment="1">
      <alignment vertical="top"/>
    </xf>
    <xf numFmtId="0" fontId="4" fillId="6" borderId="0" xfId="0" applyFont="1" applyFill="1" applyAlignment="1">
      <alignment vertical="top"/>
    </xf>
    <xf numFmtId="166" fontId="4" fillId="6" borderId="0" xfId="1" applyNumberFormat="1" applyFont="1" applyFill="1" applyAlignment="1">
      <alignment horizontal="right" vertical="top"/>
    </xf>
    <xf numFmtId="166" fontId="4" fillId="6" borderId="0" xfId="1" applyNumberFormat="1" applyFont="1" applyFill="1" applyAlignment="1">
      <alignment vertical="top"/>
    </xf>
    <xf numFmtId="0" fontId="4" fillId="7" borderId="0" xfId="0" applyFont="1" applyFill="1" applyAlignment="1">
      <alignment vertical="top"/>
    </xf>
    <xf numFmtId="166" fontId="4" fillId="7" borderId="0" xfId="1" applyNumberFormat="1" applyFont="1" applyFill="1" applyAlignment="1">
      <alignment vertical="top"/>
    </xf>
    <xf numFmtId="0" fontId="8" fillId="0" borderId="0" xfId="0" applyFont="1" applyAlignment="1">
      <alignment vertical="top"/>
    </xf>
    <xf numFmtId="4" fontId="8" fillId="0" borderId="0" xfId="0" applyNumberFormat="1" applyFont="1" applyAlignment="1">
      <alignment horizontal="right" vertical="top"/>
    </xf>
    <xf numFmtId="39" fontId="3" fillId="0" borderId="0" xfId="1" applyNumberFormat="1" applyFont="1" applyAlignment="1">
      <alignment vertical="top"/>
    </xf>
    <xf numFmtId="167" fontId="5" fillId="3" borderId="1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166" fontId="3" fillId="0" borderId="0" xfId="1" applyNumberFormat="1" applyFont="1" applyAlignment="1">
      <alignment horizontal="right" vertical="top"/>
    </xf>
    <xf numFmtId="166" fontId="3" fillId="0" borderId="0" xfId="1" applyNumberFormat="1" applyFont="1" applyAlignment="1">
      <alignment vertical="top"/>
    </xf>
    <xf numFmtId="0" fontId="9" fillId="0" borderId="0" xfId="0" applyFont="1" applyAlignment="1">
      <alignment vertical="top"/>
    </xf>
    <xf numFmtId="10" fontId="4" fillId="3" borderId="0" xfId="2" applyNumberFormat="1" applyFont="1" applyFill="1" applyAlignment="1">
      <alignment vertical="top"/>
    </xf>
    <xf numFmtId="10" fontId="7" fillId="0" borderId="0" xfId="2" applyNumberFormat="1" applyFont="1" applyAlignment="1">
      <alignment vertical="top"/>
    </xf>
    <xf numFmtId="0" fontId="10" fillId="8" borderId="0" xfId="0" applyFont="1" applyFill="1" applyAlignment="1">
      <alignment vertical="top"/>
    </xf>
    <xf numFmtId="166" fontId="10" fillId="8" borderId="0" xfId="1" applyNumberFormat="1" applyFont="1" applyFill="1" applyAlignment="1">
      <alignment horizontal="right" vertical="top"/>
    </xf>
    <xf numFmtId="0" fontId="11" fillId="0" borderId="0" xfId="0" applyFont="1" applyAlignment="1">
      <alignment vertical="top"/>
    </xf>
    <xf numFmtId="39" fontId="3" fillId="0" borderId="0" xfId="0" applyNumberFormat="1" applyFont="1" applyAlignment="1">
      <alignment vertical="top"/>
    </xf>
    <xf numFmtId="0" fontId="8" fillId="0" borderId="0" xfId="0" quotePrefix="1" applyFont="1" applyAlignment="1">
      <alignment vertical="top"/>
    </xf>
    <xf numFmtId="0" fontId="15" fillId="4" borderId="0" xfId="0" applyFont="1" applyFill="1" applyAlignment="1">
      <alignment vertical="top"/>
    </xf>
    <xf numFmtId="0" fontId="16" fillId="0" borderId="0" xfId="0" applyFont="1" applyAlignment="1">
      <alignment vertical="top"/>
    </xf>
    <xf numFmtId="0" fontId="12" fillId="5" borderId="0" xfId="0" applyFont="1" applyFill="1" applyAlignment="1">
      <alignment vertical="top"/>
    </xf>
    <xf numFmtId="39" fontId="12" fillId="5" borderId="0" xfId="1" applyNumberFormat="1" applyFont="1" applyFill="1" applyAlignment="1">
      <alignment horizontal="right" vertical="top"/>
    </xf>
    <xf numFmtId="0" fontId="5" fillId="2" borderId="1" xfId="0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39" fontId="5" fillId="4" borderId="0" xfId="1" applyNumberFormat="1" applyFont="1" applyFill="1" applyAlignment="1">
      <alignment vertical="top"/>
    </xf>
    <xf numFmtId="39" fontId="5" fillId="3" borderId="1" xfId="1" applyNumberFormat="1" applyFont="1" applyFill="1" applyBorder="1" applyAlignment="1">
      <alignment horizontal="center" vertical="center" wrapText="1"/>
    </xf>
    <xf numFmtId="39" fontId="4" fillId="6" borderId="0" xfId="1" applyNumberFormat="1" applyFont="1" applyFill="1" applyAlignment="1">
      <alignment horizontal="right" vertical="top"/>
    </xf>
    <xf numFmtId="39" fontId="15" fillId="4" borderId="0" xfId="1" applyNumberFormat="1" applyFont="1" applyFill="1" applyAlignment="1">
      <alignment horizontal="right" vertical="top"/>
    </xf>
    <xf numFmtId="39" fontId="15" fillId="4" borderId="0" xfId="1" applyNumberFormat="1" applyFont="1" applyFill="1" applyAlignment="1">
      <alignment vertical="top"/>
    </xf>
    <xf numFmtId="166" fontId="15" fillId="4" borderId="0" xfId="1" applyNumberFormat="1" applyFont="1" applyFill="1" applyAlignment="1">
      <alignment vertical="top"/>
    </xf>
    <xf numFmtId="166" fontId="4" fillId="6" borderId="0" xfId="0" applyNumberFormat="1" applyFont="1" applyFill="1" applyAlignment="1">
      <alignment vertical="top"/>
    </xf>
    <xf numFmtId="4" fontId="3" fillId="3" borderId="0" xfId="0" applyNumberFormat="1" applyFont="1" applyFill="1" applyAlignment="1">
      <alignment horizontal="right" vertical="top"/>
    </xf>
    <xf numFmtId="0" fontId="17" fillId="0" borderId="0" xfId="0" applyFont="1" applyAlignment="1">
      <alignment vertical="top"/>
    </xf>
    <xf numFmtId="0" fontId="13" fillId="5" borderId="0" xfId="0" applyFont="1" applyFill="1" applyAlignment="1">
      <alignment vertical="top"/>
    </xf>
    <xf numFmtId="39" fontId="13" fillId="5" borderId="0" xfId="1" applyNumberFormat="1" applyFont="1" applyFill="1" applyAlignment="1">
      <alignment horizontal="right" vertical="top"/>
    </xf>
    <xf numFmtId="0" fontId="19" fillId="6" borderId="0" xfId="0" applyFont="1" applyFill="1" applyAlignment="1">
      <alignment vertical="top"/>
    </xf>
    <xf numFmtId="39" fontId="19" fillId="6" borderId="0" xfId="1" applyNumberFormat="1" applyFont="1" applyFill="1" applyAlignment="1">
      <alignment horizontal="right" vertical="top"/>
    </xf>
    <xf numFmtId="0" fontId="14" fillId="0" borderId="0" xfId="0" applyFont="1" applyAlignment="1">
      <alignment vertical="top"/>
    </xf>
    <xf numFmtId="0" fontId="18" fillId="0" borderId="0" xfId="0" applyFont="1" applyAlignment="1">
      <alignment vertical="top"/>
    </xf>
    <xf numFmtId="166" fontId="15" fillId="4" borderId="0" xfId="0" applyNumberFormat="1" applyFont="1" applyFill="1" applyAlignment="1">
      <alignment vertical="top"/>
    </xf>
    <xf numFmtId="39" fontId="12" fillId="5" borderId="0" xfId="1" applyNumberFormat="1" applyFont="1" applyFill="1" applyAlignment="1">
      <alignment horizontal="left" vertical="top"/>
    </xf>
    <xf numFmtId="0" fontId="20" fillId="0" borderId="0" xfId="0" applyFont="1" applyAlignment="1">
      <alignment vertical="top"/>
    </xf>
    <xf numFmtId="39" fontId="20" fillId="0" borderId="0" xfId="1" applyNumberFormat="1" applyFont="1" applyFill="1" applyAlignment="1">
      <alignment vertical="top"/>
    </xf>
    <xf numFmtId="39" fontId="20" fillId="0" borderId="0" xfId="1" applyNumberFormat="1" applyFont="1" applyAlignment="1">
      <alignment vertical="top"/>
    </xf>
    <xf numFmtId="166" fontId="5" fillId="3" borderId="1" xfId="1" quotePrefix="1" applyNumberFormat="1" applyFont="1" applyFill="1" applyBorder="1" applyAlignment="1">
      <alignment horizontal="center" vertical="center" wrapText="1"/>
    </xf>
    <xf numFmtId="166" fontId="20" fillId="0" borderId="0" xfId="1" applyNumberFormat="1" applyFont="1" applyAlignment="1">
      <alignment vertical="top"/>
    </xf>
    <xf numFmtId="39" fontId="5" fillId="3" borderId="1" xfId="1" quotePrefix="1" applyNumberFormat="1" applyFont="1" applyFill="1" applyBorder="1" applyAlignment="1">
      <alignment horizontal="center" vertical="center" wrapText="1"/>
    </xf>
    <xf numFmtId="10" fontId="19" fillId="3" borderId="0" xfId="2" applyNumberFormat="1" applyFont="1" applyFill="1" applyAlignment="1">
      <alignment vertical="top"/>
    </xf>
    <xf numFmtId="39" fontId="5" fillId="5" borderId="0" xfId="1" applyNumberFormat="1" applyFont="1" applyFill="1" applyAlignment="1">
      <alignment horizontal="right" vertical="top"/>
    </xf>
    <xf numFmtId="39" fontId="4" fillId="6" borderId="0" xfId="1" applyNumberFormat="1" applyFont="1" applyFill="1" applyAlignment="1">
      <alignment vertical="top"/>
    </xf>
    <xf numFmtId="39" fontId="4" fillId="7" borderId="0" xfId="1" applyNumberFormat="1" applyFont="1" applyFill="1" applyAlignment="1">
      <alignment vertical="top"/>
    </xf>
    <xf numFmtId="39" fontId="10" fillId="8" borderId="0" xfId="1" applyNumberFormat="1" applyFont="1" applyFill="1" applyAlignment="1">
      <alignment horizontal="right" vertical="top"/>
    </xf>
    <xf numFmtId="0" fontId="22" fillId="11" borderId="9" xfId="0" applyFont="1" applyFill="1" applyBorder="1" applyAlignment="1">
      <alignment horizontal="left" vertical="center" wrapText="1" readingOrder="1"/>
    </xf>
    <xf numFmtId="0" fontId="22" fillId="11" borderId="9" xfId="0" applyFont="1" applyFill="1" applyBorder="1" applyAlignment="1">
      <alignment horizontal="right" vertical="center" wrapText="1" readingOrder="1"/>
    </xf>
    <xf numFmtId="0" fontId="23" fillId="12" borderId="9" xfId="0" applyFont="1" applyFill="1" applyBorder="1" applyAlignment="1">
      <alignment horizontal="left" vertical="center" wrapText="1" readingOrder="1"/>
    </xf>
    <xf numFmtId="0" fontId="24" fillId="12" borderId="9" xfId="0" applyFont="1" applyFill="1" applyBorder="1" applyAlignment="1">
      <alignment horizontal="right" vertical="center" wrapText="1" readingOrder="1"/>
    </xf>
    <xf numFmtId="168" fontId="23" fillId="12" borderId="9" xfId="0" applyNumberFormat="1" applyFont="1" applyFill="1" applyBorder="1" applyAlignment="1">
      <alignment horizontal="right" vertical="center" wrapText="1" readingOrder="1"/>
    </xf>
    <xf numFmtId="4" fontId="0" fillId="0" borderId="0" xfId="0" applyNumberFormat="1" applyAlignment="1">
      <alignment vertical="top"/>
    </xf>
    <xf numFmtId="169" fontId="3" fillId="0" borderId="0" xfId="1" applyNumberFormat="1" applyFont="1" applyAlignment="1">
      <alignment vertical="top"/>
    </xf>
    <xf numFmtId="39" fontId="3" fillId="0" borderId="0" xfId="1" applyNumberFormat="1" applyFont="1" applyFill="1" applyAlignment="1">
      <alignment vertical="top"/>
    </xf>
    <xf numFmtId="166" fontId="3" fillId="0" borderId="0" xfId="1" applyNumberFormat="1" applyFont="1" applyFill="1" applyAlignment="1">
      <alignment vertical="top"/>
    </xf>
    <xf numFmtId="39" fontId="8" fillId="0" borderId="0" xfId="1" applyNumberFormat="1" applyFont="1" applyAlignment="1">
      <alignment vertical="top"/>
    </xf>
    <xf numFmtId="166" fontId="8" fillId="0" borderId="0" xfId="1" applyNumberFormat="1" applyFont="1" applyAlignment="1">
      <alignment vertical="top"/>
    </xf>
    <xf numFmtId="166" fontId="8" fillId="0" borderId="0" xfId="0" applyNumberFormat="1" applyFont="1" applyAlignment="1">
      <alignment vertical="top"/>
    </xf>
    <xf numFmtId="166" fontId="8" fillId="0" borderId="0" xfId="1" applyNumberFormat="1" applyFont="1" applyAlignment="1">
      <alignment horizontal="right" vertical="top"/>
    </xf>
    <xf numFmtId="165" fontId="3" fillId="0" borderId="0" xfId="3" applyFont="1" applyAlignment="1">
      <alignment vertical="top"/>
    </xf>
    <xf numFmtId="39" fontId="5" fillId="3" borderId="1" xfId="3" quotePrefix="1" applyNumberFormat="1" applyFont="1" applyFill="1" applyBorder="1" applyAlignment="1">
      <alignment horizontal="center" vertical="center" wrapText="1"/>
    </xf>
    <xf numFmtId="39" fontId="5" fillId="4" borderId="0" xfId="3" applyNumberFormat="1" applyFont="1" applyFill="1" applyAlignment="1">
      <alignment vertical="top"/>
    </xf>
    <xf numFmtId="39" fontId="3" fillId="0" borderId="0" xfId="3" applyNumberFormat="1" applyFont="1" applyAlignment="1">
      <alignment vertical="top"/>
    </xf>
    <xf numFmtId="39" fontId="4" fillId="6" borderId="0" xfId="3" applyNumberFormat="1" applyFont="1" applyFill="1" applyAlignment="1">
      <alignment horizontal="right" vertical="top"/>
    </xf>
    <xf numFmtId="39" fontId="12" fillId="5" borderId="0" xfId="3" applyNumberFormat="1" applyFont="1" applyFill="1" applyAlignment="1">
      <alignment horizontal="right" vertical="top"/>
    </xf>
    <xf numFmtId="39" fontId="15" fillId="4" borderId="0" xfId="3" applyNumberFormat="1" applyFont="1" applyFill="1" applyAlignment="1">
      <alignment horizontal="right" vertical="top"/>
    </xf>
    <xf numFmtId="39" fontId="15" fillId="4" borderId="0" xfId="3" applyNumberFormat="1" applyFont="1" applyFill="1" applyAlignment="1">
      <alignment vertical="top"/>
    </xf>
    <xf numFmtId="39" fontId="19" fillId="6" borderId="0" xfId="3" applyNumberFormat="1" applyFont="1" applyFill="1" applyAlignment="1">
      <alignment horizontal="right" vertical="top"/>
    </xf>
    <xf numFmtId="39" fontId="13" fillId="5" borderId="0" xfId="3" applyNumberFormat="1" applyFont="1" applyFill="1" applyAlignment="1">
      <alignment horizontal="right" vertical="top"/>
    </xf>
    <xf numFmtId="39" fontId="4" fillId="6" borderId="0" xfId="3" applyNumberFormat="1" applyFont="1" applyFill="1" applyAlignment="1">
      <alignment vertical="top"/>
    </xf>
    <xf numFmtId="39" fontId="8" fillId="0" borderId="0" xfId="3" applyNumberFormat="1" applyFont="1" applyAlignment="1">
      <alignment vertical="top"/>
    </xf>
    <xf numFmtId="170" fontId="3" fillId="0" borderId="0" xfId="1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171" fontId="3" fillId="0" borderId="0" xfId="1" applyNumberFormat="1" applyFont="1" applyAlignment="1">
      <alignment vertical="top"/>
    </xf>
    <xf numFmtId="172" fontId="3" fillId="0" borderId="0" xfId="1" applyNumberFormat="1" applyFont="1" applyAlignment="1">
      <alignment vertical="top"/>
    </xf>
    <xf numFmtId="165" fontId="26" fillId="0" borderId="6" xfId="3" applyFont="1" applyFill="1" applyBorder="1" applyAlignment="1" applyProtection="1">
      <alignment horizontal="right" vertical="center"/>
    </xf>
    <xf numFmtId="165" fontId="26" fillId="0" borderId="6" xfId="3" applyFont="1" applyFill="1" applyBorder="1" applyAlignment="1" applyProtection="1">
      <alignment horizontal="right" vertical="center"/>
      <protection locked="0"/>
    </xf>
    <xf numFmtId="165" fontId="25" fillId="10" borderId="6" xfId="3" applyFont="1" applyFill="1" applyBorder="1" applyAlignment="1" applyProtection="1">
      <alignment horizontal="right" vertical="center"/>
      <protection locked="0"/>
    </xf>
    <xf numFmtId="0" fontId="26" fillId="0" borderId="12" xfId="0" applyFont="1" applyBorder="1" applyAlignment="1">
      <alignment horizontal="left" vertical="center" indent="1"/>
    </xf>
    <xf numFmtId="0" fontId="26" fillId="0" borderId="13" xfId="0" applyFont="1" applyBorder="1" applyAlignment="1">
      <alignment horizontal="left" vertical="center" indent="3"/>
    </xf>
    <xf numFmtId="0" fontId="26" fillId="0" borderId="13" xfId="0" applyFont="1" applyBorder="1" applyAlignment="1">
      <alignment horizontal="left" vertical="center" indent="5"/>
    </xf>
    <xf numFmtId="0" fontId="25" fillId="10" borderId="12" xfId="0" applyFont="1" applyFill="1" applyBorder="1" applyAlignment="1">
      <alignment horizontal="left" vertical="center" indent="1"/>
    </xf>
    <xf numFmtId="166" fontId="3" fillId="4" borderId="0" xfId="1" applyNumberFormat="1" applyFont="1" applyFill="1" applyAlignment="1">
      <alignment vertical="top"/>
    </xf>
    <xf numFmtId="166" fontId="8" fillId="0" borderId="0" xfId="1" applyNumberFormat="1" applyFont="1" applyFill="1" applyAlignment="1">
      <alignment vertical="top"/>
    </xf>
    <xf numFmtId="0" fontId="27" fillId="0" borderId="0" xfId="0" applyFont="1" applyAlignment="1">
      <alignment vertical="top"/>
    </xf>
    <xf numFmtId="39" fontId="8" fillId="0" borderId="0" xfId="0" applyNumberFormat="1" applyFont="1" applyAlignment="1">
      <alignment vertical="top"/>
    </xf>
    <xf numFmtId="39" fontId="12" fillId="4" borderId="0" xfId="3" applyNumberFormat="1" applyFont="1" applyFill="1" applyAlignment="1">
      <alignment horizontal="right" vertical="top"/>
    </xf>
    <xf numFmtId="166" fontId="3" fillId="0" borderId="0" xfId="1" applyNumberFormat="1" applyFont="1" applyFill="1" applyAlignment="1">
      <alignment horizontal="right" vertical="top"/>
    </xf>
    <xf numFmtId="39" fontId="3" fillId="0" borderId="0" xfId="3" applyNumberFormat="1" applyFont="1" applyFill="1" applyAlignment="1">
      <alignment vertical="top"/>
    </xf>
    <xf numFmtId="39" fontId="27" fillId="0" borderId="0" xfId="1" applyNumberFormat="1" applyFont="1" applyAlignment="1">
      <alignment vertical="top"/>
    </xf>
    <xf numFmtId="166" fontId="27" fillId="0" borderId="0" xfId="1" applyNumberFormat="1" applyFont="1" applyAlignment="1">
      <alignment vertical="top"/>
    </xf>
    <xf numFmtId="39" fontId="27" fillId="0" borderId="0" xfId="3" applyNumberFormat="1" applyFont="1" applyAlignment="1">
      <alignment vertical="top"/>
    </xf>
    <xf numFmtId="39" fontId="27" fillId="0" borderId="0" xfId="0" applyNumberFormat="1" applyFont="1" applyAlignment="1">
      <alignment vertical="top"/>
    </xf>
    <xf numFmtId="0" fontId="26" fillId="0" borderId="0" xfId="0" applyFont="1" applyAlignment="1">
      <alignment vertical="top"/>
    </xf>
    <xf numFmtId="0" fontId="28" fillId="0" borderId="0" xfId="0" applyFont="1" applyAlignment="1">
      <alignment vertical="top"/>
    </xf>
    <xf numFmtId="0" fontId="29" fillId="0" borderId="0" xfId="0" applyFont="1" applyAlignment="1">
      <alignment vertical="top"/>
    </xf>
    <xf numFmtId="0" fontId="25" fillId="0" borderId="0" xfId="0" applyFont="1" applyAlignment="1">
      <alignment vertical="top"/>
    </xf>
    <xf numFmtId="0" fontId="1" fillId="0" borderId="0" xfId="0" applyFont="1" applyAlignment="1">
      <alignment vertical="top"/>
    </xf>
    <xf numFmtId="165" fontId="30" fillId="0" borderId="0" xfId="3" applyFont="1" applyAlignment="1">
      <alignment vertical="top"/>
    </xf>
    <xf numFmtId="39" fontId="5" fillId="0" borderId="0" xfId="1" applyNumberFormat="1" applyFont="1" applyFill="1" applyAlignment="1">
      <alignment vertical="top"/>
    </xf>
    <xf numFmtId="166" fontId="5" fillId="0" borderId="0" xfId="1" applyNumberFormat="1" applyFont="1" applyFill="1" applyAlignment="1">
      <alignment vertical="top"/>
    </xf>
    <xf numFmtId="39" fontId="5" fillId="0" borderId="0" xfId="3" applyNumberFormat="1" applyFont="1" applyAlignment="1">
      <alignment vertical="top"/>
    </xf>
    <xf numFmtId="39" fontId="5" fillId="0" borderId="0" xfId="0" applyNumberFormat="1" applyFont="1" applyAlignment="1">
      <alignment vertical="top"/>
    </xf>
    <xf numFmtId="165" fontId="3" fillId="0" borderId="0" xfId="3" applyFont="1" applyAlignment="1">
      <alignment horizontal="right" vertical="top"/>
    </xf>
    <xf numFmtId="166" fontId="30" fillId="0" borderId="0" xfId="1" applyNumberFormat="1" applyFont="1" applyAlignment="1">
      <alignment vertical="top"/>
    </xf>
    <xf numFmtId="166" fontId="30" fillId="0" borderId="0" xfId="0" applyNumberFormat="1" applyFont="1" applyAlignment="1">
      <alignment vertical="top"/>
    </xf>
    <xf numFmtId="39" fontId="31" fillId="6" borderId="0" xfId="3" applyNumberFormat="1" applyFont="1" applyFill="1" applyAlignment="1">
      <alignment horizontal="right" vertical="top"/>
    </xf>
    <xf numFmtId="39" fontId="31" fillId="6" borderId="0" xfId="1" applyNumberFormat="1" applyFont="1" applyFill="1" applyAlignment="1">
      <alignment horizontal="right" vertical="top"/>
    </xf>
    <xf numFmtId="39" fontId="32" fillId="5" borderId="0" xfId="3" applyNumberFormat="1" applyFont="1" applyFill="1" applyAlignment="1">
      <alignment horizontal="right" vertical="top"/>
    </xf>
    <xf numFmtId="39" fontId="5" fillId="0" borderId="0" xfId="1" applyNumberFormat="1" applyFont="1" applyAlignment="1">
      <alignment vertical="top"/>
    </xf>
    <xf numFmtId="166" fontId="5" fillId="0" borderId="0" xfId="1" applyNumberFormat="1" applyFont="1" applyAlignment="1">
      <alignment vertical="top"/>
    </xf>
    <xf numFmtId="39" fontId="32" fillId="5" borderId="0" xfId="1" applyNumberFormat="1" applyFont="1" applyFill="1" applyAlignment="1">
      <alignment horizontal="right" vertical="top"/>
    </xf>
    <xf numFmtId="39" fontId="9" fillId="0" borderId="0" xfId="1" applyNumberFormat="1" applyFont="1" applyAlignment="1">
      <alignment vertical="top"/>
    </xf>
    <xf numFmtId="166" fontId="9" fillId="0" borderId="0" xfId="1" applyNumberFormat="1" applyFont="1" applyAlignment="1">
      <alignment vertical="top"/>
    </xf>
    <xf numFmtId="39" fontId="9" fillId="0" borderId="0" xfId="3" applyNumberFormat="1" applyFont="1" applyAlignment="1">
      <alignment vertical="top"/>
    </xf>
    <xf numFmtId="3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horizontal="right" vertical="top"/>
    </xf>
    <xf numFmtId="39" fontId="31" fillId="6" borderId="0" xfId="3" applyNumberFormat="1" applyFont="1" applyFill="1" applyAlignment="1">
      <alignment vertical="top"/>
    </xf>
    <xf numFmtId="39" fontId="20" fillId="0" borderId="0" xfId="3" applyNumberFormat="1" applyFont="1" applyAlignment="1">
      <alignment vertical="top"/>
    </xf>
    <xf numFmtId="39" fontId="20" fillId="0" borderId="0" xfId="0" applyNumberFormat="1" applyFont="1" applyAlignment="1">
      <alignment vertical="top"/>
    </xf>
    <xf numFmtId="4" fontId="20" fillId="0" borderId="0" xfId="0" applyNumberFormat="1" applyFont="1" applyAlignment="1">
      <alignment horizontal="right" vertical="top"/>
    </xf>
    <xf numFmtId="39" fontId="33" fillId="5" borderId="0" xfId="3" applyNumberFormat="1" applyFont="1" applyFill="1" applyAlignment="1">
      <alignment horizontal="right" vertical="top"/>
    </xf>
    <xf numFmtId="39" fontId="34" fillId="6" borderId="0" xfId="3" applyNumberFormat="1" applyFont="1" applyFill="1" applyAlignment="1">
      <alignment horizontal="right" vertical="top"/>
    </xf>
    <xf numFmtId="0" fontId="25" fillId="9" borderId="5" xfId="0" applyFont="1" applyFill="1" applyBorder="1" applyAlignment="1">
      <alignment horizontal="center" vertical="center" wrapText="1"/>
    </xf>
    <xf numFmtId="0" fontId="25" fillId="9" borderId="8" xfId="0" applyFont="1" applyFill="1" applyBorder="1" applyAlignment="1">
      <alignment horizontal="center" vertical="center" wrapText="1"/>
    </xf>
    <xf numFmtId="165" fontId="26" fillId="0" borderId="10" xfId="3" applyFont="1" applyFill="1" applyBorder="1" applyAlignment="1" applyProtection="1">
      <alignment horizontal="right" vertical="center"/>
    </xf>
    <xf numFmtId="165" fontId="25" fillId="10" borderId="6" xfId="3" applyFont="1" applyFill="1" applyBorder="1" applyAlignment="1" applyProtection="1">
      <alignment horizontal="right" vertical="center"/>
    </xf>
    <xf numFmtId="165" fontId="25" fillId="10" borderId="10" xfId="3" applyFont="1" applyFill="1" applyBorder="1" applyAlignment="1" applyProtection="1">
      <alignment horizontal="right" vertical="center"/>
    </xf>
    <xf numFmtId="165" fontId="26" fillId="0" borderId="17" xfId="3" applyFont="1" applyFill="1" applyBorder="1" applyAlignment="1" applyProtection="1">
      <alignment horizontal="right" vertical="center"/>
    </xf>
    <xf numFmtId="165" fontId="25" fillId="10" borderId="17" xfId="3" applyFont="1" applyFill="1" applyBorder="1" applyAlignment="1" applyProtection="1">
      <alignment horizontal="right" vertical="center"/>
    </xf>
    <xf numFmtId="0" fontId="25" fillId="10" borderId="15" xfId="0" applyFont="1" applyFill="1" applyBorder="1" applyAlignment="1">
      <alignment horizontal="left" vertical="center" indent="1"/>
    </xf>
    <xf numFmtId="165" fontId="25" fillId="10" borderId="16" xfId="3" applyFont="1" applyFill="1" applyBorder="1" applyAlignment="1" applyProtection="1">
      <alignment horizontal="right" vertical="center"/>
      <protection locked="0"/>
    </xf>
    <xf numFmtId="165" fontId="25" fillId="10" borderId="16" xfId="3" applyFont="1" applyFill="1" applyBorder="1" applyAlignment="1" applyProtection="1">
      <alignment horizontal="right" vertical="center"/>
    </xf>
    <xf numFmtId="165" fontId="25" fillId="10" borderId="18" xfId="3" applyFont="1" applyFill="1" applyBorder="1" applyAlignment="1" applyProtection="1">
      <alignment horizontal="right" vertical="center"/>
    </xf>
    <xf numFmtId="165" fontId="25" fillId="10" borderId="19" xfId="3" applyFont="1" applyFill="1" applyBorder="1" applyAlignment="1" applyProtection="1">
      <alignment horizontal="right" vertical="center"/>
    </xf>
    <xf numFmtId="166" fontId="9" fillId="0" borderId="0" xfId="1" applyNumberFormat="1" applyFont="1" applyAlignment="1">
      <alignment horizontal="right" vertical="top"/>
    </xf>
    <xf numFmtId="166" fontId="9" fillId="0" borderId="0" xfId="0" applyNumberFormat="1" applyFont="1" applyAlignment="1">
      <alignment vertical="top"/>
    </xf>
    <xf numFmtId="0" fontId="35" fillId="0" borderId="0" xfId="0" applyFont="1" applyAlignment="1">
      <alignment vertical="top"/>
    </xf>
    <xf numFmtId="166" fontId="35" fillId="0" borderId="0" xfId="1" applyNumberFormat="1" applyFont="1" applyAlignment="1">
      <alignment horizontal="right" vertical="top"/>
    </xf>
    <xf numFmtId="166" fontId="35" fillId="0" borderId="0" xfId="1" applyNumberFormat="1" applyFont="1" applyAlignment="1">
      <alignment vertical="top"/>
    </xf>
    <xf numFmtId="39" fontId="35" fillId="0" borderId="0" xfId="1" applyNumberFormat="1" applyFont="1" applyAlignment="1">
      <alignment vertical="top"/>
    </xf>
    <xf numFmtId="39" fontId="35" fillId="0" borderId="0" xfId="3" applyNumberFormat="1" applyFont="1" applyAlignment="1">
      <alignment vertical="top"/>
    </xf>
    <xf numFmtId="166" fontId="35" fillId="0" borderId="0" xfId="0" applyNumberFormat="1" applyFont="1" applyAlignment="1">
      <alignment vertical="top"/>
    </xf>
    <xf numFmtId="165" fontId="35" fillId="0" borderId="0" xfId="3" applyFont="1" applyAlignment="1">
      <alignment vertical="top"/>
    </xf>
    <xf numFmtId="0" fontId="25" fillId="0" borderId="5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left" vertical="center" indent="1"/>
    </xf>
    <xf numFmtId="165" fontId="25" fillId="0" borderId="6" xfId="3" applyFont="1" applyFill="1" applyBorder="1" applyAlignment="1" applyProtection="1">
      <alignment horizontal="right" vertical="center"/>
    </xf>
    <xf numFmtId="165" fontId="5" fillId="0" borderId="0" xfId="0" applyNumberFormat="1" applyFont="1" applyAlignment="1">
      <alignment vertical="top"/>
    </xf>
    <xf numFmtId="0" fontId="25" fillId="0" borderId="15" xfId="0" applyFont="1" applyBorder="1" applyAlignment="1">
      <alignment horizontal="left" vertical="center" indent="1"/>
    </xf>
    <xf numFmtId="165" fontId="25" fillId="0" borderId="16" xfId="3" applyFont="1" applyFill="1" applyBorder="1" applyAlignment="1" applyProtection="1">
      <alignment horizontal="right" vertical="center"/>
    </xf>
    <xf numFmtId="0" fontId="35" fillId="0" borderId="13" xfId="0" applyFont="1" applyBorder="1" applyAlignment="1">
      <alignment horizontal="left" vertical="center" indent="3"/>
    </xf>
    <xf numFmtId="165" fontId="36" fillId="0" borderId="0" xfId="3" applyFont="1" applyFill="1" applyAlignment="1">
      <alignment vertical="top"/>
    </xf>
    <xf numFmtId="0" fontId="36" fillId="0" borderId="12" xfId="0" applyFont="1" applyBorder="1" applyAlignment="1">
      <alignment horizontal="left" vertical="center" indent="1"/>
    </xf>
    <xf numFmtId="0" fontId="36" fillId="0" borderId="13" xfId="0" applyFont="1" applyBorder="1" applyAlignment="1">
      <alignment horizontal="left" vertical="center" indent="3"/>
    </xf>
    <xf numFmtId="165" fontId="36" fillId="0" borderId="6" xfId="3" applyFont="1" applyFill="1" applyBorder="1" applyAlignment="1" applyProtection="1">
      <alignment horizontal="right" vertical="center"/>
      <protection locked="0"/>
    </xf>
    <xf numFmtId="165" fontId="36" fillId="0" borderId="6" xfId="3" applyFont="1" applyFill="1" applyBorder="1" applyAlignment="1" applyProtection="1">
      <alignment horizontal="right" vertical="center"/>
    </xf>
    <xf numFmtId="165" fontId="36" fillId="0" borderId="10" xfId="3" applyFont="1" applyFill="1" applyBorder="1" applyAlignment="1" applyProtection="1">
      <alignment horizontal="right" vertical="center"/>
    </xf>
    <xf numFmtId="165" fontId="36" fillId="0" borderId="17" xfId="3" applyFont="1" applyFill="1" applyBorder="1" applyAlignment="1" applyProtection="1">
      <alignment horizontal="right" vertical="center"/>
    </xf>
    <xf numFmtId="0" fontId="36" fillId="0" borderId="0" xfId="0" applyFont="1" applyAlignment="1">
      <alignment vertical="top"/>
    </xf>
    <xf numFmtId="165" fontId="36" fillId="0" borderId="0" xfId="0" applyNumberFormat="1" applyFont="1" applyAlignment="1">
      <alignment vertical="top"/>
    </xf>
    <xf numFmtId="165" fontId="36" fillId="0" borderId="0" xfId="3" applyFont="1" applyAlignment="1">
      <alignment vertical="top"/>
    </xf>
    <xf numFmtId="166" fontId="27" fillId="0" borderId="0" xfId="1" applyNumberFormat="1" applyFont="1" applyAlignment="1">
      <alignment horizontal="right" vertical="top"/>
    </xf>
    <xf numFmtId="166" fontId="27" fillId="0" borderId="0" xfId="0" applyNumberFormat="1" applyFont="1" applyAlignment="1">
      <alignment vertical="top"/>
    </xf>
    <xf numFmtId="166" fontId="5" fillId="0" borderId="0" xfId="1" applyNumberFormat="1" applyFont="1" applyAlignment="1">
      <alignment horizontal="right" vertical="top"/>
    </xf>
    <xf numFmtId="166" fontId="5" fillId="0" borderId="0" xfId="0" applyNumberFormat="1" applyFont="1" applyAlignment="1">
      <alignment vertical="top"/>
    </xf>
    <xf numFmtId="173" fontId="7" fillId="0" borderId="0" xfId="0" applyNumberFormat="1" applyFont="1" applyAlignment="1">
      <alignment vertical="top"/>
    </xf>
    <xf numFmtId="172" fontId="7" fillId="0" borderId="0" xfId="0" applyNumberFormat="1" applyFont="1" applyAlignment="1">
      <alignment vertical="top"/>
    </xf>
    <xf numFmtId="165" fontId="25" fillId="10" borderId="7" xfId="3" applyFont="1" applyFill="1" applyBorder="1" applyAlignment="1" applyProtection="1">
      <alignment horizontal="left" vertical="center"/>
    </xf>
    <xf numFmtId="165" fontId="26" fillId="0" borderId="22" xfId="3" applyFont="1" applyFill="1" applyBorder="1" applyAlignment="1" applyProtection="1">
      <alignment horizontal="right" vertical="center"/>
    </xf>
    <xf numFmtId="0" fontId="25" fillId="10" borderId="14" xfId="0" applyFont="1" applyFill="1" applyBorder="1" applyAlignment="1">
      <alignment horizontal="left" vertical="center" indent="1"/>
    </xf>
    <xf numFmtId="165" fontId="25" fillId="10" borderId="23" xfId="3" applyFont="1" applyFill="1" applyBorder="1" applyAlignment="1" applyProtection="1">
      <alignment horizontal="left" vertical="center"/>
    </xf>
    <xf numFmtId="0" fontId="26" fillId="0" borderId="15" xfId="0" applyFont="1" applyBorder="1" applyAlignment="1">
      <alignment horizontal="left" vertical="center" indent="1"/>
    </xf>
    <xf numFmtId="165" fontId="26" fillId="0" borderId="16" xfId="3" applyFont="1" applyFill="1" applyBorder="1" applyAlignment="1" applyProtection="1">
      <alignment horizontal="right" vertical="center"/>
    </xf>
    <xf numFmtId="165" fontId="26" fillId="0" borderId="24" xfId="3" applyFont="1" applyFill="1" applyBorder="1" applyAlignment="1" applyProtection="1">
      <alignment horizontal="right" vertical="center"/>
    </xf>
    <xf numFmtId="0" fontId="25" fillId="9" borderId="30" xfId="0" applyFont="1" applyFill="1" applyBorder="1" applyAlignment="1">
      <alignment vertical="center" wrapText="1"/>
    </xf>
    <xf numFmtId="0" fontId="25" fillId="9" borderId="31" xfId="0" applyFont="1" applyFill="1" applyBorder="1" applyAlignment="1">
      <alignment vertical="center" wrapText="1"/>
    </xf>
    <xf numFmtId="165" fontId="26" fillId="0" borderId="25" xfId="3" applyFont="1" applyFill="1" applyBorder="1" applyAlignment="1" applyProtection="1">
      <alignment horizontal="right" vertical="center"/>
    </xf>
    <xf numFmtId="165" fontId="26" fillId="13" borderId="10" xfId="3" applyFont="1" applyFill="1" applyBorder="1" applyAlignment="1" applyProtection="1">
      <alignment horizontal="right" vertical="center"/>
    </xf>
    <xf numFmtId="165" fontId="26" fillId="14" borderId="10" xfId="3" applyFont="1" applyFill="1" applyBorder="1" applyAlignment="1" applyProtection="1">
      <alignment horizontal="right" vertical="center"/>
      <protection locked="0"/>
    </xf>
    <xf numFmtId="165" fontId="26" fillId="0" borderId="10" xfId="3" applyFont="1" applyFill="1" applyBorder="1" applyAlignment="1" applyProtection="1">
      <alignment horizontal="right" vertical="center"/>
      <protection locked="0"/>
    </xf>
    <xf numFmtId="165" fontId="26" fillId="0" borderId="37" xfId="3" applyFont="1" applyFill="1" applyBorder="1" applyAlignment="1" applyProtection="1">
      <alignment horizontal="right" vertical="center"/>
    </xf>
    <xf numFmtId="165" fontId="26" fillId="0" borderId="38" xfId="3" applyFont="1" applyFill="1" applyBorder="1" applyAlignment="1" applyProtection="1">
      <alignment horizontal="right" vertical="center"/>
    </xf>
    <xf numFmtId="165" fontId="26" fillId="0" borderId="39" xfId="3" applyFont="1" applyFill="1" applyBorder="1" applyAlignment="1" applyProtection="1">
      <alignment horizontal="right" vertical="center"/>
    </xf>
    <xf numFmtId="165" fontId="26" fillId="0" borderId="40" xfId="3" applyFont="1" applyFill="1" applyBorder="1" applyAlignment="1" applyProtection="1">
      <alignment horizontal="right" vertical="center"/>
    </xf>
    <xf numFmtId="165" fontId="26" fillId="0" borderId="41" xfId="3" applyFont="1" applyFill="1" applyBorder="1" applyAlignment="1" applyProtection="1">
      <alignment horizontal="right" vertical="center"/>
    </xf>
    <xf numFmtId="165" fontId="26" fillId="0" borderId="42" xfId="3" applyFont="1" applyFill="1" applyBorder="1" applyAlignment="1" applyProtection="1">
      <alignment horizontal="right" vertical="center"/>
    </xf>
    <xf numFmtId="165" fontId="26" fillId="0" borderId="43" xfId="3" applyFont="1" applyFill="1" applyBorder="1" applyAlignment="1" applyProtection="1">
      <alignment horizontal="right" vertical="center"/>
    </xf>
    <xf numFmtId="165" fontId="26" fillId="0" borderId="44" xfId="3" applyFont="1" applyFill="1" applyBorder="1" applyAlignment="1" applyProtection="1">
      <alignment horizontal="right" vertical="center"/>
    </xf>
    <xf numFmtId="165" fontId="26" fillId="0" borderId="26" xfId="3" applyFont="1" applyFill="1" applyBorder="1" applyAlignment="1" applyProtection="1">
      <alignment horizontal="right" vertical="center"/>
    </xf>
    <xf numFmtId="10" fontId="26" fillId="0" borderId="10" xfId="3" applyNumberFormat="1" applyFont="1" applyFill="1" applyBorder="1" applyAlignment="1" applyProtection="1">
      <alignment horizontal="right" vertical="center"/>
    </xf>
    <xf numFmtId="165" fontId="26" fillId="13" borderId="17" xfId="3" applyFont="1" applyFill="1" applyBorder="1" applyAlignment="1" applyProtection="1">
      <alignment horizontal="right" vertical="center"/>
    </xf>
    <xf numFmtId="165" fontId="26" fillId="14" borderId="17" xfId="3" applyFont="1" applyFill="1" applyBorder="1" applyAlignment="1" applyProtection="1">
      <alignment horizontal="right" vertical="center"/>
      <protection locked="0"/>
    </xf>
    <xf numFmtId="165" fontId="26" fillId="0" borderId="17" xfId="3" applyFont="1" applyFill="1" applyBorder="1" applyAlignment="1" applyProtection="1">
      <alignment horizontal="right" vertical="center"/>
      <protection locked="0"/>
    </xf>
    <xf numFmtId="0" fontId="26" fillId="0" borderId="12" xfId="0" applyFont="1" applyBorder="1" applyAlignment="1">
      <alignment horizontal="left" vertical="center"/>
    </xf>
    <xf numFmtId="165" fontId="26" fillId="0" borderId="45" xfId="3" applyFont="1" applyFill="1" applyBorder="1" applyAlignment="1" applyProtection="1">
      <alignment horizontal="right" vertical="center"/>
    </xf>
    <xf numFmtId="165" fontId="26" fillId="0" borderId="46" xfId="3" applyFont="1" applyFill="1" applyBorder="1" applyAlignment="1" applyProtection="1">
      <alignment horizontal="right" vertical="center"/>
    </xf>
    <xf numFmtId="10" fontId="26" fillId="0" borderId="17" xfId="3" applyNumberFormat="1" applyFont="1" applyFill="1" applyBorder="1" applyAlignment="1" applyProtection="1">
      <alignment horizontal="right" vertical="center"/>
    </xf>
    <xf numFmtId="165" fontId="26" fillId="0" borderId="47" xfId="3" applyFont="1" applyFill="1" applyBorder="1" applyAlignment="1" applyProtection="1">
      <alignment horizontal="right" vertical="center"/>
    </xf>
    <xf numFmtId="165" fontId="26" fillId="0" borderId="18" xfId="3" applyFont="1" applyFill="1" applyBorder="1" applyAlignment="1" applyProtection="1">
      <alignment horizontal="right" vertical="center"/>
    </xf>
    <xf numFmtId="165" fontId="26" fillId="0" borderId="19" xfId="3" applyFont="1" applyFill="1" applyBorder="1" applyAlignment="1" applyProtection="1">
      <alignment horizontal="right" vertical="center"/>
    </xf>
    <xf numFmtId="0" fontId="3" fillId="0" borderId="0" xfId="0" applyFont="1"/>
    <xf numFmtId="174" fontId="26" fillId="0" borderId="6" xfId="3" applyNumberFormat="1" applyFont="1" applyFill="1" applyBorder="1" applyAlignment="1" applyProtection="1">
      <alignment horizontal="right" vertical="center"/>
    </xf>
    <xf numFmtId="165" fontId="26" fillId="16" borderId="6" xfId="3" applyFont="1" applyFill="1" applyBorder="1" applyAlignment="1" applyProtection="1">
      <alignment horizontal="right" vertical="center"/>
    </xf>
    <xf numFmtId="0" fontId="25" fillId="10" borderId="14" xfId="0" applyFont="1" applyFill="1" applyBorder="1" applyAlignment="1">
      <alignment horizontal="left" vertical="center" indent="3"/>
    </xf>
    <xf numFmtId="0" fontId="25" fillId="0" borderId="48" xfId="0" applyFont="1" applyBorder="1" applyAlignment="1">
      <alignment horizontal="left" vertical="center" indent="1"/>
    </xf>
    <xf numFmtId="174" fontId="25" fillId="0" borderId="49" xfId="3" applyNumberFormat="1" applyFont="1" applyFill="1" applyBorder="1" applyAlignment="1" applyProtection="1">
      <alignment horizontal="left" vertical="center"/>
    </xf>
    <xf numFmtId="0" fontId="25" fillId="0" borderId="14" xfId="0" applyFont="1" applyBorder="1" applyAlignment="1">
      <alignment horizontal="left" vertical="center" indent="1"/>
    </xf>
    <xf numFmtId="165" fontId="25" fillId="0" borderId="7" xfId="3" applyFont="1" applyFill="1" applyBorder="1" applyAlignment="1" applyProtection="1">
      <alignment horizontal="left" vertical="center"/>
    </xf>
    <xf numFmtId="0" fontId="26" fillId="0" borderId="12" xfId="0" applyFont="1" applyBorder="1" applyAlignment="1" applyProtection="1">
      <alignment horizontal="left" vertical="center" indent="1"/>
      <protection locked="0"/>
    </xf>
    <xf numFmtId="0" fontId="25" fillId="10" borderId="14" xfId="0" applyFont="1" applyFill="1" applyBorder="1" applyAlignment="1" applyProtection="1">
      <alignment horizontal="left" vertical="center" indent="1"/>
      <protection locked="0"/>
    </xf>
    <xf numFmtId="165" fontId="25" fillId="10" borderId="7" xfId="3" applyFont="1" applyFill="1" applyBorder="1" applyAlignment="1" applyProtection="1">
      <alignment horizontal="left" vertical="center"/>
      <protection locked="0"/>
    </xf>
    <xf numFmtId="0" fontId="37" fillId="0" borderId="48" xfId="0" applyFont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3"/>
    </xf>
    <xf numFmtId="165" fontId="25" fillId="0" borderId="6" xfId="3" applyFont="1" applyFill="1" applyBorder="1" applyAlignment="1" applyProtection="1">
      <alignment horizontal="left" vertical="center"/>
    </xf>
    <xf numFmtId="0" fontId="25" fillId="0" borderId="12" xfId="0" applyFont="1" applyBorder="1" applyAlignment="1" applyProtection="1">
      <alignment horizontal="left" vertical="center" indent="3"/>
      <protection locked="0"/>
    </xf>
    <xf numFmtId="165" fontId="25" fillId="0" borderId="6" xfId="3" applyFont="1" applyFill="1" applyBorder="1" applyAlignment="1" applyProtection="1">
      <alignment horizontal="right" vertical="center"/>
      <protection locked="0"/>
    </xf>
    <xf numFmtId="165" fontId="25" fillId="16" borderId="6" xfId="3" applyFont="1" applyFill="1" applyBorder="1" applyAlignment="1" applyProtection="1">
      <alignment horizontal="right" vertical="center"/>
      <protection locked="0"/>
    </xf>
    <xf numFmtId="0" fontId="25" fillId="0" borderId="15" xfId="0" applyFont="1" applyBorder="1" applyAlignment="1">
      <alignment horizontal="left" vertical="center" indent="3"/>
    </xf>
    <xf numFmtId="165" fontId="25" fillId="0" borderId="16" xfId="3" applyFont="1" applyFill="1" applyBorder="1" applyAlignment="1" applyProtection="1">
      <alignment horizontal="left" vertical="center"/>
    </xf>
    <xf numFmtId="165" fontId="25" fillId="16" borderId="16" xfId="3" applyFont="1" applyFill="1" applyBorder="1" applyAlignment="1" applyProtection="1">
      <alignment horizontal="right" vertical="center"/>
    </xf>
    <xf numFmtId="0" fontId="25" fillId="0" borderId="50" xfId="0" applyFont="1" applyBorder="1" applyAlignment="1">
      <alignment horizontal="left" vertical="center" indent="3"/>
    </xf>
    <xf numFmtId="165" fontId="25" fillId="0" borderId="50" xfId="3" applyFont="1" applyFill="1" applyBorder="1" applyAlignment="1" applyProtection="1">
      <alignment horizontal="left" vertical="center"/>
    </xf>
    <xf numFmtId="0" fontId="25" fillId="0" borderId="51" xfId="0" applyFont="1" applyBorder="1" applyAlignment="1">
      <alignment horizontal="left" vertical="center" indent="3"/>
    </xf>
    <xf numFmtId="165" fontId="25" fillId="0" borderId="51" xfId="3" applyFont="1" applyFill="1" applyBorder="1" applyAlignment="1" applyProtection="1">
      <alignment horizontal="left" vertical="center"/>
    </xf>
    <xf numFmtId="165" fontId="26" fillId="0" borderId="51" xfId="3" applyFont="1" applyFill="1" applyBorder="1" applyAlignment="1" applyProtection="1">
      <alignment horizontal="right" vertical="center"/>
      <protection locked="0"/>
    </xf>
    <xf numFmtId="165" fontId="26" fillId="0" borderId="0" xfId="3" applyFont="1" applyFill="1" applyBorder="1" applyAlignment="1" applyProtection="1">
      <alignment horizontal="right" vertical="center"/>
      <protection locked="0"/>
    </xf>
    <xf numFmtId="0" fontId="25" fillId="0" borderId="54" xfId="0" applyFont="1" applyBorder="1" applyAlignment="1">
      <alignment horizontal="left" vertical="center" indent="1"/>
    </xf>
    <xf numFmtId="165" fontId="25" fillId="0" borderId="55" xfId="3" applyFont="1" applyFill="1" applyBorder="1" applyAlignment="1" applyProtection="1">
      <alignment horizontal="left" vertical="center"/>
    </xf>
    <xf numFmtId="174" fontId="26" fillId="0" borderId="22" xfId="3" applyNumberFormat="1" applyFont="1" applyFill="1" applyBorder="1" applyAlignment="1" applyProtection="1">
      <alignment horizontal="right" vertical="center"/>
    </xf>
    <xf numFmtId="174" fontId="25" fillId="0" borderId="56" xfId="3" applyNumberFormat="1" applyFont="1" applyFill="1" applyBorder="1" applyAlignment="1" applyProtection="1">
      <alignment horizontal="left" vertical="center"/>
    </xf>
    <xf numFmtId="165" fontId="25" fillId="0" borderId="23" xfId="3" applyFont="1" applyFill="1" applyBorder="1" applyAlignment="1" applyProtection="1">
      <alignment horizontal="left" vertical="center"/>
    </xf>
    <xf numFmtId="165" fontId="25" fillId="10" borderId="23" xfId="3" applyFont="1" applyFill="1" applyBorder="1" applyAlignment="1" applyProtection="1">
      <alignment horizontal="left" vertical="center"/>
      <protection locked="0"/>
    </xf>
    <xf numFmtId="165" fontId="25" fillId="0" borderId="22" xfId="3" applyFont="1" applyFill="1" applyBorder="1" applyAlignment="1" applyProtection="1">
      <alignment horizontal="left" vertical="center"/>
    </xf>
    <xf numFmtId="165" fontId="25" fillId="0" borderId="22" xfId="3" applyFont="1" applyFill="1" applyBorder="1" applyAlignment="1" applyProtection="1">
      <alignment horizontal="right" vertical="center"/>
      <protection locked="0"/>
    </xf>
    <xf numFmtId="165" fontId="25" fillId="0" borderId="24" xfId="3" applyFont="1" applyFill="1" applyBorder="1" applyAlignment="1" applyProtection="1">
      <alignment horizontal="left" vertical="center"/>
    </xf>
    <xf numFmtId="165" fontId="25" fillId="10" borderId="22" xfId="3" applyFont="1" applyFill="1" applyBorder="1" applyAlignment="1" applyProtection="1">
      <alignment horizontal="right" vertical="center"/>
    </xf>
    <xf numFmtId="165" fontId="25" fillId="10" borderId="24" xfId="3" applyFont="1" applyFill="1" applyBorder="1" applyAlignment="1" applyProtection="1">
      <alignment horizontal="right" vertical="center"/>
    </xf>
    <xf numFmtId="0" fontId="2" fillId="0" borderId="0" xfId="0" applyFont="1" applyAlignment="1">
      <alignment vertical="top"/>
    </xf>
    <xf numFmtId="0" fontId="25" fillId="9" borderId="3" xfId="0" applyFont="1" applyFill="1" applyBorder="1" applyAlignment="1">
      <alignment horizontal="center" vertical="center" wrapText="1"/>
    </xf>
    <xf numFmtId="0" fontId="25" fillId="9" borderId="2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25" fillId="9" borderId="11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5" fillId="9" borderId="20" xfId="0" applyFont="1" applyFill="1" applyBorder="1" applyAlignment="1">
      <alignment horizontal="center" vertical="center" wrapText="1"/>
    </xf>
    <xf numFmtId="0" fontId="25" fillId="9" borderId="4" xfId="0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25" fillId="9" borderId="27" xfId="0" applyFont="1" applyFill="1" applyBorder="1" applyAlignment="1">
      <alignment horizontal="center" vertical="center" wrapText="1"/>
    </xf>
    <xf numFmtId="0" fontId="25" fillId="9" borderId="28" xfId="0" applyFont="1" applyFill="1" applyBorder="1" applyAlignment="1">
      <alignment horizontal="center" vertical="center" wrapText="1"/>
    </xf>
    <xf numFmtId="0" fontId="25" fillId="9" borderId="34" xfId="0" applyFont="1" applyFill="1" applyBorder="1" applyAlignment="1">
      <alignment horizontal="center" vertical="center" wrapText="1"/>
    </xf>
    <xf numFmtId="0" fontId="25" fillId="9" borderId="35" xfId="0" applyFont="1" applyFill="1" applyBorder="1" applyAlignment="1">
      <alignment horizontal="center" vertical="center" wrapText="1"/>
    </xf>
    <xf numFmtId="0" fontId="25" fillId="9" borderId="29" xfId="0" applyFont="1" applyFill="1" applyBorder="1" applyAlignment="1">
      <alignment horizontal="center" vertical="center" wrapText="1"/>
    </xf>
    <xf numFmtId="0" fontId="25" fillId="9" borderId="30" xfId="0" applyFont="1" applyFill="1" applyBorder="1" applyAlignment="1">
      <alignment horizontal="center" vertical="center" wrapText="1"/>
    </xf>
    <xf numFmtId="0" fontId="25" fillId="9" borderId="32" xfId="0" applyFont="1" applyFill="1" applyBorder="1" applyAlignment="1">
      <alignment horizontal="center" vertical="center" wrapText="1"/>
    </xf>
    <xf numFmtId="0" fontId="25" fillId="9" borderId="36" xfId="0" applyFont="1" applyFill="1" applyBorder="1" applyAlignment="1">
      <alignment horizontal="center" vertical="center" wrapText="1"/>
    </xf>
    <xf numFmtId="0" fontId="25" fillId="9" borderId="33" xfId="0" applyFont="1" applyFill="1" applyBorder="1" applyAlignment="1">
      <alignment horizontal="center" vertical="center" wrapText="1"/>
    </xf>
    <xf numFmtId="0" fontId="25" fillId="9" borderId="52" xfId="0" applyFont="1" applyFill="1" applyBorder="1" applyAlignment="1">
      <alignment horizontal="center" vertical="center" wrapText="1"/>
    </xf>
    <xf numFmtId="0" fontId="25" fillId="9" borderId="53" xfId="0" applyFont="1" applyFill="1" applyBorder="1" applyAlignment="1">
      <alignment horizontal="center" vertical="center" wrapText="1"/>
    </xf>
    <xf numFmtId="0" fontId="25" fillId="15" borderId="2" xfId="0" applyFont="1" applyFill="1" applyBorder="1" applyAlignment="1">
      <alignment horizontal="center" vertical="center" wrapText="1"/>
    </xf>
    <xf numFmtId="0" fontId="25" fillId="9" borderId="31" xfId="0" applyFont="1" applyFill="1" applyBorder="1" applyAlignment="1">
      <alignment horizontal="center" vertical="center" wrapText="1"/>
    </xf>
  </cellXfs>
  <cellStyles count="4">
    <cellStyle name="Comma" xfId="3" builtinId="3"/>
    <cellStyle name="Comma [0]" xfId="1" builtinId="6"/>
    <cellStyle name="Normal" xfId="0" builtinId="0"/>
    <cellStyle name="Percent" xfId="2" builtinId="5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33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xupj21cwh\Videos\F.01%20MAR.XLSX" TargetMode="External"/><Relationship Id="rId1" Type="http://schemas.openxmlformats.org/officeDocument/2006/relationships/externalLinkPath" Target="file:///D:\Users\xupj21cwh\Videos\F.01%20MA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xupj21cwh\Videos\F.01%20APR.XLSX" TargetMode="External"/><Relationship Id="rId1" Type="http://schemas.openxmlformats.org/officeDocument/2006/relationships/externalLinkPath" Target="file:///D:\Users\xupj21cwh\Videos\F.01%20AP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1 (2)"/>
    </sheetNames>
    <sheetDataSet>
      <sheetData sheetId="0"/>
      <sheetData sheetId="1">
        <row r="2">
          <cell r="B2" t="str">
            <v>1011100380 PettyCash IDR SANGATTA</v>
          </cell>
          <cell r="C2">
            <v>0</v>
          </cell>
        </row>
        <row r="3">
          <cell r="B3" t="str">
            <v>1016109761 Bank IDR Mandiri 1480004169309 MB-SANGATA_OPR</v>
          </cell>
          <cell r="C3">
            <v>9006.4</v>
          </cell>
        </row>
        <row r="4">
          <cell r="B4" t="str">
            <v>1016109769 Bank IDR Mandiri 1480004169309 FxV-SANGATA_OPR</v>
          </cell>
          <cell r="C4">
            <v>-86.91</v>
          </cell>
        </row>
        <row r="5">
          <cell r="B5" t="str">
            <v>1016162071 Bank IDR Mandiri 148-001-687266-8 MB SGT</v>
          </cell>
          <cell r="C5">
            <v>-0.02</v>
          </cell>
        </row>
        <row r="6">
          <cell r="B6" t="str">
            <v>1016162079 Bank IDR Mandiri 148-001-687266-8 FxV SGT</v>
          </cell>
          <cell r="C6">
            <v>0.05</v>
          </cell>
        </row>
        <row r="7">
          <cell r="B7" t="str">
            <v>1110101000 AR Gross Trade 3rd Party</v>
          </cell>
          <cell r="C7">
            <v>-1267823.21</v>
          </cell>
        </row>
        <row r="8">
          <cell r="B8" t="str">
            <v>1110101009 AR Gross Trade 3rd Party FxV</v>
          </cell>
          <cell r="C8">
            <v>304860.61</v>
          </cell>
        </row>
        <row r="9">
          <cell r="B9" t="str">
            <v>1110102000 AR Gross Trade Rel Party</v>
          </cell>
          <cell r="C9">
            <v>96.86</v>
          </cell>
        </row>
        <row r="10">
          <cell r="B10" t="str">
            <v>1110102009 AR Gross Trade Rel Party FxV</v>
          </cell>
          <cell r="C10">
            <v>-0.67</v>
          </cell>
        </row>
        <row r="11">
          <cell r="B11" t="str">
            <v>1120101000 AR Gross Trade 3rd Party Allowance</v>
          </cell>
          <cell r="C11">
            <v>-193788.01</v>
          </cell>
        </row>
        <row r="12">
          <cell r="B12" t="str">
            <v>1211101000 AR Claim Warranty Pending 3rd Party</v>
          </cell>
          <cell r="C12">
            <v>0</v>
          </cell>
        </row>
        <row r="13">
          <cell r="B13" t="str">
            <v>1211301000 AR Claim Warranty Claim 3rd Party</v>
          </cell>
          <cell r="C13">
            <v>0</v>
          </cell>
        </row>
        <row r="14">
          <cell r="B14" t="str">
            <v>1211301001 AR Claim Warranty Claim 3rd Party New</v>
          </cell>
          <cell r="C14">
            <v>4490.3599999999997</v>
          </cell>
        </row>
        <row r="15">
          <cell r="B15" t="str">
            <v>1211401001 AR Claim 3rd Party Goodwill (New Acct)</v>
          </cell>
          <cell r="C15">
            <v>2760.73</v>
          </cell>
        </row>
        <row r="16">
          <cell r="B16" t="str">
            <v>1211401310 AR Claim Warranty Claim-Goodwill 3rd Party OEM</v>
          </cell>
          <cell r="C16">
            <v>0</v>
          </cell>
        </row>
        <row r="17">
          <cell r="B17" t="str">
            <v>1212001010 AR Claim 3rd Party CAT Parts Core</v>
          </cell>
          <cell r="C17">
            <v>-31874.12</v>
          </cell>
        </row>
        <row r="18">
          <cell r="B18" t="str">
            <v>1110101230 AR Gross Trade 3rd Party Art23</v>
          </cell>
          <cell r="C18">
            <v>-1218.44</v>
          </cell>
        </row>
        <row r="19">
          <cell r="B19" t="str">
            <v>1110101239 AR Gross Trade 3rd Party Art23 FxV</v>
          </cell>
          <cell r="C19">
            <v>549.76</v>
          </cell>
        </row>
        <row r="20">
          <cell r="B20" t="str">
            <v>1110202000 AR Gross Non Trade Rel Party</v>
          </cell>
          <cell r="C20">
            <v>50.67</v>
          </cell>
        </row>
        <row r="21">
          <cell r="B21" t="str">
            <v>1110202009 AR Gross Non Trade Rel Party FxV</v>
          </cell>
          <cell r="C21">
            <v>-0.42</v>
          </cell>
        </row>
        <row r="22">
          <cell r="B22" t="str">
            <v>1216001020 AR Claim 3rd Party CAT PSDN</v>
          </cell>
          <cell r="C22">
            <v>560.51</v>
          </cell>
        </row>
        <row r="23">
          <cell r="B23" t="str">
            <v>1218301010 AR Claim 3rd Party CAT (APD)</v>
          </cell>
          <cell r="C23">
            <v>-199746.56</v>
          </cell>
        </row>
        <row r="24">
          <cell r="B24" t="str">
            <v>1218301019 AR Claim 3rd Party CAT (APD) FxV</v>
          </cell>
          <cell r="C24">
            <v>3416.49</v>
          </cell>
        </row>
        <row r="25">
          <cell r="B25" t="str">
            <v>1219301510 AR Claim Others 3rd Party Insurance</v>
          </cell>
          <cell r="C25">
            <v>0</v>
          </cell>
        </row>
        <row r="26">
          <cell r="B26" t="str">
            <v>1219302070 AR Claim Others Rel Party CKB</v>
          </cell>
          <cell r="C26">
            <v>-0.1</v>
          </cell>
        </row>
        <row r="27">
          <cell r="B27" t="str">
            <v>1411198000 Inventory PP Non CAT Accessories</v>
          </cell>
          <cell r="C27">
            <v>0</v>
          </cell>
        </row>
        <row r="28">
          <cell r="B28" t="str">
            <v>1460200000 Inventory PP GIT Non Trade</v>
          </cell>
          <cell r="C28">
            <v>-947</v>
          </cell>
        </row>
        <row r="29">
          <cell r="B29" t="str">
            <v>1415101000 Inventory Parts Stock On Hand</v>
          </cell>
          <cell r="C29">
            <v>1655687.16</v>
          </cell>
        </row>
        <row r="30">
          <cell r="B30" t="str">
            <v>1415111800 Inventory Parts PEX Core Raw Material</v>
          </cell>
          <cell r="C30">
            <v>-198.33</v>
          </cell>
        </row>
        <row r="31">
          <cell r="B31" t="str">
            <v>1415141001 Inventory Parts PVRG Service Order</v>
          </cell>
          <cell r="C31">
            <v>0</v>
          </cell>
        </row>
        <row r="32">
          <cell r="B32" t="str">
            <v>1415141666 Inventory Parts PVRG SPM - SOA</v>
          </cell>
          <cell r="C32">
            <v>-452.44</v>
          </cell>
        </row>
        <row r="33">
          <cell r="B33" t="str">
            <v>1415192000 Inventory Parts Gross Hub Turn Over</v>
          </cell>
          <cell r="C33">
            <v>57364.31</v>
          </cell>
        </row>
        <row r="34">
          <cell r="B34" t="str">
            <v>1461001210 Inventory Parts GINI</v>
          </cell>
          <cell r="C34">
            <v>-6624.33</v>
          </cell>
        </row>
        <row r="35">
          <cell r="B35" t="str">
            <v>1465011000 Inventory Parts GIT</v>
          </cell>
          <cell r="C35">
            <v>-742225.25</v>
          </cell>
        </row>
        <row r="36">
          <cell r="B36" t="str">
            <v>1465011002 Inventory Parts Freight &amp; Handling (CLEARING)</v>
          </cell>
          <cell r="C36">
            <v>30921.040000000001</v>
          </cell>
        </row>
        <row r="37">
          <cell r="B37" t="str">
            <v>1515001213 Landed Cost - Parts FH ITL Inbound Actual</v>
          </cell>
          <cell r="C37">
            <v>306.63</v>
          </cell>
        </row>
        <row r="38">
          <cell r="B38" t="str">
            <v>1515001214 Landed Cost - Parts FH LCL Inbound Actual</v>
          </cell>
          <cell r="C38">
            <v>-21.37</v>
          </cell>
        </row>
        <row r="39">
          <cell r="B39" t="str">
            <v>1515001215 Landed Cost - Parts FH LCL Outbound Actual</v>
          </cell>
          <cell r="C39">
            <v>0</v>
          </cell>
        </row>
        <row r="40">
          <cell r="B40" t="str">
            <v>1515001216 Landed Cost - Parts FH ITL Outbound Actual</v>
          </cell>
          <cell r="C40">
            <v>0</v>
          </cell>
        </row>
        <row r="41">
          <cell r="B41" t="str">
            <v>1565000000 WIP Parts</v>
          </cell>
          <cell r="C41">
            <v>-99275.61</v>
          </cell>
        </row>
        <row r="42">
          <cell r="B42" t="str">
            <v>1565000511 WIP Parts S.O.S.</v>
          </cell>
          <cell r="C42">
            <v>24.89</v>
          </cell>
        </row>
        <row r="43">
          <cell r="B43" t="str">
            <v>1565000800 WIP Parts PEX (Trakindo REMAN)</v>
          </cell>
          <cell r="C43">
            <v>198.32</v>
          </cell>
        </row>
        <row r="44">
          <cell r="B44" t="str">
            <v>1566000010 WIP Service Labor</v>
          </cell>
          <cell r="C44">
            <v>-30661.98</v>
          </cell>
        </row>
        <row r="45">
          <cell r="B45" t="str">
            <v>1566000020 WIP Service LPO</v>
          </cell>
          <cell r="C45">
            <v>-2002.89</v>
          </cell>
        </row>
        <row r="46">
          <cell r="B46" t="str">
            <v>1566000050 WIP Service Travel</v>
          </cell>
          <cell r="C46">
            <v>-42.84</v>
          </cell>
        </row>
        <row r="47">
          <cell r="B47" t="str">
            <v>1661022000 Prepaid Tax ART 22</v>
          </cell>
          <cell r="C47">
            <v>0</v>
          </cell>
        </row>
        <row r="48">
          <cell r="B48" t="str">
            <v>1611201000 Advance Non Trade 3rd Party</v>
          </cell>
          <cell r="C48">
            <v>0</v>
          </cell>
        </row>
        <row r="49">
          <cell r="B49" t="str">
            <v>1611201009 Advance Non Trade 3rd Party FxV</v>
          </cell>
          <cell r="C49">
            <v>29.17</v>
          </cell>
        </row>
        <row r="50">
          <cell r="B50" t="str">
            <v>1612001010 Prepayment 3rd Party Office Rent</v>
          </cell>
          <cell r="C50">
            <v>0</v>
          </cell>
        </row>
        <row r="51">
          <cell r="B51" t="str">
            <v>1612001020 Prepayment 3rd Party Office Rent Imp (LHI)</v>
          </cell>
          <cell r="C51">
            <v>-4851.6400000000003</v>
          </cell>
        </row>
        <row r="52">
          <cell r="B52" t="str">
            <v>1612001110 Prepayment 3rd Party Staff House Rent</v>
          </cell>
          <cell r="C52">
            <v>-514.13</v>
          </cell>
        </row>
        <row r="53">
          <cell r="B53" t="str">
            <v>1630000110 Advance To Employee Travel</v>
          </cell>
          <cell r="C53">
            <v>482.79</v>
          </cell>
        </row>
        <row r="54">
          <cell r="B54" t="str">
            <v>1630000119 Advance To Employee Travel Adv FxV</v>
          </cell>
          <cell r="C54">
            <v>-4.32</v>
          </cell>
        </row>
        <row r="55">
          <cell r="B55" t="str">
            <v>1811102000 FA Acquisition Owned Self Usage Building</v>
          </cell>
          <cell r="C55">
            <v>0</v>
          </cell>
        </row>
        <row r="56">
          <cell r="B56" t="str">
            <v>1821102000 FA Accumulated Depreciation Owned Building</v>
          </cell>
          <cell r="C56">
            <v>-1179.4000000000001</v>
          </cell>
        </row>
        <row r="57">
          <cell r="B57" t="str">
            <v>1811115000 FA Acquisition Owned Warehouse Equip</v>
          </cell>
          <cell r="C57">
            <v>34162.15</v>
          </cell>
        </row>
        <row r="58">
          <cell r="B58" t="str">
            <v>1811116000 FA Acquisition Owned Workshop Equip</v>
          </cell>
          <cell r="C58">
            <v>5313.97</v>
          </cell>
        </row>
        <row r="59">
          <cell r="B59" t="str">
            <v>1811117000 FA Acquisition Owned Service Tool</v>
          </cell>
          <cell r="C59">
            <v>-16496.04</v>
          </cell>
        </row>
        <row r="60">
          <cell r="B60" t="str">
            <v>1811119000 FA Acquisition Owned Training Center Equipment</v>
          </cell>
          <cell r="C60">
            <v>0</v>
          </cell>
        </row>
        <row r="61">
          <cell r="B61" t="str">
            <v>1811140000 FA Acquisition Owned Office Equipment</v>
          </cell>
          <cell r="C61">
            <v>6672.16</v>
          </cell>
        </row>
        <row r="62">
          <cell r="B62" t="str">
            <v>1821115000 FA Accumulated Depreciation Owned Warehouse Equip</v>
          </cell>
          <cell r="C62">
            <v>-3869.61</v>
          </cell>
        </row>
        <row r="63">
          <cell r="B63" t="str">
            <v>1821116000 FA Accumulated Depreciation Owned Workshop Equip</v>
          </cell>
          <cell r="C63">
            <v>-6683.52</v>
          </cell>
        </row>
        <row r="64">
          <cell r="B64" t="str">
            <v>1821117000 FA Accumulated Depreciation Owned Service Tool</v>
          </cell>
          <cell r="C64">
            <v>-3284.54</v>
          </cell>
        </row>
        <row r="65">
          <cell r="B65" t="str">
            <v>1821119000 FA Accumulated Depreciation Owned TC Equip</v>
          </cell>
          <cell r="C65">
            <v>0</v>
          </cell>
        </row>
        <row r="66">
          <cell r="B66" t="str">
            <v>1821140000 FA Accumulated Depreciation Owned Office Equipment</v>
          </cell>
          <cell r="C66">
            <v>-5606.83</v>
          </cell>
        </row>
        <row r="67">
          <cell r="B67" t="str">
            <v>1811301000 FA Acquisition Owned Rental Fleet Machine</v>
          </cell>
          <cell r="C67">
            <v>60688.63</v>
          </cell>
        </row>
        <row r="68">
          <cell r="B68" t="str">
            <v>1821301000 FA Accumulated Depreciation Owned Rental Fleet Mac</v>
          </cell>
          <cell r="C68">
            <v>-378644.46</v>
          </cell>
        </row>
        <row r="69">
          <cell r="B69" t="str">
            <v>1811130000 FA Acquisition Owned Vehicle Sedan</v>
          </cell>
          <cell r="C69">
            <v>0</v>
          </cell>
        </row>
        <row r="70">
          <cell r="B70" t="str">
            <v>1811131000 FA Acquisition Owned Vehicle Truck</v>
          </cell>
          <cell r="C70">
            <v>248251.48</v>
          </cell>
        </row>
        <row r="71">
          <cell r="B71" t="str">
            <v>1821130000 FA Accumulated Depreciation Owned Vehicle Sedan</v>
          </cell>
          <cell r="C71">
            <v>-1195.95</v>
          </cell>
        </row>
        <row r="72">
          <cell r="B72" t="str">
            <v>1821131000 FA Accumulated Depreciation Owned Vehicle Truck</v>
          </cell>
          <cell r="C72">
            <v>-17039.259999999998</v>
          </cell>
        </row>
        <row r="73">
          <cell r="B73" t="str">
            <v>1811160000 FA Acquisition Owned IT Devices Computer</v>
          </cell>
          <cell r="C73">
            <v>0</v>
          </cell>
        </row>
        <row r="74">
          <cell r="B74" t="str">
            <v>1813103000 FA Acquisition Lease IT Device</v>
          </cell>
          <cell r="C74">
            <v>0</v>
          </cell>
        </row>
        <row r="75">
          <cell r="B75" t="str">
            <v>1821160000 FA Accumulated Depreciation Owned IT Devices Comp</v>
          </cell>
          <cell r="C75">
            <v>-124.31</v>
          </cell>
        </row>
        <row r="76">
          <cell r="B76" t="str">
            <v>1823103000 FA Accumulated Depreciation IT Device</v>
          </cell>
          <cell r="C76">
            <v>0</v>
          </cell>
        </row>
        <row r="77">
          <cell r="B77" t="str">
            <v>1811200010 FA Acquisition Owned Component</v>
          </cell>
          <cell r="C77">
            <v>61459.11</v>
          </cell>
        </row>
        <row r="78">
          <cell r="B78" t="str">
            <v>1821200010 FA Accumulated Depreciation Owned Component</v>
          </cell>
          <cell r="C78">
            <v>-56976.480000000003</v>
          </cell>
        </row>
        <row r="79">
          <cell r="B79" t="str">
            <v>1811150000 FA Acquisition Owned Office Furniture</v>
          </cell>
          <cell r="C79">
            <v>5858.5</v>
          </cell>
        </row>
        <row r="80">
          <cell r="B80" t="str">
            <v>1821150000 FA Accumulated Depreciation Owned Office Furniture</v>
          </cell>
          <cell r="C80">
            <v>-1902.88</v>
          </cell>
        </row>
        <row r="81">
          <cell r="B81" t="str">
            <v>1813101100 FA Acquisition Lease Facility</v>
          </cell>
          <cell r="C81">
            <v>0</v>
          </cell>
        </row>
        <row r="82">
          <cell r="B82" t="str">
            <v>1813102100 FA Acquisition Lease Vehicle</v>
          </cell>
          <cell r="C82">
            <v>-168197.97</v>
          </cell>
        </row>
        <row r="83">
          <cell r="B83" t="str">
            <v>1813103100 FA Acquisition Lease IT Device</v>
          </cell>
          <cell r="C83">
            <v>5014.6099999999997</v>
          </cell>
        </row>
        <row r="84">
          <cell r="B84" t="str">
            <v>1823101100 FA Accumulated Depreciation Facility</v>
          </cell>
          <cell r="C84">
            <v>-64914.22</v>
          </cell>
        </row>
        <row r="85">
          <cell r="B85" t="str">
            <v>1823102100 FA Accumulated Depreciation Vehicle</v>
          </cell>
          <cell r="C85">
            <v>143027.85999999999</v>
          </cell>
        </row>
        <row r="86">
          <cell r="B86" t="str">
            <v>1823103100 FA Accumulated Depreciation IT Device</v>
          </cell>
          <cell r="C86">
            <v>-6574.08</v>
          </cell>
        </row>
        <row r="87">
          <cell r="B87" t="str">
            <v>1910015010 IFRS 15 Deferred Expenses Part Voucher</v>
          </cell>
          <cell r="C87">
            <v>0</v>
          </cell>
        </row>
        <row r="88">
          <cell r="B88" t="str">
            <v>1910015020 IFRS 15 Deffered Expenses Sos Lab</v>
          </cell>
          <cell r="C88">
            <v>0</v>
          </cell>
        </row>
        <row r="89">
          <cell r="B89" t="str">
            <v>2110101000 AP Trade 3rd Party</v>
          </cell>
          <cell r="C89">
            <v>-10129.629999999999</v>
          </cell>
        </row>
        <row r="90">
          <cell r="B90" t="str">
            <v>2110101009 AP Trade 3rd Party FxV</v>
          </cell>
          <cell r="C90">
            <v>-1127.55</v>
          </cell>
        </row>
        <row r="91">
          <cell r="B91" t="str">
            <v>2110201000 AP Non Trade 3rd Party</v>
          </cell>
          <cell r="C91">
            <v>-2268.38</v>
          </cell>
        </row>
        <row r="92">
          <cell r="B92" t="str">
            <v>2110201009 AP Non Trade 3rd Party FxV</v>
          </cell>
          <cell r="C92">
            <v>-2345.34</v>
          </cell>
        </row>
        <row r="93">
          <cell r="B93" t="str">
            <v>2200100001 GR/IR Trade Adjustment</v>
          </cell>
          <cell r="C93">
            <v>0</v>
          </cell>
        </row>
        <row r="94">
          <cell r="B94" t="str">
            <v>2200110002 GR/IR Parts - Dealer Net</v>
          </cell>
          <cell r="C94">
            <v>-808738.51</v>
          </cell>
        </row>
        <row r="95">
          <cell r="B95" t="str">
            <v>2200110003 GR/IR Parts - Service Charge</v>
          </cell>
          <cell r="C95">
            <v>-311.5</v>
          </cell>
        </row>
        <row r="96">
          <cell r="B96" t="str">
            <v>2200110004 GR/IR Parts - Import Charge</v>
          </cell>
          <cell r="C96">
            <v>-9849.7099999999991</v>
          </cell>
        </row>
        <row r="97">
          <cell r="B97" t="str">
            <v>2200110012 GR/IR Parts - Dealer Net Adjustment</v>
          </cell>
          <cell r="C97">
            <v>808738.51</v>
          </cell>
        </row>
        <row r="98">
          <cell r="B98" t="str">
            <v>2200110013 GR/IR Parts - Service Charge Adjustment</v>
          </cell>
          <cell r="C98">
            <v>311.5</v>
          </cell>
        </row>
        <row r="99">
          <cell r="B99" t="str">
            <v>2200110014 GR/IR Parts - Import Charge Adjustment</v>
          </cell>
          <cell r="C99">
            <v>9849.7099999999991</v>
          </cell>
        </row>
        <row r="100">
          <cell r="B100" t="str">
            <v>2200130102 GR/IR Parts Int'l Freight &amp; Handling Inbound</v>
          </cell>
          <cell r="C100">
            <v>2517.75</v>
          </cell>
        </row>
        <row r="101">
          <cell r="B101" t="str">
            <v>2200130112 GR/IR Parts Int'l Freight &amp; Handling Inbound Adj</v>
          </cell>
          <cell r="C101">
            <v>-2.95</v>
          </cell>
        </row>
        <row r="102">
          <cell r="B102" t="str">
            <v>2200130202 GR/IR Parts Int'l Freight &amp; Handling Outbond</v>
          </cell>
          <cell r="C102">
            <v>-5497.11</v>
          </cell>
        </row>
        <row r="103">
          <cell r="B103" t="str">
            <v>2200130212 GR/IR Parts Int'l Freight &amp; Handling Outbond Adj</v>
          </cell>
          <cell r="C103">
            <v>5497.11</v>
          </cell>
        </row>
        <row r="104">
          <cell r="B104" t="str">
            <v>2200130302 GR/IR Parts Local Freight &amp; Handling Inbound</v>
          </cell>
          <cell r="C104">
            <v>-26781</v>
          </cell>
        </row>
        <row r="105">
          <cell r="B105" t="str">
            <v>2200130312 GR/IR Parts Local Freight &amp; Handling Inbound Adj</v>
          </cell>
          <cell r="C105">
            <v>18995.03</v>
          </cell>
        </row>
        <row r="106">
          <cell r="B106" t="str">
            <v>2200130402 GR/IR Parts Local Freight &amp; Handling Outbond</v>
          </cell>
          <cell r="C106">
            <v>-12237.51</v>
          </cell>
        </row>
        <row r="107">
          <cell r="B107" t="str">
            <v>2200130412 GR/IR Parts Local Freight &amp; Handling Outbond Adj</v>
          </cell>
          <cell r="C107">
            <v>11685.34</v>
          </cell>
        </row>
        <row r="108">
          <cell r="B108" t="str">
            <v>2200160003 GR/IR Service OWSS</v>
          </cell>
          <cell r="C108">
            <v>54702.91</v>
          </cell>
        </row>
        <row r="109">
          <cell r="B109" t="str">
            <v>2200160013 GR/IR Service OWSS Adjustment</v>
          </cell>
          <cell r="C109">
            <v>-54702.91</v>
          </cell>
        </row>
        <row r="110">
          <cell r="B110" t="str">
            <v>2200200000 GR/IR Non Trade</v>
          </cell>
          <cell r="C110">
            <v>-164037.82</v>
          </cell>
        </row>
        <row r="111">
          <cell r="B111" t="str">
            <v>2200200001 GR/IR Non Trade Adjustment</v>
          </cell>
          <cell r="C111">
            <v>164411.79</v>
          </cell>
        </row>
        <row r="112">
          <cell r="B112" t="str">
            <v>2200316040 GR/IR Other IFRS16 Clearing Account Asset</v>
          </cell>
          <cell r="C112">
            <v>0</v>
          </cell>
        </row>
        <row r="113">
          <cell r="B113" t="str">
            <v>2310000120 AP Interco Clearing MST</v>
          </cell>
          <cell r="C113">
            <v>0</v>
          </cell>
        </row>
        <row r="114">
          <cell r="B114" t="str">
            <v>2310000129 AP Interco Clearing MST FxV</v>
          </cell>
          <cell r="C114">
            <v>0</v>
          </cell>
        </row>
        <row r="115">
          <cell r="B115" t="str">
            <v>2460200000 Accrual Payable Non Trade</v>
          </cell>
          <cell r="C115">
            <v>-69989.440000000002</v>
          </cell>
        </row>
        <row r="116">
          <cell r="B116" t="str">
            <v>2611004000 Tax Payable ART 4(2)</v>
          </cell>
          <cell r="C116">
            <v>0</v>
          </cell>
        </row>
        <row r="117">
          <cell r="B117" t="str">
            <v>2611004001 Tax Payable ART 4(2)</v>
          </cell>
          <cell r="C117">
            <v>135.33000000000001</v>
          </cell>
        </row>
        <row r="118">
          <cell r="B118" t="str">
            <v>2611021000 Tax Payable ART 21</v>
          </cell>
          <cell r="C118">
            <v>0</v>
          </cell>
        </row>
        <row r="119">
          <cell r="B119" t="str">
            <v>2611023000 Tax Payable ART 23</v>
          </cell>
          <cell r="C119">
            <v>0</v>
          </cell>
        </row>
        <row r="120">
          <cell r="B120" t="str">
            <v>2611023001 Tax Payable ART 23</v>
          </cell>
          <cell r="C120">
            <v>-5304.31</v>
          </cell>
        </row>
        <row r="121">
          <cell r="B121" t="str">
            <v>2510300000 Obligation Warranty</v>
          </cell>
          <cell r="C121">
            <v>20339.099999999999</v>
          </cell>
        </row>
        <row r="122">
          <cell r="B122" t="str">
            <v>2510401000 FREE GL 2 ( tidak terpakai )</v>
          </cell>
          <cell r="C122">
            <v>0</v>
          </cell>
        </row>
        <row r="123">
          <cell r="B123" t="str">
            <v>2510501000 Obligation Warranty New Engine</v>
          </cell>
          <cell r="C123">
            <v>0</v>
          </cell>
        </row>
        <row r="124">
          <cell r="B124" t="str">
            <v>2510600000 Obligation Warranty Parts PEX</v>
          </cell>
          <cell r="C124">
            <v>-88.94</v>
          </cell>
        </row>
        <row r="125">
          <cell r="B125" t="str">
            <v>2464100010 Employee Payable Salary</v>
          </cell>
          <cell r="C125">
            <v>0</v>
          </cell>
        </row>
        <row r="126">
          <cell r="B126" t="str">
            <v>2464100020 Employee Payable Jamsostek/Astek</v>
          </cell>
          <cell r="C126">
            <v>-130.36000000000001</v>
          </cell>
        </row>
        <row r="127">
          <cell r="B127" t="str">
            <v>2464100030 Employee Payable BPJS</v>
          </cell>
          <cell r="C127">
            <v>-7573.06</v>
          </cell>
        </row>
        <row r="128">
          <cell r="B128" t="str">
            <v>2464100060 Employee Accrual Expense THR / Lebaran</v>
          </cell>
          <cell r="C128">
            <v>129383.71</v>
          </cell>
        </row>
        <row r="129">
          <cell r="B129" t="str">
            <v>2464100070 Employee Accrual Expense PA Bonus</v>
          </cell>
          <cell r="C129">
            <v>-15253.5</v>
          </cell>
        </row>
        <row r="130">
          <cell r="B130" t="str">
            <v>2464100090 Employee Payable BPJS Jaminan Pensiun</v>
          </cell>
          <cell r="C130">
            <v>-22.99</v>
          </cell>
        </row>
        <row r="131">
          <cell r="B131" t="str">
            <v>2464100100 Employee Payable Iuran SPSI</v>
          </cell>
          <cell r="C131">
            <v>-6.15</v>
          </cell>
        </row>
        <row r="132">
          <cell r="B132" t="str">
            <v>2464100991 Employee Payable Dapen Trakindo</v>
          </cell>
          <cell r="C132">
            <v>-124.15</v>
          </cell>
        </row>
        <row r="133">
          <cell r="B133" t="str">
            <v>2464100992 Employee Payable Dapen DPLK Bank BNI</v>
          </cell>
          <cell r="C133">
            <v>-103.79</v>
          </cell>
        </row>
        <row r="134">
          <cell r="B134" t="str">
            <v>2461401000 Accrual Interest Leasing IFRS</v>
          </cell>
          <cell r="C134">
            <v>-1688.34</v>
          </cell>
        </row>
        <row r="135">
          <cell r="B135" t="str">
            <v>2461402000 Accrual Interest Leasing IFRS (ST)</v>
          </cell>
          <cell r="C135">
            <v>-7710.24</v>
          </cell>
        </row>
        <row r="136">
          <cell r="B136" t="str">
            <v>2510803000 Provision Insurance Personal Accident</v>
          </cell>
          <cell r="C136">
            <v>-23.14</v>
          </cell>
        </row>
        <row r="137">
          <cell r="B137" t="str">
            <v>2510805000 Provision Insurance Rental Store</v>
          </cell>
          <cell r="C137">
            <v>-7325.34</v>
          </cell>
        </row>
        <row r="138">
          <cell r="B138" t="str">
            <v>2510807000 Provision Insurance Stock Thruput</v>
          </cell>
          <cell r="C138">
            <v>984.71</v>
          </cell>
        </row>
        <row r="139">
          <cell r="B139" t="str">
            <v>2460101000 Accrual Payable Trade 3rd Party</v>
          </cell>
          <cell r="C139">
            <v>-36999.71</v>
          </cell>
        </row>
        <row r="140">
          <cell r="B140" t="str">
            <v>2460102000 Accrual Payable Trade Related Party</v>
          </cell>
          <cell r="C140">
            <v>-21146.38</v>
          </cell>
        </row>
        <row r="141">
          <cell r="B141" t="str">
            <v>2460201000 Accrual Payable Non Trade 3rd Party</v>
          </cell>
          <cell r="C141">
            <v>-164641.26</v>
          </cell>
        </row>
        <row r="142">
          <cell r="B142" t="str">
            <v>2465100020 Accrual Trading Related PP Freight</v>
          </cell>
          <cell r="C142">
            <v>11076.6</v>
          </cell>
        </row>
        <row r="143">
          <cell r="B143" t="str">
            <v>2465100040 Accrual Trading Related PP Unit/Attachment</v>
          </cell>
          <cell r="C143">
            <v>13767.48</v>
          </cell>
        </row>
        <row r="144">
          <cell r="B144" t="str">
            <v>2465100050 Accrual Trading Related PP Custom Duties</v>
          </cell>
          <cell r="C144">
            <v>20841.75</v>
          </cell>
        </row>
        <row r="145">
          <cell r="B145" t="str">
            <v>2465100060 Accrual Trading Related PP Commissioning</v>
          </cell>
          <cell r="C145">
            <v>931.13</v>
          </cell>
        </row>
        <row r="146">
          <cell r="B146" t="str">
            <v>2465100090 Accrual Trading Related RUE Cushion</v>
          </cell>
          <cell r="C146">
            <v>-5486.31</v>
          </cell>
        </row>
        <row r="147">
          <cell r="B147" t="str">
            <v>2465100200 Accrual Trading Related PP Preventive Maintenance</v>
          </cell>
          <cell r="C147">
            <v>-1145.28</v>
          </cell>
        </row>
        <row r="148">
          <cell r="B148" t="str">
            <v>2465100300 Accrual of digital subscription thru Parts channel</v>
          </cell>
          <cell r="C148">
            <v>0</v>
          </cell>
        </row>
        <row r="149">
          <cell r="B149" t="str">
            <v>2465101000 Temporary Employee Medical Excess Deduction</v>
          </cell>
          <cell r="C149">
            <v>0</v>
          </cell>
        </row>
        <row r="150">
          <cell r="B150" t="str">
            <v>2465101010 Temporary Employee Corporate Mobile PhoneDeduction</v>
          </cell>
          <cell r="C150">
            <v>0</v>
          </cell>
        </row>
        <row r="151">
          <cell r="B151" t="str">
            <v>2465101020 Temporary Employee Travel &amp; CC Deduction</v>
          </cell>
          <cell r="C151">
            <v>56.29</v>
          </cell>
        </row>
        <row r="152">
          <cell r="B152" t="str">
            <v>2465101040 Temporary Employee Medical Excess Loan</v>
          </cell>
          <cell r="C152">
            <v>-130.35</v>
          </cell>
        </row>
        <row r="153">
          <cell r="B153" t="str">
            <v>2465101070 Temporary Employee Personal Advance Loan</v>
          </cell>
          <cell r="C153">
            <v>-55.9</v>
          </cell>
        </row>
        <row r="154">
          <cell r="B154" t="str">
            <v>2465101080 Temporary Employee Medical Advance</v>
          </cell>
          <cell r="C154">
            <v>17272.43</v>
          </cell>
        </row>
        <row r="155">
          <cell r="B155" t="str">
            <v>2465101081 Temporary Employee Travel Advance</v>
          </cell>
          <cell r="C155">
            <v>-228.05</v>
          </cell>
        </row>
        <row r="156">
          <cell r="B156" t="str">
            <v>2465101100 Temporary Employee Clearing Payroll</v>
          </cell>
          <cell r="C156">
            <v>0</v>
          </cell>
        </row>
        <row r="157">
          <cell r="B157" t="str">
            <v>2469200000 Accrual Other Year End</v>
          </cell>
          <cell r="C157">
            <v>295582.73</v>
          </cell>
        </row>
        <row r="158">
          <cell r="B158" t="str">
            <v>2510281000 Provision PM Rental Unit</v>
          </cell>
          <cell r="C158">
            <v>-559.82000000000005</v>
          </cell>
        </row>
        <row r="159">
          <cell r="B159" t="str">
            <v>2730001070 Advance Customer 3rd Party MARC</v>
          </cell>
          <cell r="C159">
            <v>-43678.91</v>
          </cell>
        </row>
        <row r="160">
          <cell r="B160" t="str">
            <v>2660015010 IFRS 15 Deferred Revenue Part voucher</v>
          </cell>
          <cell r="C160">
            <v>0</v>
          </cell>
        </row>
        <row r="161">
          <cell r="B161" t="str">
            <v>2660015070 IFRS 15 Deferred Revenue PM Parts Only</v>
          </cell>
          <cell r="C161">
            <v>0</v>
          </cell>
        </row>
        <row r="162">
          <cell r="B162" t="str">
            <v>2660015090 IFRS 15 Deferred Revenue SOS Lab</v>
          </cell>
          <cell r="C162">
            <v>0</v>
          </cell>
        </row>
        <row r="163">
          <cell r="B163" t="str">
            <v>2660015140 IFRS 15 Deferred Revenue Revisit PS</v>
          </cell>
          <cell r="C163">
            <v>0</v>
          </cell>
        </row>
        <row r="164">
          <cell r="B164" t="str">
            <v>2710001000 Customer Deposit 3rd Party</v>
          </cell>
          <cell r="C164">
            <v>0</v>
          </cell>
        </row>
        <row r="165">
          <cell r="B165" t="str">
            <v>2710001009 Customer Deposit 3rd Party FxV</v>
          </cell>
          <cell r="C165">
            <v>-11.53</v>
          </cell>
        </row>
        <row r="166">
          <cell r="B166" t="str">
            <v>2730001000 Advance Customer 3rd Party</v>
          </cell>
          <cell r="C166">
            <v>-415.15</v>
          </cell>
        </row>
        <row r="167">
          <cell r="B167" t="str">
            <v>2730001009 Advance Customer 3rd Party FxV</v>
          </cell>
          <cell r="C167">
            <v>-0.54</v>
          </cell>
        </row>
        <row r="168">
          <cell r="B168" t="str">
            <v>2730001080 Advance Customer 3rd Party Project Solution</v>
          </cell>
          <cell r="C168">
            <v>1534.87</v>
          </cell>
        </row>
        <row r="169">
          <cell r="B169" t="str">
            <v>2730001090 Advance Customer 3rd Party CVA FLat Rate</v>
          </cell>
          <cell r="C169">
            <v>0</v>
          </cell>
        </row>
        <row r="170">
          <cell r="B170" t="str">
            <v>2800100010 Short Term Liability Facility</v>
          </cell>
          <cell r="C170">
            <v>74738.94</v>
          </cell>
        </row>
        <row r="171">
          <cell r="B171" t="str">
            <v>2800100020 Short Term Liability Vehicle</v>
          </cell>
          <cell r="C171">
            <v>17562.45</v>
          </cell>
        </row>
        <row r="172">
          <cell r="B172" t="str">
            <v>2800100030 Short Term Liability IT Device</v>
          </cell>
          <cell r="C172">
            <v>1454.1</v>
          </cell>
        </row>
        <row r="173">
          <cell r="B173" t="str">
            <v>2862002000 Long Term Liability Vehicle</v>
          </cell>
          <cell r="C173">
            <v>13949.76</v>
          </cell>
        </row>
        <row r="174">
          <cell r="B174" t="str">
            <v>2862003000 Long Term Liability IT Device</v>
          </cell>
          <cell r="C174">
            <v>3195.81</v>
          </cell>
        </row>
        <row r="175">
          <cell r="B175" t="str">
            <v>3910000400 Branch Off Account TU/TUS Miscellaneous Charges</v>
          </cell>
          <cell r="C175">
            <v>0</v>
          </cell>
        </row>
        <row r="176">
          <cell r="B176" t="str">
            <v>3910010000 Branch Off Account TU/TUS Stock Transfer (New)</v>
          </cell>
          <cell r="C176">
            <v>0</v>
          </cell>
        </row>
        <row r="177">
          <cell r="B177" t="str">
            <v>3910100000 Interbranch Automatic</v>
          </cell>
          <cell r="C177">
            <v>680879.97</v>
          </cell>
        </row>
        <row r="178">
          <cell r="B178" t="str">
            <v>2931000000 Employee Benefit Liability Pension</v>
          </cell>
          <cell r="C178">
            <v>-10324.77</v>
          </cell>
        </row>
        <row r="179">
          <cell r="B179" t="str">
            <v>3810000000 Retained Earnings (RE)</v>
          </cell>
          <cell r="C179">
            <v>0</v>
          </cell>
        </row>
        <row r="180">
          <cell r="B180" t="str">
            <v>4010000000 Sales PP Unit</v>
          </cell>
          <cell r="C180">
            <v>0</v>
          </cell>
        </row>
        <row r="181">
          <cell r="B181" t="str">
            <v>4010300100 Sales PP Attachment Accessories</v>
          </cell>
          <cell r="C181">
            <v>0</v>
          </cell>
        </row>
        <row r="182">
          <cell r="B182" t="str">
            <v>4010402000 Sales PP Power System Acc Defferal</v>
          </cell>
          <cell r="C182">
            <v>-1534.87</v>
          </cell>
        </row>
        <row r="183">
          <cell r="B183" t="str">
            <v>4011500000 IFRS 15 Prime Product</v>
          </cell>
          <cell r="C183">
            <v>0</v>
          </cell>
        </row>
        <row r="184">
          <cell r="B184" t="str">
            <v>4011500100 IFRS 15 Prime Product unit Adjustment</v>
          </cell>
          <cell r="C184">
            <v>0</v>
          </cell>
        </row>
        <row r="185">
          <cell r="B185" t="str">
            <v>4020100101 Sales Parts Through Counter</v>
          </cell>
          <cell r="C185">
            <v>-2208403.64</v>
          </cell>
        </row>
        <row r="186">
          <cell r="B186" t="str">
            <v>4020100202 Sales Parts Through Service Flat Rate</v>
          </cell>
          <cell r="C186">
            <v>-743599.4</v>
          </cell>
        </row>
        <row r="187">
          <cell r="B187" t="str">
            <v>4020100206 Sales Parts Through Service Flat Rate Variance</v>
          </cell>
          <cell r="C187">
            <v>-6310.54</v>
          </cell>
        </row>
        <row r="188">
          <cell r="B188" t="str">
            <v>4020400101 Sales Parts Through Counter CORE</v>
          </cell>
          <cell r="C188">
            <v>-1191.0999999999999</v>
          </cell>
        </row>
        <row r="189">
          <cell r="B189" t="str">
            <v>4020400202 Sales Parts Through Service CORE Flat Rate</v>
          </cell>
          <cell r="C189">
            <v>6532.28</v>
          </cell>
        </row>
        <row r="190">
          <cell r="B190" t="str">
            <v>4020500100 Sales Parts SOS Bottle</v>
          </cell>
          <cell r="C190">
            <v>-56.63</v>
          </cell>
        </row>
        <row r="191">
          <cell r="B191" t="str">
            <v>4020500200 Sales Digital Subscription</v>
          </cell>
          <cell r="C191">
            <v>0</v>
          </cell>
        </row>
        <row r="192">
          <cell r="B192" t="str">
            <v>4021000101 Sales Parts Discount TPCP</v>
          </cell>
          <cell r="C192">
            <v>5074.75</v>
          </cell>
        </row>
        <row r="193">
          <cell r="B193" t="str">
            <v>4021500002 IFRS 15 Preventive Maintenance Parts</v>
          </cell>
          <cell r="C193">
            <v>0</v>
          </cell>
        </row>
        <row r="194">
          <cell r="B194" t="str">
            <v>4021900101 Sales Parts Discount PSWEB</v>
          </cell>
          <cell r="C194">
            <v>141.56</v>
          </cell>
        </row>
        <row r="195">
          <cell r="B195" t="str">
            <v>4030100201 Sales Service Flat Rate Variance Labor</v>
          </cell>
          <cell r="C195">
            <v>4358.16</v>
          </cell>
        </row>
        <row r="196">
          <cell r="B196" t="str">
            <v>4030100203 Sales Service Flat Rate PO</v>
          </cell>
          <cell r="C196">
            <v>-39258.93</v>
          </cell>
        </row>
        <row r="197">
          <cell r="B197" t="str">
            <v>4030100204 Sales Service Flat Rate Supplies</v>
          </cell>
          <cell r="C197">
            <v>-12595.3</v>
          </cell>
        </row>
        <row r="198">
          <cell r="B198" t="str">
            <v>4030100207 Sales Service Flat Rate Labor</v>
          </cell>
          <cell r="C198">
            <v>-189179.68</v>
          </cell>
        </row>
        <row r="199">
          <cell r="B199" t="str">
            <v>4030100208 Sales Service Flat Rate Variance Misc.</v>
          </cell>
          <cell r="C199">
            <v>8038.69</v>
          </cell>
        </row>
        <row r="200">
          <cell r="B200" t="str">
            <v>4030500100 Sales Service SOS Lab Analysist</v>
          </cell>
          <cell r="C200">
            <v>-541.46</v>
          </cell>
        </row>
        <row r="201">
          <cell r="B201" t="str">
            <v>4050000000 Sales RUE Unit</v>
          </cell>
          <cell r="C201">
            <v>-666391.56000000006</v>
          </cell>
        </row>
        <row r="202">
          <cell r="B202" t="str">
            <v>4040000101 Sales MARC Billing</v>
          </cell>
          <cell r="C202">
            <v>-35582.21</v>
          </cell>
        </row>
        <row r="203">
          <cell r="B203" t="str">
            <v>5010000000 COGS PP Unit</v>
          </cell>
          <cell r="C203">
            <v>0</v>
          </cell>
        </row>
        <row r="204">
          <cell r="B204" t="str">
            <v>5010300100 COGS PP Attachment Accessories</v>
          </cell>
          <cell r="C204">
            <v>0</v>
          </cell>
        </row>
        <row r="205">
          <cell r="B205" t="str">
            <v>5010500100 COGS PP Power System Project Core</v>
          </cell>
          <cell r="C205">
            <v>628.29</v>
          </cell>
        </row>
        <row r="206">
          <cell r="B206" t="str">
            <v>5010500300 COGS PP Power System Project Service</v>
          </cell>
          <cell r="C206">
            <v>521.20000000000005</v>
          </cell>
        </row>
        <row r="207">
          <cell r="B207" t="str">
            <v>5010600000 COGS PP Attachment</v>
          </cell>
          <cell r="C207">
            <v>204399.29</v>
          </cell>
        </row>
        <row r="208">
          <cell r="B208" t="str">
            <v>5011001000 COGS PP International Freight Inbound</v>
          </cell>
          <cell r="C208">
            <v>0</v>
          </cell>
        </row>
        <row r="209">
          <cell r="B209" t="str">
            <v>5011002000 COGS PP Local Freight/Handling Inbound</v>
          </cell>
          <cell r="C209">
            <v>762.75</v>
          </cell>
        </row>
        <row r="210">
          <cell r="B210" t="str">
            <v>5011003000 COGS PP Custom Duty</v>
          </cell>
          <cell r="C210">
            <v>0</v>
          </cell>
        </row>
        <row r="211">
          <cell r="B211" t="str">
            <v>5011004000 COGS PP UPA</v>
          </cell>
          <cell r="C211">
            <v>0</v>
          </cell>
        </row>
        <row r="212">
          <cell r="B212" t="str">
            <v>5011006000 COGS PP Insurance</v>
          </cell>
          <cell r="C212">
            <v>0</v>
          </cell>
        </row>
        <row r="213">
          <cell r="B213" t="str">
            <v>5011007000 COGS PP Commissioning</v>
          </cell>
          <cell r="C213">
            <v>253.73</v>
          </cell>
        </row>
        <row r="214">
          <cell r="B214" t="str">
            <v>5011008000 COGS PP Warranty</v>
          </cell>
          <cell r="C214">
            <v>-20339.099999999999</v>
          </cell>
        </row>
        <row r="215">
          <cell r="B215" t="str">
            <v>5011010000 COGS PP Local Freight/Handling Outbound</v>
          </cell>
          <cell r="C215">
            <v>16.82</v>
          </cell>
        </row>
        <row r="216">
          <cell r="B216" t="str">
            <v>5011012000 COGS PP CAT Discount</v>
          </cell>
          <cell r="C216">
            <v>-4451.4399999999996</v>
          </cell>
        </row>
        <row r="217">
          <cell r="B217" t="str">
            <v>5011014000 COGS PP Marketing Program Preventive Maintenance</v>
          </cell>
          <cell r="C217">
            <v>-69.14</v>
          </cell>
        </row>
        <row r="218">
          <cell r="B218" t="str">
            <v>5012000000 COGS PP Unit Estimated</v>
          </cell>
          <cell r="C218">
            <v>-13767.48</v>
          </cell>
        </row>
        <row r="219">
          <cell r="B219" t="str">
            <v>5012002000 COGS PP Local Freight/Handling Inbound Estimated</v>
          </cell>
          <cell r="C219">
            <v>-9420.34</v>
          </cell>
        </row>
        <row r="220">
          <cell r="B220" t="str">
            <v>5012003000 COGS PP Custom Duty Estimated</v>
          </cell>
          <cell r="C220">
            <v>-20841.75</v>
          </cell>
        </row>
        <row r="221">
          <cell r="B221" t="str">
            <v>5012007000 COGS PP Commissioning Estimated</v>
          </cell>
          <cell r="C221">
            <v>-931.13</v>
          </cell>
        </row>
        <row r="222">
          <cell r="B222" t="str">
            <v>5012010000 COGS PP Local Freight/Handling Outbond Estimated</v>
          </cell>
          <cell r="C222">
            <v>-1656.26</v>
          </cell>
        </row>
        <row r="223">
          <cell r="B223" t="str">
            <v>5012014000 COGS PP Marketing Program PM Estimated</v>
          </cell>
          <cell r="C223">
            <v>1145.28</v>
          </cell>
        </row>
        <row r="224">
          <cell r="B224" t="str">
            <v>5020100101 COGS Parts Through Counter</v>
          </cell>
          <cell r="C224">
            <v>1752616.04</v>
          </cell>
        </row>
        <row r="225">
          <cell r="B225" t="str">
            <v>5020100202 COGS Parts Through Service Flat Rate</v>
          </cell>
          <cell r="C225">
            <v>550369.31000000006</v>
          </cell>
        </row>
        <row r="226">
          <cell r="B226" t="str">
            <v>5020400101 COGS Parts Through Counter CORE</v>
          </cell>
          <cell r="C226">
            <v>1847.58</v>
          </cell>
        </row>
        <row r="227">
          <cell r="B227" t="str">
            <v>5020500200 COGS Digital Subscription</v>
          </cell>
          <cell r="C227">
            <v>0</v>
          </cell>
        </row>
        <row r="228">
          <cell r="B228" t="str">
            <v>5020600101 COGS Parts Adjustment</v>
          </cell>
          <cell r="C228">
            <v>-61679.82</v>
          </cell>
        </row>
        <row r="229">
          <cell r="B229" t="str">
            <v>5020600301 COGS Parts Adjustment - ITR3A</v>
          </cell>
          <cell r="C229">
            <v>-64861.7</v>
          </cell>
        </row>
        <row r="230">
          <cell r="B230" t="str">
            <v>5020600303 COGS Parts Adjustment PO Buy Back</v>
          </cell>
          <cell r="C230">
            <v>445.55</v>
          </cell>
        </row>
        <row r="231">
          <cell r="B231" t="str">
            <v>5020800301 COGS Parts PEX Cross Charging CRC to Branch</v>
          </cell>
          <cell r="C231">
            <v>21332.37</v>
          </cell>
        </row>
        <row r="232">
          <cell r="B232" t="str">
            <v>5021400102 COGS Parts PEX Warranty</v>
          </cell>
          <cell r="C232">
            <v>0</v>
          </cell>
        </row>
        <row r="233">
          <cell r="B233" t="str">
            <v>5021500002 IFRS 15 COGS PS-Parts Marketing Program Prev Maint</v>
          </cell>
          <cell r="C233">
            <v>1514.26</v>
          </cell>
        </row>
        <row r="234">
          <cell r="B234" t="str">
            <v>5030100203 COGS Service Flat Rate PO</v>
          </cell>
          <cell r="C234">
            <v>33958.1</v>
          </cell>
        </row>
        <row r="235">
          <cell r="B235" t="str">
            <v>5030100207 COGS Service Flat Rate Labor</v>
          </cell>
          <cell r="C235">
            <v>96003.14</v>
          </cell>
        </row>
        <row r="236">
          <cell r="B236" t="str">
            <v>5030500100 COGS Service SOS Lab</v>
          </cell>
          <cell r="C236">
            <v>503.1</v>
          </cell>
        </row>
        <row r="237">
          <cell r="B237" t="str">
            <v>5051006000 COGS RUE Insurance</v>
          </cell>
          <cell r="C237">
            <v>6884.07</v>
          </cell>
        </row>
        <row r="238">
          <cell r="B238" t="str">
            <v>5051009000 COGS RUE Miscellaneous</v>
          </cell>
          <cell r="C238">
            <v>0</v>
          </cell>
        </row>
        <row r="239">
          <cell r="B239" t="str">
            <v>5051010000 COGS RUE Local Freight/Handling Outbound</v>
          </cell>
          <cell r="C239">
            <v>3441.82</v>
          </cell>
        </row>
        <row r="240">
          <cell r="B240" t="str">
            <v>5051016000 COGS RUE Depreciation</v>
          </cell>
          <cell r="C240">
            <v>180738.1</v>
          </cell>
        </row>
        <row r="241">
          <cell r="B241" t="str">
            <v>5051017000 COGS RUE Maintenance &amp; Repair</v>
          </cell>
          <cell r="C241">
            <v>85234.03</v>
          </cell>
        </row>
        <row r="242">
          <cell r="B242" t="str">
            <v>5052016000 COGS RUE Depreciation Estimated</v>
          </cell>
          <cell r="C242">
            <v>197906.36</v>
          </cell>
        </row>
        <row r="243">
          <cell r="B243" t="str">
            <v>5052017000 COGS RUE Maintenance &amp; Repair Estimated</v>
          </cell>
          <cell r="C243">
            <v>478.82</v>
          </cell>
        </row>
        <row r="244">
          <cell r="B244" t="str">
            <v>5052019000 COGS RUE Cushion Estimated</v>
          </cell>
          <cell r="C244">
            <v>5486.31</v>
          </cell>
        </row>
        <row r="245">
          <cell r="B245" t="str">
            <v>5040000103 COGS MARC Billing Actual</v>
          </cell>
          <cell r="C245">
            <v>26973.03</v>
          </cell>
        </row>
        <row r="246">
          <cell r="B246" t="str">
            <v>6000000101 GME - Salary Direct Serviceman - Basic</v>
          </cell>
          <cell r="C246">
            <v>65625.149999999994</v>
          </cell>
        </row>
        <row r="247">
          <cell r="B247" t="str">
            <v>6000000103 GME - Salary Direct Serviceman - Transport Allow</v>
          </cell>
          <cell r="C247">
            <v>3621.87</v>
          </cell>
        </row>
        <row r="248">
          <cell r="B248" t="str">
            <v>6000000105 GME - Salary Direct Serviceman - Hari Raya</v>
          </cell>
          <cell r="C248">
            <v>61835.22</v>
          </cell>
        </row>
        <row r="249">
          <cell r="B249" t="str">
            <v>6000000106 GME - Salary Direct Serviceman - Service Award</v>
          </cell>
          <cell r="C249">
            <v>0</v>
          </cell>
        </row>
        <row r="250">
          <cell r="B250" t="str">
            <v>6000000108 GME - Salary Direct Serviceman - Spc Location</v>
          </cell>
          <cell r="C250">
            <v>16148.04</v>
          </cell>
        </row>
        <row r="251">
          <cell r="B251" t="str">
            <v>6000000109 GME - Salary Direct Serviceman - National Allow</v>
          </cell>
          <cell r="C251">
            <v>451.97</v>
          </cell>
        </row>
        <row r="252">
          <cell r="B252" t="str">
            <v>6000000110 GME - Salary Direct Serviceman - Other Bonus</v>
          </cell>
          <cell r="C252">
            <v>11703.74</v>
          </cell>
        </row>
        <row r="253">
          <cell r="B253" t="str">
            <v>6000000200 GME - Salary Direct Serviceman - Overtime</v>
          </cell>
          <cell r="C253">
            <v>37426.86</v>
          </cell>
        </row>
        <row r="254">
          <cell r="B254" t="str">
            <v>6000000301 GME - Salary Direct Serviceman - Accrual AHR</v>
          </cell>
          <cell r="C254">
            <v>-56366.46</v>
          </cell>
        </row>
        <row r="255">
          <cell r="B255" t="str">
            <v>6000000400 GME - Service Recovery - SRE Service Recovery</v>
          </cell>
          <cell r="C255">
            <v>-83409.13</v>
          </cell>
        </row>
        <row r="256">
          <cell r="B256" t="str">
            <v>6000000502 OSR - Operational Services Outsource - Service</v>
          </cell>
          <cell r="C256">
            <v>-40.619999999999997</v>
          </cell>
        </row>
        <row r="257">
          <cell r="B257" t="str">
            <v>6000000800 GME - Service Redo Job</v>
          </cell>
          <cell r="C257">
            <v>413.42</v>
          </cell>
        </row>
        <row r="258">
          <cell r="B258" t="str">
            <v>6000000900 GME - Service Overhaul Revisit</v>
          </cell>
          <cell r="C258">
            <v>813.44</v>
          </cell>
        </row>
        <row r="259">
          <cell r="B259" t="str">
            <v>6000001101 GME - Service Transport and Travel Recovery</v>
          </cell>
          <cell r="C259">
            <v>0</v>
          </cell>
        </row>
        <row r="260">
          <cell r="B260" t="str">
            <v>6000001403 GME - Service Travel Expenses Internal</v>
          </cell>
          <cell r="C260">
            <v>70.11</v>
          </cell>
        </row>
        <row r="261">
          <cell r="B261" t="str">
            <v>6000001404 GME - Service Travel Expense External</v>
          </cell>
          <cell r="C261">
            <v>105.62</v>
          </cell>
        </row>
        <row r="262">
          <cell r="B262" t="str">
            <v>6000001500 GME - SRE Others - UCR Supplies Inventory</v>
          </cell>
          <cell r="C262">
            <v>4533.29</v>
          </cell>
        </row>
        <row r="263">
          <cell r="B263" t="str">
            <v>6000001700 GME - Service Supplies Inventory - Consumables</v>
          </cell>
          <cell r="C263">
            <v>18171.759999999998</v>
          </cell>
        </row>
        <row r="264">
          <cell r="B264" t="str">
            <v>6000001800 GME - PP Pre Delivery &amp; Revisit</v>
          </cell>
          <cell r="C264">
            <v>442.74</v>
          </cell>
        </row>
        <row r="265">
          <cell r="B265" t="str">
            <v>6000001908 LGS - Material Costs - Material</v>
          </cell>
          <cell r="C265">
            <v>1000</v>
          </cell>
        </row>
        <row r="266">
          <cell r="B266" t="str">
            <v>6000001909 LGS - Own Storage Equipment - Repair &amp; Maintenance</v>
          </cell>
          <cell r="C266">
            <v>887.14</v>
          </cell>
        </row>
        <row r="267">
          <cell r="B267" t="str">
            <v>6000002001 GME - Company Policy Adjustment - Marketing Policy</v>
          </cell>
          <cell r="C267">
            <v>7539.05</v>
          </cell>
        </row>
        <row r="268">
          <cell r="B268" t="str">
            <v>6000002104 GME - Salary Direct Serviceman - Buss Spec Allow</v>
          </cell>
          <cell r="C268">
            <v>0</v>
          </cell>
        </row>
        <row r="269">
          <cell r="B269" t="str">
            <v>6000002300 GME - Supplies Inventory - Parts Battery</v>
          </cell>
          <cell r="C269">
            <v>3913.23</v>
          </cell>
        </row>
        <row r="270">
          <cell r="B270" t="str">
            <v>6000002602 CV - Service Vehicle - External Rental</v>
          </cell>
          <cell r="C270">
            <v>-3515.34</v>
          </cell>
        </row>
        <row r="271">
          <cell r="B271" t="str">
            <v>6000002603 CV - Service Vehicle - Repair &amp; Maint Veh</v>
          </cell>
          <cell r="C271">
            <v>2122.1</v>
          </cell>
        </row>
        <row r="272">
          <cell r="B272" t="str">
            <v>6000002605 CV - Service Vehicle - Vehicle License</v>
          </cell>
          <cell r="C272">
            <v>537.46</v>
          </cell>
        </row>
        <row r="273">
          <cell r="B273" t="str">
            <v>6000002608 CV - Service Vehicle - Vehicle Fuel</v>
          </cell>
          <cell r="C273">
            <v>10892.03</v>
          </cell>
        </row>
        <row r="274">
          <cell r="B274" t="str">
            <v>6000003001 GME - SOS Lab Expense</v>
          </cell>
          <cell r="C274">
            <v>716.81</v>
          </cell>
        </row>
        <row r="275">
          <cell r="B275" t="str">
            <v>6000003003 GME - SOS Lab Expense - Recovery</v>
          </cell>
          <cell r="C275">
            <v>-654.54</v>
          </cell>
        </row>
        <row r="276">
          <cell r="B276" t="str">
            <v>6000003100 GME - SRE Service Tool Expense</v>
          </cell>
          <cell r="C276">
            <v>3650.98</v>
          </cell>
        </row>
        <row r="277">
          <cell r="B277" t="str">
            <v>6000004200 MSR - Campaigns - Marketing Promotion</v>
          </cell>
          <cell r="C277">
            <v>177.34</v>
          </cell>
        </row>
        <row r="278">
          <cell r="B278" t="str">
            <v>6000004205 MSR - Campaigns - Sport Sponsorship</v>
          </cell>
          <cell r="C278">
            <v>0</v>
          </cell>
        </row>
        <row r="279">
          <cell r="B279" t="str">
            <v>6000004206 MSR - Product Promotion - Merchandise</v>
          </cell>
          <cell r="C279">
            <v>346.47</v>
          </cell>
        </row>
        <row r="280">
          <cell r="B280" t="str">
            <v>7000000101 CB - Salary - Basic Salary</v>
          </cell>
          <cell r="C280">
            <v>88914.98</v>
          </cell>
        </row>
        <row r="281">
          <cell r="B281" t="str">
            <v>7000000107 CB - Salary - Anugerah Hari Raya</v>
          </cell>
          <cell r="C281">
            <v>79723.64</v>
          </cell>
        </row>
        <row r="282">
          <cell r="B282" t="str">
            <v>7000000110 CB - Salary - Accrued Anugerah Hari Raya</v>
          </cell>
          <cell r="C282">
            <v>-72308.03</v>
          </cell>
        </row>
        <row r="283">
          <cell r="B283" t="str">
            <v>7000000111 CB - Salary Based Premiums - Tax Allowance</v>
          </cell>
          <cell r="C283">
            <v>-45.94</v>
          </cell>
        </row>
        <row r="284">
          <cell r="B284" t="str">
            <v>7000000113 CB - Salary Based Premiums - Spc Location Allownce</v>
          </cell>
          <cell r="C284">
            <v>56243.3</v>
          </cell>
        </row>
        <row r="285">
          <cell r="B285" t="str">
            <v>7000000115 CB - Salary Based Premiums - National Allowance</v>
          </cell>
          <cell r="C285">
            <v>0</v>
          </cell>
        </row>
        <row r="286">
          <cell r="B286" t="str">
            <v>7000000117 CB - Salary Based Premiums - Transport Allowance</v>
          </cell>
          <cell r="C286">
            <v>1247.8800000000001</v>
          </cell>
        </row>
        <row r="287">
          <cell r="B287" t="str">
            <v>7000000120 CB - Salary Based Premiums - Bridging Incentives</v>
          </cell>
          <cell r="C287">
            <v>60.87</v>
          </cell>
        </row>
        <row r="288">
          <cell r="B288" t="str">
            <v>7000000203 CB - Bonus - Accrued Bonus</v>
          </cell>
          <cell r="C288">
            <v>14831.18</v>
          </cell>
        </row>
        <row r="289">
          <cell r="B289" t="str">
            <v>7000000204 CB - Bonus - IKPLK</v>
          </cell>
          <cell r="C289">
            <v>9612.59</v>
          </cell>
        </row>
        <row r="290">
          <cell r="B290" t="str">
            <v>7000000302 CB - Individual Benefits - Service Year Award</v>
          </cell>
          <cell r="C290">
            <v>365.84</v>
          </cell>
        </row>
        <row r="291">
          <cell r="B291" t="str">
            <v>7000000303 CB - Individual Benefits - Gift Service Year Award</v>
          </cell>
          <cell r="C291">
            <v>640.62</v>
          </cell>
        </row>
        <row r="292">
          <cell r="B292" t="str">
            <v>7000000305 CB - Individual Benefits - Nat. Housing Utilities</v>
          </cell>
          <cell r="C292">
            <v>1856.34</v>
          </cell>
        </row>
        <row r="293">
          <cell r="B293" t="str">
            <v>7000000401 CB - Health Benefits &amp; Life Med - Ins Emp.Life</v>
          </cell>
          <cell r="C293">
            <v>0</v>
          </cell>
        </row>
        <row r="294">
          <cell r="B294" t="str">
            <v>7000000500 CB - Overtime Premium - Salary Overtime Payroll</v>
          </cell>
          <cell r="C294">
            <v>15284.82</v>
          </cell>
        </row>
        <row r="295">
          <cell r="B295" t="str">
            <v>7000000702 CB - Pension &amp; Saving Benefits - PSAK 24</v>
          </cell>
          <cell r="C295">
            <v>10015.99</v>
          </cell>
        </row>
        <row r="296">
          <cell r="B296" t="str">
            <v>7000000704 CB - Pension &amp; Saving Benefits - Jamsostek JHT</v>
          </cell>
          <cell r="C296">
            <v>5720.65</v>
          </cell>
        </row>
        <row r="297">
          <cell r="B297" t="str">
            <v>7000000706 CB - Pension &amp; Saving Benefits - BPJS Pensiun</v>
          </cell>
          <cell r="C297">
            <v>2727.56</v>
          </cell>
        </row>
        <row r="298">
          <cell r="B298" t="str">
            <v>7000000707 CB - Pension &amp; Saving Benefits - Dapen TU</v>
          </cell>
          <cell r="C298">
            <v>22580.69</v>
          </cell>
        </row>
        <row r="299">
          <cell r="B299" t="str">
            <v>7000000708 CB - Pension &amp; Saving Benefits - Dapen LK</v>
          </cell>
          <cell r="C299">
            <v>4477.1899999999996</v>
          </cell>
        </row>
        <row r="300">
          <cell r="B300" t="str">
            <v>7000000801 CB - Health Benefits &amp; Life Ins - Nat. Out Patient</v>
          </cell>
          <cell r="C300">
            <v>0</v>
          </cell>
        </row>
        <row r="301">
          <cell r="B301" t="str">
            <v>7000000802 CB - Health Benefits &amp; Life Ins - Nat. Hospital</v>
          </cell>
          <cell r="C301">
            <v>0</v>
          </cell>
        </row>
        <row r="302">
          <cell r="B302" t="str">
            <v>7000000806 CB - Health Benefits &amp; Life Ins - Nat. Evacuation</v>
          </cell>
          <cell r="C302">
            <v>154.54</v>
          </cell>
        </row>
        <row r="303">
          <cell r="B303" t="str">
            <v>7000000807 CB - Health Benefits &amp; Life Ins - Nat. Check Up</v>
          </cell>
          <cell r="C303">
            <v>0</v>
          </cell>
        </row>
        <row r="304">
          <cell r="B304" t="str">
            <v>7000000819 CB - Health Benefits &amp; Life Ins - BPJS JK/JKK</v>
          </cell>
          <cell r="C304">
            <v>834.91</v>
          </cell>
        </row>
        <row r="305">
          <cell r="B305" t="str">
            <v>7000000820 CB - Health Benefits &amp; Life Ins - BPJS Kesehatan</v>
          </cell>
          <cell r="C305">
            <v>5840.14</v>
          </cell>
        </row>
        <row r="306">
          <cell r="B306" t="str">
            <v>7000001100 CB - Domestic Mobility - Nat. Leave Passage</v>
          </cell>
          <cell r="C306">
            <v>3012.92</v>
          </cell>
        </row>
        <row r="307">
          <cell r="B307" t="str">
            <v>7000001101 CB - Domestic Mobility - Nat. Housing Rent</v>
          </cell>
          <cell r="C307">
            <v>-5655.49</v>
          </cell>
        </row>
        <row r="308">
          <cell r="B308" t="str">
            <v>7000001106 CB - Domestic Mobility - Nat. Relocation</v>
          </cell>
          <cell r="C308">
            <v>162.63999999999999</v>
          </cell>
        </row>
        <row r="309">
          <cell r="B309" t="str">
            <v>7000001109 CB - Domestic Mobility - Nat. Housing Allowance</v>
          </cell>
          <cell r="C309">
            <v>32064.15</v>
          </cell>
        </row>
        <row r="310">
          <cell r="B310" t="str">
            <v>7000001417 CB - Severances - Severances</v>
          </cell>
          <cell r="C310">
            <v>304.36</v>
          </cell>
        </row>
        <row r="311">
          <cell r="B311" t="str">
            <v>7000001507 PRD – Non CO-OP Internship</v>
          </cell>
          <cell r="C311">
            <v>107.67</v>
          </cell>
        </row>
        <row r="312">
          <cell r="B312" t="str">
            <v>7000005212 CB - Employee Engagement Prog - TUSRA</v>
          </cell>
          <cell r="C312">
            <v>484.82</v>
          </cell>
        </row>
        <row r="313">
          <cell r="B313" t="str">
            <v>7000002001 TR - Airfare - Airline Ticket</v>
          </cell>
          <cell r="C313">
            <v>849.18</v>
          </cell>
        </row>
        <row r="314">
          <cell r="B314" t="str">
            <v>7000002004 TR - Lodging - Hotel Accommodation</v>
          </cell>
          <cell r="C314">
            <v>1013.2</v>
          </cell>
        </row>
        <row r="315">
          <cell r="B315" t="str">
            <v>7000002005 TR - Rental Car - Travel Car Rent</v>
          </cell>
          <cell r="C315">
            <v>2095.61</v>
          </cell>
        </row>
        <row r="316">
          <cell r="B316" t="str">
            <v>7000002006 TR - Meals - Travel Meals</v>
          </cell>
          <cell r="C316">
            <v>116.35</v>
          </cell>
        </row>
        <row r="317">
          <cell r="B317" t="str">
            <v>7000002007 TR - Local Transportation - Local Transport Travel</v>
          </cell>
          <cell r="C317">
            <v>88.27</v>
          </cell>
        </row>
        <row r="318">
          <cell r="B318" t="str">
            <v>7000002010 TR - Cost Travel Provider - Travel Agent Cost</v>
          </cell>
          <cell r="C318">
            <v>12.74</v>
          </cell>
        </row>
        <row r="319">
          <cell r="B319" t="str">
            <v>7000002011 TR - Other Travel Costs - Other Travel Cost</v>
          </cell>
          <cell r="C319">
            <v>0</v>
          </cell>
        </row>
        <row r="320">
          <cell r="B320" t="str">
            <v>7000002301 SSR - Cus Rltionship Mgmt - Entertainment Allow</v>
          </cell>
          <cell r="C320">
            <v>50.3</v>
          </cell>
        </row>
        <row r="321">
          <cell r="B321" t="str">
            <v>7000003602 CB - Perk Cars - Entitle Vehicle - Ext Rental</v>
          </cell>
          <cell r="C321">
            <v>532.89</v>
          </cell>
        </row>
        <row r="322">
          <cell r="B322" t="str">
            <v>7000003603 CB - Perk Cars - Entitle Vehicle - Repair &amp; Maint</v>
          </cell>
          <cell r="C322">
            <v>696.69</v>
          </cell>
        </row>
        <row r="323">
          <cell r="B323" t="str">
            <v>7000003604 CB - Perk Cars - Entitle Vehicle - Fuel</v>
          </cell>
          <cell r="C323">
            <v>947.9</v>
          </cell>
        </row>
        <row r="324">
          <cell r="B324" t="str">
            <v>7000003605 CV - Pool Vehicle - License - Own</v>
          </cell>
          <cell r="C324">
            <v>619.41999999999996</v>
          </cell>
        </row>
        <row r="325">
          <cell r="B325" t="str">
            <v>7000003606 CB - Perk Cars - Entitle Vehicle - License</v>
          </cell>
          <cell r="C325">
            <v>0</v>
          </cell>
        </row>
        <row r="326">
          <cell r="B326" t="str">
            <v>7000003613 CV - Pool Vehicle - Repair &amp; Maintenance</v>
          </cell>
          <cell r="C326">
            <v>4498.3500000000004</v>
          </cell>
        </row>
        <row r="327">
          <cell r="B327" t="str">
            <v>7000003615 CV - Pool Vehicle - TMT Rental</v>
          </cell>
          <cell r="C327">
            <v>0</v>
          </cell>
        </row>
        <row r="328">
          <cell r="B328" t="str">
            <v>7000003616 CV - Pool Vehicle - Ext Rental</v>
          </cell>
          <cell r="C328">
            <v>2873</v>
          </cell>
        </row>
        <row r="329">
          <cell r="B329" t="str">
            <v>7000003617 CV - Pool Vehicle - Fuel</v>
          </cell>
          <cell r="C329">
            <v>8314.74</v>
          </cell>
        </row>
        <row r="330">
          <cell r="B330" t="str">
            <v>7000004601 TC - Fixed Line Telephony - Telephone &amp; Other Comm</v>
          </cell>
          <cell r="C330">
            <v>254.56</v>
          </cell>
        </row>
        <row r="331">
          <cell r="B331" t="str">
            <v>7000004602 TC - Mobile Telephony - Mobile Phone</v>
          </cell>
          <cell r="C331">
            <v>861.23</v>
          </cell>
        </row>
        <row r="332">
          <cell r="B332" t="str">
            <v>7000004604 FRS - Mail/Packed Services - Mail &amp; Courier</v>
          </cell>
          <cell r="C332">
            <v>567.15</v>
          </cell>
        </row>
        <row r="333">
          <cell r="B333" t="str">
            <v>7000004101 TC - Tech Equipment &amp; Maint - IP Ph/Comp/Devices</v>
          </cell>
          <cell r="C333">
            <v>27.21</v>
          </cell>
        </row>
        <row r="334">
          <cell r="B334" t="str">
            <v>7000005501 TC - Software Maintenance &amp; Fees - Software &amp; R&amp;M</v>
          </cell>
          <cell r="C334">
            <v>13831.79</v>
          </cell>
        </row>
        <row r="335">
          <cell r="B335" t="str">
            <v>7000005503 TC - Data Communication Services - Connectivity</v>
          </cell>
          <cell r="C335">
            <v>13317.42</v>
          </cell>
        </row>
        <row r="336">
          <cell r="B336" t="str">
            <v>7000005221 FRS - Meeting - External Meeting</v>
          </cell>
          <cell r="C336">
            <v>402.31</v>
          </cell>
        </row>
        <row r="337">
          <cell r="B337" t="str">
            <v>7000005214 ED - Internal Events - Events Non Corporate</v>
          </cell>
          <cell r="C337">
            <v>870.83</v>
          </cell>
        </row>
        <row r="338">
          <cell r="B338" t="str">
            <v>7000005215 FRS - Meeting - Internal Meeting</v>
          </cell>
          <cell r="C338">
            <v>1599.76</v>
          </cell>
        </row>
        <row r="339">
          <cell r="B339" t="str">
            <v>7000001401 PRD - Training - General</v>
          </cell>
          <cell r="C339">
            <v>-32.54</v>
          </cell>
        </row>
        <row r="340">
          <cell r="B340" t="str">
            <v>7000001403 PRD - Training - Technical</v>
          </cell>
          <cell r="C340">
            <v>1660.07</v>
          </cell>
        </row>
        <row r="341">
          <cell r="B341" t="str">
            <v>7000001405 PRD - Training - MDP</v>
          </cell>
          <cell r="C341">
            <v>4.96</v>
          </cell>
        </row>
        <row r="342">
          <cell r="B342" t="str">
            <v>7000001416 PRD - Assessment Center</v>
          </cell>
          <cell r="C342">
            <v>212.37</v>
          </cell>
        </row>
        <row r="343">
          <cell r="B343" t="str">
            <v>7000003000 FRS - Office Supplies - Office Supplies</v>
          </cell>
          <cell r="C343">
            <v>1883.74</v>
          </cell>
        </row>
        <row r="344">
          <cell r="B344" t="str">
            <v>7000003001 FRS - Office Supplies - Meterai,Signature&amp;Stempel</v>
          </cell>
          <cell r="C344">
            <v>152.53</v>
          </cell>
        </row>
        <row r="345">
          <cell r="B345" t="str">
            <v>7000005809 FRS - Printer &amp; Copier Equipment - New,Lease &amp; R&amp;M</v>
          </cell>
          <cell r="C345">
            <v>2424.37</v>
          </cell>
        </row>
        <row r="346">
          <cell r="B346" t="str">
            <v>7000003403 OSR - Support Services Outsource - Non Administrat</v>
          </cell>
          <cell r="C346">
            <v>16682.36</v>
          </cell>
        </row>
        <row r="347">
          <cell r="B347" t="str">
            <v>7000005803 OSR - Facility Services Outsource - Clean &amp; Garden</v>
          </cell>
          <cell r="C347">
            <v>31065.54</v>
          </cell>
        </row>
        <row r="348">
          <cell r="B348" t="str">
            <v>7000005805 OSR - Facility Services Outsource - Security</v>
          </cell>
          <cell r="C348">
            <v>9110.25</v>
          </cell>
        </row>
        <row r="349">
          <cell r="B349" t="str">
            <v>7000004900 GRR - Others Regulatory Fees-Licence,Levies &amp; Tax</v>
          </cell>
          <cell r="C349">
            <v>-1965.08</v>
          </cell>
        </row>
        <row r="350">
          <cell r="B350" t="str">
            <v>7000005800 FRS - PPE &amp; Uniforms - Safety Supplies</v>
          </cell>
          <cell r="C350">
            <v>1406.79</v>
          </cell>
        </row>
        <row r="351">
          <cell r="B351" t="str">
            <v>7000005801 FRS - PPE &amp; Uniforms - Uniforms</v>
          </cell>
          <cell r="C351">
            <v>24.4</v>
          </cell>
        </row>
        <row r="352">
          <cell r="B352" t="str">
            <v>7000001900 FRS - Facility Benefits - Pantry Supplies</v>
          </cell>
          <cell r="C352">
            <v>2904.74</v>
          </cell>
        </row>
        <row r="353">
          <cell r="B353" t="str">
            <v>7000001901 FRS - Facility Benefits - Catering Subsidy</v>
          </cell>
          <cell r="C353">
            <v>24821.99</v>
          </cell>
        </row>
        <row r="354">
          <cell r="B354" t="str">
            <v>7000001903 CV - Pool Vehicle - Shuttle Bus</v>
          </cell>
          <cell r="C354">
            <v>10005.299999999999</v>
          </cell>
        </row>
        <row r="355">
          <cell r="B355" t="str">
            <v>7000005206 CB - Token Condolence</v>
          </cell>
          <cell r="C355">
            <v>30.08</v>
          </cell>
        </row>
        <row r="356">
          <cell r="B356" t="str">
            <v>7000005804 FRS - Recycling/Waste Cost</v>
          </cell>
          <cell r="C356">
            <v>4579.93</v>
          </cell>
        </row>
        <row r="357">
          <cell r="B357" t="str">
            <v>7000003701 GME - Depreciation &amp; Amortization - Workshop Equip</v>
          </cell>
          <cell r="C357">
            <v>6683.52</v>
          </cell>
        </row>
        <row r="358">
          <cell r="B358" t="str">
            <v>7000003704 GME - Depreciation &amp; Amortization - IT Devices</v>
          </cell>
          <cell r="C358">
            <v>124.31</v>
          </cell>
        </row>
        <row r="359">
          <cell r="B359" t="str">
            <v>7000003705 GME - Depreciation &amp; Amortization - Tools</v>
          </cell>
          <cell r="C359">
            <v>5280.71</v>
          </cell>
        </row>
        <row r="360">
          <cell r="B360" t="str">
            <v>7000003706 GME - Depreciation &amp; Amortization - Godown/Equip</v>
          </cell>
          <cell r="C360">
            <v>1873.44</v>
          </cell>
        </row>
        <row r="361">
          <cell r="B361" t="str">
            <v>7000003707 GME - Depreciation &amp; Amortization - Ofc/Furniture</v>
          </cell>
          <cell r="C361">
            <v>7506.86</v>
          </cell>
        </row>
        <row r="362">
          <cell r="B362" t="str">
            <v>7000003708 GME - Depreciation &amp; Amortization - Ofc/Building</v>
          </cell>
          <cell r="C362">
            <v>1179.4000000000001</v>
          </cell>
        </row>
        <row r="363">
          <cell r="B363" t="str">
            <v>7000003710 GME - Depreciation &amp; Amortization - Own Sedan</v>
          </cell>
          <cell r="C363">
            <v>1195.95</v>
          </cell>
        </row>
        <row r="364">
          <cell r="B364" t="str">
            <v>7000003711 GME - Depreciation &amp; Amortization - Own Truck</v>
          </cell>
          <cell r="C364">
            <v>17039.259999999998</v>
          </cell>
        </row>
        <row r="365">
          <cell r="B365" t="str">
            <v>7000003716 GME - Depreciation &amp; Amortization - Own Component</v>
          </cell>
          <cell r="C365">
            <v>11943.45</v>
          </cell>
        </row>
        <row r="366">
          <cell r="B366" t="str">
            <v>7000003810 GME - Depreciation &amp; Amortization - Facility</v>
          </cell>
          <cell r="C366">
            <v>64914.22</v>
          </cell>
        </row>
        <row r="367">
          <cell r="B367" t="str">
            <v>7000003820 GME - Depreciation &amp; Amortization - Vehicle</v>
          </cell>
          <cell r="C367">
            <v>25170.11</v>
          </cell>
        </row>
        <row r="368">
          <cell r="B368" t="str">
            <v>7000003830 GME - Depreciation &amp; Amortization - IT Device</v>
          </cell>
          <cell r="C368">
            <v>7943.67</v>
          </cell>
        </row>
        <row r="369">
          <cell r="B369" t="str">
            <v>7000003501 MC - Building &amp; Fac Maint Matr - Workshop</v>
          </cell>
          <cell r="C369">
            <v>19762.87</v>
          </cell>
        </row>
        <row r="370">
          <cell r="B370" t="str">
            <v>7000003502 MC - Building &amp; Fac Maint Matr - Godown</v>
          </cell>
          <cell r="C370">
            <v>454.48</v>
          </cell>
        </row>
        <row r="371">
          <cell r="B371" t="str">
            <v>7000003504 MC - Building &amp; Fac Maint Matr - Office</v>
          </cell>
          <cell r="C371">
            <v>4143.26</v>
          </cell>
        </row>
        <row r="372">
          <cell r="B372" t="str">
            <v>7000003506 MC - Building &amp; Fac Maint Matr - House Own/Rent</v>
          </cell>
          <cell r="C372">
            <v>9665</v>
          </cell>
        </row>
        <row r="373">
          <cell r="B373" t="str">
            <v>7000003507 MC - Building &amp; Fac Maint Matr - Temporary Account</v>
          </cell>
          <cell r="C373">
            <v>-220604.03</v>
          </cell>
        </row>
        <row r="374">
          <cell r="B374" t="str">
            <v>7000003509 MC - Office Equip &amp; Mach Maint Matr - Office</v>
          </cell>
          <cell r="C374">
            <v>102.26</v>
          </cell>
        </row>
        <row r="375">
          <cell r="B375" t="str">
            <v>7000003510 MC - Office Equip &amp; Mach Maint Matr - Machinery</v>
          </cell>
          <cell r="C375">
            <v>1629.58</v>
          </cell>
        </row>
        <row r="376">
          <cell r="B376" t="str">
            <v>7000003511 OSR - Facility Services Outsource - Maint Facility</v>
          </cell>
          <cell r="C376">
            <v>4610.03</v>
          </cell>
        </row>
        <row r="377">
          <cell r="B377" t="str">
            <v>7000001902 FRS - Facility Benefits - Utilities</v>
          </cell>
          <cell r="C377">
            <v>274.67</v>
          </cell>
        </row>
        <row r="378">
          <cell r="B378" t="str">
            <v>7000005806 FRS - WEG - Water</v>
          </cell>
          <cell r="C378">
            <v>2150.1</v>
          </cell>
        </row>
        <row r="379">
          <cell r="B379" t="str">
            <v>7000005807 FRS - WEG - Electricity</v>
          </cell>
          <cell r="C379">
            <v>5154.76</v>
          </cell>
        </row>
        <row r="380">
          <cell r="B380" t="str">
            <v>7000005808 FRS - WEG - Gas &amp; Solar</v>
          </cell>
          <cell r="C380">
            <v>5713.83</v>
          </cell>
        </row>
        <row r="381">
          <cell r="B381" t="str">
            <v>7000005901 GME - Service Recovery - OHD Service Recovery</v>
          </cell>
          <cell r="C381">
            <v>-68247.31</v>
          </cell>
        </row>
        <row r="382">
          <cell r="B382" t="str">
            <v>8010000300 GME - Gaim/Loss Inc/Exp Fixed Asset ROU</v>
          </cell>
          <cell r="C382">
            <v>0</v>
          </cell>
        </row>
        <row r="383">
          <cell r="B383" t="str">
            <v>8010000401 GME - One off Gains&amp;Losses - Miscellaneous Income</v>
          </cell>
          <cell r="C383">
            <v>-45.65</v>
          </cell>
        </row>
        <row r="384">
          <cell r="B384" t="str">
            <v>8040000700 GME - Miscellaneous Exp - Inventory Adj PVRG ITR3A</v>
          </cell>
          <cell r="C384">
            <v>22450.97</v>
          </cell>
        </row>
        <row r="385">
          <cell r="B385" t="str">
            <v>8010000402 GME - One off Gains&amp;Losses - Miscellaneous Expense</v>
          </cell>
          <cell r="C385">
            <v>-553.88</v>
          </cell>
        </row>
        <row r="386">
          <cell r="B386" t="str">
            <v>8010000600 GME – Tax Expense</v>
          </cell>
          <cell r="C386">
            <v>0</v>
          </cell>
        </row>
        <row r="387">
          <cell r="B387" t="str">
            <v>8030000700 GME - Warranty Income/Expenses</v>
          </cell>
          <cell r="C387">
            <v>4479.7</v>
          </cell>
        </row>
        <row r="388">
          <cell r="B388" t="str">
            <v>8040000100 GME - Miscellaneous Exp - Prov &amp; W/O AR Bad Debt</v>
          </cell>
          <cell r="C388">
            <v>193788.01</v>
          </cell>
        </row>
        <row r="389">
          <cell r="B389" t="str">
            <v>8040000400 GME - Miscellaneous Exp - Inventory Adj/Scrap/WO</v>
          </cell>
          <cell r="C389">
            <v>-7454.3</v>
          </cell>
        </row>
        <row r="390">
          <cell r="B390" t="str">
            <v>8020000200 GME - Deposit Int &amp; Jasa Giro - Income Jasa Giro</v>
          </cell>
          <cell r="C390">
            <v>-1.18</v>
          </cell>
        </row>
        <row r="391">
          <cell r="B391" t="str">
            <v>8030000400 FS - Bank Charges - Bank Charges &amp; Stamp Duty</v>
          </cell>
          <cell r="C391">
            <v>8.99</v>
          </cell>
        </row>
        <row r="392">
          <cell r="B392" t="str">
            <v>8030000403 GME - Interest for IFRS 16</v>
          </cell>
          <cell r="C392">
            <v>9531.66</v>
          </cell>
        </row>
        <row r="393">
          <cell r="B393" t="str">
            <v>2460202000 Accrual Payable Non Trade Related Party</v>
          </cell>
          <cell r="C393">
            <v>1176.47</v>
          </cell>
        </row>
        <row r="394">
          <cell r="B394" t="str">
            <v>2469300000 Reconciliation Posting CO-FI</v>
          </cell>
          <cell r="C394">
            <v>9775.9599999999991</v>
          </cell>
        </row>
        <row r="395">
          <cell r="B395" t="str">
            <v>3910200000 Clearing Account for FI Doc Splitting</v>
          </cell>
          <cell r="C395">
            <v>0</v>
          </cell>
        </row>
        <row r="396">
          <cell r="B396" t="str">
            <v>7000003406 OSR - Operational Services Outsource - Part &amp; Lgst</v>
          </cell>
          <cell r="C396">
            <v>0</v>
          </cell>
        </row>
        <row r="397">
          <cell r="B397" t="str">
            <v>9999999998 IFRS16 Migration</v>
          </cell>
          <cell r="C39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1 (2)"/>
    </sheetNames>
    <sheetDataSet>
      <sheetData sheetId="0"/>
      <sheetData sheetId="1">
        <row r="2">
          <cell r="B2" t="str">
            <v>1011100380 PettyCash IDR SANGATTA</v>
          </cell>
          <cell r="C2">
            <v>0</v>
          </cell>
        </row>
        <row r="3">
          <cell r="B3" t="str">
            <v>1016109761 Bank IDR Mandiri 1480004169309 MB-SANGATA_OPR</v>
          </cell>
          <cell r="C3">
            <v>-5448.28</v>
          </cell>
        </row>
        <row r="4">
          <cell r="B4" t="str">
            <v>1016109769 Bank IDR Mandiri 1480004169309 FxV-SANGATA_OPR</v>
          </cell>
          <cell r="C4">
            <v>-149.35</v>
          </cell>
        </row>
        <row r="5">
          <cell r="B5" t="str">
            <v>1016162071 Bank IDR Mandiri 148-001-687266-8 MB SGT</v>
          </cell>
          <cell r="C5">
            <v>0.03</v>
          </cell>
        </row>
        <row r="6">
          <cell r="B6" t="str">
            <v>1016162079 Bank IDR Mandiri 148-001-687266-8 FxV SGT</v>
          </cell>
          <cell r="C6">
            <v>-0.44</v>
          </cell>
        </row>
        <row r="7">
          <cell r="B7" t="str">
            <v>1110101000 AR Gross Trade 3rd Party</v>
          </cell>
          <cell r="C7">
            <v>-2895494.03</v>
          </cell>
        </row>
        <row r="8">
          <cell r="B8" t="str">
            <v>1110101009 AR Gross Trade 3rd Party FxV</v>
          </cell>
          <cell r="C8">
            <v>146093.09</v>
          </cell>
        </row>
        <row r="9">
          <cell r="B9" t="str">
            <v>1110102000 AR Gross Trade Rel Party</v>
          </cell>
          <cell r="C9">
            <v>237.92</v>
          </cell>
        </row>
        <row r="10">
          <cell r="B10" t="str">
            <v>1110102009 AR Gross Trade Rel Party FxV</v>
          </cell>
          <cell r="C10">
            <v>1.74</v>
          </cell>
        </row>
        <row r="11">
          <cell r="B11" t="str">
            <v>1120101000 AR Gross Trade 3rd Party Allowance</v>
          </cell>
          <cell r="C11">
            <v>37418.129999999997</v>
          </cell>
        </row>
        <row r="12">
          <cell r="B12" t="str">
            <v>1211101000 AR Claim Warranty Pending 3rd Party</v>
          </cell>
          <cell r="C12">
            <v>0</v>
          </cell>
        </row>
        <row r="13">
          <cell r="B13" t="str">
            <v>1211301000 AR Claim Warranty Claim 3rd Party</v>
          </cell>
          <cell r="C13">
            <v>0</v>
          </cell>
        </row>
        <row r="14">
          <cell r="B14" t="str">
            <v>1211301001 AR Claim Warranty Claim 3rd Party New</v>
          </cell>
          <cell r="C14">
            <v>19911.37</v>
          </cell>
        </row>
        <row r="15">
          <cell r="B15" t="str">
            <v>1211401001 AR Claim 3rd Party Goodwill (New Acct)</v>
          </cell>
          <cell r="C15">
            <v>-26843.91</v>
          </cell>
        </row>
        <row r="16">
          <cell r="B16" t="str">
            <v>1211401310 AR Claim Warranty Claim-Goodwill 3rd Party OEM</v>
          </cell>
          <cell r="C16">
            <v>0</v>
          </cell>
        </row>
        <row r="17">
          <cell r="B17" t="str">
            <v>1212001010 AR Claim 3rd Party CAT Parts Core</v>
          </cell>
          <cell r="C17">
            <v>-104581.38</v>
          </cell>
        </row>
        <row r="18">
          <cell r="B18" t="str">
            <v>1110101230 AR Gross Trade 3rd Party Art23</v>
          </cell>
          <cell r="C18">
            <v>-2880.95</v>
          </cell>
        </row>
        <row r="19">
          <cell r="B19" t="str">
            <v>1110101239 AR Gross Trade 3rd Party Art23 FxV</v>
          </cell>
          <cell r="C19">
            <v>1412.29</v>
          </cell>
        </row>
        <row r="20">
          <cell r="B20" t="str">
            <v>1110202000 AR Gross Non Trade Rel Party</v>
          </cell>
          <cell r="C20">
            <v>2509.84</v>
          </cell>
        </row>
        <row r="21">
          <cell r="B21" t="str">
            <v>1110202009 AR Gross Non Trade Rel Party FxV</v>
          </cell>
          <cell r="C21">
            <v>-2.2400000000000002</v>
          </cell>
        </row>
        <row r="22">
          <cell r="B22" t="str">
            <v>1218301010 AR Claim 3rd Party CAT (APD)</v>
          </cell>
          <cell r="C22">
            <v>-199746.1</v>
          </cell>
        </row>
        <row r="23">
          <cell r="B23" t="str">
            <v>1218301019 AR Claim 3rd Party CAT (APD) FxV</v>
          </cell>
          <cell r="C23">
            <v>5637.61</v>
          </cell>
        </row>
        <row r="24">
          <cell r="B24" t="str">
            <v>1219301510 AR Claim Others 3rd Party Insurance</v>
          </cell>
          <cell r="C24">
            <v>0</v>
          </cell>
        </row>
        <row r="25">
          <cell r="B25" t="str">
            <v>1219302070 AR Claim Others Rel Party CKB</v>
          </cell>
          <cell r="C25">
            <v>1.3</v>
          </cell>
        </row>
        <row r="26">
          <cell r="B26" t="str">
            <v>1411101100 Inventory PP Unit</v>
          </cell>
          <cell r="C26">
            <v>148398.64000000001</v>
          </cell>
        </row>
        <row r="27">
          <cell r="B27" t="str">
            <v>1411104000 Inventory PP Gross Project System BOP</v>
          </cell>
          <cell r="C27">
            <v>893.97</v>
          </cell>
        </row>
        <row r="28">
          <cell r="B28" t="str">
            <v>1411198000 Inventory PP Non CAT Accessories</v>
          </cell>
          <cell r="C28">
            <v>700.45</v>
          </cell>
        </row>
        <row r="29">
          <cell r="B29" t="str">
            <v>1415101000 Inventory Parts Stock On Hand</v>
          </cell>
          <cell r="C29">
            <v>-50364.07</v>
          </cell>
        </row>
        <row r="30">
          <cell r="B30" t="str">
            <v>1415141001 Inventory Parts PVRG Service Order</v>
          </cell>
          <cell r="C30">
            <v>0</v>
          </cell>
        </row>
        <row r="31">
          <cell r="B31" t="str">
            <v>1415141666 Inventory Parts PVRG SPM - SOA</v>
          </cell>
          <cell r="C31">
            <v>7581.89</v>
          </cell>
        </row>
        <row r="32">
          <cell r="B32" t="str">
            <v>1415192000 Inventory Parts Gross Hub Turn Over</v>
          </cell>
          <cell r="C32">
            <v>-992103.2</v>
          </cell>
        </row>
        <row r="33">
          <cell r="B33" t="str">
            <v>1461001210 Inventory Parts GINI</v>
          </cell>
          <cell r="C33">
            <v>130335.78</v>
          </cell>
        </row>
        <row r="34">
          <cell r="B34" t="str">
            <v>1461001220 Inventory Parts GINI Rebuild</v>
          </cell>
          <cell r="C34">
            <v>9626.24</v>
          </cell>
        </row>
        <row r="35">
          <cell r="B35" t="str">
            <v>1465011000 Inventory Parts GIT</v>
          </cell>
          <cell r="C35">
            <v>-321368.89</v>
          </cell>
        </row>
        <row r="36">
          <cell r="B36" t="str">
            <v>1465011002 Inventory Parts Freight &amp; Handling (CLEARING)</v>
          </cell>
          <cell r="C36">
            <v>-14596.43</v>
          </cell>
        </row>
        <row r="37">
          <cell r="B37" t="str">
            <v>1515001213 Landed Cost - Parts FH ITL Inbound Actual</v>
          </cell>
          <cell r="C37">
            <v>0</v>
          </cell>
        </row>
        <row r="38">
          <cell r="B38" t="str">
            <v>1515001214 Landed Cost - Parts FH LCL Inbound Actual</v>
          </cell>
          <cell r="C38">
            <v>56.52</v>
          </cell>
        </row>
        <row r="39">
          <cell r="B39" t="str">
            <v>1515001215 Landed Cost - Parts FH LCL Outbound Actual</v>
          </cell>
          <cell r="C39">
            <v>0</v>
          </cell>
        </row>
        <row r="40">
          <cell r="B40" t="str">
            <v>1515001216 Landed Cost - Parts FH ITL Outbound Actual</v>
          </cell>
          <cell r="C40">
            <v>0</v>
          </cell>
        </row>
        <row r="41">
          <cell r="B41" t="str">
            <v>1565000000 WIP Parts</v>
          </cell>
          <cell r="C41">
            <v>367.18</v>
          </cell>
        </row>
        <row r="42">
          <cell r="B42" t="str">
            <v>1565000511 WIP Parts S.O.S.</v>
          </cell>
          <cell r="C42">
            <v>-33.89</v>
          </cell>
        </row>
        <row r="43">
          <cell r="B43" t="str">
            <v>1565000800 WIP Parts PEX (Trakindo REMAN)</v>
          </cell>
          <cell r="C43">
            <v>0.01</v>
          </cell>
        </row>
        <row r="44">
          <cell r="B44" t="str">
            <v>1566000010 WIP Service Labor</v>
          </cell>
          <cell r="C44">
            <v>34815.22</v>
          </cell>
        </row>
        <row r="45">
          <cell r="B45" t="str">
            <v>1566000020 WIP Service LPO</v>
          </cell>
          <cell r="C45">
            <v>333.75</v>
          </cell>
        </row>
        <row r="46">
          <cell r="B46" t="str">
            <v>1566000050 WIP Service Travel</v>
          </cell>
          <cell r="C46">
            <v>5.62</v>
          </cell>
        </row>
        <row r="47">
          <cell r="B47" t="str">
            <v>1661022000 Prepaid Tax ART 22</v>
          </cell>
          <cell r="C47">
            <v>0</v>
          </cell>
        </row>
        <row r="48">
          <cell r="B48" t="str">
            <v>1611201000 Advance Non Trade 3rd Party</v>
          </cell>
          <cell r="C48">
            <v>0</v>
          </cell>
        </row>
        <row r="49">
          <cell r="B49" t="str">
            <v>1611201009 Advance Non Trade 3rd Party FxV</v>
          </cell>
          <cell r="C49">
            <v>-388.89</v>
          </cell>
        </row>
        <row r="50">
          <cell r="B50" t="str">
            <v>1612001010 Prepayment 3rd Party Office Rent</v>
          </cell>
          <cell r="C50">
            <v>0</v>
          </cell>
        </row>
        <row r="51">
          <cell r="B51" t="str">
            <v>1612001020 Prepayment 3rd Party Office Rent Imp (LHI)</v>
          </cell>
          <cell r="C51">
            <v>-4851.6400000000003</v>
          </cell>
        </row>
        <row r="52">
          <cell r="B52" t="str">
            <v>1612001110 Prepayment 3rd Party Staff House Rent</v>
          </cell>
          <cell r="C52">
            <v>-514.13</v>
          </cell>
        </row>
        <row r="53">
          <cell r="B53" t="str">
            <v>1630000110 Advance To Employee Travel</v>
          </cell>
          <cell r="C53">
            <v>-86.88</v>
          </cell>
        </row>
        <row r="54">
          <cell r="B54" t="str">
            <v>1630000119 Advance To Employee Travel Adv FxV</v>
          </cell>
          <cell r="C54">
            <v>8.7899999999999991</v>
          </cell>
        </row>
        <row r="55">
          <cell r="B55" t="str">
            <v>1811102000 FA Acquisition Owned Self Usage Building</v>
          </cell>
          <cell r="C55">
            <v>0</v>
          </cell>
        </row>
        <row r="56">
          <cell r="B56" t="str">
            <v>1821102000 FA Accumulated Depreciation Owned Building</v>
          </cell>
          <cell r="C56">
            <v>-1179.3499999999999</v>
          </cell>
        </row>
        <row r="57">
          <cell r="B57" t="str">
            <v>1811115000 FA Acquisition Owned Warehouse Equip</v>
          </cell>
          <cell r="C57">
            <v>0</v>
          </cell>
        </row>
        <row r="58">
          <cell r="B58" t="str">
            <v>1811116000 FA Acquisition Owned Workshop Equip</v>
          </cell>
          <cell r="C58">
            <v>22714.560000000001</v>
          </cell>
        </row>
        <row r="59">
          <cell r="B59" t="str">
            <v>1811117000 FA Acquisition Owned Service Tool</v>
          </cell>
          <cell r="C59">
            <v>0</v>
          </cell>
        </row>
        <row r="60">
          <cell r="B60" t="str">
            <v>1811119000 FA Acquisition Owned Training Center Equipment</v>
          </cell>
          <cell r="C60">
            <v>0</v>
          </cell>
        </row>
        <row r="61">
          <cell r="B61" t="str">
            <v>1811140000 FA Acquisition Owned Office Equipment</v>
          </cell>
          <cell r="C61">
            <v>2383.1</v>
          </cell>
        </row>
        <row r="62">
          <cell r="B62" t="str">
            <v>1821115000 FA Accumulated Depreciation Owned Warehouse Equip</v>
          </cell>
          <cell r="C62">
            <v>-1873.52</v>
          </cell>
        </row>
        <row r="63">
          <cell r="B63" t="str">
            <v>1821116000 FA Accumulated Depreciation Owned Workshop Equip</v>
          </cell>
          <cell r="C63">
            <v>-6920.14</v>
          </cell>
        </row>
        <row r="64">
          <cell r="B64" t="str">
            <v>1821117000 FA Accumulated Depreciation Owned Service Tool</v>
          </cell>
          <cell r="C64">
            <v>-5281.05</v>
          </cell>
        </row>
        <row r="65">
          <cell r="B65" t="str">
            <v>1821119000 FA Accumulated Depreciation Owned TC Equip</v>
          </cell>
          <cell r="C65">
            <v>0</v>
          </cell>
        </row>
        <row r="66">
          <cell r="B66" t="str">
            <v>1821140000 FA Accumulated Depreciation Owned Office Equipment</v>
          </cell>
          <cell r="C66">
            <v>-5567.78</v>
          </cell>
        </row>
        <row r="67">
          <cell r="B67" t="str">
            <v>1811301000 FA Acquisition Owned Rental Fleet Machine</v>
          </cell>
          <cell r="C67">
            <v>-737671.34</v>
          </cell>
        </row>
        <row r="68">
          <cell r="B68" t="str">
            <v>1821301000 FA Accumulated Depreciation Owned Rental Fleet Mac</v>
          </cell>
          <cell r="C68">
            <v>-2429.25</v>
          </cell>
        </row>
        <row r="69">
          <cell r="B69" t="str">
            <v>1811130000 FA Acquisition Owned Vehicle Sedan</v>
          </cell>
          <cell r="C69">
            <v>0</v>
          </cell>
        </row>
        <row r="70">
          <cell r="B70" t="str">
            <v>1811131000 FA Acquisition Owned Vehicle Truck</v>
          </cell>
          <cell r="C70">
            <v>0</v>
          </cell>
        </row>
        <row r="71">
          <cell r="B71" t="str">
            <v>1821130000 FA Accumulated Depreciation Owned Vehicle Sedan</v>
          </cell>
          <cell r="C71">
            <v>-6338.09</v>
          </cell>
        </row>
        <row r="72">
          <cell r="B72" t="str">
            <v>1821131000 FA Accumulated Depreciation Owned Vehicle Truck</v>
          </cell>
          <cell r="C72">
            <v>-45999.65</v>
          </cell>
        </row>
        <row r="73">
          <cell r="B73" t="str">
            <v>1811160000 FA Acquisition Owned IT Devices Computer</v>
          </cell>
          <cell r="C73">
            <v>0</v>
          </cell>
        </row>
        <row r="74">
          <cell r="B74" t="str">
            <v>1813103000 FA Acquisition Lease IT Device</v>
          </cell>
          <cell r="C74">
            <v>0</v>
          </cell>
        </row>
        <row r="75">
          <cell r="B75" t="str">
            <v>1821160000 FA Accumulated Depreciation Owned IT Devices Comp</v>
          </cell>
          <cell r="C75">
            <v>-124.35</v>
          </cell>
        </row>
        <row r="76">
          <cell r="B76" t="str">
            <v>1823103000 FA Accumulated Depreciation IT Device</v>
          </cell>
          <cell r="C76">
            <v>0</v>
          </cell>
        </row>
        <row r="77">
          <cell r="B77" t="str">
            <v>1811200010 FA Acquisition Owned Component</v>
          </cell>
          <cell r="C77">
            <v>-126428.48</v>
          </cell>
        </row>
        <row r="78">
          <cell r="B78" t="str">
            <v>1821200010 FA Accumulated Depreciation Owned Component</v>
          </cell>
          <cell r="C78">
            <v>28547.360000000001</v>
          </cell>
        </row>
        <row r="79">
          <cell r="B79" t="str">
            <v>1811150000 FA Acquisition Owned Office Furniture</v>
          </cell>
          <cell r="C79">
            <v>2062.9299999999998</v>
          </cell>
        </row>
        <row r="80">
          <cell r="B80" t="str">
            <v>1821150000 FA Accumulated Depreciation Owned Office Furniture</v>
          </cell>
          <cell r="C80">
            <v>-1868</v>
          </cell>
        </row>
        <row r="81">
          <cell r="B81" t="str">
            <v>1813101100 FA Acquisition Lease Facility</v>
          </cell>
          <cell r="C81">
            <v>0</v>
          </cell>
        </row>
        <row r="82">
          <cell r="B82" t="str">
            <v>1813102100 FA Acquisition Lease Vehicle</v>
          </cell>
          <cell r="C82">
            <v>90349.96</v>
          </cell>
        </row>
        <row r="83">
          <cell r="B83" t="str">
            <v>1813103100 FA Acquisition Lease IT Device</v>
          </cell>
          <cell r="C83">
            <v>278.64999999999998</v>
          </cell>
        </row>
        <row r="84">
          <cell r="B84" t="str">
            <v>1823101100 FA Accumulated Depreciation Facility</v>
          </cell>
          <cell r="C84">
            <v>-64914.26</v>
          </cell>
        </row>
        <row r="85">
          <cell r="B85" t="str">
            <v>1823102100 FA Accumulated Depreciation Vehicle</v>
          </cell>
          <cell r="C85">
            <v>-21926.43</v>
          </cell>
        </row>
        <row r="86">
          <cell r="B86" t="str">
            <v>1823103100 FA Accumulated Depreciation IT Device</v>
          </cell>
          <cell r="C86">
            <v>-6723.86</v>
          </cell>
        </row>
        <row r="87">
          <cell r="B87" t="str">
            <v>1910015010 IFRS 15 Deferred Expenses Part Voucher</v>
          </cell>
          <cell r="C87">
            <v>0</v>
          </cell>
        </row>
        <row r="88">
          <cell r="B88" t="str">
            <v>1910015020 IFRS 15 Deffered Expenses Sos Lab</v>
          </cell>
          <cell r="C88">
            <v>0</v>
          </cell>
        </row>
        <row r="89">
          <cell r="B89" t="str">
            <v>2110101000 AP Trade 3rd Party</v>
          </cell>
          <cell r="C89">
            <v>100465.23</v>
          </cell>
        </row>
        <row r="90">
          <cell r="B90" t="str">
            <v>2110101009 AP Trade 3rd Party FxV</v>
          </cell>
          <cell r="C90">
            <v>-1477.02</v>
          </cell>
        </row>
        <row r="91">
          <cell r="B91" t="str">
            <v>2110201000 AP Non Trade 3rd Party</v>
          </cell>
          <cell r="C91">
            <v>83283.8</v>
          </cell>
        </row>
        <row r="92">
          <cell r="B92" t="str">
            <v>2110201009 AP Non Trade 3rd Party FxV</v>
          </cell>
          <cell r="C92">
            <v>-5893.77</v>
          </cell>
        </row>
        <row r="93">
          <cell r="B93" t="str">
            <v>2200100001 GR/IR Trade Adjustment</v>
          </cell>
          <cell r="C93">
            <v>0</v>
          </cell>
        </row>
        <row r="94">
          <cell r="B94" t="str">
            <v>2200110002 GR/IR Parts - Dealer Net</v>
          </cell>
          <cell r="C94">
            <v>-312307.17</v>
          </cell>
        </row>
        <row r="95">
          <cell r="B95" t="str">
            <v>2200110003 GR/IR Parts - Service Charge</v>
          </cell>
          <cell r="C95">
            <v>39.880000000000003</v>
          </cell>
        </row>
        <row r="96">
          <cell r="B96" t="str">
            <v>2200110004 GR/IR Parts - Import Charge</v>
          </cell>
          <cell r="C96">
            <v>-4286.1000000000004</v>
          </cell>
        </row>
        <row r="97">
          <cell r="B97" t="str">
            <v>2200110012 GR/IR Parts - Dealer Net Adjustment</v>
          </cell>
          <cell r="C97">
            <v>312307.17</v>
          </cell>
        </row>
        <row r="98">
          <cell r="B98" t="str">
            <v>2200110013 GR/IR Parts - Service Charge Adjustment</v>
          </cell>
          <cell r="C98">
            <v>-39.880000000000003</v>
          </cell>
        </row>
        <row r="99">
          <cell r="B99" t="str">
            <v>2200110014 GR/IR Parts - Import Charge Adjustment</v>
          </cell>
          <cell r="C99">
            <v>4286.1000000000004</v>
          </cell>
        </row>
        <row r="100">
          <cell r="B100" t="str">
            <v>2200130102 GR/IR Parts Int'l Freight &amp; Handling Inbound</v>
          </cell>
          <cell r="C100">
            <v>-38098.720000000001</v>
          </cell>
        </row>
        <row r="101">
          <cell r="B101" t="str">
            <v>2200130112 GR/IR Parts Int'l Freight &amp; Handling Inbound Adj</v>
          </cell>
          <cell r="C101">
            <v>13861.58</v>
          </cell>
        </row>
        <row r="102">
          <cell r="B102" t="str">
            <v>2200130202 GR/IR Parts Int'l Freight &amp; Handling Outbond</v>
          </cell>
          <cell r="C102">
            <v>6517.18</v>
          </cell>
        </row>
        <row r="103">
          <cell r="B103" t="str">
            <v>2200130212 GR/IR Parts Int'l Freight &amp; Handling Outbond Adj</v>
          </cell>
          <cell r="C103">
            <v>-6517.18</v>
          </cell>
        </row>
        <row r="104">
          <cell r="B104" t="str">
            <v>2200130302 GR/IR Parts Local Freight &amp; Handling Inbound</v>
          </cell>
          <cell r="C104">
            <v>26331.14</v>
          </cell>
        </row>
        <row r="105">
          <cell r="B105" t="str">
            <v>2200130312 GR/IR Parts Local Freight &amp; Handling Inbound Adj</v>
          </cell>
          <cell r="C105">
            <v>-19385.919999999998</v>
          </cell>
        </row>
        <row r="106">
          <cell r="B106" t="str">
            <v>2200130402 GR/IR Parts Local Freight &amp; Handling Outbond</v>
          </cell>
          <cell r="C106">
            <v>25095.360000000001</v>
          </cell>
        </row>
        <row r="107">
          <cell r="B107" t="str">
            <v>2200130412 GR/IR Parts Local Freight &amp; Handling Outbond Adj</v>
          </cell>
          <cell r="C107">
            <v>-24543.22</v>
          </cell>
        </row>
        <row r="108">
          <cell r="B108" t="str">
            <v>2200160000 GR/IR PP Subletting</v>
          </cell>
          <cell r="C108">
            <v>-262.52</v>
          </cell>
        </row>
        <row r="109">
          <cell r="B109" t="str">
            <v>2200160001 GR/IR PP Subletting Adjustment</v>
          </cell>
          <cell r="C109">
            <v>262.52</v>
          </cell>
        </row>
        <row r="110">
          <cell r="B110" t="str">
            <v>2200160003 GR/IR Service OWSS</v>
          </cell>
          <cell r="C110">
            <v>-16963.77</v>
          </cell>
        </row>
        <row r="111">
          <cell r="B111" t="str">
            <v>2200160013 GR/IR Service OWSS Adjustment</v>
          </cell>
          <cell r="C111">
            <v>16963.77</v>
          </cell>
        </row>
        <row r="112">
          <cell r="B112" t="str">
            <v>2200200000 GR/IR Non Trade</v>
          </cell>
          <cell r="C112">
            <v>220798.36</v>
          </cell>
        </row>
        <row r="113">
          <cell r="B113" t="str">
            <v>2200200001 GR/IR Non Trade Adjustment</v>
          </cell>
          <cell r="C113">
            <v>-219557.09</v>
          </cell>
        </row>
        <row r="114">
          <cell r="B114" t="str">
            <v>2200316040 GR/IR Other IFRS16 Clearing Account Asset</v>
          </cell>
          <cell r="C114">
            <v>0</v>
          </cell>
        </row>
        <row r="115">
          <cell r="B115" t="str">
            <v>2310000120 AP Interco Clearing MST</v>
          </cell>
          <cell r="C115">
            <v>0</v>
          </cell>
        </row>
        <row r="116">
          <cell r="B116" t="str">
            <v>2310000129 AP Interco Clearing MST FxV</v>
          </cell>
          <cell r="C116">
            <v>0</v>
          </cell>
        </row>
        <row r="117">
          <cell r="B117" t="str">
            <v>2460200000 Accrual Payable Non Trade</v>
          </cell>
          <cell r="C117">
            <v>-40234.379999999997</v>
          </cell>
        </row>
        <row r="118">
          <cell r="B118" t="str">
            <v>2611004000 Tax Payable ART 4(2)</v>
          </cell>
          <cell r="C118">
            <v>0</v>
          </cell>
        </row>
        <row r="119">
          <cell r="B119" t="str">
            <v>2611004001 Tax Payable ART 4(2)</v>
          </cell>
          <cell r="C119">
            <v>-2050.04</v>
          </cell>
        </row>
        <row r="120">
          <cell r="B120" t="str">
            <v>2611021000 Tax Payable ART 21</v>
          </cell>
          <cell r="C120">
            <v>0</v>
          </cell>
        </row>
        <row r="121">
          <cell r="B121" t="str">
            <v>2611023000 Tax Payable ART 23</v>
          </cell>
          <cell r="C121">
            <v>0</v>
          </cell>
        </row>
        <row r="122">
          <cell r="B122" t="str">
            <v>2611023001 Tax Payable ART 23</v>
          </cell>
          <cell r="C122">
            <v>1640.76</v>
          </cell>
        </row>
        <row r="123">
          <cell r="B123" t="str">
            <v>2510300000 Obligation Warranty</v>
          </cell>
          <cell r="C123">
            <v>0</v>
          </cell>
        </row>
        <row r="124">
          <cell r="B124" t="str">
            <v>2510401000 FREE GL 2 ( tidak terpakai )</v>
          </cell>
          <cell r="C124">
            <v>0</v>
          </cell>
        </row>
        <row r="125">
          <cell r="B125" t="str">
            <v>2510501000 Obligation Warranty New Engine</v>
          </cell>
          <cell r="C125">
            <v>0</v>
          </cell>
        </row>
        <row r="126">
          <cell r="B126" t="str">
            <v>2510600000 Obligation Warranty Parts PEX</v>
          </cell>
          <cell r="C126">
            <v>1185.9000000000001</v>
          </cell>
        </row>
        <row r="127">
          <cell r="B127" t="str">
            <v>2464100010 Employee Payable Salary</v>
          </cell>
          <cell r="C127">
            <v>0</v>
          </cell>
        </row>
        <row r="128">
          <cell r="B128" t="str">
            <v>2464100020 Employee Payable Jamsostek/Astek</v>
          </cell>
          <cell r="C128">
            <v>1737.93</v>
          </cell>
        </row>
        <row r="129">
          <cell r="B129" t="str">
            <v>2464100030 Employee Payable BPJS</v>
          </cell>
          <cell r="C129">
            <v>-4221.1099999999997</v>
          </cell>
        </row>
        <row r="130">
          <cell r="B130" t="str">
            <v>2464100060 Employee Accrual Expense THR / Lebaran</v>
          </cell>
          <cell r="C130">
            <v>-12944.1</v>
          </cell>
        </row>
        <row r="131">
          <cell r="B131" t="str">
            <v>2464100070 Employee Accrual Expense PA Bonus</v>
          </cell>
          <cell r="C131">
            <v>157608.18</v>
          </cell>
        </row>
        <row r="132">
          <cell r="B132" t="str">
            <v>2464100090 Employee Payable BPJS Jaminan Pensiun</v>
          </cell>
          <cell r="C132">
            <v>306.67</v>
          </cell>
        </row>
        <row r="133">
          <cell r="B133" t="str">
            <v>2464100100 Employee Payable Iuran SPSI</v>
          </cell>
          <cell r="C133">
            <v>1.44</v>
          </cell>
        </row>
        <row r="134">
          <cell r="B134" t="str">
            <v>2464100991 Employee Payable Dapen Trakindo</v>
          </cell>
          <cell r="C134">
            <v>1655.43</v>
          </cell>
        </row>
        <row r="135">
          <cell r="B135" t="str">
            <v>2464100992 Employee Payable Dapen DPLK Bank BNI</v>
          </cell>
          <cell r="C135">
            <v>1383.8</v>
          </cell>
        </row>
        <row r="136">
          <cell r="B136" t="str">
            <v>2461401000 Accrual Interest Leasing IFRS</v>
          </cell>
          <cell r="C136">
            <v>6.97</v>
          </cell>
        </row>
        <row r="137">
          <cell r="B137" t="str">
            <v>2461402000 Accrual Interest Leasing IFRS (ST)</v>
          </cell>
          <cell r="C137">
            <v>-1320.74</v>
          </cell>
        </row>
        <row r="138">
          <cell r="B138" t="str">
            <v>2510803000 Provision Insurance Personal Accident</v>
          </cell>
          <cell r="C138">
            <v>308.42</v>
          </cell>
        </row>
        <row r="139">
          <cell r="B139" t="str">
            <v>2510805000 Provision Insurance Rental Store</v>
          </cell>
          <cell r="C139">
            <v>-200.56</v>
          </cell>
        </row>
        <row r="140">
          <cell r="B140" t="str">
            <v>2510807000 Provision Insurance Stock Thruput</v>
          </cell>
          <cell r="C140">
            <v>3117.19</v>
          </cell>
        </row>
        <row r="141">
          <cell r="B141" t="str">
            <v>2460101000 Accrual Payable Trade 3rd Party</v>
          </cell>
          <cell r="C141">
            <v>-5295.8</v>
          </cell>
        </row>
        <row r="142">
          <cell r="B142" t="str">
            <v>2460102000 Accrual Payable Trade Related Party</v>
          </cell>
          <cell r="C142">
            <v>29469.75</v>
          </cell>
        </row>
        <row r="143">
          <cell r="B143" t="str">
            <v>2460201000 Accrual Payable Non Trade 3rd Party</v>
          </cell>
          <cell r="C143">
            <v>221026.29</v>
          </cell>
        </row>
        <row r="144">
          <cell r="B144" t="str">
            <v>2465100020 Accrual Trading Related PP Freight</v>
          </cell>
          <cell r="C144">
            <v>418.45</v>
          </cell>
        </row>
        <row r="145">
          <cell r="B145" t="str">
            <v>2465100060 Accrual Trading Related PP Commissioning</v>
          </cell>
          <cell r="C145">
            <v>0</v>
          </cell>
        </row>
        <row r="146">
          <cell r="B146" t="str">
            <v>2465100090 Accrual Trading Related RUE Cushion</v>
          </cell>
          <cell r="C146">
            <v>-5179.68</v>
          </cell>
        </row>
        <row r="147">
          <cell r="B147" t="str">
            <v>2465100200 Accrual Trading Related PP Preventive Maintenance</v>
          </cell>
          <cell r="C147">
            <v>0</v>
          </cell>
        </row>
        <row r="148">
          <cell r="B148" t="str">
            <v>2465100300 Accrual of digital subscription thru Parts channel</v>
          </cell>
          <cell r="C148">
            <v>-187.27</v>
          </cell>
        </row>
        <row r="149">
          <cell r="B149" t="str">
            <v>2465101000 Temporary Employee Medical Excess Deduction</v>
          </cell>
          <cell r="C149">
            <v>0.9</v>
          </cell>
        </row>
        <row r="150">
          <cell r="B150" t="str">
            <v>2465101010 Temporary Employee Corporate Mobile PhoneDeduction</v>
          </cell>
          <cell r="C150">
            <v>12.72</v>
          </cell>
        </row>
        <row r="151">
          <cell r="B151" t="str">
            <v>2465101020 Temporary Employee Travel &amp; CC Deduction</v>
          </cell>
          <cell r="C151">
            <v>0</v>
          </cell>
        </row>
        <row r="152">
          <cell r="B152" t="str">
            <v>2465101040 Temporary Employee Medical Excess Loan</v>
          </cell>
          <cell r="C152">
            <v>147.57</v>
          </cell>
        </row>
        <row r="153">
          <cell r="B153" t="str">
            <v>2465101070 Temporary Employee Personal Advance Loan</v>
          </cell>
          <cell r="C153">
            <v>0</v>
          </cell>
        </row>
        <row r="154">
          <cell r="B154" t="str">
            <v>2465101080 Temporary Employee Medical Advance</v>
          </cell>
          <cell r="C154">
            <v>21039.27</v>
          </cell>
        </row>
        <row r="155">
          <cell r="B155" t="str">
            <v>2465101081 Temporary Employee Travel Advance</v>
          </cell>
          <cell r="C155">
            <v>414.26</v>
          </cell>
        </row>
        <row r="156">
          <cell r="B156" t="str">
            <v>2465101100 Temporary Employee Clearing Payroll</v>
          </cell>
          <cell r="C156">
            <v>-177.45</v>
          </cell>
        </row>
        <row r="157">
          <cell r="B157" t="str">
            <v>2469200000 Accrual Other Year End</v>
          </cell>
          <cell r="C157">
            <v>40225.99</v>
          </cell>
        </row>
        <row r="158">
          <cell r="B158" t="str">
            <v>2510281000 Provision PM Rental Unit</v>
          </cell>
          <cell r="C158">
            <v>2407.83</v>
          </cell>
        </row>
        <row r="159">
          <cell r="B159" t="str">
            <v>2730001070 Advance Customer 3rd Party MARC</v>
          </cell>
          <cell r="C159">
            <v>-7542.18</v>
          </cell>
        </row>
        <row r="160">
          <cell r="B160" t="str">
            <v>2660015010 IFRS 15 Deferred Revenue Part voucher</v>
          </cell>
          <cell r="C160">
            <v>0</v>
          </cell>
        </row>
        <row r="161">
          <cell r="B161" t="str">
            <v>2660015070 IFRS 15 Deferred Revenue PM Parts Only</v>
          </cell>
          <cell r="C161">
            <v>0</v>
          </cell>
        </row>
        <row r="162">
          <cell r="B162" t="str">
            <v>2660015090 IFRS 15 Deferred Revenue SOS Lab</v>
          </cell>
          <cell r="C162">
            <v>0</v>
          </cell>
        </row>
        <row r="163">
          <cell r="B163" t="str">
            <v>2660015140 IFRS 15 Deferred Revenue Revisit PS</v>
          </cell>
          <cell r="C163">
            <v>0</v>
          </cell>
        </row>
        <row r="164">
          <cell r="B164" t="str">
            <v>2710001000 Customer Deposit 3rd Party</v>
          </cell>
          <cell r="C164">
            <v>-3713.1</v>
          </cell>
        </row>
        <row r="165">
          <cell r="B165" t="str">
            <v>2710001009 Customer Deposit 3rd Party FxV</v>
          </cell>
          <cell r="C165">
            <v>269.24</v>
          </cell>
        </row>
        <row r="166">
          <cell r="B166" t="str">
            <v>2730001000 Advance Customer 3rd Party</v>
          </cell>
          <cell r="C166">
            <v>1087.25</v>
          </cell>
        </row>
        <row r="167">
          <cell r="B167" t="str">
            <v>2730001009 Advance Customer 3rd Party FxV</v>
          </cell>
          <cell r="C167">
            <v>-22.15</v>
          </cell>
        </row>
        <row r="168">
          <cell r="B168" t="str">
            <v>2730001080 Advance Customer 3rd Party Project Solution</v>
          </cell>
          <cell r="C168">
            <v>2172.2800000000002</v>
          </cell>
        </row>
        <row r="169">
          <cell r="B169" t="str">
            <v>2730001090 Advance Customer 3rd Party CVA FLat Rate</v>
          </cell>
          <cell r="C169">
            <v>0</v>
          </cell>
        </row>
        <row r="170">
          <cell r="B170" t="str">
            <v>2800100010 Short Term Liability Facility</v>
          </cell>
          <cell r="C170">
            <v>75227.7</v>
          </cell>
        </row>
        <row r="171">
          <cell r="B171" t="str">
            <v>2800100020 Short Term Liability Vehicle</v>
          </cell>
          <cell r="C171">
            <v>-37235.46</v>
          </cell>
        </row>
        <row r="172">
          <cell r="B172" t="str">
            <v>2800100030 Short Term Liability IT Device</v>
          </cell>
          <cell r="C172">
            <v>3939.29</v>
          </cell>
        </row>
        <row r="173">
          <cell r="B173" t="str">
            <v>2862002000 Long Term Liability Vehicle</v>
          </cell>
          <cell r="C173">
            <v>-30216.16</v>
          </cell>
        </row>
        <row r="174">
          <cell r="B174" t="str">
            <v>2862003000 Long Term Liability IT Device</v>
          </cell>
          <cell r="C174">
            <v>7545.76</v>
          </cell>
        </row>
        <row r="175">
          <cell r="B175" t="str">
            <v>3910000400 Branch Off Account TU/TUS Miscellaneous Charges</v>
          </cell>
          <cell r="C175">
            <v>0</v>
          </cell>
        </row>
        <row r="176">
          <cell r="B176" t="str">
            <v>3910010000 Branch Off Account TU/TUS Stock Transfer (New)</v>
          </cell>
          <cell r="C176">
            <v>0</v>
          </cell>
        </row>
        <row r="177">
          <cell r="B177" t="str">
            <v>3910100000 Interbranch Automatic</v>
          </cell>
          <cell r="C177">
            <v>5362016.2699999996</v>
          </cell>
        </row>
        <row r="178">
          <cell r="B178" t="str">
            <v>2931000000 Employee Benefit Liability Pension</v>
          </cell>
          <cell r="C178">
            <v>-9556.9599999999991</v>
          </cell>
        </row>
        <row r="179">
          <cell r="B179" t="str">
            <v>3810000000 Retained Earnings (RE)</v>
          </cell>
          <cell r="C179">
            <v>0</v>
          </cell>
        </row>
        <row r="180">
          <cell r="B180" t="str">
            <v>4010000000 Sales PP Unit</v>
          </cell>
          <cell r="C180">
            <v>0</v>
          </cell>
        </row>
        <row r="181">
          <cell r="B181" t="str">
            <v>4010300100 Sales PP Attachment Accessories</v>
          </cell>
          <cell r="C181">
            <v>0</v>
          </cell>
        </row>
        <row r="182">
          <cell r="B182" t="str">
            <v>4010402000 Sales PP Power System Acc Defferal</v>
          </cell>
          <cell r="C182">
            <v>-2172.2800000000002</v>
          </cell>
        </row>
        <row r="183">
          <cell r="B183" t="str">
            <v>4011500000 IFRS 15 Prime Product</v>
          </cell>
          <cell r="C183">
            <v>0</v>
          </cell>
        </row>
        <row r="184">
          <cell r="B184" t="str">
            <v>4011500100 IFRS 15 Prime Product unit Adjustment</v>
          </cell>
          <cell r="C184">
            <v>0</v>
          </cell>
        </row>
        <row r="185">
          <cell r="B185" t="str">
            <v>4020100101 Sales Parts Through Counter</v>
          </cell>
          <cell r="C185">
            <v>-2528704.83</v>
          </cell>
        </row>
        <row r="186">
          <cell r="B186" t="str">
            <v>4020100202 Sales Parts Through Service Flat Rate</v>
          </cell>
          <cell r="C186">
            <v>-561730.55000000005</v>
          </cell>
        </row>
        <row r="187">
          <cell r="B187" t="str">
            <v>4020100206 Sales Parts Through Service Flat Rate Variance</v>
          </cell>
          <cell r="C187">
            <v>60475.360000000001</v>
          </cell>
        </row>
        <row r="188">
          <cell r="B188" t="str">
            <v>4020400101 Sales Parts Through Counter CORE</v>
          </cell>
          <cell r="C188">
            <v>-1770.54</v>
          </cell>
        </row>
        <row r="189">
          <cell r="B189" t="str">
            <v>4020400202 Sales Parts Through Service CORE Flat Rate</v>
          </cell>
          <cell r="C189">
            <v>0</v>
          </cell>
        </row>
        <row r="190">
          <cell r="B190" t="str">
            <v>4020500100 Sales Parts SOS Bottle</v>
          </cell>
          <cell r="C190">
            <v>-30.18</v>
          </cell>
        </row>
        <row r="191">
          <cell r="B191" t="str">
            <v>4020500200 Sales Digital Subscription</v>
          </cell>
          <cell r="C191">
            <v>-190.12</v>
          </cell>
        </row>
        <row r="192">
          <cell r="B192" t="str">
            <v>4021000101 Sales Parts Discount TPCP</v>
          </cell>
          <cell r="C192">
            <v>4441.29</v>
          </cell>
        </row>
        <row r="193">
          <cell r="B193" t="str">
            <v>4021500002 IFRS 15 Preventive Maintenance Parts</v>
          </cell>
          <cell r="C193">
            <v>0</v>
          </cell>
        </row>
        <row r="194">
          <cell r="B194" t="str">
            <v>4021900101 Sales Parts Discount PSWEB</v>
          </cell>
          <cell r="C194">
            <v>0</v>
          </cell>
        </row>
        <row r="195">
          <cell r="B195" t="str">
            <v>4030100201 Sales Service Flat Rate Variance Labor</v>
          </cell>
          <cell r="C195">
            <v>-1291.1199999999999</v>
          </cell>
        </row>
        <row r="196">
          <cell r="B196" t="str">
            <v>4030100203 Sales Service Flat Rate PO</v>
          </cell>
          <cell r="C196">
            <v>-20925.3</v>
          </cell>
        </row>
        <row r="197">
          <cell r="B197" t="str">
            <v>4030100204 Sales Service Flat Rate Supplies</v>
          </cell>
          <cell r="C197">
            <v>-7720.27</v>
          </cell>
        </row>
        <row r="198">
          <cell r="B198" t="str">
            <v>4030100207 Sales Service Flat Rate Labor</v>
          </cell>
          <cell r="C198">
            <v>-101423.86</v>
          </cell>
        </row>
        <row r="199">
          <cell r="B199" t="str">
            <v>4030100208 Sales Service Flat Rate Variance Misc.</v>
          </cell>
          <cell r="C199">
            <v>6940.56</v>
          </cell>
        </row>
        <row r="200">
          <cell r="B200" t="str">
            <v>4030500100 Sales Service SOS Lab Analysist</v>
          </cell>
          <cell r="C200">
            <v>-296.63</v>
          </cell>
        </row>
        <row r="201">
          <cell r="B201" t="str">
            <v>4050000000 Sales RUE Unit</v>
          </cell>
          <cell r="C201">
            <v>-690659.01</v>
          </cell>
        </row>
        <row r="202">
          <cell r="B202" t="str">
            <v>4040000101 Sales MARC Billing</v>
          </cell>
          <cell r="C202">
            <v>-106400.55</v>
          </cell>
        </row>
        <row r="203">
          <cell r="B203" t="str">
            <v>5010000000 COGS PP Unit</v>
          </cell>
          <cell r="C203">
            <v>0</v>
          </cell>
        </row>
        <row r="204">
          <cell r="B204" t="str">
            <v>5010300100 COGS PP Attachment Accessories</v>
          </cell>
          <cell r="C204">
            <v>0</v>
          </cell>
        </row>
        <row r="205">
          <cell r="B205" t="str">
            <v>5010500100 COGS PP Power System Project Core</v>
          </cell>
          <cell r="C205">
            <v>0</v>
          </cell>
        </row>
        <row r="206">
          <cell r="B206" t="str">
            <v>5010500300 COGS PP Power System Project Service</v>
          </cell>
          <cell r="C206">
            <v>823.1</v>
          </cell>
        </row>
        <row r="207">
          <cell r="B207" t="str">
            <v>5010600000 COGS PP Attachment</v>
          </cell>
          <cell r="C207">
            <v>-404475.35</v>
          </cell>
        </row>
        <row r="208">
          <cell r="B208" t="str">
            <v>5011001000 COGS PP International Freight Inbound</v>
          </cell>
          <cell r="C208">
            <v>0</v>
          </cell>
        </row>
        <row r="209">
          <cell r="B209" t="str">
            <v>5011002000 COGS PP Local Freight/Handling Inbound</v>
          </cell>
          <cell r="C209">
            <v>1013.57</v>
          </cell>
        </row>
        <row r="210">
          <cell r="B210" t="str">
            <v>5011003000 COGS PP Custom Duty</v>
          </cell>
          <cell r="C210">
            <v>0</v>
          </cell>
        </row>
        <row r="211">
          <cell r="B211" t="str">
            <v>5011004000 COGS PP UPA</v>
          </cell>
          <cell r="C211">
            <v>0</v>
          </cell>
        </row>
        <row r="212">
          <cell r="B212" t="str">
            <v>5011006000 COGS PP Insurance</v>
          </cell>
          <cell r="C212">
            <v>0</v>
          </cell>
        </row>
        <row r="213">
          <cell r="B213" t="str">
            <v>5011007000 COGS PP Commissioning</v>
          </cell>
          <cell r="C213">
            <v>1533.89</v>
          </cell>
        </row>
        <row r="214">
          <cell r="B214" t="str">
            <v>5011008000 COGS PP Warranty</v>
          </cell>
          <cell r="C214">
            <v>0</v>
          </cell>
        </row>
        <row r="215">
          <cell r="B215" t="str">
            <v>5011010000 COGS PP Local Freight/Handling Outbound</v>
          </cell>
          <cell r="C215">
            <v>0</v>
          </cell>
        </row>
        <row r="216">
          <cell r="B216" t="str">
            <v>5011012000 COGS PP CAT Discount</v>
          </cell>
          <cell r="C216">
            <v>-4451.8999999999996</v>
          </cell>
        </row>
        <row r="217">
          <cell r="B217" t="str">
            <v>5011014000 COGS PP Marketing Program Preventive Maintenance</v>
          </cell>
          <cell r="C217">
            <v>0</v>
          </cell>
        </row>
        <row r="218">
          <cell r="B218" t="str">
            <v>5012000000 COGS PP Unit Estimated</v>
          </cell>
          <cell r="C218">
            <v>0</v>
          </cell>
        </row>
        <row r="219">
          <cell r="B219" t="str">
            <v>5012002000 COGS PP Local Freight/Handling Inbound Estimated</v>
          </cell>
          <cell r="C219">
            <v>-418.45</v>
          </cell>
        </row>
        <row r="220">
          <cell r="B220" t="str">
            <v>5012003000 COGS PP Custom Duty Estimated</v>
          </cell>
          <cell r="C220">
            <v>0</v>
          </cell>
        </row>
        <row r="221">
          <cell r="B221" t="str">
            <v>5012007000 COGS PP Commissioning Estimated</v>
          </cell>
          <cell r="C221">
            <v>0</v>
          </cell>
        </row>
        <row r="222">
          <cell r="B222" t="str">
            <v>5012010000 COGS PP Local Freight/Handling Outbond Estimated</v>
          </cell>
          <cell r="C222">
            <v>0</v>
          </cell>
        </row>
        <row r="223">
          <cell r="B223" t="str">
            <v>5012014000 COGS PP Marketing Program PM Estimated</v>
          </cell>
          <cell r="C223">
            <v>0</v>
          </cell>
        </row>
        <row r="224">
          <cell r="B224" t="str">
            <v>5020100101 COGS Parts Through Counter</v>
          </cell>
          <cell r="C224">
            <v>1717305.52</v>
          </cell>
        </row>
        <row r="225">
          <cell r="B225" t="str">
            <v>5020100202 COGS Parts Through Service Flat Rate</v>
          </cell>
          <cell r="C225">
            <v>356439.03999999998</v>
          </cell>
        </row>
        <row r="226">
          <cell r="B226" t="str">
            <v>5020400101 COGS Parts Through Counter CORE</v>
          </cell>
          <cell r="C226">
            <v>879.82</v>
          </cell>
        </row>
        <row r="227">
          <cell r="B227" t="str">
            <v>5020500100 COGS Parts SOS Bottle</v>
          </cell>
          <cell r="C227">
            <v>4</v>
          </cell>
        </row>
        <row r="228">
          <cell r="B228" t="str">
            <v>5020500200 COGS Digital Subscription</v>
          </cell>
          <cell r="C228">
            <v>187.27</v>
          </cell>
        </row>
        <row r="229">
          <cell r="B229" t="str">
            <v>5020600101 COGS Parts Adjustment</v>
          </cell>
          <cell r="C229">
            <v>-75591.070000000007</v>
          </cell>
        </row>
        <row r="230">
          <cell r="B230" t="str">
            <v>5020600301 COGS Parts Adjustment - ITR3A</v>
          </cell>
          <cell r="C230">
            <v>-83280.149999999994</v>
          </cell>
        </row>
        <row r="231">
          <cell r="B231" t="str">
            <v>5020600303 COGS Parts Adjustment PO Buy Back</v>
          </cell>
          <cell r="C231">
            <v>102.26</v>
          </cell>
        </row>
        <row r="232">
          <cell r="B232" t="str">
            <v>5020800301 COGS Parts PEX Cross Charging CRC to Branch</v>
          </cell>
          <cell r="C232">
            <v>21333.68</v>
          </cell>
        </row>
        <row r="233">
          <cell r="B233" t="str">
            <v>5021400102 COGS Parts PEX Warranty</v>
          </cell>
          <cell r="C233">
            <v>0</v>
          </cell>
        </row>
        <row r="234">
          <cell r="B234" t="str">
            <v>5021500002 IFRS 15 COGS PS-Parts Marketing Program Prev Maint</v>
          </cell>
          <cell r="C234">
            <v>0</v>
          </cell>
        </row>
        <row r="235">
          <cell r="B235" t="str">
            <v>5030100203 COGS Service Flat Rate PO</v>
          </cell>
          <cell r="C235">
            <v>18235.59</v>
          </cell>
        </row>
        <row r="236">
          <cell r="B236" t="str">
            <v>5030100207 COGS Service Flat Rate Labor</v>
          </cell>
          <cell r="C236">
            <v>52892.15</v>
          </cell>
        </row>
        <row r="237">
          <cell r="B237" t="str">
            <v>5030500100 COGS Service SOS Lab</v>
          </cell>
          <cell r="C237">
            <v>244.13</v>
          </cell>
        </row>
        <row r="238">
          <cell r="B238" t="str">
            <v>5050000000 COGS RUE Unit</v>
          </cell>
          <cell r="C238">
            <v>64667.53</v>
          </cell>
        </row>
        <row r="239">
          <cell r="B239" t="str">
            <v>5050100000 COGS RUE Attachment</v>
          </cell>
          <cell r="C239">
            <v>5599.53</v>
          </cell>
        </row>
        <row r="240">
          <cell r="B240" t="str">
            <v>5051006000 COGS RUE Insurance</v>
          </cell>
          <cell r="C240">
            <v>6766.16</v>
          </cell>
        </row>
        <row r="241">
          <cell r="B241" t="str">
            <v>5051009000 COGS RUE Miscellaneous</v>
          </cell>
          <cell r="C241">
            <v>0</v>
          </cell>
        </row>
        <row r="242">
          <cell r="B242" t="str">
            <v>5051010000 COGS RUE Local Freight/Handling Outbound</v>
          </cell>
          <cell r="C242">
            <v>0</v>
          </cell>
        </row>
        <row r="243">
          <cell r="B243" t="str">
            <v>5051016000 COGS RUE Depreciation</v>
          </cell>
          <cell r="C243">
            <v>172574.46</v>
          </cell>
        </row>
        <row r="244">
          <cell r="B244" t="str">
            <v>5051017000 COGS RUE Maintenance &amp; Repair</v>
          </cell>
          <cell r="C244">
            <v>69404.44</v>
          </cell>
        </row>
        <row r="245">
          <cell r="B245" t="str">
            <v>5052016000 COGS RUE Depreciation Estimated</v>
          </cell>
          <cell r="C245">
            <v>193907.41</v>
          </cell>
        </row>
        <row r="246">
          <cell r="B246" t="str">
            <v>5052017000 COGS RUE Maintenance &amp; Repair Estimated</v>
          </cell>
          <cell r="C246">
            <v>-1327.82</v>
          </cell>
        </row>
        <row r="247">
          <cell r="B247" t="str">
            <v>5052019000 COGS RUE Cushion Estimated</v>
          </cell>
          <cell r="C247">
            <v>5179.68</v>
          </cell>
        </row>
        <row r="248">
          <cell r="B248" t="str">
            <v>5040000103 COGS MARC Billing Actual</v>
          </cell>
          <cell r="C248">
            <v>77929.13</v>
          </cell>
        </row>
        <row r="249">
          <cell r="B249" t="str">
            <v>6000000101 GME - Salary Direct Serviceman - Basic</v>
          </cell>
          <cell r="C249">
            <v>64102.36</v>
          </cell>
        </row>
        <row r="250">
          <cell r="B250" t="str">
            <v>6000000103 GME - Salary Direct Serviceman - Transport Allow</v>
          </cell>
          <cell r="C250">
            <v>2555.11</v>
          </cell>
        </row>
        <row r="251">
          <cell r="B251" t="str">
            <v>6000000105 GME - Salary Direct Serviceman - Hari Raya</v>
          </cell>
          <cell r="C251">
            <v>0</v>
          </cell>
        </row>
        <row r="252">
          <cell r="B252" t="str">
            <v>6000000106 GME - Salary Direct Serviceman - Service Award</v>
          </cell>
          <cell r="C252">
            <v>2317.0100000000002</v>
          </cell>
        </row>
        <row r="253">
          <cell r="B253" t="str">
            <v>6000000108 GME - Salary Direct Serviceman - Spc Location</v>
          </cell>
          <cell r="C253">
            <v>15769.8</v>
          </cell>
        </row>
        <row r="254">
          <cell r="B254" t="str">
            <v>6000000109 GME - Salary Direct Serviceman - National Allow</v>
          </cell>
          <cell r="C254">
            <v>28602.94</v>
          </cell>
        </row>
        <row r="255">
          <cell r="B255" t="str">
            <v>6000000110 GME - Salary Direct Serviceman - Other Bonus</v>
          </cell>
          <cell r="C255">
            <v>38808.01</v>
          </cell>
        </row>
        <row r="256">
          <cell r="B256" t="str">
            <v>6000000200 GME - Salary Direct Serviceman - Overtime</v>
          </cell>
          <cell r="C256">
            <v>22560.23</v>
          </cell>
        </row>
        <row r="257">
          <cell r="B257" t="str">
            <v>6000000301 GME - Salary Direct Serviceman - Accrual AHR</v>
          </cell>
          <cell r="C257">
            <v>5457.36</v>
          </cell>
        </row>
        <row r="258">
          <cell r="B258" t="str">
            <v>6000000400 GME - Service Recovery - SRE Service Recovery</v>
          </cell>
          <cell r="C258">
            <v>-102328.75</v>
          </cell>
        </row>
        <row r="259">
          <cell r="B259" t="str">
            <v>6000000502 OSR - Operational Services Outsource - Service</v>
          </cell>
          <cell r="C259">
            <v>14105.68</v>
          </cell>
        </row>
        <row r="260">
          <cell r="B260" t="str">
            <v>6000000800 GME - Service Redo Job</v>
          </cell>
          <cell r="C260">
            <v>0</v>
          </cell>
        </row>
        <row r="261">
          <cell r="B261" t="str">
            <v>6000000900 GME - Service Overhaul Revisit</v>
          </cell>
          <cell r="C261">
            <v>543.41</v>
          </cell>
        </row>
        <row r="262">
          <cell r="B262" t="str">
            <v>6000001101 GME - Service Transport and Travel Recovery</v>
          </cell>
          <cell r="C262">
            <v>-92.83</v>
          </cell>
        </row>
        <row r="263">
          <cell r="B263" t="str">
            <v>6000001403 GME - Service Travel Expenses Internal</v>
          </cell>
          <cell r="C263">
            <v>5.0599999999999996</v>
          </cell>
        </row>
        <row r="264">
          <cell r="B264" t="str">
            <v>6000001404 GME - Service Travel Expense External</v>
          </cell>
          <cell r="C264">
            <v>10.82</v>
          </cell>
        </row>
        <row r="265">
          <cell r="B265" t="str">
            <v>6000001500 GME - SRE Others - UCR Supplies Inventory</v>
          </cell>
          <cell r="C265">
            <v>-1148.04</v>
          </cell>
        </row>
        <row r="266">
          <cell r="B266" t="str">
            <v>6000001700 GME - Service Supplies Inventory - Consumables</v>
          </cell>
          <cell r="C266">
            <v>21769.26</v>
          </cell>
        </row>
        <row r="267">
          <cell r="B267" t="str">
            <v>6000001800 GME - PP Pre Delivery &amp; Revisit</v>
          </cell>
          <cell r="C267">
            <v>0</v>
          </cell>
        </row>
        <row r="268">
          <cell r="B268" t="str">
            <v>6000001908 LGS - Material Costs - Material</v>
          </cell>
          <cell r="C268">
            <v>0</v>
          </cell>
        </row>
        <row r="269">
          <cell r="B269" t="str">
            <v>6000001909 LGS - Own Storage Equipment - Repair &amp; Maintenance</v>
          </cell>
          <cell r="C269">
            <v>0</v>
          </cell>
        </row>
        <row r="270">
          <cell r="B270" t="str">
            <v>6000002001 GME - Company Policy Adjustment - Marketing Policy</v>
          </cell>
          <cell r="C270">
            <v>3137.08</v>
          </cell>
        </row>
        <row r="271">
          <cell r="B271" t="str">
            <v>6000002104 GME - Salary Direct Serviceman - Buss Spec Allow</v>
          </cell>
          <cell r="C271">
            <v>0</v>
          </cell>
        </row>
        <row r="272">
          <cell r="B272" t="str">
            <v>6000002300 GME - Supplies Inventory - Parts Battery</v>
          </cell>
          <cell r="C272">
            <v>10774.72</v>
          </cell>
        </row>
        <row r="273">
          <cell r="B273" t="str">
            <v>6000002602 CV - Service Vehicle - External Rental</v>
          </cell>
          <cell r="C273">
            <v>3493.48</v>
          </cell>
        </row>
        <row r="274">
          <cell r="B274" t="str">
            <v>6000002603 CV - Service Vehicle - Repair &amp; Maint Veh</v>
          </cell>
          <cell r="C274">
            <v>446.73</v>
          </cell>
        </row>
        <row r="275">
          <cell r="B275" t="str">
            <v>6000002605 CV - Service Vehicle - Vehicle License</v>
          </cell>
          <cell r="C275">
            <v>0</v>
          </cell>
        </row>
        <row r="276">
          <cell r="B276" t="str">
            <v>6000002608 CV - Service Vehicle - Vehicle Fuel</v>
          </cell>
          <cell r="C276">
            <v>4591.97</v>
          </cell>
        </row>
        <row r="277">
          <cell r="B277" t="str">
            <v>6000002700 TS - Returns &amp; Customer Complaints - PP Immobli</v>
          </cell>
          <cell r="C277">
            <v>300.37</v>
          </cell>
        </row>
        <row r="278">
          <cell r="B278" t="str">
            <v>6000003001 GME - SOS Lab Expense</v>
          </cell>
          <cell r="C278">
            <v>905.48</v>
          </cell>
        </row>
        <row r="279">
          <cell r="B279" t="str">
            <v>6000003003 GME - SOS Lab Expense - Recovery</v>
          </cell>
          <cell r="C279">
            <v>-825.11</v>
          </cell>
        </row>
        <row r="280">
          <cell r="B280" t="str">
            <v>6000003100 GME - SRE Service Tool Expense</v>
          </cell>
          <cell r="C280">
            <v>2074.21</v>
          </cell>
        </row>
        <row r="281">
          <cell r="B281" t="str">
            <v>6000004200 MSR - Campaigns - Marketing Promotion</v>
          </cell>
          <cell r="C281">
            <v>185.92</v>
          </cell>
        </row>
        <row r="282">
          <cell r="B282" t="str">
            <v>6000004205 MSR - Campaigns - Sport Sponsorship</v>
          </cell>
          <cell r="C282">
            <v>0</v>
          </cell>
        </row>
        <row r="283">
          <cell r="B283" t="str">
            <v>6000004206 MSR - Product Promotion - Merchandise</v>
          </cell>
          <cell r="C283">
            <v>0</v>
          </cell>
        </row>
        <row r="284">
          <cell r="B284" t="str">
            <v>7000000101 CB - Salary - Basic Salary</v>
          </cell>
          <cell r="C284">
            <v>86083.27</v>
          </cell>
        </row>
        <row r="285">
          <cell r="B285" t="str">
            <v>7000000107 CB - Salary - Anugerah Hari Raya</v>
          </cell>
          <cell r="C285">
            <v>0</v>
          </cell>
        </row>
        <row r="286">
          <cell r="B286" t="str">
            <v>7000000110 CB - Salary - Accrued Anugerah Hari Raya</v>
          </cell>
          <cell r="C286">
            <v>7181.31</v>
          </cell>
        </row>
        <row r="287">
          <cell r="B287" t="str">
            <v>7000000111 CB - Salary Based Premiums - Tax Allowance</v>
          </cell>
          <cell r="C287">
            <v>0</v>
          </cell>
        </row>
        <row r="288">
          <cell r="B288" t="str">
            <v>7000000113 CB - Salary Based Premiums - Spc Location Allownce</v>
          </cell>
          <cell r="C288">
            <v>11201.82</v>
          </cell>
        </row>
        <row r="289">
          <cell r="B289" t="str">
            <v>7000000115 CB - Salary Based Premiums - National Allowance</v>
          </cell>
          <cell r="C289">
            <v>0</v>
          </cell>
        </row>
        <row r="290">
          <cell r="B290" t="str">
            <v>7000000117 CB - Salary Based Premiums - Transport Allowance</v>
          </cell>
          <cell r="C290">
            <v>1470.68</v>
          </cell>
        </row>
        <row r="291">
          <cell r="B291" t="str">
            <v>7000000120 CB - Salary Based Premiums - Bridging Incentives</v>
          </cell>
          <cell r="C291">
            <v>59.42</v>
          </cell>
        </row>
        <row r="292">
          <cell r="B292" t="str">
            <v>7000000200 CB - Bonus - Bonus</v>
          </cell>
          <cell r="C292">
            <v>162888.48000000001</v>
          </cell>
        </row>
        <row r="293">
          <cell r="B293" t="str">
            <v>7000000203 CB - Bonus - Accrued Bonus</v>
          </cell>
          <cell r="C293">
            <v>-148525.84</v>
          </cell>
        </row>
        <row r="294">
          <cell r="B294" t="str">
            <v>7000000204 CB - Bonus - IKPLK</v>
          </cell>
          <cell r="C294">
            <v>9939.99</v>
          </cell>
        </row>
        <row r="295">
          <cell r="B295" t="str">
            <v>7000000302 CB - Individual Benefits - Service Year Award</v>
          </cell>
          <cell r="C295">
            <v>328.01</v>
          </cell>
        </row>
        <row r="296">
          <cell r="B296" t="str">
            <v>7000000303 CB - Individual Benefits - Gift Service Year Award</v>
          </cell>
          <cell r="C296">
            <v>10112.58</v>
          </cell>
        </row>
        <row r="297">
          <cell r="B297" t="str">
            <v>7000000305 CB - Individual Benefits - Nat. Housing Utilities</v>
          </cell>
          <cell r="C297">
            <v>1912.67</v>
          </cell>
        </row>
        <row r="298">
          <cell r="B298" t="str">
            <v>7000000401 CB - Health Benefits &amp; Life Med - Ins Emp.Life</v>
          </cell>
          <cell r="C298">
            <v>0</v>
          </cell>
        </row>
        <row r="299">
          <cell r="B299" t="str">
            <v>7000000500 CB - Overtime Premium - Salary Overtime Payroll</v>
          </cell>
          <cell r="C299">
            <v>12732.37</v>
          </cell>
        </row>
        <row r="300">
          <cell r="B300" t="str">
            <v>7000000702 CB - Pension &amp; Saving Benefits - PSAK 24</v>
          </cell>
          <cell r="C300">
            <v>9600.44</v>
          </cell>
        </row>
        <row r="301">
          <cell r="B301" t="str">
            <v>7000000704 CB - Pension &amp; Saving Benefits - Jamsostek JHT</v>
          </cell>
          <cell r="C301">
            <v>5524.21</v>
          </cell>
        </row>
        <row r="302">
          <cell r="B302" t="str">
            <v>7000000706 CB - Pension &amp; Saving Benefits - BPJS Pensiun</v>
          </cell>
          <cell r="C302">
            <v>2656.1</v>
          </cell>
        </row>
        <row r="303">
          <cell r="B303" t="str">
            <v>7000000707 CB - Pension &amp; Saving Benefits - Dapen TU</v>
          </cell>
          <cell r="C303">
            <v>22049.24</v>
          </cell>
        </row>
        <row r="304">
          <cell r="B304" t="str">
            <v>7000000708 CB - Pension &amp; Saving Benefits - Dapen LK</v>
          </cell>
          <cell r="C304">
            <v>4363.08</v>
          </cell>
        </row>
        <row r="305">
          <cell r="B305" t="str">
            <v>7000000801 CB - Health Benefits &amp; Life Ins - Nat. Out Patient</v>
          </cell>
          <cell r="C305">
            <v>0</v>
          </cell>
        </row>
        <row r="306">
          <cell r="B306" t="str">
            <v>7000000802 CB - Health Benefits &amp; Life Ins - Nat. Hospital</v>
          </cell>
          <cell r="C306">
            <v>0</v>
          </cell>
        </row>
        <row r="307">
          <cell r="B307" t="str">
            <v>7000000806 CB - Health Benefits &amp; Life Ins - Nat. Evacuation</v>
          </cell>
          <cell r="C307">
            <v>0</v>
          </cell>
        </row>
        <row r="308">
          <cell r="B308" t="str">
            <v>7000000807 CB - Health Benefits &amp; Life Ins - Nat. Check Up</v>
          </cell>
          <cell r="C308">
            <v>0</v>
          </cell>
        </row>
        <row r="309">
          <cell r="B309" t="str">
            <v>7000000819 CB - Health Benefits &amp; Life Ins - BPJS JK/JKK</v>
          </cell>
          <cell r="C309">
            <v>806.24</v>
          </cell>
        </row>
        <row r="310">
          <cell r="B310" t="str">
            <v>7000000820 CB - Health Benefits &amp; Life Ins - BPJS Kesehatan</v>
          </cell>
          <cell r="C310">
            <v>5633.26</v>
          </cell>
        </row>
        <row r="311">
          <cell r="B311" t="str">
            <v>7000001100 CB - Domestic Mobility - Nat. Leave Passage</v>
          </cell>
          <cell r="C311">
            <v>220.47</v>
          </cell>
        </row>
        <row r="312">
          <cell r="B312" t="str">
            <v>7000001101 CB - Domestic Mobility - Nat. Housing Rent</v>
          </cell>
          <cell r="C312">
            <v>6498.84</v>
          </cell>
        </row>
        <row r="313">
          <cell r="B313" t="str">
            <v>7000001106 CB - Domestic Mobility - Nat. Relocation</v>
          </cell>
          <cell r="C313">
            <v>919.34</v>
          </cell>
        </row>
        <row r="314">
          <cell r="B314" t="str">
            <v>7000001109 CB - Domestic Mobility - Nat. Housing Allowance</v>
          </cell>
          <cell r="C314">
            <v>32859.949999999997</v>
          </cell>
        </row>
        <row r="315">
          <cell r="B315" t="str">
            <v>7000001417 CB - Severances - Severances</v>
          </cell>
          <cell r="C315">
            <v>0</v>
          </cell>
        </row>
        <row r="316">
          <cell r="B316" t="str">
            <v>7000001507 PRD – Non CO-OP Internship</v>
          </cell>
          <cell r="C316">
            <v>77.900000000000006</v>
          </cell>
        </row>
        <row r="317">
          <cell r="B317" t="str">
            <v>7000005212 CB - Employee Engagement Prog - TUSRA</v>
          </cell>
          <cell r="C317">
            <v>0</v>
          </cell>
        </row>
        <row r="318">
          <cell r="B318" t="str">
            <v>7000002001 TR - Airfare - Airline Ticket</v>
          </cell>
          <cell r="C318">
            <v>0</v>
          </cell>
        </row>
        <row r="319">
          <cell r="B319" t="str">
            <v>7000002004 TR - Lodging - Hotel Accommodation</v>
          </cell>
          <cell r="C319">
            <v>708.06</v>
          </cell>
        </row>
        <row r="320">
          <cell r="B320" t="str">
            <v>7000002005 TR - Rental Car - Travel Car Rent</v>
          </cell>
          <cell r="C320">
            <v>172.69</v>
          </cell>
        </row>
        <row r="321">
          <cell r="B321" t="str">
            <v>7000002006 TR - Meals - Travel Meals</v>
          </cell>
          <cell r="C321">
            <v>58.21</v>
          </cell>
        </row>
        <row r="322">
          <cell r="B322" t="str">
            <v>7000002007 TR - Local Transportation - Local Transport Travel</v>
          </cell>
          <cell r="C322">
            <v>29.33</v>
          </cell>
        </row>
        <row r="323">
          <cell r="B323" t="str">
            <v>7000002010 TR - Cost Travel Provider - Travel Agent Cost</v>
          </cell>
          <cell r="C323">
            <v>0</v>
          </cell>
        </row>
        <row r="324">
          <cell r="B324" t="str">
            <v>7000002011 TR - Other Travel Costs - Other Travel Cost</v>
          </cell>
          <cell r="C324">
            <v>5.96</v>
          </cell>
        </row>
        <row r="325">
          <cell r="B325" t="str">
            <v>7000002301 SSR - Cus Rltionship Mgmt - Entertainment Allow</v>
          </cell>
          <cell r="C325">
            <v>348.82</v>
          </cell>
        </row>
        <row r="326">
          <cell r="B326" t="str">
            <v>7000003602 CB - Perk Cars - Entitle Vehicle - Ext Rental</v>
          </cell>
          <cell r="C326">
            <v>517.70000000000005</v>
          </cell>
        </row>
        <row r="327">
          <cell r="B327" t="str">
            <v>7000003603 CB - Perk Cars - Entitle Vehicle - Repair &amp; Maint</v>
          </cell>
          <cell r="C327">
            <v>171.8</v>
          </cell>
        </row>
        <row r="328">
          <cell r="B328" t="str">
            <v>7000003604 CB - Perk Cars - Entitle Vehicle - Fuel</v>
          </cell>
          <cell r="C328">
            <v>1041.27</v>
          </cell>
        </row>
        <row r="329">
          <cell r="B329" t="str">
            <v>7000003605 CV - Pool Vehicle - License - Own</v>
          </cell>
          <cell r="C329">
            <v>153.12</v>
          </cell>
        </row>
        <row r="330">
          <cell r="B330" t="str">
            <v>7000003606 CB - Perk Cars - Entitle Vehicle - License</v>
          </cell>
          <cell r="C330">
            <v>0</v>
          </cell>
        </row>
        <row r="331">
          <cell r="B331" t="str">
            <v>7000003608 CB - Perk Cars - Entitle Vehicle - Toll &amp; Park</v>
          </cell>
          <cell r="C331">
            <v>49.62</v>
          </cell>
        </row>
        <row r="332">
          <cell r="B332" t="str">
            <v>7000003613 CV - Pool Vehicle - Repair &amp; Maintenance</v>
          </cell>
          <cell r="C332">
            <v>1539.63</v>
          </cell>
        </row>
        <row r="333">
          <cell r="B333" t="str">
            <v>7000003615 CV - Pool Vehicle - TMT Rental</v>
          </cell>
          <cell r="C333">
            <v>0</v>
          </cell>
        </row>
        <row r="334">
          <cell r="B334" t="str">
            <v>7000003616 CV - Pool Vehicle - Ext Rental</v>
          </cell>
          <cell r="C334">
            <v>11410.14</v>
          </cell>
        </row>
        <row r="335">
          <cell r="B335" t="str">
            <v>7000003617 CV - Pool Vehicle - Fuel</v>
          </cell>
          <cell r="C335">
            <v>16764.23</v>
          </cell>
        </row>
        <row r="336">
          <cell r="B336" t="str">
            <v>7000004601 TC - Fixed Line Telephony - Telephone &amp; Other Comm</v>
          </cell>
          <cell r="C336">
            <v>249.97</v>
          </cell>
        </row>
        <row r="337">
          <cell r="B337" t="str">
            <v>7000004602 TC - Mobile Telephony - Mobile Phone</v>
          </cell>
          <cell r="C337">
            <v>3918.81</v>
          </cell>
        </row>
        <row r="338">
          <cell r="B338" t="str">
            <v>7000004604 FRS - Mail/Packed Services - Mail &amp; Courier</v>
          </cell>
          <cell r="C338">
            <v>8150.18</v>
          </cell>
        </row>
        <row r="339">
          <cell r="B339" t="str">
            <v>7000004101 TC - Tech Equipment &amp; Maint - IP Ph/Comp/Devices</v>
          </cell>
          <cell r="C339">
            <v>0</v>
          </cell>
        </row>
        <row r="340">
          <cell r="B340" t="str">
            <v>7000005501 TC - Software Maintenance &amp; Fees - Software &amp; R&amp;M</v>
          </cell>
          <cell r="C340">
            <v>9855.5499999999993</v>
          </cell>
        </row>
        <row r="341">
          <cell r="B341" t="str">
            <v>7000005503 TC - Data Communication Services - Connectivity</v>
          </cell>
          <cell r="C341">
            <v>9598.08</v>
          </cell>
        </row>
        <row r="342">
          <cell r="B342" t="str">
            <v>7000005221 FRS - Meeting - External Meeting</v>
          </cell>
          <cell r="C342">
            <v>0</v>
          </cell>
        </row>
        <row r="343">
          <cell r="B343" t="str">
            <v>7000005214 ED - Internal Events - Events Non Corporate</v>
          </cell>
          <cell r="C343">
            <v>1004.75</v>
          </cell>
        </row>
        <row r="344">
          <cell r="B344" t="str">
            <v>7000005215 FRS - Meeting - Internal Meeting</v>
          </cell>
          <cell r="C344">
            <v>1312.45</v>
          </cell>
        </row>
        <row r="345">
          <cell r="B345" t="str">
            <v>7000001401 PRD - Training - General</v>
          </cell>
          <cell r="C345">
            <v>326.58</v>
          </cell>
        </row>
        <row r="346">
          <cell r="B346" t="str">
            <v>7000001403 PRD - Training - Technical</v>
          </cell>
          <cell r="C346">
            <v>1103.17</v>
          </cell>
        </row>
        <row r="347">
          <cell r="B347" t="str">
            <v>7000001405 PRD - Training - MDP</v>
          </cell>
          <cell r="C347">
            <v>116.4</v>
          </cell>
        </row>
        <row r="348">
          <cell r="B348" t="str">
            <v>7000001416 PRD - Assessment Center</v>
          </cell>
          <cell r="C348">
            <v>41.48</v>
          </cell>
        </row>
        <row r="349">
          <cell r="B349" t="str">
            <v>7000003000 FRS - Office Supplies - Office Supplies</v>
          </cell>
          <cell r="C349">
            <v>-2076.66</v>
          </cell>
        </row>
        <row r="350">
          <cell r="B350" t="str">
            <v>7000003001 FRS - Office Supplies - Meterai,Signature&amp;Stempel</v>
          </cell>
          <cell r="C350">
            <v>71.31</v>
          </cell>
        </row>
        <row r="351">
          <cell r="B351" t="str">
            <v>7000005809 FRS - Printer &amp; Copier Equipment - New,Lease &amp; R&amp;M</v>
          </cell>
          <cell r="C351">
            <v>2524.31</v>
          </cell>
        </row>
        <row r="352">
          <cell r="B352" t="str">
            <v>7000003403 OSR - Support Services Outsource - Non Administrat</v>
          </cell>
          <cell r="C352">
            <v>5133.78</v>
          </cell>
        </row>
        <row r="353">
          <cell r="B353" t="str">
            <v>7000005803 OSR - Facility Services Outsource - Clean &amp; Garden</v>
          </cell>
          <cell r="C353">
            <v>30116.720000000001</v>
          </cell>
        </row>
        <row r="354">
          <cell r="B354" t="str">
            <v>7000005805 OSR - Facility Services Outsource - Security</v>
          </cell>
          <cell r="C354">
            <v>8893.07</v>
          </cell>
        </row>
        <row r="355">
          <cell r="B355" t="str">
            <v>7000004900 GRR - Others Regulatory Fees-Licence,Levies &amp; Tax</v>
          </cell>
          <cell r="C355">
            <v>1347.28</v>
          </cell>
        </row>
        <row r="356">
          <cell r="B356" t="str">
            <v>7000005800 FRS - PPE &amp; Uniforms - Safety Supplies</v>
          </cell>
          <cell r="C356">
            <v>1653.45</v>
          </cell>
        </row>
        <row r="357">
          <cell r="B357" t="str">
            <v>7000005801 FRS - PPE &amp; Uniforms - Uniforms</v>
          </cell>
          <cell r="C357">
            <v>-59.11</v>
          </cell>
        </row>
        <row r="358">
          <cell r="B358" t="str">
            <v>7000001900 FRS - Facility Benefits - Pantry Supplies</v>
          </cell>
          <cell r="C358">
            <v>389.98</v>
          </cell>
        </row>
        <row r="359">
          <cell r="B359" t="str">
            <v>7000001901 FRS - Facility Benefits - Catering Subsidy</v>
          </cell>
          <cell r="C359">
            <v>23348.28</v>
          </cell>
        </row>
        <row r="360">
          <cell r="B360" t="str">
            <v>7000001903 CV - Pool Vehicle - Shuttle Bus</v>
          </cell>
          <cell r="C360">
            <v>1695.92</v>
          </cell>
        </row>
        <row r="361">
          <cell r="B361" t="str">
            <v>7000005206 CB - Token Condolence</v>
          </cell>
          <cell r="C361">
            <v>0</v>
          </cell>
        </row>
        <row r="362">
          <cell r="B362" t="str">
            <v>7000005804 FRS - Recycling/Waste Cost</v>
          </cell>
          <cell r="C362">
            <v>-9159.86</v>
          </cell>
        </row>
        <row r="363">
          <cell r="B363" t="str">
            <v>7000003701 GME - Depreciation &amp; Amortization - Workshop Equip</v>
          </cell>
          <cell r="C363">
            <v>6920.14</v>
          </cell>
        </row>
        <row r="364">
          <cell r="B364" t="str">
            <v>7000003704 GME - Depreciation &amp; Amortization - IT Devices</v>
          </cell>
          <cell r="C364">
            <v>124.35</v>
          </cell>
        </row>
        <row r="365">
          <cell r="B365" t="str">
            <v>7000003705 GME - Depreciation &amp; Amortization - Tools</v>
          </cell>
          <cell r="C365">
            <v>5281.05</v>
          </cell>
        </row>
        <row r="366">
          <cell r="B366" t="str">
            <v>7000003706 GME - Depreciation &amp; Amortization - Godown/Equip</v>
          </cell>
          <cell r="C366">
            <v>1873.52</v>
          </cell>
        </row>
        <row r="367">
          <cell r="B367" t="str">
            <v>7000003707 GME - Depreciation &amp; Amortization - Ofc/Furniture</v>
          </cell>
          <cell r="C367">
            <v>7513</v>
          </cell>
        </row>
        <row r="368">
          <cell r="B368" t="str">
            <v>7000003708 GME - Depreciation &amp; Amortization - Ofc/Building</v>
          </cell>
          <cell r="C368">
            <v>1179.3499999999999</v>
          </cell>
        </row>
        <row r="369">
          <cell r="B369" t="str">
            <v>7000003710 GME - Depreciation &amp; Amortization - Own Sedan</v>
          </cell>
          <cell r="C369">
            <v>6338.09</v>
          </cell>
        </row>
        <row r="370">
          <cell r="B370" t="str">
            <v>7000003711 GME - Depreciation &amp; Amortization - Own Truck</v>
          </cell>
          <cell r="C370">
            <v>45999.65</v>
          </cell>
        </row>
        <row r="371">
          <cell r="B371" t="str">
            <v>7000003716 GME - Depreciation &amp; Amortization - Own Component</v>
          </cell>
          <cell r="C371">
            <v>9381.18</v>
          </cell>
        </row>
        <row r="372">
          <cell r="B372" t="str">
            <v>7000003810 GME - Depreciation &amp; Amortization - Facility</v>
          </cell>
          <cell r="C372">
            <v>64914.26</v>
          </cell>
        </row>
        <row r="373">
          <cell r="B373" t="str">
            <v>7000003820 GME - Depreciation &amp; Amortization - Vehicle</v>
          </cell>
          <cell r="C373">
            <v>21926.43</v>
          </cell>
        </row>
        <row r="374">
          <cell r="B374" t="str">
            <v>7000003830 GME - Depreciation &amp; Amortization - IT Device</v>
          </cell>
          <cell r="C374">
            <v>7996.15</v>
          </cell>
        </row>
        <row r="375">
          <cell r="B375" t="str">
            <v>7000003501 MC - Building &amp; Fac Maint Matr - Workshop</v>
          </cell>
          <cell r="C375">
            <v>5853.02</v>
          </cell>
        </row>
        <row r="376">
          <cell r="B376" t="str">
            <v>7000003502 MC - Building &amp; Fac Maint Matr - Godown</v>
          </cell>
          <cell r="C376">
            <v>257.77</v>
          </cell>
        </row>
        <row r="377">
          <cell r="B377" t="str">
            <v>7000003504 MC - Building &amp; Fac Maint Matr - Office</v>
          </cell>
          <cell r="C377">
            <v>7713.46</v>
          </cell>
        </row>
        <row r="378">
          <cell r="B378" t="str">
            <v>7000003506 MC - Building &amp; Fac Maint Matr - House Own/Rent</v>
          </cell>
          <cell r="C378">
            <v>389.97</v>
          </cell>
        </row>
        <row r="379">
          <cell r="B379" t="str">
            <v>7000003507 MC - Building &amp; Fac Maint Matr - Temporary Account</v>
          </cell>
          <cell r="C379">
            <v>33274.199999999997</v>
          </cell>
        </row>
        <row r="380">
          <cell r="B380" t="str">
            <v>7000003509 MC - Office Equip &amp; Mach Maint Matr - Office</v>
          </cell>
          <cell r="C380">
            <v>10181.469999999999</v>
          </cell>
        </row>
        <row r="381">
          <cell r="B381" t="str">
            <v>7000003510 MC - Office Equip &amp; Mach Maint Matr - Machinery</v>
          </cell>
          <cell r="C381">
            <v>5160.93</v>
          </cell>
        </row>
        <row r="382">
          <cell r="B382" t="str">
            <v>7000003511 OSR - Facility Services Outsource - Maint Facility</v>
          </cell>
          <cell r="C382">
            <v>4475.6099999999997</v>
          </cell>
        </row>
        <row r="383">
          <cell r="B383" t="str">
            <v>7000001902 FRS - Facility Benefits - Utilities</v>
          </cell>
          <cell r="C383">
            <v>265.3</v>
          </cell>
        </row>
        <row r="384">
          <cell r="B384" t="str">
            <v>7000005806 FRS - WEG - Water</v>
          </cell>
          <cell r="C384">
            <v>1717.49</v>
          </cell>
        </row>
        <row r="385">
          <cell r="B385" t="str">
            <v>7000005807 FRS - WEG - Electricity</v>
          </cell>
          <cell r="C385">
            <v>4193.99</v>
          </cell>
        </row>
        <row r="386">
          <cell r="B386" t="str">
            <v>7000005808 FRS - WEG - Gas &amp; Solar</v>
          </cell>
          <cell r="C386">
            <v>1692.3</v>
          </cell>
        </row>
        <row r="387">
          <cell r="B387" t="str">
            <v>7000005901 GME - Service Recovery - OHD Service Recovery</v>
          </cell>
          <cell r="C387">
            <v>-83730.740000000005</v>
          </cell>
        </row>
        <row r="388">
          <cell r="B388" t="str">
            <v>8010000300 GME - Gaim/Loss Inc/Exp Fixed Asset ROU</v>
          </cell>
          <cell r="C388">
            <v>-178</v>
          </cell>
        </row>
        <row r="389">
          <cell r="B389" t="str">
            <v>8010000401 GME - One off Gains&amp;Losses - Miscellaneous Income</v>
          </cell>
          <cell r="C389">
            <v>-2306.7600000000002</v>
          </cell>
        </row>
        <row r="390">
          <cell r="B390" t="str">
            <v>8040000700 GME - Miscellaneous Exp - Inventory Adj PVRG ITR3A</v>
          </cell>
          <cell r="C390">
            <v>30332.25</v>
          </cell>
        </row>
        <row r="391">
          <cell r="B391" t="str">
            <v>8010000402 GME - One off Gains&amp;Losses - Miscellaneous Expense</v>
          </cell>
          <cell r="C391">
            <v>0</v>
          </cell>
        </row>
        <row r="392">
          <cell r="B392" t="str">
            <v>8010000600 GME – Tax Expense</v>
          </cell>
          <cell r="C392">
            <v>0</v>
          </cell>
        </row>
        <row r="393">
          <cell r="B393" t="str">
            <v>8030000700 GME - Warranty Income/Expenses</v>
          </cell>
          <cell r="C393">
            <v>83355.839999999997</v>
          </cell>
        </row>
        <row r="394">
          <cell r="B394" t="str">
            <v>8040000100 GME - Miscellaneous Exp - Prov &amp; W/O AR Bad Debt</v>
          </cell>
          <cell r="C394">
            <v>-37418.129999999997</v>
          </cell>
        </row>
        <row r="395">
          <cell r="B395" t="str">
            <v>8040000400 GME - Miscellaneous Exp - Inventory Adj/Scrap/WO</v>
          </cell>
          <cell r="C395">
            <v>-74.430000000000007</v>
          </cell>
        </row>
        <row r="396">
          <cell r="B396" t="str">
            <v>8020000200 GME - Deposit Int &amp; Jasa Giro - Income Jasa Giro</v>
          </cell>
          <cell r="C396">
            <v>-2.62</v>
          </cell>
        </row>
        <row r="397">
          <cell r="B397" t="str">
            <v>8030000400 FS - Bank Charges - Bank Charges &amp; Stamp Duty</v>
          </cell>
          <cell r="C397">
            <v>8.36</v>
          </cell>
        </row>
        <row r="398">
          <cell r="B398" t="str">
            <v>8030000403 GME - Interest for IFRS 16</v>
          </cell>
          <cell r="C398">
            <v>9374.56</v>
          </cell>
        </row>
        <row r="399">
          <cell r="B399" t="str">
            <v>2460202000 Accrual Payable Non Trade Related Party</v>
          </cell>
          <cell r="C399">
            <v>-1469.2</v>
          </cell>
        </row>
        <row r="400">
          <cell r="B400" t="str">
            <v>2469300000 Reconciliation Posting CO-FI</v>
          </cell>
          <cell r="C400">
            <v>6178.82</v>
          </cell>
        </row>
        <row r="401">
          <cell r="B401" t="str">
            <v>3910200000 Clearing Account for FI Doc Splitting</v>
          </cell>
          <cell r="C401">
            <v>0</v>
          </cell>
        </row>
        <row r="402">
          <cell r="B402" t="str">
            <v>7000003404 OSR - Support Services Outsource - IT Support</v>
          </cell>
          <cell r="C402">
            <v>2905.41</v>
          </cell>
        </row>
        <row r="403">
          <cell r="B403" t="str">
            <v>7000003406 OSR - Operational Services Outsource - Part &amp; Lgst</v>
          </cell>
          <cell r="C403">
            <v>0</v>
          </cell>
        </row>
        <row r="404">
          <cell r="B404" t="str">
            <v>9999999998 IFRS16 Migration</v>
          </cell>
          <cell r="C40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92D8-6C74-4EFE-B196-DC9975330FAF}">
  <dimension ref="B1:BO390"/>
  <sheetViews>
    <sheetView showGridLines="0" zoomScale="85" zoomScaleNormal="85" workbookViewId="0">
      <pane xSplit="2" ySplit="2" topLeftCell="C216" activePane="bottomRight" state="frozen"/>
      <selection activeCell="BS336" sqref="BS336"/>
      <selection pane="topRight" activeCell="BS336" sqref="BS336"/>
      <selection pane="bottomLeft" activeCell="BS336" sqref="BS336"/>
      <selection pane="bottomRight" activeCell="BS336" sqref="BS336"/>
    </sheetView>
  </sheetViews>
  <sheetFormatPr defaultColWidth="9.140625" defaultRowHeight="11.25" x14ac:dyDescent="0.2"/>
  <cols>
    <col min="1" max="1" width="1.42578125" style="3" customWidth="1"/>
    <col min="2" max="2" width="41.140625" style="3" customWidth="1"/>
    <col min="3" max="10" width="11.42578125" style="24" hidden="1" customWidth="1"/>
    <col min="11" max="11" width="12.28515625" style="24" hidden="1" customWidth="1"/>
    <col min="12" max="12" width="11.42578125" style="24" hidden="1" customWidth="1"/>
    <col min="13" max="15" width="12.28515625" style="24" hidden="1" customWidth="1"/>
    <col min="16" max="17" width="11.42578125" style="24" hidden="1" customWidth="1"/>
    <col min="18" max="18" width="12.28515625" style="24" hidden="1" customWidth="1"/>
    <col min="19" max="22" width="11.42578125" style="24" hidden="1" customWidth="1"/>
    <col min="23" max="23" width="11.42578125" style="20" hidden="1" customWidth="1"/>
    <col min="24" max="24" width="10.85546875" style="20" hidden="1" customWidth="1"/>
    <col min="25" max="26" width="10.85546875" style="83" hidden="1" customWidth="1"/>
    <col min="27" max="27" width="11.85546875" style="3" hidden="1" customWidth="1"/>
    <col min="28" max="28" width="12.7109375" style="3" hidden="1" customWidth="1"/>
    <col min="29" max="33" width="11.85546875" style="24" hidden="1" customWidth="1"/>
    <col min="34" max="35" width="10.85546875" style="24" hidden="1" customWidth="1"/>
    <col min="36" max="36" width="10.85546875" style="20" hidden="1" customWidth="1"/>
    <col min="37" max="37" width="11.85546875" style="20" hidden="1" customWidth="1"/>
    <col min="38" max="39" width="10.85546875" style="83" hidden="1" customWidth="1"/>
    <col min="40" max="40" width="10.85546875" style="3" hidden="1" customWidth="1"/>
    <col min="41" max="41" width="11.5703125" style="3" hidden="1" customWidth="1"/>
    <col min="42" max="47" width="11.85546875" style="24" hidden="1" customWidth="1"/>
    <col min="48" max="48" width="11.42578125" style="24" hidden="1" customWidth="1"/>
    <col min="49" max="49" width="11.42578125" style="20" hidden="1" customWidth="1"/>
    <col min="50" max="50" width="12.42578125" style="20" hidden="1" customWidth="1"/>
    <col min="51" max="52" width="10.85546875" style="83" hidden="1" customWidth="1"/>
    <col min="53" max="53" width="10.85546875" style="3" hidden="1" customWidth="1"/>
    <col min="54" max="54" width="11.5703125" style="3" hidden="1" customWidth="1"/>
    <col min="55" max="55" width="11.85546875" style="24" bestFit="1" customWidth="1"/>
    <col min="56" max="60" width="11.85546875" style="24" customWidth="1"/>
    <col min="61" max="61" width="12.140625" style="24" customWidth="1"/>
    <col min="62" max="62" width="11.42578125" style="20" hidden="1" customWidth="1"/>
    <col min="63" max="63" width="12.42578125" style="20" hidden="1" customWidth="1"/>
    <col min="64" max="65" width="10.85546875" style="83" hidden="1" customWidth="1"/>
    <col min="66" max="66" width="10.85546875" style="3" hidden="1" customWidth="1"/>
    <col min="67" max="67" width="13.42578125" style="3" customWidth="1"/>
    <col min="68" max="16384" width="9.140625" style="3"/>
  </cols>
  <sheetData>
    <row r="1" spans="2:67" x14ac:dyDescent="0.2"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3"/>
      <c r="Q1" s="3"/>
      <c r="R1" s="3"/>
      <c r="S1" s="3"/>
      <c r="T1" s="3"/>
      <c r="U1" s="3"/>
      <c r="V1" s="3"/>
      <c r="AC1" s="3"/>
      <c r="AD1" s="3"/>
      <c r="AE1" s="3"/>
      <c r="AF1" s="3"/>
      <c r="AG1" s="3"/>
      <c r="AH1" s="3"/>
      <c r="AI1" s="3"/>
      <c r="AP1" s="3"/>
      <c r="AQ1" s="3"/>
      <c r="AR1" s="3"/>
      <c r="AS1" s="3"/>
      <c r="AT1" s="3"/>
      <c r="AU1" s="3"/>
      <c r="AV1" s="3"/>
      <c r="BC1" s="3"/>
      <c r="BD1" s="3"/>
      <c r="BE1" s="3"/>
      <c r="BF1" s="3"/>
      <c r="BG1" s="3"/>
      <c r="BH1" s="3"/>
      <c r="BI1" s="3"/>
    </row>
    <row r="2" spans="2:67" x14ac:dyDescent="0.2">
      <c r="B2" s="10" t="s">
        <v>464</v>
      </c>
      <c r="C2" s="21">
        <v>44562</v>
      </c>
      <c r="D2" s="21">
        <v>44593</v>
      </c>
      <c r="E2" s="21">
        <v>44621</v>
      </c>
      <c r="F2" s="21">
        <v>44652</v>
      </c>
      <c r="G2" s="21">
        <v>44682</v>
      </c>
      <c r="H2" s="21">
        <v>44713</v>
      </c>
      <c r="I2" s="21">
        <v>44743</v>
      </c>
      <c r="J2" s="21">
        <v>44774</v>
      </c>
      <c r="K2" s="21">
        <v>44805</v>
      </c>
      <c r="L2" s="21">
        <v>44835</v>
      </c>
      <c r="M2" s="21">
        <v>44866</v>
      </c>
      <c r="N2" s="21">
        <v>44896</v>
      </c>
      <c r="O2" s="21" t="s">
        <v>1572</v>
      </c>
      <c r="P2" s="21">
        <v>44927</v>
      </c>
      <c r="Q2" s="21">
        <v>44958</v>
      </c>
      <c r="R2" s="21">
        <v>44986</v>
      </c>
      <c r="S2" s="21">
        <v>45017</v>
      </c>
      <c r="T2" s="21">
        <v>45047</v>
      </c>
      <c r="U2" s="21">
        <v>45078</v>
      </c>
      <c r="V2" s="21">
        <v>45108</v>
      </c>
      <c r="W2" s="21">
        <v>45139</v>
      </c>
      <c r="X2" s="21">
        <v>45170</v>
      </c>
      <c r="Y2" s="21">
        <v>45200</v>
      </c>
      <c r="Z2" s="21">
        <v>45231</v>
      </c>
      <c r="AA2" s="21">
        <v>45266</v>
      </c>
      <c r="AB2" s="21" t="s">
        <v>1572</v>
      </c>
      <c r="AC2" s="21">
        <v>45292</v>
      </c>
      <c r="AD2" s="21">
        <v>45323</v>
      </c>
      <c r="AE2" s="21">
        <v>45352</v>
      </c>
      <c r="AF2" s="21">
        <v>45383</v>
      </c>
      <c r="AG2" s="21">
        <v>45413</v>
      </c>
      <c r="AH2" s="21">
        <v>45444</v>
      </c>
      <c r="AI2" s="21">
        <v>45474</v>
      </c>
      <c r="AJ2" s="21">
        <v>45505</v>
      </c>
      <c r="AK2" s="21">
        <v>45536</v>
      </c>
      <c r="AL2" s="21">
        <v>45566</v>
      </c>
      <c r="AM2" s="21">
        <v>45597</v>
      </c>
      <c r="AN2" s="21">
        <v>45632</v>
      </c>
      <c r="AO2" s="21" t="s">
        <v>1812</v>
      </c>
      <c r="AP2" s="21">
        <v>45658</v>
      </c>
      <c r="AQ2" s="21">
        <v>45689</v>
      </c>
      <c r="AR2" s="21">
        <v>45717</v>
      </c>
      <c r="AS2" s="21">
        <v>45748</v>
      </c>
      <c r="AT2" s="21">
        <v>45778</v>
      </c>
      <c r="AU2" s="21">
        <v>45809</v>
      </c>
      <c r="AV2" s="21">
        <v>45839</v>
      </c>
      <c r="AW2" s="21">
        <v>45870</v>
      </c>
      <c r="AX2" s="21">
        <v>45901</v>
      </c>
      <c r="AY2" s="21">
        <v>45931</v>
      </c>
      <c r="AZ2" s="21">
        <v>45962</v>
      </c>
      <c r="BA2" s="21">
        <v>45997</v>
      </c>
      <c r="BB2" s="21" t="s">
        <v>1855</v>
      </c>
      <c r="BC2" s="21">
        <v>46023</v>
      </c>
      <c r="BD2" s="21">
        <v>46054</v>
      </c>
      <c r="BE2" s="21">
        <v>46082</v>
      </c>
      <c r="BF2" s="21">
        <v>46113</v>
      </c>
      <c r="BG2" s="21">
        <v>46143</v>
      </c>
      <c r="BH2" s="21">
        <v>46174</v>
      </c>
      <c r="BI2" s="21">
        <v>46204</v>
      </c>
      <c r="BJ2" s="21">
        <v>46235</v>
      </c>
      <c r="BK2" s="21">
        <v>46266</v>
      </c>
      <c r="BL2" s="21">
        <v>46296</v>
      </c>
      <c r="BM2" s="21">
        <v>46327</v>
      </c>
      <c r="BN2" s="21">
        <v>46362</v>
      </c>
      <c r="BO2" s="21" t="s">
        <v>1907</v>
      </c>
    </row>
    <row r="3" spans="2:67" x14ac:dyDescent="0.2">
      <c r="B3" s="11" t="s">
        <v>238</v>
      </c>
      <c r="C3" s="12"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39"/>
      <c r="X3" s="39"/>
      <c r="Y3" s="12"/>
      <c r="Z3" s="82"/>
      <c r="AA3" s="12"/>
      <c r="AB3" s="12"/>
      <c r="AC3" s="12"/>
      <c r="AD3" s="12"/>
      <c r="AE3" s="12"/>
      <c r="AF3" s="12"/>
      <c r="AG3" s="12"/>
      <c r="AH3" s="12"/>
      <c r="AI3" s="12"/>
      <c r="AJ3" s="39"/>
      <c r="AK3" s="39"/>
      <c r="AL3" s="12"/>
      <c r="AM3" s="82"/>
      <c r="AN3" s="12"/>
      <c r="AO3" s="12"/>
      <c r="AP3" s="12"/>
      <c r="AQ3" s="12"/>
      <c r="AR3" s="12"/>
      <c r="AS3" s="12"/>
      <c r="AT3" s="12"/>
      <c r="AU3" s="12"/>
      <c r="AV3" s="12"/>
      <c r="AW3" s="39"/>
      <c r="AX3" s="39"/>
      <c r="AY3" s="12"/>
      <c r="AZ3" s="82"/>
      <c r="BA3" s="12"/>
      <c r="BB3" s="12"/>
      <c r="BC3" s="12"/>
      <c r="BD3" s="12"/>
      <c r="BE3" s="12"/>
      <c r="BF3" s="12"/>
      <c r="BG3" s="12"/>
      <c r="BH3" s="12"/>
      <c r="BI3" s="12"/>
      <c r="BJ3" s="39"/>
      <c r="BK3" s="39"/>
      <c r="BL3" s="12"/>
      <c r="BM3" s="82"/>
      <c r="BN3" s="12"/>
      <c r="BO3" s="12"/>
    </row>
    <row r="4" spans="2:67" x14ac:dyDescent="0.2">
      <c r="B4" s="3" t="s">
        <v>241</v>
      </c>
      <c r="C4" s="23">
        <v>-58033.760000000002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-1217492.9099999999</v>
      </c>
      <c r="K4" s="24">
        <v>-1849798.55</v>
      </c>
      <c r="L4" s="24">
        <v>-136363.64000000001</v>
      </c>
      <c r="M4" s="24">
        <v>-221153.84</v>
      </c>
      <c r="N4" s="24">
        <v>0</v>
      </c>
      <c r="O4" s="24">
        <f>SUBTOTAL(9,C4:N4)</f>
        <v>-3482842.6999999997</v>
      </c>
      <c r="P4" s="24">
        <v>-1198350.1200000001</v>
      </c>
      <c r="Q4" s="24">
        <v>-1198350.1200000001</v>
      </c>
      <c r="R4" s="24">
        <v>0</v>
      </c>
      <c r="S4" s="24">
        <v>-136486.49</v>
      </c>
      <c r="T4" s="24">
        <v>-86094.19</v>
      </c>
      <c r="U4" s="24">
        <v>0</v>
      </c>
      <c r="V4" s="24">
        <v>-117821.58</v>
      </c>
      <c r="W4" s="20">
        <v>-1054772.72</v>
      </c>
      <c r="X4" s="20">
        <v>-66754.87</v>
      </c>
      <c r="Y4" s="83">
        <v>-2100761.9</v>
      </c>
      <c r="Z4" s="83">
        <v>-1248566.04</v>
      </c>
      <c r="AA4" s="83">
        <v>-1853156.91</v>
      </c>
      <c r="AB4" s="8">
        <f t="shared" ref="AB4:AB9" si="0">SUM(P4:AA4)</f>
        <v>-9061114.9399999995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-141158.54</v>
      </c>
      <c r="AJ4" s="20">
        <v>-51648.26</v>
      </c>
      <c r="AK4" s="20">
        <v>0</v>
      </c>
      <c r="AL4" s="83">
        <v>-84326.76</v>
      </c>
      <c r="AM4" s="83">
        <v>-1110193</v>
      </c>
      <c r="AN4" s="83">
        <v>-2612066.02</v>
      </c>
      <c r="AO4" s="8">
        <f t="shared" ref="AO4:AO12" si="1">SUM(AC4:AN4)</f>
        <v>-3999392.58</v>
      </c>
      <c r="AP4" s="24">
        <v>0</v>
      </c>
      <c r="AQ4" s="24">
        <v>-332868.90999999997</v>
      </c>
      <c r="AR4" s="24">
        <f>VLOOKUP(B4,'[1]Sheet1 (2)'!$B$2:$C$397,2,0)</f>
        <v>0</v>
      </c>
      <c r="AS4" s="24">
        <f>VLOOKUP(B4,'[2]Sheet1 (2)'!$B$2:$C$404,2,0)</f>
        <v>0</v>
      </c>
      <c r="AT4" s="24">
        <v>-183257.62</v>
      </c>
      <c r="AU4" s="24">
        <v>-50235.39</v>
      </c>
      <c r="AV4" s="24">
        <v>0</v>
      </c>
      <c r="AW4" s="20">
        <v>0</v>
      </c>
      <c r="AX4" s="20">
        <v>0</v>
      </c>
      <c r="AY4" s="83">
        <v>0</v>
      </c>
      <c r="AZ4" s="83">
        <v>-151542.78</v>
      </c>
      <c r="BA4" s="83">
        <v>-42078.01</v>
      </c>
      <c r="BB4" s="8">
        <f t="shared" ref="BB4:BB12" si="2">SUM(AP4:BA4)</f>
        <v>-759982.71</v>
      </c>
      <c r="BC4" s="24">
        <v>0</v>
      </c>
      <c r="BD4" s="24">
        <v>0</v>
      </c>
      <c r="BE4" s="24">
        <v>0</v>
      </c>
      <c r="BF4" s="24">
        <v>-115467.26</v>
      </c>
      <c r="BG4" s="24">
        <v>0</v>
      </c>
      <c r="BH4" s="24">
        <v>0</v>
      </c>
      <c r="BI4" s="24">
        <v>0</v>
      </c>
      <c r="BN4" s="83"/>
      <c r="BO4" s="8">
        <f t="shared" ref="BO4:BO12" si="3">SUM(BC4:BN4)</f>
        <v>-115467.26</v>
      </c>
    </row>
    <row r="5" spans="2:67" x14ac:dyDescent="0.2">
      <c r="B5" s="3" t="s">
        <v>824</v>
      </c>
      <c r="C5" s="23">
        <v>3837.96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>
        <v>0</v>
      </c>
      <c r="N5" s="24">
        <v>0</v>
      </c>
      <c r="O5" s="24">
        <f>SUBTOTAL(9,C5:N5)</f>
        <v>3837.96</v>
      </c>
      <c r="P5" s="24">
        <v>0</v>
      </c>
      <c r="Q5" s="24">
        <v>0</v>
      </c>
      <c r="R5" s="24">
        <v>0</v>
      </c>
      <c r="S5" s="24">
        <v>0</v>
      </c>
      <c r="T5" s="24">
        <v>12445.54</v>
      </c>
      <c r="U5" s="24">
        <v>0</v>
      </c>
      <c r="V5" s="24">
        <v>3252.04</v>
      </c>
      <c r="W5" s="20">
        <v>0</v>
      </c>
      <c r="X5" s="20">
        <v>0</v>
      </c>
      <c r="Y5" s="83">
        <v>0</v>
      </c>
      <c r="Z5" s="83">
        <v>0</v>
      </c>
      <c r="AA5" s="83">
        <v>0</v>
      </c>
      <c r="AB5" s="8">
        <f t="shared" si="0"/>
        <v>15697.580000000002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0">
        <v>2898.26</v>
      </c>
      <c r="AK5" s="20">
        <v>0</v>
      </c>
      <c r="AL5" s="83">
        <v>0</v>
      </c>
      <c r="AM5" s="83">
        <v>0</v>
      </c>
      <c r="AN5" s="83">
        <v>0</v>
      </c>
      <c r="AO5" s="8">
        <f t="shared" si="1"/>
        <v>2898.26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4">
        <v>2818.98</v>
      </c>
      <c r="AV5" s="24">
        <v>0</v>
      </c>
      <c r="AW5" s="20">
        <v>0</v>
      </c>
      <c r="AX5" s="20">
        <v>0</v>
      </c>
      <c r="AY5" s="83">
        <v>0</v>
      </c>
      <c r="AZ5" s="83">
        <v>4536.79</v>
      </c>
      <c r="BA5" s="83">
        <v>0</v>
      </c>
      <c r="BB5" s="8">
        <f t="shared" si="2"/>
        <v>7355.77</v>
      </c>
      <c r="BC5" s="24">
        <v>0</v>
      </c>
      <c r="BD5" s="24">
        <v>0</v>
      </c>
      <c r="BE5" s="24">
        <v>0</v>
      </c>
      <c r="BF5" s="24">
        <v>0</v>
      </c>
      <c r="BG5" s="24">
        <v>0</v>
      </c>
      <c r="BH5" s="24">
        <v>0</v>
      </c>
      <c r="BI5" s="24">
        <v>0</v>
      </c>
      <c r="BN5" s="83"/>
      <c r="BO5" s="8">
        <f t="shared" si="3"/>
        <v>0</v>
      </c>
    </row>
    <row r="6" spans="2:67" x14ac:dyDescent="0.2">
      <c r="B6" s="3" t="s">
        <v>242</v>
      </c>
      <c r="C6" s="23"/>
      <c r="J6" s="24">
        <v>-21410.81</v>
      </c>
      <c r="K6" s="24">
        <v>-19858.66</v>
      </c>
      <c r="L6" s="24">
        <v>0</v>
      </c>
      <c r="M6" s="24">
        <v>0</v>
      </c>
      <c r="N6" s="24">
        <v>0</v>
      </c>
      <c r="O6" s="24">
        <f>SUBTOTAL(9,C6:N6)</f>
        <v>-41269.47</v>
      </c>
      <c r="P6" s="24">
        <v>-21649.88</v>
      </c>
      <c r="Q6" s="24">
        <v>-21649.88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0">
        <v>0</v>
      </c>
      <c r="X6" s="20">
        <v>-9219.15</v>
      </c>
      <c r="Y6" s="83">
        <v>0</v>
      </c>
      <c r="Z6" s="83">
        <v>0</v>
      </c>
      <c r="AA6" s="83">
        <v>0</v>
      </c>
      <c r="AB6" s="8">
        <f t="shared" si="0"/>
        <v>-52518.91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0">
        <v>0</v>
      </c>
      <c r="AK6" s="20">
        <v>0</v>
      </c>
      <c r="AL6" s="83">
        <v>-3571.33</v>
      </c>
      <c r="AM6" s="83">
        <v>0</v>
      </c>
      <c r="AN6" s="83">
        <v>0</v>
      </c>
      <c r="AO6" s="8">
        <f t="shared" si="1"/>
        <v>-3571.33</v>
      </c>
      <c r="AP6" s="24">
        <v>0</v>
      </c>
      <c r="AQ6" s="24">
        <v>-14692.07</v>
      </c>
      <c r="AR6" s="24">
        <f>VLOOKUP(B6,'[1]Sheet1 (2)'!$B$2:$C$397,2,0)</f>
        <v>0</v>
      </c>
      <c r="AS6" s="24">
        <f>VLOOKUP(B6,'[2]Sheet1 (2)'!$B$2:$C$404,2,0)</f>
        <v>0</v>
      </c>
      <c r="AT6" s="24">
        <v>-1456.67</v>
      </c>
      <c r="AU6" s="24">
        <v>0</v>
      </c>
      <c r="AV6" s="24">
        <v>0</v>
      </c>
      <c r="AW6" s="20">
        <v>0</v>
      </c>
      <c r="AX6" s="20">
        <v>0</v>
      </c>
      <c r="AY6" s="83">
        <v>0</v>
      </c>
      <c r="AZ6" s="83">
        <v>0</v>
      </c>
      <c r="BA6" s="83">
        <v>0</v>
      </c>
      <c r="BB6" s="8">
        <f t="shared" si="2"/>
        <v>-16148.74</v>
      </c>
      <c r="BC6" s="24">
        <v>0</v>
      </c>
      <c r="BD6" s="24">
        <v>0</v>
      </c>
      <c r="BE6" s="24">
        <v>0</v>
      </c>
      <c r="BF6" s="24">
        <v>-2661.4</v>
      </c>
      <c r="BG6" s="24">
        <v>0</v>
      </c>
      <c r="BH6" s="24">
        <v>0</v>
      </c>
      <c r="BI6" s="24">
        <v>0</v>
      </c>
      <c r="BN6" s="83"/>
      <c r="BO6" s="8">
        <f t="shared" si="3"/>
        <v>-2661.4</v>
      </c>
    </row>
    <row r="7" spans="2:67" x14ac:dyDescent="0.2">
      <c r="B7" s="3" t="s">
        <v>1492</v>
      </c>
      <c r="C7" s="23"/>
      <c r="K7" s="24">
        <v>-61497.45</v>
      </c>
      <c r="L7" s="24">
        <v>0</v>
      </c>
      <c r="M7" s="24">
        <v>-77268.679999999993</v>
      </c>
      <c r="N7" s="24">
        <v>0</v>
      </c>
      <c r="O7" s="24">
        <f>SUBTOTAL(9,C7:N7)</f>
        <v>-138766.13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0">
        <v>0</v>
      </c>
      <c r="X7" s="20">
        <v>0</v>
      </c>
      <c r="Y7" s="83">
        <v>-528040</v>
      </c>
      <c r="Z7" s="83">
        <v>0</v>
      </c>
      <c r="AA7" s="83">
        <v>0</v>
      </c>
      <c r="AB7" s="8">
        <f t="shared" si="0"/>
        <v>-528040</v>
      </c>
      <c r="AC7" s="24">
        <v>0</v>
      </c>
      <c r="AD7" s="24">
        <v>0</v>
      </c>
      <c r="AE7" s="24">
        <v>-694532.85</v>
      </c>
      <c r="AF7" s="24">
        <v>0</v>
      </c>
      <c r="AG7" s="24">
        <v>0</v>
      </c>
      <c r="AH7" s="24">
        <v>0</v>
      </c>
      <c r="AI7" s="24">
        <v>0</v>
      </c>
      <c r="AJ7" s="20">
        <v>0</v>
      </c>
      <c r="AK7" s="20">
        <v>0</v>
      </c>
      <c r="AL7" s="83">
        <v>0</v>
      </c>
      <c r="AM7" s="83">
        <v>0</v>
      </c>
      <c r="AN7" s="83">
        <v>0</v>
      </c>
      <c r="AO7" s="8">
        <f t="shared" si="1"/>
        <v>-694532.85</v>
      </c>
      <c r="AP7" s="24">
        <v>0</v>
      </c>
      <c r="AQ7" s="24">
        <v>0</v>
      </c>
      <c r="AR7" s="24">
        <v>0</v>
      </c>
      <c r="AS7" s="24">
        <v>0</v>
      </c>
      <c r="AT7" s="24">
        <v>0</v>
      </c>
      <c r="AU7" s="24">
        <v>0</v>
      </c>
      <c r="AV7" s="24">
        <v>-90391.32</v>
      </c>
      <c r="AW7" s="20">
        <v>0</v>
      </c>
      <c r="AX7" s="20">
        <v>0</v>
      </c>
      <c r="AY7" s="83">
        <v>0</v>
      </c>
      <c r="AZ7" s="83">
        <v>0</v>
      </c>
      <c r="BA7" s="83">
        <v>0</v>
      </c>
      <c r="BB7" s="8">
        <f t="shared" si="2"/>
        <v>-90391.32</v>
      </c>
      <c r="BC7" s="24">
        <v>0</v>
      </c>
      <c r="BD7" s="24">
        <v>0</v>
      </c>
      <c r="BE7" s="24">
        <v>-494355.44</v>
      </c>
      <c r="BF7" s="24">
        <v>0</v>
      </c>
      <c r="BG7" s="24">
        <v>0</v>
      </c>
      <c r="BH7" s="24">
        <v>0</v>
      </c>
      <c r="BI7" s="24">
        <v>0</v>
      </c>
      <c r="BN7" s="83"/>
      <c r="BO7" s="8">
        <f t="shared" si="3"/>
        <v>-494355.44</v>
      </c>
    </row>
    <row r="8" spans="2:67" x14ac:dyDescent="0.2">
      <c r="B8" s="3" t="s">
        <v>738</v>
      </c>
      <c r="C8" s="23"/>
      <c r="S8" s="24">
        <v>2597.52</v>
      </c>
      <c r="T8" s="24">
        <v>0</v>
      </c>
      <c r="U8" s="24">
        <v>0</v>
      </c>
      <c r="V8" s="24">
        <v>0</v>
      </c>
      <c r="W8" s="20">
        <v>-331221.69</v>
      </c>
      <c r="X8" s="20">
        <v>-132089.60999999999</v>
      </c>
      <c r="Y8" s="83">
        <v>463311.3</v>
      </c>
      <c r="Z8" s="83">
        <v>0</v>
      </c>
      <c r="AA8" s="83">
        <v>-565357.01</v>
      </c>
      <c r="AB8" s="8">
        <f t="shared" si="0"/>
        <v>-562759.49</v>
      </c>
      <c r="AC8" s="24">
        <v>-17875.68</v>
      </c>
      <c r="AD8" s="24">
        <v>-3003.32</v>
      </c>
      <c r="AE8" s="24">
        <v>586236.01</v>
      </c>
      <c r="AF8" s="24">
        <v>0</v>
      </c>
      <c r="AG8" s="24">
        <v>0</v>
      </c>
      <c r="AH8" s="24">
        <v>0</v>
      </c>
      <c r="AI8" s="24">
        <v>0</v>
      </c>
      <c r="AJ8" s="20">
        <v>0</v>
      </c>
      <c r="AK8" s="20">
        <v>0</v>
      </c>
      <c r="AL8" s="83">
        <v>0</v>
      </c>
      <c r="AM8" s="83">
        <v>0</v>
      </c>
      <c r="AN8" s="83">
        <v>0</v>
      </c>
      <c r="AO8" s="8">
        <f t="shared" si="1"/>
        <v>565357.01</v>
      </c>
      <c r="AP8" s="24">
        <v>0</v>
      </c>
      <c r="AQ8" s="24">
        <v>0</v>
      </c>
      <c r="AR8" s="24">
        <v>0</v>
      </c>
      <c r="AS8" s="24">
        <v>0</v>
      </c>
      <c r="AT8" s="24">
        <v>0</v>
      </c>
      <c r="AU8" s="24">
        <v>0</v>
      </c>
      <c r="AV8" s="24">
        <v>0</v>
      </c>
      <c r="AW8" s="20">
        <v>0</v>
      </c>
      <c r="AX8" s="20">
        <v>0</v>
      </c>
      <c r="AY8" s="83">
        <v>0</v>
      </c>
      <c r="AZ8" s="83">
        <v>0</v>
      </c>
      <c r="BA8" s="83">
        <v>-435432.41</v>
      </c>
      <c r="BB8" s="8">
        <f t="shared" si="2"/>
        <v>-435432.41</v>
      </c>
      <c r="BC8" s="24">
        <v>-180.87</v>
      </c>
      <c r="BD8" s="24">
        <v>-921.2</v>
      </c>
      <c r="BE8" s="24">
        <v>436534.48</v>
      </c>
      <c r="BF8" s="24">
        <v>0</v>
      </c>
      <c r="BG8" s="24">
        <v>0</v>
      </c>
      <c r="BH8" s="24">
        <v>0</v>
      </c>
      <c r="BI8" s="24">
        <v>0</v>
      </c>
      <c r="BN8" s="83"/>
      <c r="BO8" s="8">
        <f t="shared" si="3"/>
        <v>435432.41</v>
      </c>
    </row>
    <row r="9" spans="2:67" x14ac:dyDescent="0.2">
      <c r="B9" s="3" t="s">
        <v>243</v>
      </c>
      <c r="C9" s="23"/>
      <c r="K9" s="24">
        <v>61497.45</v>
      </c>
      <c r="L9" s="24">
        <v>0</v>
      </c>
      <c r="M9" s="24">
        <v>77268.679999999993</v>
      </c>
      <c r="N9" s="24">
        <v>0</v>
      </c>
      <c r="O9" s="24">
        <f>SUBTOTAL(9,C9:N9)</f>
        <v>138766.13</v>
      </c>
      <c r="P9" s="24">
        <v>-9.94</v>
      </c>
      <c r="Q9" s="24">
        <v>-178.41</v>
      </c>
      <c r="R9" s="24">
        <v>-230.87</v>
      </c>
      <c r="S9" s="24">
        <v>0</v>
      </c>
      <c r="T9" s="24">
        <v>0</v>
      </c>
      <c r="U9" s="24">
        <v>0</v>
      </c>
      <c r="V9" s="24">
        <v>0</v>
      </c>
      <c r="W9" s="20">
        <v>-61497.45</v>
      </c>
      <c r="X9" s="20">
        <v>0</v>
      </c>
      <c r="Y9" s="83">
        <v>59878.98</v>
      </c>
      <c r="Z9" s="83">
        <v>-1245.5</v>
      </c>
      <c r="AA9" s="83">
        <v>-84409.3</v>
      </c>
      <c r="AB9" s="8">
        <f t="shared" si="0"/>
        <v>-87692.489999999991</v>
      </c>
      <c r="AC9" s="24">
        <v>-577.03</v>
      </c>
      <c r="AD9" s="24">
        <v>-340.37</v>
      </c>
      <c r="AE9" s="24">
        <v>78698.37</v>
      </c>
      <c r="AF9" s="24">
        <v>-4187.4799999999996</v>
      </c>
      <c r="AG9" s="24">
        <v>-1673.57</v>
      </c>
      <c r="AH9" s="24">
        <v>-103.61</v>
      </c>
      <c r="AI9" s="24">
        <v>-1796.73</v>
      </c>
      <c r="AJ9" s="20">
        <v>-18492.13</v>
      </c>
      <c r="AK9" s="20">
        <v>-78.040000000000006</v>
      </c>
      <c r="AL9" s="83">
        <v>-2131.98</v>
      </c>
      <c r="AM9" s="83">
        <v>-1252.8699999999999</v>
      </c>
      <c r="AN9" s="83">
        <v>-13888.03</v>
      </c>
      <c r="AO9" s="8">
        <f t="shared" si="1"/>
        <v>34176.529999999992</v>
      </c>
      <c r="AP9" s="24">
        <v>0</v>
      </c>
      <c r="AQ9" s="24">
        <v>-4207.88</v>
      </c>
      <c r="AR9" s="24">
        <f>VLOOKUP(B9,'[1]Sheet1 (2)'!$B$2:$C$397,2,0)</f>
        <v>-1534.87</v>
      </c>
      <c r="AS9" s="24">
        <f>VLOOKUP(B9,'[2]Sheet1 (2)'!$B$2:$C$404,2,0)</f>
        <v>-2172.2800000000002</v>
      </c>
      <c r="AT9" s="24">
        <v>-2093.48</v>
      </c>
      <c r="AU9" s="24">
        <v>-4424.91</v>
      </c>
      <c r="AV9" s="24">
        <v>88991.82</v>
      </c>
      <c r="AW9" s="20">
        <v>0</v>
      </c>
      <c r="AX9" s="20">
        <v>-2599.3000000000002</v>
      </c>
      <c r="AY9" s="83">
        <v>-2933.71</v>
      </c>
      <c r="AZ9" s="83">
        <v>-45.69</v>
      </c>
      <c r="BA9" s="83">
        <v>-90391.32</v>
      </c>
      <c r="BB9" s="8">
        <f t="shared" si="2"/>
        <v>-21411.62000000001</v>
      </c>
      <c r="BC9" s="24">
        <v>0</v>
      </c>
      <c r="BD9" s="24">
        <v>-6304.41</v>
      </c>
      <c r="BE9" s="24">
        <v>45974.93</v>
      </c>
      <c r="BF9" s="24">
        <v>-889.35</v>
      </c>
      <c r="BG9" s="24">
        <v>0</v>
      </c>
      <c r="BH9" s="24">
        <v>-114.76</v>
      </c>
      <c r="BI9" s="24">
        <v>-115.56</v>
      </c>
      <c r="BN9" s="83"/>
      <c r="BO9" s="8">
        <f t="shared" si="3"/>
        <v>38550.850000000006</v>
      </c>
    </row>
    <row r="10" spans="2:67" x14ac:dyDescent="0.2">
      <c r="B10" s="3" t="s">
        <v>1834</v>
      </c>
      <c r="C10" s="23"/>
      <c r="AA10" s="83"/>
      <c r="AB10" s="8"/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0</v>
      </c>
      <c r="AK10" s="20">
        <v>-39407.89</v>
      </c>
      <c r="AL10" s="83">
        <v>0</v>
      </c>
      <c r="AM10" s="83">
        <v>0</v>
      </c>
      <c r="AN10" s="83">
        <v>0</v>
      </c>
      <c r="AO10" s="8">
        <f t="shared" si="1"/>
        <v>-39407.89</v>
      </c>
      <c r="AP10" s="24">
        <v>0</v>
      </c>
      <c r="AQ10" s="24">
        <v>0</v>
      </c>
      <c r="AR10" s="24">
        <v>0</v>
      </c>
      <c r="AS10" s="24">
        <v>0</v>
      </c>
      <c r="AT10" s="24">
        <v>0</v>
      </c>
      <c r="AU10" s="24">
        <v>0</v>
      </c>
      <c r="AV10" s="24">
        <v>0</v>
      </c>
      <c r="AW10" s="20">
        <v>0</v>
      </c>
      <c r="AX10" s="20">
        <v>0</v>
      </c>
      <c r="AY10" s="83">
        <v>0</v>
      </c>
      <c r="AZ10" s="83">
        <v>0</v>
      </c>
      <c r="BA10" s="83">
        <v>0</v>
      </c>
      <c r="BB10" s="8">
        <f t="shared" si="2"/>
        <v>0</v>
      </c>
      <c r="BC10" s="24">
        <v>0</v>
      </c>
      <c r="BD10" s="24">
        <v>0</v>
      </c>
      <c r="BE10" s="24">
        <v>0</v>
      </c>
      <c r="BF10" s="24">
        <v>0</v>
      </c>
      <c r="BG10" s="24">
        <v>0</v>
      </c>
      <c r="BH10" s="24">
        <v>0</v>
      </c>
      <c r="BI10" s="24">
        <v>0</v>
      </c>
      <c r="BN10" s="83"/>
      <c r="BO10" s="8">
        <f t="shared" si="3"/>
        <v>0</v>
      </c>
    </row>
    <row r="11" spans="2:67" x14ac:dyDescent="0.2">
      <c r="B11" s="3" t="s">
        <v>1493</v>
      </c>
      <c r="C11" s="23"/>
      <c r="K11" s="24">
        <v>-986368.35</v>
      </c>
      <c r="L11" s="24">
        <v>0</v>
      </c>
      <c r="M11" s="24">
        <v>0</v>
      </c>
      <c r="N11" s="24">
        <v>0</v>
      </c>
      <c r="O11" s="24">
        <f>SUBTOTAL(9,C11:N11)</f>
        <v>-986368.35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0">
        <v>0</v>
      </c>
      <c r="X11" s="20">
        <v>-599.25</v>
      </c>
      <c r="Y11" s="83">
        <v>-743.07</v>
      </c>
      <c r="Z11" s="83">
        <v>-719.1</v>
      </c>
      <c r="AA11" s="83">
        <v>-743.07</v>
      </c>
      <c r="AB11" s="8">
        <f>SUM(P11:AA11)</f>
        <v>-2804.4900000000002</v>
      </c>
      <c r="AC11" s="24">
        <v>-743.07</v>
      </c>
      <c r="AD11" s="24">
        <v>-695.13</v>
      </c>
      <c r="AE11" s="24">
        <v>-743.07</v>
      </c>
      <c r="AF11" s="24">
        <v>-719.09</v>
      </c>
      <c r="AG11" s="24">
        <v>-743.07</v>
      </c>
      <c r="AH11" s="24">
        <v>-719.09</v>
      </c>
      <c r="AI11" s="24">
        <v>-141616.82</v>
      </c>
      <c r="AJ11" s="20">
        <v>-743.06</v>
      </c>
      <c r="AK11" s="20">
        <v>-119.85</v>
      </c>
      <c r="AL11" s="83">
        <v>0</v>
      </c>
      <c r="AM11" s="83">
        <v>0</v>
      </c>
      <c r="AN11" s="83">
        <v>-431698.56</v>
      </c>
      <c r="AO11" s="8">
        <f t="shared" si="1"/>
        <v>-578540.81000000006</v>
      </c>
      <c r="AP11" s="24">
        <v>0</v>
      </c>
      <c r="AQ11" s="24">
        <v>-331372.52</v>
      </c>
      <c r="AR11" s="24">
        <f>VLOOKUP(B11,'[1]Sheet1 (2)'!$B$2:$C$397,2,0)</f>
        <v>0</v>
      </c>
      <c r="AS11" s="24">
        <f>VLOOKUP(B11,'[2]Sheet1 (2)'!$B$2:$C$404,2,0)</f>
        <v>0</v>
      </c>
      <c r="AT11" s="24">
        <v>0</v>
      </c>
      <c r="AU11" s="24">
        <v>0</v>
      </c>
      <c r="AV11" s="24">
        <v>0</v>
      </c>
      <c r="AW11" s="20">
        <v>0</v>
      </c>
      <c r="AX11" s="20">
        <v>0</v>
      </c>
      <c r="AY11" s="83">
        <v>0</v>
      </c>
      <c r="AZ11" s="83">
        <v>0</v>
      </c>
      <c r="BA11" s="83">
        <v>-41467.99</v>
      </c>
      <c r="BB11" s="8">
        <f t="shared" si="2"/>
        <v>-372840.51</v>
      </c>
      <c r="BC11" s="24">
        <v>0</v>
      </c>
      <c r="BD11" s="24">
        <v>0</v>
      </c>
      <c r="BE11" s="24">
        <v>0</v>
      </c>
      <c r="BF11" s="24">
        <v>-114656.9</v>
      </c>
      <c r="BG11" s="24">
        <v>0</v>
      </c>
      <c r="BH11" s="24">
        <v>0</v>
      </c>
      <c r="BI11" s="24">
        <v>0</v>
      </c>
      <c r="BN11" s="83"/>
      <c r="BO11" s="8">
        <f t="shared" si="3"/>
        <v>-114656.9</v>
      </c>
    </row>
    <row r="12" spans="2:67" x14ac:dyDescent="0.2">
      <c r="B12" s="3" t="s">
        <v>1494</v>
      </c>
      <c r="C12" s="23"/>
      <c r="K12" s="24">
        <v>995141.34</v>
      </c>
      <c r="L12" s="24">
        <v>0</v>
      </c>
      <c r="M12" s="24">
        <v>0</v>
      </c>
      <c r="N12" s="24">
        <v>0</v>
      </c>
      <c r="O12" s="24">
        <f>SUBTOTAL(9,C12:N12)</f>
        <v>995141.34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0">
        <v>0</v>
      </c>
      <c r="X12" s="20">
        <v>0</v>
      </c>
      <c r="Y12" s="83">
        <v>0</v>
      </c>
      <c r="Z12" s="83">
        <v>0</v>
      </c>
      <c r="AA12" s="83">
        <v>0</v>
      </c>
      <c r="AB12" s="8">
        <f>SUM(P12:AA12)</f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141158.54</v>
      </c>
      <c r="AJ12" s="20">
        <v>0</v>
      </c>
      <c r="AK12" s="20">
        <v>0</v>
      </c>
      <c r="AL12" s="83">
        <v>0</v>
      </c>
      <c r="AM12" s="83">
        <v>0</v>
      </c>
      <c r="AN12" s="83">
        <v>432546.01</v>
      </c>
      <c r="AO12" s="8">
        <f t="shared" si="1"/>
        <v>573704.55000000005</v>
      </c>
      <c r="AP12" s="24">
        <v>0</v>
      </c>
      <c r="AQ12" s="24">
        <v>332868.90000000002</v>
      </c>
      <c r="AR12" s="24">
        <f>VLOOKUP(B12,'[1]Sheet1 (2)'!$B$2:$C$397,2,0)</f>
        <v>0</v>
      </c>
      <c r="AS12" s="24">
        <f>VLOOKUP(B12,'[2]Sheet1 (2)'!$B$2:$C$404,2,0)</f>
        <v>0</v>
      </c>
      <c r="AT12" s="24">
        <v>0</v>
      </c>
      <c r="AU12" s="24">
        <v>0</v>
      </c>
      <c r="AV12" s="24">
        <v>0</v>
      </c>
      <c r="AW12" s="20">
        <v>0</v>
      </c>
      <c r="AX12" s="20">
        <v>0</v>
      </c>
      <c r="AY12" s="83">
        <v>0</v>
      </c>
      <c r="AZ12" s="83">
        <v>0</v>
      </c>
      <c r="BA12" s="83">
        <v>42078</v>
      </c>
      <c r="BB12" s="8">
        <f t="shared" si="2"/>
        <v>374946.9</v>
      </c>
      <c r="BC12" s="24">
        <v>0</v>
      </c>
      <c r="BD12" s="24">
        <v>0</v>
      </c>
      <c r="BE12" s="24">
        <v>0</v>
      </c>
      <c r="BF12" s="24">
        <v>115467.25</v>
      </c>
      <c r="BG12" s="24">
        <v>0</v>
      </c>
      <c r="BH12" s="24">
        <v>0</v>
      </c>
      <c r="BI12" s="24">
        <v>0</v>
      </c>
      <c r="BN12" s="83"/>
      <c r="BO12" s="8">
        <f t="shared" si="3"/>
        <v>115467.25</v>
      </c>
    </row>
    <row r="13" spans="2:67" x14ac:dyDescent="0.2">
      <c r="B13" s="6" t="s">
        <v>1536</v>
      </c>
      <c r="C13" s="7">
        <f t="shared" ref="C13:N13" si="4">SUM(C4:C12)</f>
        <v>-54195.8</v>
      </c>
      <c r="D13" s="7">
        <f t="shared" si="4"/>
        <v>0</v>
      </c>
      <c r="E13" s="7">
        <f t="shared" si="4"/>
        <v>0</v>
      </c>
      <c r="F13" s="7">
        <f t="shared" si="4"/>
        <v>0</v>
      </c>
      <c r="G13" s="7">
        <f t="shared" si="4"/>
        <v>0</v>
      </c>
      <c r="H13" s="7">
        <f t="shared" si="4"/>
        <v>0</v>
      </c>
      <c r="I13" s="7">
        <f t="shared" si="4"/>
        <v>0</v>
      </c>
      <c r="J13" s="7">
        <f t="shared" si="4"/>
        <v>-1238903.72</v>
      </c>
      <c r="K13" s="7">
        <f t="shared" si="4"/>
        <v>-1860884.2200000002</v>
      </c>
      <c r="L13" s="7">
        <f t="shared" si="4"/>
        <v>-136363.64000000001</v>
      </c>
      <c r="M13" s="7">
        <f t="shared" si="4"/>
        <v>-221153.84000000003</v>
      </c>
      <c r="N13" s="7">
        <f t="shared" si="4"/>
        <v>0</v>
      </c>
      <c r="O13" s="7">
        <f>SUM(C13:N13)</f>
        <v>-3511501.22</v>
      </c>
      <c r="P13" s="7">
        <f t="shared" ref="P13:BB13" si="5">SUM(P4:P12)</f>
        <v>-1220009.94</v>
      </c>
      <c r="Q13" s="7">
        <f t="shared" si="5"/>
        <v>-1220178.4099999999</v>
      </c>
      <c r="R13" s="7">
        <f t="shared" si="5"/>
        <v>-230.87</v>
      </c>
      <c r="S13" s="7">
        <f t="shared" si="5"/>
        <v>-133888.97</v>
      </c>
      <c r="T13" s="7">
        <f t="shared" si="5"/>
        <v>-73648.649999999994</v>
      </c>
      <c r="U13" s="7">
        <f t="shared" si="5"/>
        <v>0</v>
      </c>
      <c r="V13" s="7">
        <f t="shared" si="5"/>
        <v>-114569.54000000001</v>
      </c>
      <c r="W13" s="63">
        <f t="shared" si="5"/>
        <v>-1447491.8599999999</v>
      </c>
      <c r="X13" s="63">
        <f t="shared" si="5"/>
        <v>-208662.87999999998</v>
      </c>
      <c r="Y13" s="63">
        <f t="shared" si="5"/>
        <v>-2106354.69</v>
      </c>
      <c r="Z13" s="63">
        <f t="shared" si="5"/>
        <v>-1250530.6400000001</v>
      </c>
      <c r="AA13" s="63">
        <f t="shared" si="5"/>
        <v>-2503666.2899999996</v>
      </c>
      <c r="AB13" s="63">
        <f t="shared" si="5"/>
        <v>-10279232.74</v>
      </c>
      <c r="AC13" s="63">
        <f t="shared" si="5"/>
        <v>-19195.78</v>
      </c>
      <c r="AD13" s="63">
        <f t="shared" si="5"/>
        <v>-4038.82</v>
      </c>
      <c r="AE13" s="63">
        <f t="shared" si="5"/>
        <v>-30341.539999999972</v>
      </c>
      <c r="AF13" s="63">
        <f t="shared" si="5"/>
        <v>-4906.57</v>
      </c>
      <c r="AG13" s="63">
        <f t="shared" si="5"/>
        <v>-2416.64</v>
      </c>
      <c r="AH13" s="63">
        <f t="shared" si="5"/>
        <v>-822.7</v>
      </c>
      <c r="AI13" s="63">
        <f t="shared" si="5"/>
        <v>-143413.55000000002</v>
      </c>
      <c r="AJ13" s="63">
        <f t="shared" si="5"/>
        <v>-67985.19</v>
      </c>
      <c r="AK13" s="63">
        <f t="shared" si="5"/>
        <v>-39605.78</v>
      </c>
      <c r="AL13" s="63">
        <f t="shared" si="5"/>
        <v>-90030.069999999992</v>
      </c>
      <c r="AM13" s="63">
        <f t="shared" si="5"/>
        <v>-1111445.8700000001</v>
      </c>
      <c r="AN13" s="63">
        <f t="shared" si="5"/>
        <v>-2625106.5999999996</v>
      </c>
      <c r="AO13" s="63">
        <f t="shared" si="5"/>
        <v>-4139309.1100000003</v>
      </c>
      <c r="AP13" s="63">
        <f t="shared" si="5"/>
        <v>0</v>
      </c>
      <c r="AQ13" s="63">
        <f t="shared" si="5"/>
        <v>-350272.48</v>
      </c>
      <c r="AR13" s="63">
        <f t="shared" si="5"/>
        <v>-1534.87</v>
      </c>
      <c r="AS13" s="63">
        <f t="shared" si="5"/>
        <v>-2172.2800000000002</v>
      </c>
      <c r="AT13" s="63">
        <f t="shared" si="5"/>
        <v>-186807.77000000002</v>
      </c>
      <c r="AU13" s="63">
        <f t="shared" si="5"/>
        <v>-51841.319999999992</v>
      </c>
      <c r="AV13" s="63">
        <f t="shared" si="5"/>
        <v>-1399.5</v>
      </c>
      <c r="AW13" s="63">
        <f t="shared" si="5"/>
        <v>0</v>
      </c>
      <c r="AX13" s="63">
        <f t="shared" si="5"/>
        <v>-2599.3000000000002</v>
      </c>
      <c r="AY13" s="63">
        <f t="shared" si="5"/>
        <v>-2933.71</v>
      </c>
      <c r="AZ13" s="63">
        <f t="shared" si="5"/>
        <v>-147051.68</v>
      </c>
      <c r="BA13" s="63">
        <f t="shared" si="5"/>
        <v>-567291.73</v>
      </c>
      <c r="BB13" s="63">
        <f t="shared" si="5"/>
        <v>-1313904.6400000001</v>
      </c>
      <c r="BC13" s="63">
        <f t="shared" ref="BC13:BO13" si="6">SUM(BC4:BC12)</f>
        <v>-180.87</v>
      </c>
      <c r="BD13" s="63">
        <f t="shared" si="6"/>
        <v>-7225.61</v>
      </c>
      <c r="BE13" s="63">
        <f t="shared" si="6"/>
        <v>-11846.030000000021</v>
      </c>
      <c r="BF13" s="63">
        <f t="shared" si="6"/>
        <v>-118207.65999999997</v>
      </c>
      <c r="BG13" s="63">
        <f t="shared" si="6"/>
        <v>0</v>
      </c>
      <c r="BH13" s="63">
        <f t="shared" si="6"/>
        <v>-114.76</v>
      </c>
      <c r="BI13" s="63">
        <f t="shared" si="6"/>
        <v>-115.56</v>
      </c>
      <c r="BJ13" s="63">
        <f t="shared" si="6"/>
        <v>0</v>
      </c>
      <c r="BK13" s="63">
        <f t="shared" si="6"/>
        <v>0</v>
      </c>
      <c r="BL13" s="63">
        <f t="shared" si="6"/>
        <v>0</v>
      </c>
      <c r="BM13" s="63">
        <f t="shared" si="6"/>
        <v>0</v>
      </c>
      <c r="BN13" s="63">
        <f t="shared" si="6"/>
        <v>0</v>
      </c>
      <c r="BO13" s="63">
        <f t="shared" si="6"/>
        <v>-137690.49</v>
      </c>
    </row>
    <row r="14" spans="2:67" x14ac:dyDescent="0.2">
      <c r="B14" s="3" t="s">
        <v>245</v>
      </c>
      <c r="C14" s="23">
        <v>-4673022.7699999996</v>
      </c>
      <c r="D14" s="24">
        <v>-4680697.22</v>
      </c>
      <c r="E14" s="24">
        <v>-5357309.43</v>
      </c>
      <c r="F14" s="24">
        <v>-4581013.4000000004</v>
      </c>
      <c r="G14" s="24">
        <v>-5610312.6699999999</v>
      </c>
      <c r="H14" s="24">
        <v>-6382204.7300000004</v>
      </c>
      <c r="I14" s="24">
        <v>-5446430.7300000004</v>
      </c>
      <c r="J14" s="24">
        <v>-3544566.16</v>
      </c>
      <c r="K14" s="24">
        <v>-8781431.1099999994</v>
      </c>
      <c r="L14" s="24">
        <v>-7534841.46</v>
      </c>
      <c r="M14" s="24">
        <v>-9220274.4600000009</v>
      </c>
      <c r="N14" s="24">
        <v>-9671792.2300000004</v>
      </c>
      <c r="O14" s="24">
        <f>SUBTOTAL(9,C14:N14)</f>
        <v>-75483896.370000005</v>
      </c>
      <c r="P14" s="24">
        <v>-6903467.3600000003</v>
      </c>
      <c r="Q14" s="24">
        <v>-4489216.91</v>
      </c>
      <c r="R14" s="24">
        <v>-10302351.42</v>
      </c>
      <c r="S14" s="24">
        <v>-5795173.7599999998</v>
      </c>
      <c r="T14" s="24">
        <v>-7515693.3399999999</v>
      </c>
      <c r="U14" s="24">
        <v>-5919972.3099999996</v>
      </c>
      <c r="V14" s="24">
        <v>-4809436.95</v>
      </c>
      <c r="W14" s="20">
        <v>-5348221.4400000004</v>
      </c>
      <c r="X14" s="20">
        <v>-5246466.68</v>
      </c>
      <c r="Y14" s="83">
        <v>-5095288.3099999996</v>
      </c>
      <c r="Z14" s="83">
        <v>-3434892.44</v>
      </c>
      <c r="AA14" s="83">
        <v>-4609744.38</v>
      </c>
      <c r="AB14" s="8">
        <f t="shared" ref="AB14:AB21" si="7">SUM(P14:AA14)</f>
        <v>-69469925.299999997</v>
      </c>
      <c r="AC14" s="24">
        <v>-3769518.29</v>
      </c>
      <c r="AD14" s="24">
        <v>-4610219.0199999996</v>
      </c>
      <c r="AE14" s="24">
        <v>-4865200.8099999996</v>
      </c>
      <c r="AF14" s="24">
        <v>-4198492.5199999996</v>
      </c>
      <c r="AG14" s="24">
        <v>-4920435.62</v>
      </c>
      <c r="AH14" s="24">
        <v>-4315235.3099999996</v>
      </c>
      <c r="AI14" s="24">
        <v>-4831902.04</v>
      </c>
      <c r="AJ14" s="20">
        <v>-1415125.02</v>
      </c>
      <c r="AK14" s="20">
        <v>-9517097.0500000007</v>
      </c>
      <c r="AL14" s="83">
        <v>-4666708.2</v>
      </c>
      <c r="AM14" s="83">
        <v>-4005350.68</v>
      </c>
      <c r="AN14" s="83">
        <v>-3626109.19</v>
      </c>
      <c r="AO14" s="8">
        <f t="shared" ref="AO14:AO33" si="8">SUM(AC14:AN14)</f>
        <v>-54741393.75</v>
      </c>
      <c r="AP14" s="24">
        <v>-3289691.53</v>
      </c>
      <c r="AQ14" s="24">
        <v>-3228428.64</v>
      </c>
      <c r="AR14" s="24">
        <f>VLOOKUP(B14,'[1]Sheet1 (2)'!$B$2:$C$397,2,0)</f>
        <v>-2208403.64</v>
      </c>
      <c r="AS14" s="24">
        <f>VLOOKUP(B14,'[2]Sheet1 (2)'!$B$2:$C$404,2,0)</f>
        <v>-2528704.83</v>
      </c>
      <c r="AT14" s="24">
        <v>-3558221.16</v>
      </c>
      <c r="AU14" s="24">
        <v>-3456846.2</v>
      </c>
      <c r="AV14" s="24">
        <v>-2911914.2</v>
      </c>
      <c r="AW14" s="20">
        <v>-2993312.85</v>
      </c>
      <c r="AX14" s="20">
        <v>-2743175.74</v>
      </c>
      <c r="AY14" s="83">
        <v>-3154594.58</v>
      </c>
      <c r="AZ14" s="83">
        <v>-3907670.02</v>
      </c>
      <c r="BA14" s="83">
        <v>-2873619.09</v>
      </c>
      <c r="BB14" s="8">
        <f t="shared" ref="BB14:BB33" si="9">SUM(AP14:BA14)</f>
        <v>-36854582.480000004</v>
      </c>
      <c r="BC14" s="24">
        <v>-2857496.41</v>
      </c>
      <c r="BD14" s="24">
        <v>-3903125.14</v>
      </c>
      <c r="BE14" s="24">
        <v>-3737634.17</v>
      </c>
      <c r="BF14" s="24">
        <v>-3148686.27</v>
      </c>
      <c r="BG14" s="24">
        <v>-2414604.9700000002</v>
      </c>
      <c r="BH14" s="24">
        <v>-2861914.52</v>
      </c>
      <c r="BI14" s="24">
        <v>-3199594.62</v>
      </c>
      <c r="BN14" s="83"/>
      <c r="BO14" s="8">
        <f t="shared" ref="BO14:BO33" si="10">SUM(BC14:BN14)</f>
        <v>-22123056.100000001</v>
      </c>
    </row>
    <row r="15" spans="2:67" x14ac:dyDescent="0.2">
      <c r="B15" s="3" t="s">
        <v>536</v>
      </c>
      <c r="C15" s="23">
        <v>-9457.2900000000009</v>
      </c>
      <c r="D15" s="24">
        <v>-11473.07</v>
      </c>
      <c r="E15" s="24">
        <v>0</v>
      </c>
      <c r="F15" s="24">
        <v>-33227.21</v>
      </c>
      <c r="G15" s="24">
        <v>-65960.17</v>
      </c>
      <c r="H15" s="24">
        <v>-798391.47</v>
      </c>
      <c r="I15" s="24">
        <v>-17949.05</v>
      </c>
      <c r="J15" s="24">
        <v>0</v>
      </c>
      <c r="K15" s="24">
        <v>0</v>
      </c>
      <c r="L15" s="24">
        <v>0</v>
      </c>
      <c r="M15" s="24">
        <v>0</v>
      </c>
      <c r="N15" s="24">
        <v>-1101488.4099999999</v>
      </c>
      <c r="O15" s="24">
        <f>SUBTOTAL(9,C15:N15)</f>
        <v>-2037946.67</v>
      </c>
      <c r="P15" s="24">
        <v>0</v>
      </c>
      <c r="Q15" s="24">
        <v>-571752.82999999996</v>
      </c>
      <c r="R15" s="24">
        <v>-791010.66</v>
      </c>
      <c r="S15" s="24">
        <v>-276689.37</v>
      </c>
      <c r="T15" s="24">
        <v>-748037.33</v>
      </c>
      <c r="U15" s="24">
        <v>-888742.45</v>
      </c>
      <c r="V15" s="24">
        <v>-592512.15</v>
      </c>
      <c r="W15" s="20">
        <v>-617667.03</v>
      </c>
      <c r="X15" s="20">
        <v>-658056.78</v>
      </c>
      <c r="Y15" s="83">
        <v>-783989.16</v>
      </c>
      <c r="Z15" s="83">
        <v>-726585.07</v>
      </c>
      <c r="AA15" s="83">
        <v>-1203804.5</v>
      </c>
      <c r="AB15" s="8">
        <f t="shared" si="7"/>
        <v>-7858847.3300000001</v>
      </c>
      <c r="AC15" s="24">
        <v>-409997.09</v>
      </c>
      <c r="AD15" s="24">
        <v>-1520295.03</v>
      </c>
      <c r="AE15" s="24">
        <v>-760184.13</v>
      </c>
      <c r="AF15" s="24">
        <v>-938457.36</v>
      </c>
      <c r="AG15" s="24">
        <v>-1392552.44</v>
      </c>
      <c r="AH15" s="24">
        <v>-1141536.93</v>
      </c>
      <c r="AI15" s="24">
        <v>-1251075.3</v>
      </c>
      <c r="AJ15" s="20">
        <v>-1101877.02</v>
      </c>
      <c r="AK15" s="20">
        <v>-1527652.13</v>
      </c>
      <c r="AL15" s="83">
        <v>-1132959.47</v>
      </c>
      <c r="AM15" s="83">
        <v>-1137260.3700000001</v>
      </c>
      <c r="AN15" s="83">
        <v>-1523606.13</v>
      </c>
      <c r="AO15" s="8">
        <f t="shared" si="8"/>
        <v>-13837453.399999999</v>
      </c>
      <c r="AP15" s="24">
        <v>-941238.03</v>
      </c>
      <c r="AQ15" s="24">
        <v>-1119248.05</v>
      </c>
      <c r="AR15" s="24">
        <f>VLOOKUP(B15,'[1]Sheet1 (2)'!$B$2:$C$397,2,0)</f>
        <v>-743599.4</v>
      </c>
      <c r="AS15" s="24">
        <f>VLOOKUP(B15,'[2]Sheet1 (2)'!$B$2:$C$404,2,0)</f>
        <v>-561730.55000000005</v>
      </c>
      <c r="AT15" s="24">
        <v>-690693.76</v>
      </c>
      <c r="AU15" s="24">
        <v>-248781.28</v>
      </c>
      <c r="AV15" s="24">
        <v>-38895.800000000003</v>
      </c>
      <c r="AW15" s="20">
        <v>-287623.57</v>
      </c>
      <c r="AX15" s="20">
        <v>-659890.02</v>
      </c>
      <c r="AY15" s="83">
        <v>-191804.31</v>
      </c>
      <c r="AZ15" s="83">
        <v>-35922.93</v>
      </c>
      <c r="BA15" s="83">
        <v>-534368.93000000005</v>
      </c>
      <c r="BB15" s="8">
        <f t="shared" si="9"/>
        <v>-6053796.6299999999</v>
      </c>
      <c r="BC15" s="24">
        <v>-320423.90000000002</v>
      </c>
      <c r="BD15" s="24">
        <v>-198045.15</v>
      </c>
      <c r="BE15" s="24">
        <v>-420995.6</v>
      </c>
      <c r="BF15" s="24">
        <v>-258893.01</v>
      </c>
      <c r="BG15" s="24">
        <v>-596968.85</v>
      </c>
      <c r="BH15" s="24">
        <v>-514855.07</v>
      </c>
      <c r="BI15" s="24">
        <v>-290891.26</v>
      </c>
      <c r="BN15" s="83"/>
      <c r="BO15" s="8">
        <f t="shared" si="10"/>
        <v>-2601072.84</v>
      </c>
    </row>
    <row r="16" spans="2:67" x14ac:dyDescent="0.2">
      <c r="B16" s="3" t="s">
        <v>537</v>
      </c>
      <c r="C16" s="23">
        <v>0.01</v>
      </c>
      <c r="D16" s="24">
        <v>471.93</v>
      </c>
      <c r="E16" s="24">
        <v>0</v>
      </c>
      <c r="F16" s="24">
        <v>-0.01</v>
      </c>
      <c r="G16" s="24">
        <v>23587.1</v>
      </c>
      <c r="H16" s="24">
        <v>33038.42</v>
      </c>
      <c r="I16" s="24">
        <v>133.07</v>
      </c>
      <c r="J16" s="24">
        <v>0</v>
      </c>
      <c r="K16" s="24">
        <v>0</v>
      </c>
      <c r="L16" s="24">
        <v>0</v>
      </c>
      <c r="M16" s="24">
        <v>0</v>
      </c>
      <c r="N16" s="24">
        <v>46421.01</v>
      </c>
      <c r="O16" s="24">
        <f>SUBTOTAL(9,C16:N16)</f>
        <v>103651.53</v>
      </c>
      <c r="P16" s="24">
        <v>0</v>
      </c>
      <c r="Q16" s="24">
        <v>35871.760000000002</v>
      </c>
      <c r="R16" s="24">
        <v>60591.39</v>
      </c>
      <c r="S16" s="24">
        <v>45319.51</v>
      </c>
      <c r="T16" s="24">
        <v>15489.23</v>
      </c>
      <c r="U16" s="24">
        <v>13652.22</v>
      </c>
      <c r="V16" s="24">
        <v>18775.66</v>
      </c>
      <c r="W16" s="20">
        <v>33418.68</v>
      </c>
      <c r="X16" s="20">
        <v>1832.8</v>
      </c>
      <c r="Y16" s="83">
        <v>-18355.27</v>
      </c>
      <c r="Z16" s="83">
        <v>-7959.88</v>
      </c>
      <c r="AA16" s="83">
        <v>-4046.58</v>
      </c>
      <c r="AB16" s="8">
        <f t="shared" si="7"/>
        <v>194589.52000000002</v>
      </c>
      <c r="AC16" s="24">
        <v>8411.52</v>
      </c>
      <c r="AD16" s="24">
        <v>29341.59</v>
      </c>
      <c r="AE16" s="24">
        <v>19588.349999999999</v>
      </c>
      <c r="AF16" s="24">
        <v>11149.11</v>
      </c>
      <c r="AG16" s="24">
        <v>33841.64</v>
      </c>
      <c r="AH16" s="24">
        <v>-39894.089999999997</v>
      </c>
      <c r="AI16" s="24">
        <v>-6494.88</v>
      </c>
      <c r="AJ16" s="20">
        <v>3380.39</v>
      </c>
      <c r="AK16" s="20">
        <v>-22645.63</v>
      </c>
      <c r="AL16" s="83">
        <v>-20370.16</v>
      </c>
      <c r="AM16" s="83">
        <v>-23745.23</v>
      </c>
      <c r="AN16" s="83">
        <v>-4585.62</v>
      </c>
      <c r="AO16" s="8">
        <f t="shared" si="8"/>
        <v>-12023.009999999984</v>
      </c>
      <c r="AP16" s="24">
        <v>946.4</v>
      </c>
      <c r="AQ16" s="24">
        <v>-28576.87</v>
      </c>
      <c r="AR16" s="24">
        <f>VLOOKUP(B16,'[1]Sheet1 (2)'!$B$2:$C$397,2,0)</f>
        <v>-6310.54</v>
      </c>
      <c r="AS16" s="24">
        <f>VLOOKUP(B16,'[2]Sheet1 (2)'!$B$2:$C$404,2,0)</f>
        <v>60475.360000000001</v>
      </c>
      <c r="AT16" s="24">
        <v>14437.56</v>
      </c>
      <c r="AU16" s="24">
        <v>48.85</v>
      </c>
      <c r="AV16" s="24">
        <v>5369.78</v>
      </c>
      <c r="AW16" s="20">
        <v>-4392.4799999999996</v>
      </c>
      <c r="AX16" s="20">
        <v>-903.63</v>
      </c>
      <c r="AY16" s="83">
        <v>-714.44</v>
      </c>
      <c r="AZ16" s="83">
        <v>-613.78</v>
      </c>
      <c r="BA16" s="83">
        <v>1663.86</v>
      </c>
      <c r="BB16" s="8">
        <f t="shared" si="9"/>
        <v>41430.07</v>
      </c>
      <c r="BC16" s="24">
        <v>-5876.67</v>
      </c>
      <c r="BD16" s="24">
        <v>-1102.18</v>
      </c>
      <c r="BE16" s="24">
        <v>-903.92</v>
      </c>
      <c r="BF16" s="24">
        <v>22575.88</v>
      </c>
      <c r="BG16" s="24">
        <v>-12340.37</v>
      </c>
      <c r="BH16" s="24">
        <v>-13127.59</v>
      </c>
      <c r="BI16" s="24">
        <v>5928.33</v>
      </c>
      <c r="BN16" s="83"/>
      <c r="BO16" s="8">
        <f t="shared" si="10"/>
        <v>-4846.5200000000004</v>
      </c>
    </row>
    <row r="17" spans="2:67" x14ac:dyDescent="0.2">
      <c r="B17" s="3" t="s">
        <v>246</v>
      </c>
      <c r="C17" s="23">
        <v>-49623.57</v>
      </c>
      <c r="D17" s="24">
        <v>-39159.599999999999</v>
      </c>
      <c r="E17" s="24">
        <v>-57552.92</v>
      </c>
      <c r="F17" s="24">
        <v>-318317.40000000002</v>
      </c>
      <c r="G17" s="24">
        <v>-112916.5</v>
      </c>
      <c r="H17" s="24">
        <v>-45099.88</v>
      </c>
      <c r="I17" s="24">
        <v>-28251.79</v>
      </c>
      <c r="J17" s="24">
        <v>-37039.660000000003</v>
      </c>
      <c r="K17" s="24">
        <v>-63609.83</v>
      </c>
      <c r="L17" s="24">
        <v>-36077.199999999997</v>
      </c>
      <c r="M17" s="24">
        <v>-65520.639999999999</v>
      </c>
      <c r="N17" s="24">
        <v>-61358.9</v>
      </c>
      <c r="O17" s="24">
        <f>SUBTOTAL(9,C17:N17)</f>
        <v>-914527.89</v>
      </c>
      <c r="P17" s="24">
        <v>-119266.71</v>
      </c>
      <c r="Q17" s="24">
        <v>-87590.32</v>
      </c>
      <c r="R17" s="24">
        <v>-66817.8</v>
      </c>
      <c r="S17" s="24">
        <v>-58517.07</v>
      </c>
      <c r="T17" s="24">
        <v>-48568.27</v>
      </c>
      <c r="U17" s="24">
        <v>-61179.96</v>
      </c>
      <c r="V17" s="24">
        <v>-50416.13</v>
      </c>
      <c r="W17" s="20">
        <v>-29133.99</v>
      </c>
      <c r="X17" s="20">
        <v>-24755.82</v>
      </c>
      <c r="Y17" s="83">
        <v>-16331.08</v>
      </c>
      <c r="Z17" s="83">
        <v>-5046.25</v>
      </c>
      <c r="AA17" s="83">
        <v>-3970.72</v>
      </c>
      <c r="AB17" s="8">
        <f t="shared" si="7"/>
        <v>-571594.12</v>
      </c>
      <c r="AC17" s="24">
        <v>-11477.09</v>
      </c>
      <c r="AD17" s="24">
        <v>-162.03</v>
      </c>
      <c r="AE17" s="24">
        <v>-4471.3599999999997</v>
      </c>
      <c r="AF17" s="24">
        <v>-5976.62</v>
      </c>
      <c r="AG17" s="24">
        <v>-723.7</v>
      </c>
      <c r="AH17" s="24">
        <v>0</v>
      </c>
      <c r="AI17" s="24">
        <v>-13110.72</v>
      </c>
      <c r="AJ17" s="20">
        <v>-6808.54</v>
      </c>
      <c r="AK17" s="20">
        <v>-1289.54</v>
      </c>
      <c r="AL17" s="83">
        <v>0</v>
      </c>
      <c r="AM17" s="83">
        <v>-65.17</v>
      </c>
      <c r="AN17" s="83">
        <v>-1053.06</v>
      </c>
      <c r="AO17" s="8">
        <f t="shared" si="8"/>
        <v>-45137.829999999994</v>
      </c>
      <c r="AP17" s="24">
        <v>0</v>
      </c>
      <c r="AQ17" s="24">
        <v>-1042.1099999999999</v>
      </c>
      <c r="AR17" s="24">
        <f>VLOOKUP(B17,'[1]Sheet1 (2)'!$B$2:$C$397,2,0)</f>
        <v>-1191.0999999999999</v>
      </c>
      <c r="AS17" s="24">
        <f>VLOOKUP(B17,'[2]Sheet1 (2)'!$B$2:$C$404,2,0)</f>
        <v>-1770.54</v>
      </c>
      <c r="AT17" s="24">
        <v>-85425.21</v>
      </c>
      <c r="AU17" s="24">
        <v>-85609.27</v>
      </c>
      <c r="AV17" s="24">
        <v>-189341.33</v>
      </c>
      <c r="AW17" s="20">
        <v>-128227.88</v>
      </c>
      <c r="AX17" s="20">
        <v>-96785.03</v>
      </c>
      <c r="AY17" s="83">
        <v>-176305.86</v>
      </c>
      <c r="AZ17" s="83">
        <v>-200441.27</v>
      </c>
      <c r="BA17" s="83">
        <v>-135232.25</v>
      </c>
      <c r="BB17" s="8">
        <f t="shared" si="9"/>
        <v>-1101371.8500000001</v>
      </c>
      <c r="BC17" s="24">
        <v>-123857.75</v>
      </c>
      <c r="BD17" s="24">
        <v>-150909.48000000001</v>
      </c>
      <c r="BE17" s="24">
        <v>-160529.64000000001</v>
      </c>
      <c r="BF17" s="24">
        <v>-204842.37</v>
      </c>
      <c r="BG17" s="24">
        <v>-102099.91</v>
      </c>
      <c r="BH17" s="24">
        <v>-110298.9</v>
      </c>
      <c r="BI17" s="24">
        <v>-158473.97</v>
      </c>
      <c r="BN17" s="83"/>
      <c r="BO17" s="8">
        <f t="shared" si="10"/>
        <v>-1011012.02</v>
      </c>
    </row>
    <row r="18" spans="2:67" x14ac:dyDescent="0.2">
      <c r="B18" s="3" t="s">
        <v>1639</v>
      </c>
      <c r="C18" s="23"/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0">
        <v>-2235.37</v>
      </c>
      <c r="X18" s="20">
        <v>0</v>
      </c>
      <c r="Y18" s="83">
        <v>0</v>
      </c>
      <c r="Z18" s="83">
        <v>0</v>
      </c>
      <c r="AA18" s="83">
        <v>0</v>
      </c>
      <c r="AB18" s="8">
        <f t="shared" si="7"/>
        <v>-2235.37</v>
      </c>
      <c r="AC18" s="24">
        <v>0</v>
      </c>
      <c r="AD18" s="24">
        <v>0</v>
      </c>
      <c r="AE18" s="24">
        <v>0</v>
      </c>
      <c r="AF18" s="24">
        <v>0</v>
      </c>
      <c r="AG18" s="24">
        <v>-17970.59</v>
      </c>
      <c r="AH18" s="24">
        <v>0</v>
      </c>
      <c r="AI18" s="24">
        <v>0</v>
      </c>
      <c r="AJ18" s="20">
        <v>-2855.7</v>
      </c>
      <c r="AK18" s="20">
        <v>0</v>
      </c>
      <c r="AL18" s="83">
        <v>0</v>
      </c>
      <c r="AM18" s="83">
        <v>0</v>
      </c>
      <c r="AN18" s="83">
        <v>0</v>
      </c>
      <c r="AO18" s="8">
        <f t="shared" si="8"/>
        <v>-20826.29</v>
      </c>
      <c r="AP18" s="24">
        <v>0</v>
      </c>
      <c r="AQ18" s="24">
        <v>1638.89</v>
      </c>
      <c r="AR18" s="24">
        <f>VLOOKUP(B18,'[1]Sheet1 (2)'!$B$2:$C$397,2,0)</f>
        <v>6532.28</v>
      </c>
      <c r="AS18" s="24">
        <f>VLOOKUP(B18,'[2]Sheet1 (2)'!$B$2:$C$404,2,0)</f>
        <v>0</v>
      </c>
      <c r="AT18" s="24">
        <v>0</v>
      </c>
      <c r="AU18" s="24">
        <v>0</v>
      </c>
      <c r="AV18" s="24">
        <v>0</v>
      </c>
      <c r="AW18" s="20">
        <v>0</v>
      </c>
      <c r="AX18" s="20">
        <v>0</v>
      </c>
      <c r="AY18" s="83">
        <v>0</v>
      </c>
      <c r="AZ18" s="83">
        <v>0</v>
      </c>
      <c r="BA18" s="83">
        <v>-3045.22</v>
      </c>
      <c r="BB18" s="8">
        <f t="shared" si="9"/>
        <v>5125.9500000000007</v>
      </c>
      <c r="BC18" s="24">
        <v>0</v>
      </c>
      <c r="BD18" s="24">
        <v>-1327.38</v>
      </c>
      <c r="BE18" s="24">
        <v>-813.73</v>
      </c>
      <c r="BF18" s="24">
        <v>0</v>
      </c>
      <c r="BG18" s="24">
        <v>0</v>
      </c>
      <c r="BH18" s="24">
        <v>0</v>
      </c>
      <c r="BI18" s="24">
        <v>0</v>
      </c>
      <c r="BN18" s="83"/>
      <c r="BO18" s="8">
        <f t="shared" si="10"/>
        <v>-2141.11</v>
      </c>
    </row>
    <row r="19" spans="2:67" x14ac:dyDescent="0.2">
      <c r="B19" s="3" t="s">
        <v>247</v>
      </c>
      <c r="C19" s="23">
        <v>-27.12</v>
      </c>
      <c r="D19" s="24">
        <v>-7.59</v>
      </c>
      <c r="E19" s="24">
        <v>-65.33</v>
      </c>
      <c r="F19" s="24">
        <v>-11.75</v>
      </c>
      <c r="G19" s="24">
        <v>-26.78</v>
      </c>
      <c r="H19" s="24">
        <v>-32.69</v>
      </c>
      <c r="I19" s="24">
        <v>-44.99</v>
      </c>
      <c r="J19" s="24">
        <v>-28.09</v>
      </c>
      <c r="K19" s="24">
        <v>-53.36</v>
      </c>
      <c r="L19" s="24">
        <v>-91.36</v>
      </c>
      <c r="M19" s="24">
        <v>-64.11</v>
      </c>
      <c r="N19" s="24">
        <v>-114.99</v>
      </c>
      <c r="O19" s="24">
        <f>SUBTOTAL(9,C19:N19)</f>
        <v>-568.16</v>
      </c>
      <c r="P19" s="24">
        <v>-47.33</v>
      </c>
      <c r="Q19" s="24">
        <v>-32.64</v>
      </c>
      <c r="R19" s="24">
        <v>-75.89</v>
      </c>
      <c r="S19" s="24">
        <v>0</v>
      </c>
      <c r="T19" s="24">
        <v>-36.6</v>
      </c>
      <c r="U19" s="24">
        <v>-43.11</v>
      </c>
      <c r="V19" s="24">
        <v>-66.17</v>
      </c>
      <c r="W19" s="20">
        <v>-41.55</v>
      </c>
      <c r="X19" s="20">
        <v>0</v>
      </c>
      <c r="Y19" s="83">
        <v>-34.21</v>
      </c>
      <c r="Z19" s="83">
        <v>-38.56</v>
      </c>
      <c r="AA19" s="83">
        <v>-3.64</v>
      </c>
      <c r="AB19" s="8">
        <f t="shared" si="7"/>
        <v>-419.7</v>
      </c>
      <c r="AC19" s="24">
        <v>-3.64</v>
      </c>
      <c r="AD19" s="24">
        <v>-59.49</v>
      </c>
      <c r="AE19" s="24">
        <v>-4.79</v>
      </c>
      <c r="AF19" s="24">
        <v>-36.33</v>
      </c>
      <c r="AG19" s="24">
        <v>-28.55</v>
      </c>
      <c r="AH19" s="24">
        <v>-1.73</v>
      </c>
      <c r="AI19" s="24">
        <v>-4.8</v>
      </c>
      <c r="AJ19" s="20">
        <v>0</v>
      </c>
      <c r="AK19" s="20">
        <v>0</v>
      </c>
      <c r="AL19" s="83">
        <v>-6.26</v>
      </c>
      <c r="AM19" s="83">
        <v>-0.93</v>
      </c>
      <c r="AN19" s="83">
        <v>0</v>
      </c>
      <c r="AO19" s="8">
        <f t="shared" si="8"/>
        <v>-146.52000000000001</v>
      </c>
      <c r="AP19" s="24">
        <v>0</v>
      </c>
      <c r="AQ19" s="24">
        <v>-22.01</v>
      </c>
      <c r="AR19" s="24">
        <f>VLOOKUP(B19,'[1]Sheet1 (2)'!$B$2:$C$397,2,0)</f>
        <v>-56.63</v>
      </c>
      <c r="AS19" s="24">
        <f>VLOOKUP(B19,'[2]Sheet1 (2)'!$B$2:$C$404,2,0)</f>
        <v>-30.18</v>
      </c>
      <c r="AT19" s="24">
        <v>-20.350000000000001</v>
      </c>
      <c r="AU19" s="24">
        <v>-12.81</v>
      </c>
      <c r="AV19" s="24">
        <v>-59.29</v>
      </c>
      <c r="AW19" s="20">
        <v>0</v>
      </c>
      <c r="AX19" s="20">
        <v>-8.2899999999999991</v>
      </c>
      <c r="AY19" s="83">
        <v>-25.33</v>
      </c>
      <c r="AZ19" s="83">
        <v>-6.55</v>
      </c>
      <c r="BA19" s="83">
        <v>-39.35</v>
      </c>
      <c r="BB19" s="8">
        <f t="shared" si="9"/>
        <v>-280.79000000000002</v>
      </c>
      <c r="BC19" s="24">
        <v>-37.619999999999997</v>
      </c>
      <c r="BD19" s="24">
        <v>-65.099999999999994</v>
      </c>
      <c r="BE19" s="24">
        <v>-2.88</v>
      </c>
      <c r="BF19" s="24">
        <v>-11.08</v>
      </c>
      <c r="BG19" s="24">
        <v>-8.32</v>
      </c>
      <c r="BH19" s="24">
        <v>-6.56</v>
      </c>
      <c r="BI19" s="24">
        <v>-7.57</v>
      </c>
      <c r="BN19" s="83"/>
      <c r="BO19" s="8">
        <f t="shared" si="10"/>
        <v>-139.13</v>
      </c>
    </row>
    <row r="20" spans="2:67" x14ac:dyDescent="0.2">
      <c r="B20" s="3" t="s">
        <v>1912</v>
      </c>
      <c r="C20" s="23"/>
      <c r="AA20" s="83"/>
      <c r="AB20" s="8"/>
      <c r="AN20" s="83"/>
      <c r="AO20" s="8"/>
      <c r="BA20" s="83"/>
      <c r="BB20" s="8"/>
      <c r="BC20" s="24">
        <v>0</v>
      </c>
      <c r="BD20" s="24">
        <v>0</v>
      </c>
      <c r="BE20" s="24">
        <v>0.02</v>
      </c>
      <c r="BF20" s="24">
        <v>0</v>
      </c>
      <c r="BG20" s="24">
        <v>0.02</v>
      </c>
      <c r="BH20" s="24">
        <v>0</v>
      </c>
      <c r="BI20" s="24">
        <v>0</v>
      </c>
      <c r="BN20" s="83"/>
      <c r="BO20" s="8">
        <f t="shared" si="10"/>
        <v>0.04</v>
      </c>
    </row>
    <row r="21" spans="2:67" x14ac:dyDescent="0.2">
      <c r="B21" s="3" t="s">
        <v>949</v>
      </c>
      <c r="C21" s="23">
        <v>-133950.59</v>
      </c>
      <c r="D21" s="24">
        <v>0</v>
      </c>
      <c r="E21" s="24">
        <v>-16032.99</v>
      </c>
      <c r="F21" s="24">
        <v>0</v>
      </c>
      <c r="G21" s="24">
        <v>0</v>
      </c>
      <c r="H21" s="24">
        <v>-81729.259999999995</v>
      </c>
      <c r="I21" s="24">
        <v>0</v>
      </c>
      <c r="J21" s="24">
        <v>-60946.7</v>
      </c>
      <c r="K21" s="24">
        <v>-23529.41</v>
      </c>
      <c r="L21" s="24">
        <v>0</v>
      </c>
      <c r="M21" s="24">
        <v>0</v>
      </c>
      <c r="N21" s="24">
        <v>0</v>
      </c>
      <c r="O21" s="24">
        <f>SUBTOTAL(9,C21:N21)</f>
        <v>-316188.94999999995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-43333.33</v>
      </c>
      <c r="W21" s="20">
        <v>0</v>
      </c>
      <c r="X21" s="20">
        <v>-93567.84</v>
      </c>
      <c r="Y21" s="83">
        <v>-6354.77</v>
      </c>
      <c r="Z21" s="83">
        <v>0</v>
      </c>
      <c r="AA21" s="83">
        <v>0</v>
      </c>
      <c r="AB21" s="8">
        <f t="shared" si="7"/>
        <v>-143255.93999999997</v>
      </c>
      <c r="AC21" s="24">
        <v>-40134.31</v>
      </c>
      <c r="AD21" s="24">
        <v>0</v>
      </c>
      <c r="AE21" s="24">
        <v>-39126.74</v>
      </c>
      <c r="AF21" s="24">
        <v>0</v>
      </c>
      <c r="AG21" s="24">
        <v>0</v>
      </c>
      <c r="AH21" s="24">
        <v>0</v>
      </c>
      <c r="AI21" s="24">
        <v>0</v>
      </c>
      <c r="AJ21" s="20">
        <v>0</v>
      </c>
      <c r="AK21" s="20">
        <v>0</v>
      </c>
      <c r="AL21" s="83">
        <v>0</v>
      </c>
      <c r="AM21" s="83">
        <v>0</v>
      </c>
      <c r="AN21" s="83">
        <v>0</v>
      </c>
      <c r="AO21" s="8">
        <f t="shared" si="8"/>
        <v>-79261.049999999988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0">
        <v>0</v>
      </c>
      <c r="AX21" s="20">
        <v>0</v>
      </c>
      <c r="AY21" s="83">
        <v>0</v>
      </c>
      <c r="AZ21" s="83">
        <v>0</v>
      </c>
      <c r="BA21" s="83">
        <v>0</v>
      </c>
      <c r="BB21" s="8">
        <f t="shared" si="9"/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N21" s="83"/>
      <c r="BO21" s="8">
        <f t="shared" si="10"/>
        <v>0</v>
      </c>
    </row>
    <row r="22" spans="2:67" x14ac:dyDescent="0.2">
      <c r="B22" s="3" t="s">
        <v>1837</v>
      </c>
      <c r="C22" s="23"/>
      <c r="AA22" s="83"/>
      <c r="AB22" s="8"/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83">
        <v>-287.43</v>
      </c>
      <c r="AO22" s="8">
        <f t="shared" si="8"/>
        <v>-287.43</v>
      </c>
      <c r="AP22" s="24">
        <v>0</v>
      </c>
      <c r="AQ22" s="24">
        <v>-197.62</v>
      </c>
      <c r="AR22" s="24">
        <f>VLOOKUP(B22,'[1]Sheet1 (2)'!$B$2:$C$397,2,0)</f>
        <v>0</v>
      </c>
      <c r="AS22" s="24">
        <f>VLOOKUP(B22,'[2]Sheet1 (2)'!$B$2:$C$404,2,0)</f>
        <v>-190.12</v>
      </c>
      <c r="AT22" s="24">
        <v>0</v>
      </c>
      <c r="AU22" s="24">
        <v>-1580.47</v>
      </c>
      <c r="AV22" s="24">
        <v>-1652.29</v>
      </c>
      <c r="AW22" s="20">
        <v>-8573.9699999999993</v>
      </c>
      <c r="AX22" s="20">
        <v>-1018.13</v>
      </c>
      <c r="AY22" s="83">
        <v>0</v>
      </c>
      <c r="AZ22" s="83">
        <v>0</v>
      </c>
      <c r="BA22" s="83">
        <v>-4152.28</v>
      </c>
      <c r="BB22" s="8">
        <f t="shared" si="9"/>
        <v>-17364.879999999997</v>
      </c>
      <c r="BC22" s="24">
        <v>-202.57</v>
      </c>
      <c r="BD22" s="24">
        <v>-4502.57</v>
      </c>
      <c r="BE22" s="24">
        <v>0</v>
      </c>
      <c r="BF22" s="24">
        <v>0</v>
      </c>
      <c r="BG22" s="24">
        <v>0</v>
      </c>
      <c r="BH22" s="24">
        <v>-190.87</v>
      </c>
      <c r="BI22" s="24">
        <v>0</v>
      </c>
      <c r="BN22" s="83"/>
      <c r="BO22" s="8">
        <f t="shared" si="10"/>
        <v>-4896.0099999999993</v>
      </c>
    </row>
    <row r="23" spans="2:67" x14ac:dyDescent="0.2">
      <c r="B23" s="3" t="s">
        <v>1888</v>
      </c>
      <c r="C23" s="23"/>
      <c r="AA23" s="83"/>
      <c r="AB23" s="8"/>
      <c r="AJ23" s="24"/>
      <c r="AK23" s="24"/>
      <c r="AL23" s="24"/>
      <c r="AM23" s="24"/>
      <c r="AN23" s="83"/>
      <c r="AO23" s="8"/>
      <c r="AP23" s="24">
        <v>0</v>
      </c>
      <c r="AQ23" s="24">
        <v>0</v>
      </c>
      <c r="AR23" s="24">
        <v>0</v>
      </c>
      <c r="AS23" s="24">
        <v>0</v>
      </c>
      <c r="AT23" s="24">
        <v>0</v>
      </c>
      <c r="AU23" s="24">
        <v>0</v>
      </c>
      <c r="AV23" s="24">
        <v>0</v>
      </c>
      <c r="AW23" s="24">
        <v>0</v>
      </c>
      <c r="AX23" s="24">
        <v>0</v>
      </c>
      <c r="AY23" s="83">
        <v>-1701.72</v>
      </c>
      <c r="AZ23" s="83">
        <v>0</v>
      </c>
      <c r="BA23" s="83">
        <v>0</v>
      </c>
      <c r="BB23" s="8">
        <f t="shared" si="9"/>
        <v>-1701.72</v>
      </c>
      <c r="BC23" s="24">
        <v>0</v>
      </c>
      <c r="BD23" s="24">
        <v>0</v>
      </c>
      <c r="BE23" s="24">
        <v>0</v>
      </c>
      <c r="BF23" s="24">
        <v>0</v>
      </c>
      <c r="BG23" s="24">
        <v>0</v>
      </c>
      <c r="BH23" s="24">
        <v>0</v>
      </c>
      <c r="BI23" s="24">
        <v>0</v>
      </c>
      <c r="BJ23" s="24"/>
      <c r="BK23" s="24"/>
      <c r="BN23" s="83"/>
      <c r="BO23" s="8">
        <f t="shared" si="10"/>
        <v>0</v>
      </c>
    </row>
    <row r="24" spans="2:67" x14ac:dyDescent="0.2">
      <c r="B24" s="3" t="s">
        <v>248</v>
      </c>
      <c r="C24" s="23">
        <v>0</v>
      </c>
      <c r="D24" s="24">
        <v>-146463.94</v>
      </c>
      <c r="E24" s="24">
        <v>-132542.74</v>
      </c>
      <c r="F24" s="24">
        <v>0</v>
      </c>
      <c r="G24" s="24">
        <v>-28126.87</v>
      </c>
      <c r="H24" s="24">
        <v>-69398.399999999994</v>
      </c>
      <c r="I24" s="24">
        <v>-954.34</v>
      </c>
      <c r="J24" s="24">
        <v>-76275.5</v>
      </c>
      <c r="K24" s="24">
        <v>-44571.94</v>
      </c>
      <c r="L24" s="24">
        <v>0</v>
      </c>
      <c r="M24" s="24">
        <v>0</v>
      </c>
      <c r="N24" s="24">
        <v>-127667.63</v>
      </c>
      <c r="O24" s="24">
        <f>SUBTOTAL(9,C24:N24)</f>
        <v>-626001.36</v>
      </c>
      <c r="P24" s="24">
        <v>-78516.34</v>
      </c>
      <c r="Q24" s="24">
        <v>-30570.01</v>
      </c>
      <c r="R24" s="24">
        <v>-114206.9</v>
      </c>
      <c r="S24" s="24">
        <v>0</v>
      </c>
      <c r="T24" s="24">
        <v>-43713.19</v>
      </c>
      <c r="U24" s="24">
        <v>-117856.39</v>
      </c>
      <c r="V24" s="24">
        <v>-259288.66</v>
      </c>
      <c r="W24" s="20">
        <v>-244737.6</v>
      </c>
      <c r="X24" s="20">
        <v>-110060.45</v>
      </c>
      <c r="Y24" s="83">
        <v>-31584.62</v>
      </c>
      <c r="Z24" s="83">
        <v>0</v>
      </c>
      <c r="AA24" s="83">
        <v>0</v>
      </c>
      <c r="AB24" s="8">
        <f>SUM(P24:AA24)</f>
        <v>-1030534.1599999999</v>
      </c>
      <c r="AC24" s="24">
        <v>0</v>
      </c>
      <c r="AD24" s="24">
        <v>-1554.55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0">
        <v>0</v>
      </c>
      <c r="AK24" s="20">
        <v>0</v>
      </c>
      <c r="AL24" s="83">
        <v>0</v>
      </c>
      <c r="AM24" s="83">
        <v>0</v>
      </c>
      <c r="AN24" s="83">
        <v>0</v>
      </c>
      <c r="AO24" s="8">
        <f t="shared" si="8"/>
        <v>-1554.55</v>
      </c>
      <c r="AP24" s="24">
        <v>0</v>
      </c>
      <c r="AQ24" s="24">
        <v>0</v>
      </c>
      <c r="AR24" s="24">
        <v>0</v>
      </c>
      <c r="AS24" s="24">
        <v>0</v>
      </c>
      <c r="AT24" s="24">
        <v>0</v>
      </c>
      <c r="AU24" s="24">
        <v>0</v>
      </c>
      <c r="AV24" s="24">
        <v>0</v>
      </c>
      <c r="AW24" s="20">
        <v>-120541.99</v>
      </c>
      <c r="AX24" s="20">
        <v>0</v>
      </c>
      <c r="AY24" s="83">
        <v>-127715.57</v>
      </c>
      <c r="AZ24" s="83">
        <v>-40296.129999999997</v>
      </c>
      <c r="BA24" s="83">
        <v>-49714.79</v>
      </c>
      <c r="BB24" s="8">
        <f t="shared" si="9"/>
        <v>-338268.48</v>
      </c>
      <c r="BC24" s="24">
        <v>-38723.75</v>
      </c>
      <c r="BD24" s="24">
        <v>-328281.15999999997</v>
      </c>
      <c r="BE24" s="24">
        <v>-117641.99</v>
      </c>
      <c r="BF24" s="24">
        <v>0</v>
      </c>
      <c r="BG24" s="24">
        <v>0</v>
      </c>
      <c r="BH24" s="24">
        <v>-107312.64</v>
      </c>
      <c r="BI24" s="24">
        <v>-84405.15</v>
      </c>
      <c r="BN24" s="83"/>
      <c r="BO24" s="8">
        <f t="shared" si="10"/>
        <v>-676364.69</v>
      </c>
    </row>
    <row r="25" spans="2:67" x14ac:dyDescent="0.2">
      <c r="B25" s="3" t="s">
        <v>249</v>
      </c>
      <c r="C25" s="23"/>
      <c r="E25" s="24">
        <v>-146097.82999999999</v>
      </c>
      <c r="F25" s="24">
        <v>0</v>
      </c>
      <c r="G25" s="24">
        <v>-78051.360000000001</v>
      </c>
      <c r="H25" s="24">
        <v>-225704.97</v>
      </c>
      <c r="I25" s="24">
        <v>-5014.74</v>
      </c>
      <c r="J25" s="24">
        <v>-274453.03999999998</v>
      </c>
      <c r="K25" s="24">
        <v>-187389.62</v>
      </c>
      <c r="L25" s="24">
        <v>0</v>
      </c>
      <c r="M25" s="24">
        <v>0</v>
      </c>
      <c r="N25" s="24">
        <v>-139899.91</v>
      </c>
      <c r="O25" s="24">
        <f>SUBTOTAL(9,C25:N25)</f>
        <v>-1056611.47</v>
      </c>
      <c r="P25" s="24">
        <v>-296751.67</v>
      </c>
      <c r="Q25" s="24">
        <v>-87722.95</v>
      </c>
      <c r="R25" s="24">
        <v>-79761.929999999993</v>
      </c>
      <c r="S25" s="24">
        <v>0</v>
      </c>
      <c r="T25" s="24">
        <v>-137011.10999999999</v>
      </c>
      <c r="U25" s="24">
        <v>-459214.92</v>
      </c>
      <c r="V25" s="24">
        <v>-285787.03999999998</v>
      </c>
      <c r="W25" s="20">
        <v>-194987.98</v>
      </c>
      <c r="X25" s="20">
        <v>-171197.51</v>
      </c>
      <c r="Y25" s="83">
        <v>-91000.639999999999</v>
      </c>
      <c r="Z25" s="83">
        <v>0</v>
      </c>
      <c r="AA25" s="83">
        <v>0</v>
      </c>
      <c r="AB25" s="8">
        <f>SUM(P25:AA25)</f>
        <v>-1803435.7499999998</v>
      </c>
      <c r="AC25" s="24">
        <v>0</v>
      </c>
      <c r="AD25" s="24">
        <v>-4480.6099999999997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0">
        <v>0</v>
      </c>
      <c r="AK25" s="20">
        <v>0</v>
      </c>
      <c r="AL25" s="83">
        <v>0</v>
      </c>
      <c r="AM25" s="83">
        <v>0</v>
      </c>
      <c r="AN25" s="83">
        <v>0</v>
      </c>
      <c r="AO25" s="8">
        <f t="shared" si="8"/>
        <v>-4480.6099999999997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0">
        <v>-77387.89</v>
      </c>
      <c r="AX25" s="20">
        <v>0</v>
      </c>
      <c r="AY25" s="83">
        <v>-115550.41</v>
      </c>
      <c r="AZ25" s="83">
        <v>-93804.87</v>
      </c>
      <c r="BA25" s="83">
        <v>-128383.74</v>
      </c>
      <c r="BB25" s="8">
        <f t="shared" si="9"/>
        <v>-415126.91</v>
      </c>
      <c r="BC25" s="24">
        <v>-160539.47</v>
      </c>
      <c r="BD25" s="24">
        <v>-536484.91</v>
      </c>
      <c r="BE25" s="24">
        <v>-75526.100000000006</v>
      </c>
      <c r="BF25" s="24">
        <v>0</v>
      </c>
      <c r="BG25" s="24">
        <v>0</v>
      </c>
      <c r="BH25" s="24">
        <v>-25564.29</v>
      </c>
      <c r="BI25" s="24">
        <v>-108647.07</v>
      </c>
      <c r="BN25" s="83"/>
      <c r="BO25" s="8">
        <f t="shared" si="10"/>
        <v>-906761.84000000008</v>
      </c>
    </row>
    <row r="26" spans="2:67" x14ac:dyDescent="0.2">
      <c r="B26" s="3" t="s">
        <v>250</v>
      </c>
      <c r="C26" s="23">
        <v>-1606.18</v>
      </c>
      <c r="D26" s="24">
        <v>33.869999999999997</v>
      </c>
      <c r="E26" s="24">
        <v>-559.24</v>
      </c>
      <c r="F26" s="24">
        <v>0</v>
      </c>
      <c r="G26" s="24">
        <v>-7534.06</v>
      </c>
      <c r="H26" s="24">
        <v>-5017.58</v>
      </c>
      <c r="I26" s="24">
        <v>-8809.0400000000009</v>
      </c>
      <c r="J26" s="24">
        <v>-1976.3</v>
      </c>
      <c r="K26" s="24">
        <v>-25501.38</v>
      </c>
      <c r="L26" s="24">
        <v>-1979.22</v>
      </c>
      <c r="M26" s="24">
        <v>-13400.78</v>
      </c>
      <c r="N26" s="24">
        <v>-5059.83</v>
      </c>
      <c r="O26" s="24">
        <f>SUBTOTAL(9,C26:N26)</f>
        <v>-71409.740000000005</v>
      </c>
      <c r="P26" s="24">
        <v>-2512.2600000000002</v>
      </c>
      <c r="Q26" s="24">
        <v>-4124.26</v>
      </c>
      <c r="R26" s="24">
        <v>-2637.59</v>
      </c>
      <c r="S26" s="24">
        <v>-2490.86</v>
      </c>
      <c r="T26" s="24">
        <v>-5382.71</v>
      </c>
      <c r="U26" s="24">
        <v>-13070.08</v>
      </c>
      <c r="V26" s="24">
        <v>-9445.06</v>
      </c>
      <c r="W26" s="20">
        <v>-1580.52</v>
      </c>
      <c r="X26" s="20">
        <v>-1155.56</v>
      </c>
      <c r="Y26" s="83">
        <v>-2695.67</v>
      </c>
      <c r="Z26" s="83">
        <v>-11384.86</v>
      </c>
      <c r="AA26" s="83">
        <v>-3499.61</v>
      </c>
      <c r="AB26" s="8">
        <f>SUM(P26:AA26)</f>
        <v>-59979.039999999994</v>
      </c>
      <c r="AC26" s="24">
        <v>-1057.1500000000001</v>
      </c>
      <c r="AD26" s="24">
        <v>-2963.04</v>
      </c>
      <c r="AE26" s="24">
        <v>-2809.91</v>
      </c>
      <c r="AF26" s="24">
        <v>0</v>
      </c>
      <c r="AG26" s="24">
        <v>0</v>
      </c>
      <c r="AH26" s="24">
        <v>0</v>
      </c>
      <c r="AI26" s="24">
        <v>-3119.73</v>
      </c>
      <c r="AJ26" s="20">
        <v>-4515.1000000000004</v>
      </c>
      <c r="AK26" s="20">
        <v>0</v>
      </c>
      <c r="AL26" s="83">
        <v>-3231.44</v>
      </c>
      <c r="AM26" s="83">
        <v>0</v>
      </c>
      <c r="AN26" s="83">
        <v>-1689.1</v>
      </c>
      <c r="AO26" s="8">
        <f t="shared" si="8"/>
        <v>-19385.469999999998</v>
      </c>
      <c r="AP26" s="24">
        <v>0</v>
      </c>
      <c r="AQ26" s="24">
        <v>0</v>
      </c>
      <c r="AR26" s="24">
        <v>0</v>
      </c>
      <c r="AS26" s="24">
        <v>0</v>
      </c>
      <c r="AT26" s="24">
        <v>0</v>
      </c>
      <c r="AU26" s="24">
        <v>0</v>
      </c>
      <c r="AV26" s="24">
        <v>-22565.33</v>
      </c>
      <c r="AW26" s="20">
        <v>-1144.96</v>
      </c>
      <c r="AX26" s="20">
        <v>-3230.02</v>
      </c>
      <c r="AY26" s="83">
        <v>-1790.38</v>
      </c>
      <c r="AZ26" s="83">
        <v>-524.94000000000005</v>
      </c>
      <c r="BA26" s="83">
        <v>-1905.65</v>
      </c>
      <c r="BB26" s="8">
        <f t="shared" si="9"/>
        <v>-31161.280000000002</v>
      </c>
      <c r="BC26" s="24">
        <v>-3363.51</v>
      </c>
      <c r="BD26" s="24">
        <v>-3328.96</v>
      </c>
      <c r="BE26" s="24">
        <v>-911.29</v>
      </c>
      <c r="BF26" s="24">
        <v>-3877.9</v>
      </c>
      <c r="BG26" s="24">
        <v>0</v>
      </c>
      <c r="BH26" s="24">
        <v>-0.49</v>
      </c>
      <c r="BI26" s="24">
        <v>0</v>
      </c>
      <c r="BN26" s="83"/>
      <c r="BO26" s="8">
        <f t="shared" si="10"/>
        <v>-11482.15</v>
      </c>
    </row>
    <row r="27" spans="2:67" x14ac:dyDescent="0.2">
      <c r="B27" s="3" t="s">
        <v>251</v>
      </c>
      <c r="C27" s="23">
        <v>12361.59</v>
      </c>
      <c r="D27" s="24">
        <v>7910.82</v>
      </c>
      <c r="E27" s="24">
        <v>14657.85</v>
      </c>
      <c r="F27" s="24">
        <v>12518.9</v>
      </c>
      <c r="G27" s="24">
        <v>19923.82</v>
      </c>
      <c r="H27" s="24">
        <v>14121.07</v>
      </c>
      <c r="I27" s="24">
        <v>13118.59</v>
      </c>
      <c r="J27" s="24">
        <v>16632.259999999998</v>
      </c>
      <c r="K27" s="24">
        <v>23059.51</v>
      </c>
      <c r="L27" s="24">
        <v>23028.07</v>
      </c>
      <c r="M27" s="24">
        <v>28250.49</v>
      </c>
      <c r="N27" s="24">
        <v>21187.63</v>
      </c>
      <c r="O27" s="24">
        <f>SUBTOTAL(9,C27:N27)</f>
        <v>206770.6</v>
      </c>
      <c r="P27" s="24">
        <v>15005.41</v>
      </c>
      <c r="Q27" s="24">
        <v>22721.86</v>
      </c>
      <c r="R27" s="24">
        <v>13784.98</v>
      </c>
      <c r="S27" s="24">
        <v>29478</v>
      </c>
      <c r="T27" s="24">
        <v>32816.67</v>
      </c>
      <c r="U27" s="24">
        <v>54645.62</v>
      </c>
      <c r="V27" s="24">
        <v>45858.54</v>
      </c>
      <c r="W27" s="20">
        <v>15563.63</v>
      </c>
      <c r="X27" s="20">
        <v>5529.32</v>
      </c>
      <c r="Y27" s="83">
        <v>15321.41</v>
      </c>
      <c r="Z27" s="83">
        <v>10925.44</v>
      </c>
      <c r="AA27" s="83">
        <v>10197.14</v>
      </c>
      <c r="AB27" s="8">
        <f>SUM(P27:AA27)</f>
        <v>271848.02</v>
      </c>
      <c r="AC27" s="24">
        <v>15071.25</v>
      </c>
      <c r="AD27" s="24">
        <v>13600.84</v>
      </c>
      <c r="AE27" s="24">
        <v>5104.28</v>
      </c>
      <c r="AF27" s="24">
        <v>8076.63</v>
      </c>
      <c r="AG27" s="24">
        <v>10457.459999999999</v>
      </c>
      <c r="AH27" s="24">
        <v>8971.3799999999992</v>
      </c>
      <c r="AI27" s="24">
        <v>5817.46</v>
      </c>
      <c r="AJ27" s="20">
        <v>11901.63</v>
      </c>
      <c r="AK27" s="20">
        <v>7057.07</v>
      </c>
      <c r="AL27" s="83">
        <v>6233.64</v>
      </c>
      <c r="AM27" s="83">
        <v>4866.37</v>
      </c>
      <c r="AN27" s="83">
        <v>8138.19</v>
      </c>
      <c r="AO27" s="8">
        <f t="shared" si="8"/>
        <v>105296.2</v>
      </c>
      <c r="AP27" s="24">
        <v>9021.43</v>
      </c>
      <c r="AQ27" s="24">
        <v>11122.69</v>
      </c>
      <c r="AR27" s="24">
        <f>VLOOKUP(B27,'[1]Sheet1 (2)'!$B$2:$C$397,2,0)</f>
        <v>5074.75</v>
      </c>
      <c r="AS27" s="24">
        <f>VLOOKUP(B27,'[2]Sheet1 (2)'!$B$2:$C$404,2,0)</f>
        <v>4441.29</v>
      </c>
      <c r="AT27" s="24">
        <v>9235.4</v>
      </c>
      <c r="AU27" s="24">
        <v>7939.36</v>
      </c>
      <c r="AV27" s="24">
        <v>981.06</v>
      </c>
      <c r="AW27" s="20">
        <v>1405.87</v>
      </c>
      <c r="AX27" s="20">
        <v>5999.24</v>
      </c>
      <c r="AY27" s="83">
        <v>6912.83</v>
      </c>
      <c r="AZ27" s="83">
        <v>13230.5</v>
      </c>
      <c r="BA27" s="83">
        <v>0</v>
      </c>
      <c r="BB27" s="8">
        <f t="shared" si="9"/>
        <v>75364.420000000013</v>
      </c>
      <c r="BC27" s="24">
        <v>0</v>
      </c>
      <c r="BD27" s="24">
        <v>0</v>
      </c>
      <c r="BE27" s="24">
        <v>0</v>
      </c>
      <c r="BF27" s="24">
        <v>0</v>
      </c>
      <c r="BG27" s="24">
        <v>0</v>
      </c>
      <c r="BH27" s="24">
        <v>0</v>
      </c>
      <c r="BI27" s="24">
        <v>0</v>
      </c>
      <c r="BN27" s="83"/>
      <c r="BO27" s="8">
        <f t="shared" si="10"/>
        <v>0</v>
      </c>
    </row>
    <row r="28" spans="2:67" x14ac:dyDescent="0.2">
      <c r="B28" s="3" t="s">
        <v>1892</v>
      </c>
      <c r="C28" s="23"/>
      <c r="AA28" s="83"/>
      <c r="AB28" s="8"/>
      <c r="AN28" s="83"/>
      <c r="AO28" s="8"/>
      <c r="AP28" s="24">
        <v>0</v>
      </c>
      <c r="AQ28" s="24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0</v>
      </c>
      <c r="AY28" s="24">
        <v>0</v>
      </c>
      <c r="AZ28" s="24">
        <v>0</v>
      </c>
      <c r="BA28" s="83">
        <v>3138.87</v>
      </c>
      <c r="BB28" s="8">
        <f t="shared" si="9"/>
        <v>3138.87</v>
      </c>
      <c r="BC28" s="24">
        <v>2783.65</v>
      </c>
      <c r="BD28" s="24">
        <v>7904.59</v>
      </c>
      <c r="BE28" s="24">
        <v>2659.14</v>
      </c>
      <c r="BF28" s="24">
        <v>2498.6799999999998</v>
      </c>
      <c r="BG28" s="24">
        <v>1246.69</v>
      </c>
      <c r="BH28" s="24">
        <v>5493.79</v>
      </c>
      <c r="BI28" s="24">
        <v>4707.63</v>
      </c>
      <c r="BJ28" s="24"/>
      <c r="BK28" s="24"/>
      <c r="BL28" s="24"/>
      <c r="BM28" s="24"/>
      <c r="BN28" s="83"/>
      <c r="BO28" s="8">
        <f t="shared" si="10"/>
        <v>27294.170000000002</v>
      </c>
    </row>
    <row r="29" spans="2:67" x14ac:dyDescent="0.2">
      <c r="B29" s="3" t="s">
        <v>2040</v>
      </c>
      <c r="C29" s="23"/>
      <c r="AA29" s="83"/>
      <c r="AB29" s="8"/>
      <c r="AN29" s="83"/>
      <c r="AO29" s="8"/>
      <c r="AW29" s="24"/>
      <c r="AX29" s="24"/>
      <c r="AY29" s="24"/>
      <c r="AZ29" s="24"/>
      <c r="BA29" s="83"/>
      <c r="BB29" s="8"/>
      <c r="BC29" s="24">
        <v>0</v>
      </c>
      <c r="BD29" s="24">
        <v>0</v>
      </c>
      <c r="BE29" s="24">
        <v>0</v>
      </c>
      <c r="BF29" s="24">
        <v>0</v>
      </c>
      <c r="BG29" s="24">
        <v>0</v>
      </c>
      <c r="BH29" s="24">
        <v>1189.8399999999999</v>
      </c>
      <c r="BI29" s="24">
        <v>10048.030000000001</v>
      </c>
      <c r="BJ29" s="24"/>
      <c r="BK29" s="24"/>
      <c r="BL29" s="24"/>
      <c r="BM29" s="24"/>
      <c r="BN29" s="83"/>
      <c r="BO29" s="8">
        <f t="shared" si="10"/>
        <v>11237.87</v>
      </c>
    </row>
    <row r="30" spans="2:67" x14ac:dyDescent="0.2">
      <c r="B30" s="3" t="s">
        <v>2041</v>
      </c>
      <c r="C30" s="23"/>
      <c r="AA30" s="83"/>
      <c r="AB30" s="8"/>
      <c r="AN30" s="83"/>
      <c r="AO30" s="8"/>
      <c r="AW30" s="24"/>
      <c r="AX30" s="24"/>
      <c r="AY30" s="24"/>
      <c r="AZ30" s="24"/>
      <c r="BA30" s="83"/>
      <c r="BB30" s="8"/>
      <c r="BC30" s="24">
        <v>0</v>
      </c>
      <c r="BD30" s="24">
        <v>0</v>
      </c>
      <c r="BE30" s="24">
        <v>0</v>
      </c>
      <c r="BF30" s="24">
        <v>0</v>
      </c>
      <c r="BG30" s="24">
        <v>0</v>
      </c>
      <c r="BH30" s="24">
        <v>-916.48</v>
      </c>
      <c r="BI30" s="24">
        <v>-5122.87</v>
      </c>
      <c r="BJ30" s="24"/>
      <c r="BK30" s="24"/>
      <c r="BL30" s="24"/>
      <c r="BM30" s="24"/>
      <c r="BN30" s="83"/>
      <c r="BO30" s="8">
        <f t="shared" si="10"/>
        <v>-6039.35</v>
      </c>
    </row>
    <row r="31" spans="2:67" x14ac:dyDescent="0.2">
      <c r="B31" s="3" t="s">
        <v>252</v>
      </c>
      <c r="C31" s="23">
        <v>0</v>
      </c>
      <c r="D31" s="24">
        <v>-9916.3799999999992</v>
      </c>
      <c r="E31" s="24">
        <v>-6223.35</v>
      </c>
      <c r="F31" s="24">
        <v>0</v>
      </c>
      <c r="G31" s="24">
        <v>-2283.41</v>
      </c>
      <c r="H31" s="24">
        <v>-6346.31</v>
      </c>
      <c r="I31" s="24">
        <v>-128.37</v>
      </c>
      <c r="J31" s="24">
        <v>-7542.56</v>
      </c>
      <c r="K31" s="24">
        <v>-4988.42</v>
      </c>
      <c r="L31" s="24">
        <v>0</v>
      </c>
      <c r="M31" s="24">
        <v>0</v>
      </c>
      <c r="N31" s="24">
        <v>-5754.14</v>
      </c>
      <c r="O31" s="24">
        <f>SUBTOTAL(9,C31:N31)</f>
        <v>-43182.94</v>
      </c>
      <c r="P31" s="24">
        <v>-8070.29</v>
      </c>
      <c r="Q31" s="24">
        <v>-2543.94</v>
      </c>
      <c r="R31" s="24">
        <v>-4171.37</v>
      </c>
      <c r="S31" s="24">
        <v>0</v>
      </c>
      <c r="T31" s="24">
        <v>-3886.54</v>
      </c>
      <c r="U31" s="24">
        <v>-10293.56</v>
      </c>
      <c r="V31" s="24">
        <v>-11608.78</v>
      </c>
      <c r="W31" s="20">
        <v>-9654.85</v>
      </c>
      <c r="X31" s="20">
        <v>-5989.53</v>
      </c>
      <c r="Y31" s="83">
        <v>-2446.92</v>
      </c>
      <c r="Z31" s="83">
        <v>0</v>
      </c>
      <c r="AA31" s="83">
        <v>0</v>
      </c>
      <c r="AB31" s="8">
        <f>SUM(P31:AA31)</f>
        <v>-58665.779999999992</v>
      </c>
      <c r="AC31" s="24">
        <v>0</v>
      </c>
      <c r="AD31" s="24">
        <v>-129.79</v>
      </c>
      <c r="AE31" s="24">
        <v>0</v>
      </c>
      <c r="AF31" s="24">
        <v>0</v>
      </c>
      <c r="AG31" s="24">
        <v>0</v>
      </c>
      <c r="AH31" s="24">
        <v>0</v>
      </c>
      <c r="AI31" s="24">
        <v>0</v>
      </c>
      <c r="AJ31" s="20">
        <v>0</v>
      </c>
      <c r="AK31" s="20">
        <v>0</v>
      </c>
      <c r="AL31" s="83">
        <v>0</v>
      </c>
      <c r="AM31" s="83">
        <v>0</v>
      </c>
      <c r="AN31" s="83">
        <v>0</v>
      </c>
      <c r="AO31" s="8">
        <f t="shared" si="8"/>
        <v>-129.79</v>
      </c>
      <c r="AP31" s="24">
        <v>0</v>
      </c>
      <c r="AQ31" s="24">
        <v>0</v>
      </c>
      <c r="AR31" s="24">
        <v>0</v>
      </c>
      <c r="AS31" s="24">
        <v>0</v>
      </c>
      <c r="AT31" s="24">
        <v>0</v>
      </c>
      <c r="AU31" s="24">
        <v>0</v>
      </c>
      <c r="AV31" s="24">
        <v>0</v>
      </c>
      <c r="AW31" s="20">
        <v>-4256.5600000000004</v>
      </c>
      <c r="AX31" s="20">
        <v>0</v>
      </c>
      <c r="AY31" s="83">
        <v>-5231.53</v>
      </c>
      <c r="AZ31" s="83">
        <v>-2883.89</v>
      </c>
      <c r="BA31" s="83">
        <v>-3830.08</v>
      </c>
      <c r="BB31" s="8">
        <f t="shared" si="9"/>
        <v>-16202.06</v>
      </c>
      <c r="BC31" s="24">
        <v>-4285.22</v>
      </c>
      <c r="BD31" s="24">
        <v>-18597.12</v>
      </c>
      <c r="BE31" s="24">
        <v>-4154.1499999999996</v>
      </c>
      <c r="BF31" s="24">
        <v>0</v>
      </c>
      <c r="BG31" s="24">
        <v>0</v>
      </c>
      <c r="BH31" s="24">
        <v>-2857.57</v>
      </c>
      <c r="BI31" s="24">
        <v>-4019.3</v>
      </c>
      <c r="BN31" s="83"/>
      <c r="BO31" s="8">
        <f t="shared" si="10"/>
        <v>-33913.360000000001</v>
      </c>
    </row>
    <row r="32" spans="2:67" x14ac:dyDescent="0.2">
      <c r="B32" s="3" t="s">
        <v>1827</v>
      </c>
      <c r="C32" s="23"/>
      <c r="AA32" s="83"/>
      <c r="AB32" s="8"/>
      <c r="AC32" s="24">
        <v>0</v>
      </c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-284.79000000000002</v>
      </c>
      <c r="AJ32" s="20">
        <v>0</v>
      </c>
      <c r="AK32" s="20">
        <v>0</v>
      </c>
      <c r="AL32" s="83">
        <v>0</v>
      </c>
      <c r="AM32" s="83">
        <v>0</v>
      </c>
      <c r="AN32" s="83">
        <v>-847.45</v>
      </c>
      <c r="AO32" s="8">
        <f t="shared" si="8"/>
        <v>-1132.24</v>
      </c>
      <c r="AP32" s="24">
        <v>0</v>
      </c>
      <c r="AQ32" s="24">
        <v>-1496.38</v>
      </c>
      <c r="AR32" s="24">
        <f>VLOOKUP(B32,'[1]Sheet1 (2)'!$B$2:$C$397,2,0)</f>
        <v>0</v>
      </c>
      <c r="AS32" s="24">
        <f>VLOOKUP(B32,'[2]Sheet1 (2)'!$B$2:$C$404,2,0)</f>
        <v>0</v>
      </c>
      <c r="AT32" s="24">
        <v>0</v>
      </c>
      <c r="AU32" s="24">
        <v>0</v>
      </c>
      <c r="AV32" s="24">
        <v>0</v>
      </c>
      <c r="AW32" s="20">
        <v>0</v>
      </c>
      <c r="AX32" s="20">
        <v>0</v>
      </c>
      <c r="AY32" s="83">
        <v>0</v>
      </c>
      <c r="AZ32" s="83">
        <v>0</v>
      </c>
      <c r="BA32" s="83">
        <v>0</v>
      </c>
      <c r="BB32" s="8">
        <f t="shared" si="9"/>
        <v>-1496.38</v>
      </c>
      <c r="BC32" s="24">
        <v>0</v>
      </c>
      <c r="BD32" s="24">
        <v>0</v>
      </c>
      <c r="BE32" s="24">
        <v>0</v>
      </c>
      <c r="BF32" s="24">
        <v>0</v>
      </c>
      <c r="BG32" s="24">
        <v>-810.35</v>
      </c>
      <c r="BH32" s="24">
        <v>0</v>
      </c>
      <c r="BI32" s="24">
        <v>0</v>
      </c>
      <c r="BN32" s="83"/>
      <c r="BO32" s="8">
        <f t="shared" si="10"/>
        <v>-810.35</v>
      </c>
    </row>
    <row r="33" spans="2:67" x14ac:dyDescent="0.2">
      <c r="B33" s="3" t="s">
        <v>1835</v>
      </c>
      <c r="AC33" s="24">
        <v>0</v>
      </c>
      <c r="AD33" s="24">
        <v>0</v>
      </c>
      <c r="AE33" s="24">
        <v>0</v>
      </c>
      <c r="AF33" s="24">
        <v>0</v>
      </c>
      <c r="AG33" s="24">
        <v>0</v>
      </c>
      <c r="AH33" s="24">
        <v>0</v>
      </c>
      <c r="AI33" s="24">
        <v>0</v>
      </c>
      <c r="AJ33" s="24">
        <v>0</v>
      </c>
      <c r="AK33" s="20">
        <v>35.65</v>
      </c>
      <c r="AL33" s="83">
        <v>53.56</v>
      </c>
      <c r="AM33" s="83">
        <v>13.19</v>
      </c>
      <c r="AN33" s="83">
        <v>23.02</v>
      </c>
      <c r="AO33" s="8">
        <f t="shared" si="8"/>
        <v>125.42</v>
      </c>
      <c r="AP33" s="24">
        <v>18.79</v>
      </c>
      <c r="AQ33" s="24">
        <v>44.24</v>
      </c>
      <c r="AR33" s="24">
        <f>VLOOKUP(B33,'[1]Sheet1 (2)'!$B$2:$C$397,2,0)</f>
        <v>141.56</v>
      </c>
      <c r="AS33" s="24">
        <f>VLOOKUP(B33,'[2]Sheet1 (2)'!$B$2:$C$404,2,0)</f>
        <v>0</v>
      </c>
      <c r="AT33" s="24">
        <v>0</v>
      </c>
      <c r="AU33" s="24">
        <v>0</v>
      </c>
      <c r="AV33" s="24">
        <v>0</v>
      </c>
      <c r="AW33" s="20">
        <v>0</v>
      </c>
      <c r="AX33" s="20">
        <v>0</v>
      </c>
      <c r="AY33" s="83">
        <v>0.88</v>
      </c>
      <c r="AZ33" s="83">
        <v>0</v>
      </c>
      <c r="BA33" s="83">
        <v>0</v>
      </c>
      <c r="BB33" s="8">
        <f t="shared" si="9"/>
        <v>205.47</v>
      </c>
      <c r="BC33" s="24">
        <v>0</v>
      </c>
      <c r="BD33" s="24">
        <v>0</v>
      </c>
      <c r="BE33" s="24">
        <v>0</v>
      </c>
      <c r="BF33" s="24">
        <v>26.71</v>
      </c>
      <c r="BG33" s="24">
        <v>195.29</v>
      </c>
      <c r="BH33" s="24">
        <v>223.68</v>
      </c>
      <c r="BI33" s="24">
        <v>136.82</v>
      </c>
      <c r="BN33" s="83"/>
      <c r="BO33" s="8">
        <f t="shared" si="10"/>
        <v>582.5</v>
      </c>
    </row>
    <row r="34" spans="2:67" x14ac:dyDescent="0.2">
      <c r="B34" s="6" t="s">
        <v>1538</v>
      </c>
      <c r="C34" s="7">
        <f t="shared" ref="C34:N34" si="11">SUM(C14:C31)</f>
        <v>-4855325.92</v>
      </c>
      <c r="D34" s="7">
        <f t="shared" si="11"/>
        <v>-4879301.18</v>
      </c>
      <c r="E34" s="7">
        <f t="shared" si="11"/>
        <v>-5701725.9800000004</v>
      </c>
      <c r="F34" s="7">
        <f t="shared" si="11"/>
        <v>-4920050.87</v>
      </c>
      <c r="G34" s="7">
        <f t="shared" si="11"/>
        <v>-5861700.9000000004</v>
      </c>
      <c r="H34" s="7">
        <f t="shared" si="11"/>
        <v>-7566765.7999999998</v>
      </c>
      <c r="I34" s="7">
        <f t="shared" si="11"/>
        <v>-5494331.3900000006</v>
      </c>
      <c r="J34" s="7">
        <f t="shared" si="11"/>
        <v>-3986195.7500000005</v>
      </c>
      <c r="K34" s="7">
        <f t="shared" si="11"/>
        <v>-9108015.5599999987</v>
      </c>
      <c r="L34" s="7">
        <f t="shared" si="11"/>
        <v>-7549961.1699999999</v>
      </c>
      <c r="M34" s="7">
        <f t="shared" si="11"/>
        <v>-9271009.5</v>
      </c>
      <c r="N34" s="7">
        <f t="shared" si="11"/>
        <v>-11045527.400000002</v>
      </c>
      <c r="O34" s="7">
        <f>SUM(C34:N34)</f>
        <v>-80239911.420000002</v>
      </c>
      <c r="P34" s="7">
        <f t="shared" ref="P34:AB34" si="12">SUM(P14:P31)</f>
        <v>-7393626.5499999998</v>
      </c>
      <c r="Q34" s="7">
        <f t="shared" si="12"/>
        <v>-5214960.24</v>
      </c>
      <c r="R34" s="7">
        <f t="shared" si="12"/>
        <v>-11286657.189999999</v>
      </c>
      <c r="S34" s="7">
        <f t="shared" si="12"/>
        <v>-6058073.5500000007</v>
      </c>
      <c r="T34" s="7">
        <f t="shared" si="12"/>
        <v>-8454023.1899999995</v>
      </c>
      <c r="U34" s="7">
        <f t="shared" si="12"/>
        <v>-7402074.9399999995</v>
      </c>
      <c r="V34" s="7">
        <f t="shared" si="12"/>
        <v>-5997260.0700000003</v>
      </c>
      <c r="W34" s="63">
        <f t="shared" si="12"/>
        <v>-6399278.0200000005</v>
      </c>
      <c r="X34" s="63">
        <f t="shared" si="12"/>
        <v>-6303888.0499999998</v>
      </c>
      <c r="Y34" s="63">
        <f t="shared" si="12"/>
        <v>-6032759.2399999984</v>
      </c>
      <c r="Z34" s="63">
        <f t="shared" si="12"/>
        <v>-4174981.6199999996</v>
      </c>
      <c r="AA34" s="63">
        <f t="shared" si="12"/>
        <v>-5814872.29</v>
      </c>
      <c r="AB34" s="63">
        <f t="shared" si="12"/>
        <v>-80532454.950000018</v>
      </c>
      <c r="AC34" s="63">
        <f t="shared" ref="AC34:BA34" si="13">SUM(AC14:AC33)</f>
        <v>-4208704.8</v>
      </c>
      <c r="AD34" s="63">
        <f t="shared" si="13"/>
        <v>-6096921.1300000008</v>
      </c>
      <c r="AE34" s="63">
        <f t="shared" si="13"/>
        <v>-5647105.1100000003</v>
      </c>
      <c r="AF34" s="63">
        <f t="shared" si="13"/>
        <v>-5123737.09</v>
      </c>
      <c r="AG34" s="63">
        <f t="shared" si="13"/>
        <v>-6287411.8000000007</v>
      </c>
      <c r="AH34" s="63">
        <f t="shared" si="13"/>
        <v>-5487696.6799999997</v>
      </c>
      <c r="AI34" s="63">
        <f t="shared" si="13"/>
        <v>-6100174.7999999998</v>
      </c>
      <c r="AJ34" s="63">
        <f t="shared" si="13"/>
        <v>-2515899.3600000003</v>
      </c>
      <c r="AK34" s="63">
        <f t="shared" si="13"/>
        <v>-11061591.629999999</v>
      </c>
      <c r="AL34" s="63">
        <f t="shared" si="13"/>
        <v>-5816988.330000001</v>
      </c>
      <c r="AM34" s="63">
        <f t="shared" si="13"/>
        <v>-5161542.82</v>
      </c>
      <c r="AN34" s="63">
        <f t="shared" si="13"/>
        <v>-5150016.7699999996</v>
      </c>
      <c r="AO34" s="63">
        <f t="shared" si="13"/>
        <v>-68657790.320000008</v>
      </c>
      <c r="AP34" s="63">
        <f t="shared" si="13"/>
        <v>-4220942.9399999995</v>
      </c>
      <c r="AQ34" s="63">
        <f t="shared" si="13"/>
        <v>-4366205.8600000003</v>
      </c>
      <c r="AR34" s="63">
        <f t="shared" si="13"/>
        <v>-2947812.72</v>
      </c>
      <c r="AS34" s="63">
        <f t="shared" si="13"/>
        <v>-3027509.5700000003</v>
      </c>
      <c r="AT34" s="63">
        <f t="shared" si="13"/>
        <v>-4310687.5199999996</v>
      </c>
      <c r="AU34" s="63">
        <f t="shared" si="13"/>
        <v>-3784841.8200000003</v>
      </c>
      <c r="AV34" s="63">
        <f t="shared" si="13"/>
        <v>-3158077.4000000004</v>
      </c>
      <c r="AW34" s="63">
        <f t="shared" si="13"/>
        <v>-3624056.2800000003</v>
      </c>
      <c r="AX34" s="63">
        <f t="shared" si="13"/>
        <v>-3499011.6199999996</v>
      </c>
      <c r="AY34" s="63">
        <f t="shared" si="13"/>
        <v>-3768520.42</v>
      </c>
      <c r="AZ34" s="63">
        <f t="shared" si="13"/>
        <v>-4268933.88</v>
      </c>
      <c r="BA34" s="63">
        <f t="shared" si="13"/>
        <v>-3729488.6500000004</v>
      </c>
      <c r="BB34" s="63">
        <f>SUM(BB14:BB33)</f>
        <v>-44706088.680000007</v>
      </c>
      <c r="BC34" s="63">
        <f t="shared" ref="BC34:BN34" si="14">SUM(BC14:BC33)</f>
        <v>-3512023.22</v>
      </c>
      <c r="BD34" s="63">
        <f t="shared" si="14"/>
        <v>-5137864.5600000005</v>
      </c>
      <c r="BE34" s="63">
        <f t="shared" si="14"/>
        <v>-4516454.3100000015</v>
      </c>
      <c r="BF34" s="63">
        <f t="shared" si="14"/>
        <v>-3591209.3600000003</v>
      </c>
      <c r="BG34" s="63">
        <f t="shared" si="14"/>
        <v>-3125390.7700000005</v>
      </c>
      <c r="BH34" s="63">
        <f t="shared" si="14"/>
        <v>-3630137.67</v>
      </c>
      <c r="BI34" s="63">
        <f t="shared" si="14"/>
        <v>-3830341</v>
      </c>
      <c r="BJ34" s="63">
        <f t="shared" si="14"/>
        <v>0</v>
      </c>
      <c r="BK34" s="63">
        <f t="shared" si="14"/>
        <v>0</v>
      </c>
      <c r="BL34" s="63">
        <f t="shared" si="14"/>
        <v>0</v>
      </c>
      <c r="BM34" s="63">
        <f t="shared" si="14"/>
        <v>0</v>
      </c>
      <c r="BN34" s="63">
        <f t="shared" si="14"/>
        <v>0</v>
      </c>
      <c r="BO34" s="63">
        <f>SUM(BO14:BO33)</f>
        <v>-27343420.890000001</v>
      </c>
    </row>
    <row r="35" spans="2:67" x14ac:dyDescent="0.2">
      <c r="B35" s="3" t="s">
        <v>254</v>
      </c>
      <c r="C35" s="23">
        <v>31846.94</v>
      </c>
      <c r="D35" s="24">
        <v>59663.839999999997</v>
      </c>
      <c r="E35" s="24">
        <v>44742.37</v>
      </c>
      <c r="F35" s="24">
        <v>42026.98</v>
      </c>
      <c r="G35" s="24">
        <v>48183.68</v>
      </c>
      <c r="H35" s="24">
        <v>43164.95</v>
      </c>
      <c r="I35" s="24">
        <v>34372.74</v>
      </c>
      <c r="J35" s="24">
        <v>23829.84</v>
      </c>
      <c r="K35" s="24">
        <v>57103.92</v>
      </c>
      <c r="L35" s="24">
        <v>45849.41</v>
      </c>
      <c r="M35" s="24">
        <v>77523.22</v>
      </c>
      <c r="N35" s="24">
        <v>77079.179999999993</v>
      </c>
      <c r="O35" s="24">
        <f t="shared" ref="O35:O43" si="15">SUBTOTAL(9,C35:N35)</f>
        <v>585387.07000000007</v>
      </c>
      <c r="P35" s="24">
        <v>43908.800000000003</v>
      </c>
      <c r="Q35" s="24">
        <v>119715.77</v>
      </c>
      <c r="R35" s="24">
        <v>72926.97</v>
      </c>
      <c r="S35" s="24">
        <v>72185.61</v>
      </c>
      <c r="T35" s="24">
        <v>108249.35</v>
      </c>
      <c r="U35" s="24">
        <v>46936.7</v>
      </c>
      <c r="V35" s="24">
        <v>51600.81</v>
      </c>
      <c r="W35" s="20">
        <v>64095.13</v>
      </c>
      <c r="X35" s="20">
        <v>61696.39</v>
      </c>
      <c r="Y35" s="83">
        <v>39141.78</v>
      </c>
      <c r="Z35" s="83">
        <v>92582.77</v>
      </c>
      <c r="AA35" s="83">
        <v>34358.07</v>
      </c>
      <c r="AB35" s="8">
        <f t="shared" ref="AB35:AB43" si="16">SUM(P35:AA35)</f>
        <v>807398.15</v>
      </c>
      <c r="AC35" s="24">
        <v>29745.78</v>
      </c>
      <c r="AD35" s="24">
        <v>55257.16</v>
      </c>
      <c r="AE35" s="24">
        <v>97014.8</v>
      </c>
      <c r="AF35" s="24">
        <v>57182.3</v>
      </c>
      <c r="AG35" s="24">
        <v>56365.7</v>
      </c>
      <c r="AH35" s="24">
        <v>33655.21</v>
      </c>
      <c r="AI35" s="24">
        <v>43873.9</v>
      </c>
      <c r="AJ35" s="20">
        <v>50375.43</v>
      </c>
      <c r="AK35" s="20">
        <v>28524.41</v>
      </c>
      <c r="AL35" s="83">
        <v>17681.36</v>
      </c>
      <c r="AM35" s="83">
        <v>14770.25</v>
      </c>
      <c r="AN35" s="83">
        <v>27262.83</v>
      </c>
      <c r="AO35" s="8">
        <f t="shared" ref="AO35:AO43" si="17">SUM(AC35:AN35)</f>
        <v>511709.13</v>
      </c>
      <c r="AP35" s="24">
        <v>17613.93</v>
      </c>
      <c r="AQ35" s="24">
        <v>11656.76</v>
      </c>
      <c r="AR35" s="24">
        <f>VLOOKUP(B35,'[1]Sheet1 (2)'!$B$2:$C$397,2,0)</f>
        <v>4358.16</v>
      </c>
      <c r="AS35" s="24">
        <f>VLOOKUP(B35,'[2]Sheet1 (2)'!$B$2:$C$404,2,0)</f>
        <v>-1291.1199999999999</v>
      </c>
      <c r="AT35" s="24">
        <v>10501.78</v>
      </c>
      <c r="AU35" s="24">
        <v>6588.53</v>
      </c>
      <c r="AV35" s="24">
        <v>12745.36</v>
      </c>
      <c r="AW35" s="20">
        <v>15685.59</v>
      </c>
      <c r="AX35" s="20">
        <v>5873.45</v>
      </c>
      <c r="AY35" s="83">
        <v>17945.96</v>
      </c>
      <c r="AZ35" s="83">
        <v>7166.39</v>
      </c>
      <c r="BA35" s="83">
        <v>6613.86</v>
      </c>
      <c r="BB35" s="8">
        <f t="shared" ref="BB35:BB43" si="18">SUM(AP35:BA35)</f>
        <v>115458.65</v>
      </c>
      <c r="BC35" s="24">
        <v>9814.2900000000009</v>
      </c>
      <c r="BD35" s="24">
        <v>12753.37</v>
      </c>
      <c r="BE35" s="24">
        <v>12154.83</v>
      </c>
      <c r="BF35" s="24">
        <v>19206.330000000002</v>
      </c>
      <c r="BG35" s="24">
        <v>11442.95</v>
      </c>
      <c r="BH35" s="24">
        <v>4610.83</v>
      </c>
      <c r="BI35" s="24">
        <v>17761.82</v>
      </c>
      <c r="BN35" s="83"/>
      <c r="BO35" s="8">
        <f t="shared" ref="BO35:BO43" si="19">SUM(BC35:BN35)</f>
        <v>87744.420000000013</v>
      </c>
    </row>
    <row r="36" spans="2:67" x14ac:dyDescent="0.2">
      <c r="B36" s="3" t="s">
        <v>255</v>
      </c>
      <c r="C36" s="23">
        <v>-31894.21</v>
      </c>
      <c r="D36" s="24">
        <v>-22016.68</v>
      </c>
      <c r="E36" s="24">
        <v>-52919.64</v>
      </c>
      <c r="F36" s="24">
        <v>-12641.32</v>
      </c>
      <c r="G36" s="24">
        <v>-21749.51</v>
      </c>
      <c r="H36" s="24">
        <v>-32159.08</v>
      </c>
      <c r="I36" s="24">
        <v>-13967.74</v>
      </c>
      <c r="J36" s="24">
        <v>-15083.77</v>
      </c>
      <c r="K36" s="24">
        <v>-33449.21</v>
      </c>
      <c r="L36" s="24">
        <v>-14500.52</v>
      </c>
      <c r="M36" s="24">
        <v>-6041.52</v>
      </c>
      <c r="N36" s="24">
        <v>-12749.61</v>
      </c>
      <c r="O36" s="24">
        <f t="shared" si="15"/>
        <v>-269172.80999999994</v>
      </c>
      <c r="P36" s="24">
        <v>-32874.71</v>
      </c>
      <c r="Q36" s="24">
        <v>-15225.67</v>
      </c>
      <c r="R36" s="24">
        <v>-14717.32</v>
      </c>
      <c r="S36" s="24">
        <v>-13475.84</v>
      </c>
      <c r="T36" s="24">
        <v>-46575.53</v>
      </c>
      <c r="U36" s="24">
        <v>-29545.3</v>
      </c>
      <c r="V36" s="24">
        <v>-38803.51</v>
      </c>
      <c r="W36" s="20">
        <v>-54144.06</v>
      </c>
      <c r="X36" s="20">
        <v>-199400.81</v>
      </c>
      <c r="Y36" s="83">
        <v>-63183.99</v>
      </c>
      <c r="Z36" s="83">
        <v>-338046.03</v>
      </c>
      <c r="AA36" s="83">
        <v>-151714.25</v>
      </c>
      <c r="AB36" s="8">
        <f t="shared" si="16"/>
        <v>-997707.02</v>
      </c>
      <c r="AC36" s="24">
        <v>-167937.03</v>
      </c>
      <c r="AD36" s="24">
        <v>-104356.62</v>
      </c>
      <c r="AE36" s="24">
        <v>-265912.96999999997</v>
      </c>
      <c r="AF36" s="24">
        <v>-61026.2</v>
      </c>
      <c r="AG36" s="24">
        <v>-136315.74</v>
      </c>
      <c r="AH36" s="24">
        <v>-76824.56</v>
      </c>
      <c r="AI36" s="24">
        <v>-149562.51999999999</v>
      </c>
      <c r="AJ36" s="20">
        <v>-52157.69</v>
      </c>
      <c r="AK36" s="20">
        <v>-34385.64</v>
      </c>
      <c r="AL36" s="83">
        <v>-105166.07</v>
      </c>
      <c r="AM36" s="83">
        <v>-69384.34</v>
      </c>
      <c r="AN36" s="83">
        <v>-33909.57</v>
      </c>
      <c r="AO36" s="8">
        <f t="shared" si="17"/>
        <v>-1256938.95</v>
      </c>
      <c r="AP36" s="24">
        <v>-50314.69</v>
      </c>
      <c r="AQ36" s="24">
        <v>-47815.94</v>
      </c>
      <c r="AR36" s="24">
        <f>VLOOKUP(B36,'[1]Sheet1 (2)'!$B$2:$C$397,2,0)</f>
        <v>-39258.93</v>
      </c>
      <c r="AS36" s="24">
        <f>VLOOKUP(B36,'[2]Sheet1 (2)'!$B$2:$C$404,2,0)</f>
        <v>-20925.3</v>
      </c>
      <c r="AT36" s="24">
        <v>-27564.71</v>
      </c>
      <c r="AU36" s="24">
        <v>-47839.19</v>
      </c>
      <c r="AV36" s="24">
        <v>-20649.18</v>
      </c>
      <c r="AW36" s="20">
        <v>-34252.04</v>
      </c>
      <c r="AX36" s="20">
        <v>-22267.16</v>
      </c>
      <c r="AY36" s="83">
        <v>-30937.03</v>
      </c>
      <c r="AZ36" s="83">
        <v>-6587.03</v>
      </c>
      <c r="BA36" s="83">
        <v>-14850.79</v>
      </c>
      <c r="BB36" s="8">
        <f t="shared" si="18"/>
        <v>-363261.98999999993</v>
      </c>
      <c r="BC36" s="24">
        <v>-31026.23</v>
      </c>
      <c r="BD36" s="24">
        <v>-7204.93</v>
      </c>
      <c r="BE36" s="24">
        <v>-14873.51</v>
      </c>
      <c r="BF36" s="24">
        <v>-12027.55</v>
      </c>
      <c r="BG36" s="24">
        <v>-26250.2</v>
      </c>
      <c r="BH36" s="24">
        <v>-60172.5</v>
      </c>
      <c r="BI36" s="24">
        <v>-18082.59</v>
      </c>
      <c r="BN36" s="83"/>
      <c r="BO36" s="8">
        <f t="shared" si="19"/>
        <v>-169637.50999999998</v>
      </c>
    </row>
    <row r="37" spans="2:67" x14ac:dyDescent="0.2">
      <c r="B37" s="3" t="s">
        <v>256</v>
      </c>
      <c r="C37" s="23">
        <v>-17785.87</v>
      </c>
      <c r="D37" s="24">
        <v>-12577.46</v>
      </c>
      <c r="E37" s="24">
        <v>-16307.3</v>
      </c>
      <c r="F37" s="24">
        <v>-15183.13</v>
      </c>
      <c r="G37" s="24">
        <v>-14338.32</v>
      </c>
      <c r="H37" s="24">
        <v>-15619.6</v>
      </c>
      <c r="I37" s="24">
        <v>-15764.43</v>
      </c>
      <c r="J37" s="24">
        <v>-17881</v>
      </c>
      <c r="K37" s="24">
        <v>-77866.97</v>
      </c>
      <c r="L37" s="24">
        <v>-17190.91</v>
      </c>
      <c r="M37" s="24">
        <v>-15926.47</v>
      </c>
      <c r="N37" s="24">
        <v>-134889.41</v>
      </c>
      <c r="O37" s="24">
        <f t="shared" si="15"/>
        <v>-371330.87</v>
      </c>
      <c r="P37" s="24">
        <v>-13117.64</v>
      </c>
      <c r="Q37" s="24">
        <v>-20447.88</v>
      </c>
      <c r="R37" s="24">
        <v>-19643.37</v>
      </c>
      <c r="S37" s="24">
        <v>-12209.82</v>
      </c>
      <c r="T37" s="24">
        <v>-16510.900000000001</v>
      </c>
      <c r="U37" s="24">
        <v>-12897.8</v>
      </c>
      <c r="V37" s="24">
        <v>-19330.150000000001</v>
      </c>
      <c r="W37" s="20">
        <v>-15338.58</v>
      </c>
      <c r="X37" s="20">
        <v>-36634.519999999997</v>
      </c>
      <c r="Y37" s="83">
        <v>-20429.060000000001</v>
      </c>
      <c r="Z37" s="83">
        <v>-14100.55</v>
      </c>
      <c r="AA37" s="83">
        <v>-28071.32</v>
      </c>
      <c r="AB37" s="8">
        <f t="shared" si="16"/>
        <v>-228731.59</v>
      </c>
      <c r="AC37" s="24">
        <v>-18715.169999999998</v>
      </c>
      <c r="AD37" s="24">
        <v>-19512.62</v>
      </c>
      <c r="AE37" s="24">
        <v>-21918.62</v>
      </c>
      <c r="AF37" s="24">
        <v>-16822.830000000002</v>
      </c>
      <c r="AG37" s="24">
        <v>-23728.14</v>
      </c>
      <c r="AH37" s="24">
        <v>-15665.56</v>
      </c>
      <c r="AI37" s="24">
        <v>-25787.42</v>
      </c>
      <c r="AJ37" s="20">
        <v>-21644.43</v>
      </c>
      <c r="AK37" s="20">
        <v>-19917.189999999999</v>
      </c>
      <c r="AL37" s="83">
        <v>-11046.31</v>
      </c>
      <c r="AM37" s="83">
        <v>-13789.73</v>
      </c>
      <c r="AN37" s="83">
        <v>-23302.83</v>
      </c>
      <c r="AO37" s="8">
        <f t="shared" si="17"/>
        <v>-231850.84999999998</v>
      </c>
      <c r="AP37" s="24">
        <v>-14557.94</v>
      </c>
      <c r="AQ37" s="24">
        <v>-11299.85</v>
      </c>
      <c r="AR37" s="24">
        <f>VLOOKUP(B37,'[1]Sheet1 (2)'!$B$2:$C$397,2,0)</f>
        <v>-12595.3</v>
      </c>
      <c r="AS37" s="24">
        <f>VLOOKUP(B37,'[2]Sheet1 (2)'!$B$2:$C$404,2,0)</f>
        <v>-7720.27</v>
      </c>
      <c r="AT37" s="24">
        <v>-14634.66</v>
      </c>
      <c r="AU37" s="24">
        <v>-12810.19</v>
      </c>
      <c r="AV37" s="24">
        <v>-13826.27</v>
      </c>
      <c r="AW37" s="20">
        <v>-23694.38</v>
      </c>
      <c r="AX37" s="20">
        <v>-9042.42</v>
      </c>
      <c r="AY37" s="83">
        <v>-19405.150000000001</v>
      </c>
      <c r="AZ37" s="83">
        <v>-10440.85</v>
      </c>
      <c r="BA37" s="83">
        <v>-8756.01</v>
      </c>
      <c r="BB37" s="8">
        <f t="shared" si="18"/>
        <v>-158783.29000000004</v>
      </c>
      <c r="BC37" s="24">
        <v>-5068.22</v>
      </c>
      <c r="BD37" s="24">
        <v>-6452.22</v>
      </c>
      <c r="BE37" s="24">
        <v>-14078.82</v>
      </c>
      <c r="BF37" s="24">
        <v>-6231.79</v>
      </c>
      <c r="BG37" s="24">
        <v>-27681.16</v>
      </c>
      <c r="BH37" s="24">
        <v>-21935.279999999999</v>
      </c>
      <c r="BI37" s="24">
        <v>-15849.09</v>
      </c>
      <c r="BN37" s="83"/>
      <c r="BO37" s="8">
        <f t="shared" si="19"/>
        <v>-97296.58</v>
      </c>
    </row>
    <row r="38" spans="2:67" x14ac:dyDescent="0.2">
      <c r="B38" s="3" t="s">
        <v>257</v>
      </c>
      <c r="C38" s="23">
        <v>-222549.26</v>
      </c>
      <c r="D38" s="24">
        <v>-264855.62</v>
      </c>
      <c r="E38" s="24">
        <v>-340217.35</v>
      </c>
      <c r="F38" s="24">
        <v>-309508.71999999997</v>
      </c>
      <c r="G38" s="24">
        <v>-342248.44</v>
      </c>
      <c r="H38" s="24">
        <v>-371958.97</v>
      </c>
      <c r="I38" s="24">
        <v>-316944.90999999997</v>
      </c>
      <c r="J38" s="24">
        <v>-378600.79</v>
      </c>
      <c r="K38" s="24">
        <v>-384713.05</v>
      </c>
      <c r="L38" s="24">
        <v>-351961.85</v>
      </c>
      <c r="M38" s="24">
        <v>-397561.73</v>
      </c>
      <c r="N38" s="24">
        <v>-484740.4</v>
      </c>
      <c r="O38" s="24">
        <f t="shared" si="15"/>
        <v>-4165861.09</v>
      </c>
      <c r="P38" s="24">
        <v>-254050.96</v>
      </c>
      <c r="Q38" s="24">
        <v>-505881.88</v>
      </c>
      <c r="R38" s="24">
        <v>-416477.36</v>
      </c>
      <c r="S38" s="24">
        <v>-294969.40999999997</v>
      </c>
      <c r="T38" s="24">
        <v>-451854.31</v>
      </c>
      <c r="U38" s="24">
        <v>-265682.65999999997</v>
      </c>
      <c r="V38" s="24">
        <v>-328291.83</v>
      </c>
      <c r="W38" s="20">
        <v>-277719.49</v>
      </c>
      <c r="X38" s="20">
        <v>-314272.65000000002</v>
      </c>
      <c r="Y38" s="83">
        <v>-421847.53</v>
      </c>
      <c r="Z38" s="83">
        <v>-371903.91</v>
      </c>
      <c r="AA38" s="83">
        <v>-361777.89</v>
      </c>
      <c r="AB38" s="8">
        <f t="shared" si="16"/>
        <v>-4264729.88</v>
      </c>
      <c r="AC38" s="24">
        <v>-262742.52</v>
      </c>
      <c r="AD38" s="24">
        <v>-332131.61</v>
      </c>
      <c r="AE38" s="24">
        <v>-457419.5</v>
      </c>
      <c r="AF38" s="24">
        <v>-226187.86</v>
      </c>
      <c r="AG38" s="24">
        <v>-287418.81</v>
      </c>
      <c r="AH38" s="24">
        <v>-254188.41</v>
      </c>
      <c r="AI38" s="24">
        <v>-296017.71999999997</v>
      </c>
      <c r="AJ38" s="20">
        <v>-378888.77</v>
      </c>
      <c r="AK38" s="20">
        <v>-287651.90000000002</v>
      </c>
      <c r="AL38" s="83">
        <v>-303249.7</v>
      </c>
      <c r="AM38" s="83">
        <v>-220361.47</v>
      </c>
      <c r="AN38" s="83">
        <v>-399454.23</v>
      </c>
      <c r="AO38" s="8">
        <f t="shared" si="17"/>
        <v>-3705712.5</v>
      </c>
      <c r="AP38" s="24">
        <v>-173289.42</v>
      </c>
      <c r="AQ38" s="24">
        <v>-144949.04999999999</v>
      </c>
      <c r="AR38" s="24">
        <f>VLOOKUP(B38,'[1]Sheet1 (2)'!$B$2:$C$397,2,0)</f>
        <v>-189179.68</v>
      </c>
      <c r="AS38" s="24">
        <f>VLOOKUP(B38,'[2]Sheet1 (2)'!$B$2:$C$404,2,0)</f>
        <v>-101423.86</v>
      </c>
      <c r="AT38" s="24">
        <v>-220243.71</v>
      </c>
      <c r="AU38" s="24">
        <v>-181794.12</v>
      </c>
      <c r="AV38" s="24">
        <v>-303558.69</v>
      </c>
      <c r="AW38" s="20">
        <v>-274893.71000000002</v>
      </c>
      <c r="AX38" s="20">
        <v>-207164.88</v>
      </c>
      <c r="AY38" s="83">
        <v>-291547.89</v>
      </c>
      <c r="AZ38" s="83">
        <v>-229493.8</v>
      </c>
      <c r="BA38" s="83">
        <v>-231282.8</v>
      </c>
      <c r="BB38" s="8">
        <f t="shared" si="18"/>
        <v>-2548821.61</v>
      </c>
      <c r="BC38" s="24">
        <v>-147581.68</v>
      </c>
      <c r="BD38" s="24">
        <v>-239202</v>
      </c>
      <c r="BE38" s="24">
        <v>-196315.47</v>
      </c>
      <c r="BF38" s="24">
        <v>-229059.36</v>
      </c>
      <c r="BG38" s="24">
        <v>-183935.98</v>
      </c>
      <c r="BH38" s="24">
        <v>-162440.51</v>
      </c>
      <c r="BI38" s="24">
        <v>-275285.37</v>
      </c>
      <c r="BN38" s="83"/>
      <c r="BO38" s="8">
        <f t="shared" si="19"/>
        <v>-1433820.37</v>
      </c>
    </row>
    <row r="39" spans="2:67" x14ac:dyDescent="0.2">
      <c r="B39" s="3" t="s">
        <v>258</v>
      </c>
      <c r="C39" s="23">
        <v>4.93</v>
      </c>
      <c r="D39" s="24">
        <v>10160.01</v>
      </c>
      <c r="E39" s="24">
        <v>10899.29</v>
      </c>
      <c r="F39" s="24">
        <v>0.04</v>
      </c>
      <c r="G39" s="24">
        <v>1117.82</v>
      </c>
      <c r="H39" s="24">
        <v>-1239.7</v>
      </c>
      <c r="I39" s="24">
        <v>563.53</v>
      </c>
      <c r="J39" s="24">
        <v>5962.17</v>
      </c>
      <c r="K39" s="24">
        <v>53302.79</v>
      </c>
      <c r="L39" s="24">
        <v>1111.79</v>
      </c>
      <c r="M39" s="24">
        <v>-1.32</v>
      </c>
      <c r="N39" s="24">
        <v>-284.93</v>
      </c>
      <c r="O39" s="24">
        <f t="shared" si="15"/>
        <v>81596.42</v>
      </c>
      <c r="P39" s="24">
        <v>3361.41</v>
      </c>
      <c r="Q39" s="24">
        <v>2121.98</v>
      </c>
      <c r="R39" s="24">
        <v>239.53</v>
      </c>
      <c r="S39" s="24">
        <v>12027.73</v>
      </c>
      <c r="T39" s="24">
        <v>43039.79</v>
      </c>
      <c r="U39" s="24">
        <v>14460.91</v>
      </c>
      <c r="V39" s="24">
        <v>22587.5</v>
      </c>
      <c r="W39" s="20">
        <v>10505.94</v>
      </c>
      <c r="X39" s="20">
        <v>10463.01</v>
      </c>
      <c r="Y39" s="83">
        <v>19702.509999999998</v>
      </c>
      <c r="Z39" s="83">
        <v>43023.67</v>
      </c>
      <c r="AA39" s="83">
        <v>10064.879999999999</v>
      </c>
      <c r="AB39" s="8">
        <f t="shared" si="16"/>
        <v>191598.86</v>
      </c>
      <c r="AC39" s="24">
        <v>13552.41</v>
      </c>
      <c r="AD39" s="24">
        <v>10832.3</v>
      </c>
      <c r="AE39" s="24">
        <v>27141.43</v>
      </c>
      <c r="AF39" s="24">
        <v>3926.67</v>
      </c>
      <c r="AG39" s="24">
        <v>11785.81</v>
      </c>
      <c r="AH39" s="24">
        <v>9395.16</v>
      </c>
      <c r="AI39" s="24">
        <v>10813.85</v>
      </c>
      <c r="AJ39" s="20">
        <v>3886.53</v>
      </c>
      <c r="AK39" s="20">
        <v>10050.219999999999</v>
      </c>
      <c r="AL39" s="83">
        <v>31572.85</v>
      </c>
      <c r="AM39" s="83">
        <v>21144.880000000001</v>
      </c>
      <c r="AN39" s="83">
        <v>7033</v>
      </c>
      <c r="AO39" s="8">
        <f t="shared" si="17"/>
        <v>161135.11000000002</v>
      </c>
      <c r="AP39" s="24">
        <v>428.17</v>
      </c>
      <c r="AQ39" s="24">
        <v>211.46</v>
      </c>
      <c r="AR39" s="24">
        <f>VLOOKUP(B39,'[1]Sheet1 (2)'!$B$2:$C$397,2,0)</f>
        <v>8038.69</v>
      </c>
      <c r="AS39" s="24">
        <f>VLOOKUP(B39,'[2]Sheet1 (2)'!$B$2:$C$404,2,0)</f>
        <v>6940.56</v>
      </c>
      <c r="AT39" s="24">
        <v>1445.93</v>
      </c>
      <c r="AU39" s="24">
        <v>-465.37</v>
      </c>
      <c r="AV39" s="24">
        <v>-175.39</v>
      </c>
      <c r="AW39" s="20">
        <v>520.25</v>
      </c>
      <c r="AX39" s="20">
        <v>-1434.56</v>
      </c>
      <c r="AY39" s="83">
        <v>1250.24</v>
      </c>
      <c r="AZ39" s="83">
        <v>-925.23</v>
      </c>
      <c r="BA39" s="83">
        <v>-2420.4699999999998</v>
      </c>
      <c r="BB39" s="8">
        <f t="shared" si="18"/>
        <v>13414.280000000004</v>
      </c>
      <c r="BC39" s="24">
        <v>-1245.4100000000001</v>
      </c>
      <c r="BD39" s="24">
        <v>-1012.49</v>
      </c>
      <c r="BE39" s="24">
        <v>-902.26</v>
      </c>
      <c r="BF39" s="24">
        <v>-1720.5</v>
      </c>
      <c r="BG39" s="24">
        <v>-1202.6400000000001</v>
      </c>
      <c r="BH39" s="24">
        <v>-4528.1499999999996</v>
      </c>
      <c r="BI39" s="24">
        <v>-412.53</v>
      </c>
      <c r="BN39" s="83"/>
      <c r="BO39" s="8">
        <f t="shared" si="19"/>
        <v>-11023.980000000001</v>
      </c>
    </row>
    <row r="40" spans="2:67" x14ac:dyDescent="0.2">
      <c r="B40" s="3" t="s">
        <v>259</v>
      </c>
      <c r="C40" s="23">
        <v>0</v>
      </c>
      <c r="E40" s="24">
        <v>-228.71</v>
      </c>
      <c r="F40" s="24">
        <v>-22.86</v>
      </c>
      <c r="G40" s="24">
        <v>0</v>
      </c>
      <c r="H40" s="24">
        <v>-111.83</v>
      </c>
      <c r="I40" s="24">
        <v>-189.38</v>
      </c>
      <c r="J40" s="24">
        <v>-289.61</v>
      </c>
      <c r="K40" s="24">
        <v>-241.25</v>
      </c>
      <c r="L40" s="24">
        <v>-216.55</v>
      </c>
      <c r="M40" s="24">
        <v>-474.22</v>
      </c>
      <c r="N40" s="24">
        <v>-489.2</v>
      </c>
      <c r="O40" s="24">
        <f t="shared" si="15"/>
        <v>-2263.6099999999997</v>
      </c>
      <c r="P40" s="24">
        <v>-316.02</v>
      </c>
      <c r="Q40" s="24">
        <v>-294.07</v>
      </c>
      <c r="R40" s="24">
        <v>-704.48</v>
      </c>
      <c r="S40" s="24">
        <v>0</v>
      </c>
      <c r="T40" s="24">
        <v>-335.27</v>
      </c>
      <c r="U40" s="24">
        <v>-486.56</v>
      </c>
      <c r="V40" s="24">
        <v>-708.1</v>
      </c>
      <c r="W40" s="20">
        <v>-419.71</v>
      </c>
      <c r="X40" s="20">
        <v>0</v>
      </c>
      <c r="Y40" s="83">
        <v>-332.75</v>
      </c>
      <c r="Z40" s="83">
        <v>-133.01</v>
      </c>
      <c r="AA40" s="83">
        <v>-43.89</v>
      </c>
      <c r="AB40" s="8">
        <f t="shared" si="16"/>
        <v>-3773.86</v>
      </c>
      <c r="AC40" s="24">
        <v>-22.34</v>
      </c>
      <c r="AD40" s="24">
        <v>-696.85</v>
      </c>
      <c r="AE40" s="24">
        <v>-57.63</v>
      </c>
      <c r="AF40" s="24">
        <v>-437.84</v>
      </c>
      <c r="AG40" s="24">
        <v>-344.59</v>
      </c>
      <c r="AH40" s="24">
        <v>-10.96</v>
      </c>
      <c r="AI40" s="24">
        <v>-57.55</v>
      </c>
      <c r="AJ40" s="20">
        <v>0</v>
      </c>
      <c r="AK40" s="20">
        <v>0</v>
      </c>
      <c r="AL40" s="83">
        <v>-93.83</v>
      </c>
      <c r="AM40" s="83">
        <v>-11.23</v>
      </c>
      <c r="AN40" s="83">
        <v>0</v>
      </c>
      <c r="AO40" s="8">
        <f t="shared" si="17"/>
        <v>-1732.82</v>
      </c>
      <c r="AP40" s="24">
        <v>0</v>
      </c>
      <c r="AQ40" s="24">
        <v>-202.21</v>
      </c>
      <c r="AR40" s="24">
        <f>VLOOKUP(B40,'[1]Sheet1 (2)'!$B$2:$C$397,2,0)</f>
        <v>-541.46</v>
      </c>
      <c r="AS40" s="24">
        <f>VLOOKUP(B40,'[2]Sheet1 (2)'!$B$2:$C$404,2,0)</f>
        <v>-296.63</v>
      </c>
      <c r="AT40" s="24">
        <v>-205.66</v>
      </c>
      <c r="AU40" s="24">
        <v>-120.1</v>
      </c>
      <c r="AV40" s="24">
        <v>-556.87</v>
      </c>
      <c r="AW40" s="20">
        <v>0</v>
      </c>
      <c r="AX40" s="20">
        <v>-113.59</v>
      </c>
      <c r="AY40" s="83">
        <v>-284.47000000000003</v>
      </c>
      <c r="AZ40" s="83">
        <v>-96.25</v>
      </c>
      <c r="BA40" s="83">
        <v>-385.64</v>
      </c>
      <c r="BB40" s="8">
        <f t="shared" si="18"/>
        <v>-2802.88</v>
      </c>
      <c r="BC40" s="24">
        <v>-381.35</v>
      </c>
      <c r="BD40" s="24">
        <v>-378.52</v>
      </c>
      <c r="BE40" s="24">
        <v>-28.11</v>
      </c>
      <c r="BF40" s="24">
        <v>-107.04</v>
      </c>
      <c r="BG40" s="24">
        <v>-109.46</v>
      </c>
      <c r="BH40" s="24">
        <v>-162.09</v>
      </c>
      <c r="BI40" s="24">
        <v>-76.430000000000007</v>
      </c>
      <c r="BN40" s="83"/>
      <c r="BO40" s="8">
        <f t="shared" si="19"/>
        <v>-1243</v>
      </c>
    </row>
    <row r="41" spans="2:67" x14ac:dyDescent="0.2">
      <c r="B41" s="3" t="s">
        <v>1913</v>
      </c>
      <c r="C41" s="23"/>
      <c r="AA41" s="83"/>
      <c r="AB41" s="8"/>
      <c r="AN41" s="83"/>
      <c r="AO41" s="8"/>
      <c r="BA41" s="83"/>
      <c r="BB41" s="8"/>
      <c r="BC41" s="24">
        <v>0</v>
      </c>
      <c r="BD41" s="24">
        <v>0</v>
      </c>
      <c r="BE41" s="24">
        <v>0.23</v>
      </c>
      <c r="BF41" s="24">
        <v>0</v>
      </c>
      <c r="BG41" s="24">
        <v>0.8</v>
      </c>
      <c r="BH41" s="24">
        <v>0</v>
      </c>
      <c r="BI41" s="24">
        <v>0</v>
      </c>
      <c r="BN41" s="83"/>
      <c r="BO41" s="8">
        <f t="shared" si="19"/>
        <v>1.03</v>
      </c>
    </row>
    <row r="42" spans="2:67" x14ac:dyDescent="0.2">
      <c r="B42" s="3" t="s">
        <v>1227</v>
      </c>
      <c r="C42" s="23">
        <v>0</v>
      </c>
      <c r="E42" s="24">
        <v>-142.18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f t="shared" si="15"/>
        <v>-142.18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0">
        <v>0</v>
      </c>
      <c r="X42" s="20">
        <v>0</v>
      </c>
      <c r="Y42" s="83">
        <v>0</v>
      </c>
      <c r="Z42" s="83">
        <v>0</v>
      </c>
      <c r="AA42" s="83">
        <v>0</v>
      </c>
      <c r="AB42" s="8">
        <f t="shared" si="16"/>
        <v>0</v>
      </c>
      <c r="AC42" s="24">
        <v>0</v>
      </c>
      <c r="AD42" s="24">
        <v>0</v>
      </c>
      <c r="AE42" s="24">
        <v>0</v>
      </c>
      <c r="AF42" s="24">
        <v>0</v>
      </c>
      <c r="AG42" s="24">
        <v>0</v>
      </c>
      <c r="AH42" s="24">
        <v>0</v>
      </c>
      <c r="AI42" s="24">
        <v>0</v>
      </c>
      <c r="AJ42" s="20">
        <v>0</v>
      </c>
      <c r="AK42" s="20">
        <v>0</v>
      </c>
      <c r="AL42" s="83">
        <v>0</v>
      </c>
      <c r="AM42" s="83">
        <v>0</v>
      </c>
      <c r="AN42" s="83">
        <v>0</v>
      </c>
      <c r="AO42" s="8">
        <f t="shared" si="17"/>
        <v>0</v>
      </c>
      <c r="AP42" s="24">
        <v>0</v>
      </c>
      <c r="AQ42" s="24">
        <v>0</v>
      </c>
      <c r="AR42" s="24">
        <v>0</v>
      </c>
      <c r="AS42" s="24">
        <v>0</v>
      </c>
      <c r="AT42" s="24">
        <v>0</v>
      </c>
      <c r="AU42" s="24">
        <v>0</v>
      </c>
      <c r="AV42" s="24">
        <v>0</v>
      </c>
      <c r="AW42" s="20">
        <v>0</v>
      </c>
      <c r="AX42" s="20">
        <v>0</v>
      </c>
      <c r="AY42" s="83">
        <v>0</v>
      </c>
      <c r="AZ42" s="83">
        <v>-1921.06</v>
      </c>
      <c r="BA42" s="83">
        <v>0</v>
      </c>
      <c r="BB42" s="8">
        <f t="shared" si="18"/>
        <v>-1921.06</v>
      </c>
      <c r="BC42" s="24">
        <v>0</v>
      </c>
      <c r="BD42" s="24">
        <v>0</v>
      </c>
      <c r="BE42" s="24">
        <v>0</v>
      </c>
      <c r="BF42" s="24">
        <v>0</v>
      </c>
      <c r="BG42" s="24">
        <v>0</v>
      </c>
      <c r="BH42" s="24">
        <v>0</v>
      </c>
      <c r="BI42" s="24">
        <v>0</v>
      </c>
      <c r="BN42" s="83"/>
      <c r="BO42" s="8">
        <f t="shared" si="19"/>
        <v>0</v>
      </c>
    </row>
    <row r="43" spans="2:67" x14ac:dyDescent="0.2">
      <c r="B43" s="3" t="s">
        <v>989</v>
      </c>
      <c r="C43" s="23">
        <v>5.01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f t="shared" si="15"/>
        <v>5.01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0">
        <v>0</v>
      </c>
      <c r="X43" s="20">
        <v>0</v>
      </c>
      <c r="Y43" s="83">
        <v>0</v>
      </c>
      <c r="Z43" s="83">
        <v>0</v>
      </c>
      <c r="AA43" s="83">
        <v>0</v>
      </c>
      <c r="AB43" s="8">
        <f t="shared" si="16"/>
        <v>0</v>
      </c>
      <c r="AC43" s="24">
        <v>0</v>
      </c>
      <c r="AD43" s="24">
        <v>0</v>
      </c>
      <c r="AE43" s="24">
        <v>0</v>
      </c>
      <c r="AF43" s="24">
        <v>0</v>
      </c>
      <c r="AG43" s="24">
        <v>0</v>
      </c>
      <c r="AH43" s="24">
        <v>0</v>
      </c>
      <c r="AI43" s="24">
        <v>0</v>
      </c>
      <c r="AJ43" s="20">
        <v>0</v>
      </c>
      <c r="AK43" s="20">
        <v>0</v>
      </c>
      <c r="AL43" s="83">
        <v>0</v>
      </c>
      <c r="AM43" s="83">
        <v>0</v>
      </c>
      <c r="AN43" s="83">
        <v>0</v>
      </c>
      <c r="AO43" s="8">
        <f t="shared" si="17"/>
        <v>0</v>
      </c>
      <c r="AP43" s="24">
        <v>0</v>
      </c>
      <c r="AQ43" s="24">
        <v>0</v>
      </c>
      <c r="AR43" s="24">
        <v>0</v>
      </c>
      <c r="AS43" s="24">
        <v>0</v>
      </c>
      <c r="AT43" s="24">
        <v>0</v>
      </c>
      <c r="AU43" s="24">
        <v>0</v>
      </c>
      <c r="AV43" s="24">
        <v>0</v>
      </c>
      <c r="AW43" s="20">
        <v>0</v>
      </c>
      <c r="AX43" s="20">
        <v>0</v>
      </c>
      <c r="AY43" s="83">
        <v>0</v>
      </c>
      <c r="AZ43" s="83">
        <v>0</v>
      </c>
      <c r="BA43" s="83">
        <v>0</v>
      </c>
      <c r="BB43" s="8">
        <f t="shared" si="18"/>
        <v>0</v>
      </c>
      <c r="BC43" s="24">
        <v>0</v>
      </c>
      <c r="BD43" s="24">
        <v>0</v>
      </c>
      <c r="BE43" s="24">
        <v>0</v>
      </c>
      <c r="BF43" s="24">
        <v>0</v>
      </c>
      <c r="BG43" s="24">
        <v>0</v>
      </c>
      <c r="BH43" s="24">
        <v>0</v>
      </c>
      <c r="BI43" s="24">
        <v>0</v>
      </c>
      <c r="BN43" s="83"/>
      <c r="BO43" s="8">
        <f t="shared" si="19"/>
        <v>0</v>
      </c>
    </row>
    <row r="44" spans="2:67" x14ac:dyDescent="0.2">
      <c r="B44" s="6" t="s">
        <v>1539</v>
      </c>
      <c r="C44" s="7">
        <f t="shared" ref="C44:N44" si="20">SUM(C35:C43)</f>
        <v>-240372.46000000002</v>
      </c>
      <c r="D44" s="7">
        <f t="shared" si="20"/>
        <v>-229625.90999999997</v>
      </c>
      <c r="E44" s="7">
        <f t="shared" si="20"/>
        <v>-354173.52</v>
      </c>
      <c r="F44" s="7">
        <f t="shared" si="20"/>
        <v>-295329.00999999995</v>
      </c>
      <c r="G44" s="7">
        <f t="shared" si="20"/>
        <v>-329034.77</v>
      </c>
      <c r="H44" s="7">
        <f t="shared" si="20"/>
        <v>-377924.23</v>
      </c>
      <c r="I44" s="7">
        <f t="shared" si="20"/>
        <v>-311930.18999999994</v>
      </c>
      <c r="J44" s="7">
        <f t="shared" si="20"/>
        <v>-382063.16</v>
      </c>
      <c r="K44" s="7">
        <f t="shared" si="20"/>
        <v>-385863.77</v>
      </c>
      <c r="L44" s="7">
        <f t="shared" si="20"/>
        <v>-336908.63</v>
      </c>
      <c r="M44" s="7">
        <f t="shared" si="20"/>
        <v>-342482.04</v>
      </c>
      <c r="N44" s="7">
        <f t="shared" si="20"/>
        <v>-556074.37</v>
      </c>
      <c r="O44" s="7">
        <f>SUM(C44:N44)</f>
        <v>-4141782.06</v>
      </c>
      <c r="P44" s="7">
        <f t="shared" ref="P44:BB44" si="21">SUM(P35:P43)</f>
        <v>-253089.11999999997</v>
      </c>
      <c r="Q44" s="7">
        <f t="shared" si="21"/>
        <v>-420011.75000000006</v>
      </c>
      <c r="R44" s="7">
        <f t="shared" si="21"/>
        <v>-378376.02999999991</v>
      </c>
      <c r="S44" s="7">
        <f t="shared" si="21"/>
        <v>-236441.72999999995</v>
      </c>
      <c r="T44" s="7">
        <f t="shared" si="21"/>
        <v>-363986.87000000005</v>
      </c>
      <c r="U44" s="7">
        <f t="shared" si="21"/>
        <v>-247214.70999999996</v>
      </c>
      <c r="V44" s="7">
        <f t="shared" si="21"/>
        <v>-312945.28000000003</v>
      </c>
      <c r="W44" s="63">
        <f t="shared" si="21"/>
        <v>-273020.77</v>
      </c>
      <c r="X44" s="63">
        <f t="shared" si="21"/>
        <v>-478148.57999999996</v>
      </c>
      <c r="Y44" s="63">
        <f t="shared" si="21"/>
        <v>-446949.04000000004</v>
      </c>
      <c r="Z44" s="63">
        <f t="shared" si="21"/>
        <v>-588577.05999999994</v>
      </c>
      <c r="AA44" s="63">
        <f t="shared" si="21"/>
        <v>-497184.4</v>
      </c>
      <c r="AB44" s="63">
        <f t="shared" si="21"/>
        <v>-4495945.34</v>
      </c>
      <c r="AC44" s="63">
        <f t="shared" si="21"/>
        <v>-406118.87000000005</v>
      </c>
      <c r="AD44" s="63">
        <f t="shared" si="21"/>
        <v>-390608.23999999993</v>
      </c>
      <c r="AE44" s="63">
        <f t="shared" si="21"/>
        <v>-621152.49</v>
      </c>
      <c r="AF44" s="63">
        <f t="shared" si="21"/>
        <v>-243365.75999999995</v>
      </c>
      <c r="AG44" s="63">
        <f t="shared" si="21"/>
        <v>-379655.77</v>
      </c>
      <c r="AH44" s="63">
        <f t="shared" si="21"/>
        <v>-303639.12000000005</v>
      </c>
      <c r="AI44" s="63">
        <f t="shared" si="21"/>
        <v>-416737.45999999996</v>
      </c>
      <c r="AJ44" s="63">
        <f t="shared" si="21"/>
        <v>-398428.93</v>
      </c>
      <c r="AK44" s="63">
        <f t="shared" si="21"/>
        <v>-303380.10000000003</v>
      </c>
      <c r="AL44" s="63">
        <f t="shared" si="21"/>
        <v>-370301.70000000007</v>
      </c>
      <c r="AM44" s="63">
        <f t="shared" si="21"/>
        <v>-267631.63999999996</v>
      </c>
      <c r="AN44" s="63">
        <f t="shared" si="21"/>
        <v>-422370.8</v>
      </c>
      <c r="AO44" s="63">
        <f t="shared" si="21"/>
        <v>-4523390.88</v>
      </c>
      <c r="AP44" s="63">
        <f t="shared" si="21"/>
        <v>-220119.95</v>
      </c>
      <c r="AQ44" s="63">
        <f t="shared" si="21"/>
        <v>-192398.83</v>
      </c>
      <c r="AR44" s="63">
        <f t="shared" si="21"/>
        <v>-229178.52</v>
      </c>
      <c r="AS44" s="63">
        <f t="shared" si="21"/>
        <v>-124716.62</v>
      </c>
      <c r="AT44" s="63">
        <f t="shared" si="21"/>
        <v>-250701.03</v>
      </c>
      <c r="AU44" s="63">
        <f t="shared" si="21"/>
        <v>-236440.44</v>
      </c>
      <c r="AV44" s="63">
        <f t="shared" si="21"/>
        <v>-326021.04000000004</v>
      </c>
      <c r="AW44" s="63">
        <f t="shared" si="21"/>
        <v>-316634.29000000004</v>
      </c>
      <c r="AX44" s="63">
        <f t="shared" si="21"/>
        <v>-234149.16</v>
      </c>
      <c r="AY44" s="63">
        <f t="shared" si="21"/>
        <v>-322978.33999999997</v>
      </c>
      <c r="AZ44" s="63">
        <f t="shared" si="21"/>
        <v>-242297.83</v>
      </c>
      <c r="BA44" s="63">
        <f t="shared" si="21"/>
        <v>-251081.85</v>
      </c>
      <c r="BB44" s="63">
        <f t="shared" si="21"/>
        <v>-2946717.9</v>
      </c>
      <c r="BC44" s="63">
        <f t="shared" ref="BC44:BI44" si="22">SUM(BC35:BC43)</f>
        <v>-175488.6</v>
      </c>
      <c r="BD44" s="63">
        <f t="shared" si="22"/>
        <v>-241496.78999999998</v>
      </c>
      <c r="BE44" s="63">
        <f t="shared" si="22"/>
        <v>-214043.11</v>
      </c>
      <c r="BF44" s="63">
        <f t="shared" si="22"/>
        <v>-229939.91</v>
      </c>
      <c r="BG44" s="63">
        <f t="shared" si="22"/>
        <v>-227735.69000000003</v>
      </c>
      <c r="BH44" s="63">
        <f t="shared" si="22"/>
        <v>-244627.7</v>
      </c>
      <c r="BI44" s="63">
        <f t="shared" si="22"/>
        <v>-291944.19</v>
      </c>
      <c r="BJ44" s="63">
        <f t="shared" ref="BJ44:BO44" si="23">SUM(BJ35:BJ43)</f>
        <v>0</v>
      </c>
      <c r="BK44" s="63">
        <f t="shared" si="23"/>
        <v>0</v>
      </c>
      <c r="BL44" s="63">
        <f t="shared" si="23"/>
        <v>0</v>
      </c>
      <c r="BM44" s="63">
        <f t="shared" si="23"/>
        <v>0</v>
      </c>
      <c r="BN44" s="63">
        <f t="shared" si="23"/>
        <v>0</v>
      </c>
      <c r="BO44" s="63">
        <f t="shared" si="23"/>
        <v>-1625275.99</v>
      </c>
    </row>
    <row r="45" spans="2:67" x14ac:dyDescent="0.2">
      <c r="B45" s="3" t="s">
        <v>261</v>
      </c>
      <c r="C45" s="23">
        <v>-646517.02</v>
      </c>
      <c r="D45" s="24">
        <v>-497231.19</v>
      </c>
      <c r="E45" s="24">
        <v>-422286.24</v>
      </c>
      <c r="F45" s="24">
        <v>-710397.23</v>
      </c>
      <c r="G45" s="24">
        <v>-622676.49</v>
      </c>
      <c r="H45" s="24">
        <v>-657472.39</v>
      </c>
      <c r="I45" s="24">
        <v>-801128.19</v>
      </c>
      <c r="J45" s="24">
        <v>-819768.26</v>
      </c>
      <c r="K45" s="24">
        <v>-744768.28</v>
      </c>
      <c r="L45" s="24">
        <v>-676705.45</v>
      </c>
      <c r="M45" s="24">
        <v>-636570.28</v>
      </c>
      <c r="N45" s="24">
        <v>-707252.32</v>
      </c>
      <c r="O45" s="24">
        <f>SUBTOTAL(9,C45:N45)</f>
        <v>-7942773.3400000008</v>
      </c>
      <c r="P45" s="24">
        <v>-682335.86</v>
      </c>
      <c r="Q45" s="24">
        <v>-1007091.17</v>
      </c>
      <c r="R45" s="24">
        <v>-561112.53</v>
      </c>
      <c r="S45" s="24">
        <v>-579084.34</v>
      </c>
      <c r="T45" s="24">
        <v>-956090.15</v>
      </c>
      <c r="U45" s="24">
        <v>-844983.73</v>
      </c>
      <c r="V45" s="24">
        <v>-941176.54</v>
      </c>
      <c r="W45" s="20">
        <v>-905313.58</v>
      </c>
      <c r="X45" s="20">
        <v>-855190.47</v>
      </c>
      <c r="Y45" s="83">
        <v>-769552.89</v>
      </c>
      <c r="Z45" s="83">
        <v>-738836.28</v>
      </c>
      <c r="AA45" s="83">
        <v>-1537494.84</v>
      </c>
      <c r="AB45" s="8">
        <f>SUM(P45:AA45)</f>
        <v>-10378262.379999999</v>
      </c>
      <c r="AC45" s="24">
        <v>-1136676.53</v>
      </c>
      <c r="AD45" s="24">
        <v>-765162.5</v>
      </c>
      <c r="AE45" s="24">
        <v>-739828.37</v>
      </c>
      <c r="AF45" s="24">
        <v>-663639.69999999995</v>
      </c>
      <c r="AG45" s="24">
        <v>-946491.54</v>
      </c>
      <c r="AH45" s="24">
        <v>-1569265.48</v>
      </c>
      <c r="AI45" s="24">
        <v>-1079587.8700000001</v>
      </c>
      <c r="AJ45" s="20">
        <v>-687028.59</v>
      </c>
      <c r="AK45" s="20">
        <v>-610391.36</v>
      </c>
      <c r="AL45" s="83">
        <v>-831287.01</v>
      </c>
      <c r="AM45" s="83">
        <v>-821366.88</v>
      </c>
      <c r="AN45" s="83">
        <v>-711319.55</v>
      </c>
      <c r="AO45" s="8">
        <f>SUM(AC45:AN45)</f>
        <v>-10562045.380000001</v>
      </c>
      <c r="AP45" s="24">
        <v>-909451.37</v>
      </c>
      <c r="AQ45" s="24">
        <v>-742755.76</v>
      </c>
      <c r="AR45" s="24">
        <f>VLOOKUP(B45,'[1]Sheet1 (2)'!$B$2:$C$397,2,0)</f>
        <v>-666391.56000000006</v>
      </c>
      <c r="AS45" s="24">
        <f>VLOOKUP(B45,'[2]Sheet1 (2)'!$B$2:$C$404,2,0)</f>
        <v>-690659.01</v>
      </c>
      <c r="AT45" s="24">
        <v>-651199.11</v>
      </c>
      <c r="AU45" s="24">
        <v>-1282941.46</v>
      </c>
      <c r="AV45" s="24">
        <v>-942252.29</v>
      </c>
      <c r="AW45" s="20">
        <v>-1102077.29</v>
      </c>
      <c r="AX45" s="20">
        <v>-665228.84</v>
      </c>
      <c r="AY45" s="83">
        <v>-640175.42000000004</v>
      </c>
      <c r="AZ45" s="83">
        <v>-688599.64</v>
      </c>
      <c r="BA45" s="83">
        <v>-628259.82999999996</v>
      </c>
      <c r="BB45" s="8">
        <f>SUM(AP45:BA45)</f>
        <v>-9609991.5800000001</v>
      </c>
      <c r="BC45" s="24">
        <v>-825030.16</v>
      </c>
      <c r="BD45" s="24">
        <v>-491556.48</v>
      </c>
      <c r="BE45" s="24">
        <v>-505631.66</v>
      </c>
      <c r="BF45" s="24">
        <v>-505791.15</v>
      </c>
      <c r="BG45" s="24">
        <v>-482511.54</v>
      </c>
      <c r="BH45" s="24">
        <v>-413805.71</v>
      </c>
      <c r="BI45" s="24">
        <v>-482450.9</v>
      </c>
      <c r="BN45" s="83"/>
      <c r="BO45" s="8">
        <f>SUM(BC45:BN45)</f>
        <v>-3706777.6000000001</v>
      </c>
    </row>
    <row r="46" spans="2:67" x14ac:dyDescent="0.2">
      <c r="B46" s="3" t="s">
        <v>262</v>
      </c>
      <c r="C46" s="23"/>
      <c r="L46" s="24">
        <v>-130731.18</v>
      </c>
      <c r="M46" s="24">
        <v>-229.08</v>
      </c>
      <c r="N46" s="24">
        <v>-236.72</v>
      </c>
      <c r="O46" s="24">
        <f>SUBTOTAL(9,C46:N46)</f>
        <v>-131196.97999999998</v>
      </c>
      <c r="P46" s="24">
        <v>-236.72</v>
      </c>
      <c r="Q46" s="24">
        <v>-198.54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0">
        <v>0</v>
      </c>
      <c r="X46" s="20">
        <v>0</v>
      </c>
      <c r="Y46" s="83">
        <v>0</v>
      </c>
      <c r="Z46" s="83">
        <v>0</v>
      </c>
      <c r="AA46" s="83">
        <v>-58186.2</v>
      </c>
      <c r="AB46" s="8">
        <f>SUM(P46:AA46)</f>
        <v>-58621.46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0">
        <v>0</v>
      </c>
      <c r="AK46" s="20">
        <v>0</v>
      </c>
      <c r="AL46" s="83">
        <v>0</v>
      </c>
      <c r="AM46" s="83">
        <v>0</v>
      </c>
      <c r="AN46" s="83">
        <v>-51236.07</v>
      </c>
      <c r="AO46" s="8">
        <f>SUM(AC46:AN46)</f>
        <v>-51236.07</v>
      </c>
      <c r="AP46" s="24">
        <v>0</v>
      </c>
      <c r="AQ46" s="24">
        <v>0</v>
      </c>
      <c r="AR46" s="24">
        <v>0</v>
      </c>
      <c r="AS46" s="24">
        <v>0</v>
      </c>
      <c r="AT46" s="24">
        <v>0</v>
      </c>
      <c r="AU46" s="24">
        <v>0</v>
      </c>
      <c r="AV46" s="24">
        <v>0</v>
      </c>
      <c r="AW46" s="20">
        <v>0</v>
      </c>
      <c r="AX46" s="20">
        <v>-77507.59</v>
      </c>
      <c r="AY46" s="83">
        <v>-99.04</v>
      </c>
      <c r="AZ46" s="83">
        <v>0</v>
      </c>
      <c r="BA46" s="83">
        <v>0</v>
      </c>
      <c r="BB46" s="8">
        <f>SUM(AP46:BA46)</f>
        <v>-77606.62999999999</v>
      </c>
      <c r="BC46" s="24">
        <v>0</v>
      </c>
      <c r="BD46" s="24">
        <v>0</v>
      </c>
      <c r="BE46" s="24">
        <v>0</v>
      </c>
      <c r="BF46" s="24">
        <v>0</v>
      </c>
      <c r="BG46" s="24">
        <v>0</v>
      </c>
      <c r="BH46" s="24">
        <v>0</v>
      </c>
      <c r="BI46" s="24">
        <v>0</v>
      </c>
      <c r="BN46" s="83"/>
      <c r="BO46" s="8">
        <f>SUM(BC46:BN46)</f>
        <v>0</v>
      </c>
    </row>
    <row r="47" spans="2:67" x14ac:dyDescent="0.2">
      <c r="B47" s="3" t="s">
        <v>1532</v>
      </c>
      <c r="C47" s="23"/>
      <c r="L47" s="24">
        <v>131632.24</v>
      </c>
      <c r="M47" s="24">
        <v>0</v>
      </c>
      <c r="N47" s="24">
        <v>0</v>
      </c>
      <c r="O47" s="24">
        <f>SUBTOTAL(9,C47:N47)</f>
        <v>131632.24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0">
        <v>0</v>
      </c>
      <c r="X47" s="20">
        <v>0</v>
      </c>
      <c r="Y47" s="83">
        <v>0</v>
      </c>
      <c r="Z47" s="83">
        <v>0</v>
      </c>
      <c r="AA47" s="83">
        <v>58186.2</v>
      </c>
      <c r="AB47" s="8">
        <f>SUM(P47:AA47)</f>
        <v>58186.2</v>
      </c>
      <c r="AC47" s="24">
        <v>0</v>
      </c>
      <c r="AD47" s="24">
        <v>0</v>
      </c>
      <c r="AE47" s="24">
        <v>0</v>
      </c>
      <c r="AF47" s="24">
        <v>0</v>
      </c>
      <c r="AG47" s="24">
        <v>0</v>
      </c>
      <c r="AH47" s="24">
        <v>0</v>
      </c>
      <c r="AI47" s="24">
        <v>0</v>
      </c>
      <c r="AJ47" s="20">
        <v>0</v>
      </c>
      <c r="AK47" s="20">
        <v>0</v>
      </c>
      <c r="AL47" s="83">
        <v>0</v>
      </c>
      <c r="AM47" s="83">
        <v>0</v>
      </c>
      <c r="AN47" s="83">
        <v>51236.07</v>
      </c>
      <c r="AO47" s="8">
        <f>SUM(AC47:AN47)</f>
        <v>51236.07</v>
      </c>
      <c r="AP47" s="24">
        <v>0</v>
      </c>
      <c r="AQ47" s="24">
        <v>0</v>
      </c>
      <c r="AR47" s="24">
        <v>0</v>
      </c>
      <c r="AS47" s="24">
        <v>0</v>
      </c>
      <c r="AT47" s="24">
        <v>0</v>
      </c>
      <c r="AU47" s="24">
        <v>0</v>
      </c>
      <c r="AV47" s="24">
        <v>0</v>
      </c>
      <c r="AW47" s="20">
        <v>0</v>
      </c>
      <c r="AX47" s="20">
        <v>77606.63</v>
      </c>
      <c r="AY47" s="83">
        <v>0</v>
      </c>
      <c r="AZ47" s="83">
        <v>0</v>
      </c>
      <c r="BA47" s="83">
        <v>0</v>
      </c>
      <c r="BB47" s="8">
        <f>SUM(AP47:BA47)</f>
        <v>77606.63</v>
      </c>
      <c r="BC47" s="24">
        <v>0</v>
      </c>
      <c r="BD47" s="24">
        <v>0</v>
      </c>
      <c r="BE47" s="24">
        <v>0</v>
      </c>
      <c r="BF47" s="24">
        <v>0</v>
      </c>
      <c r="BG47" s="24">
        <v>0</v>
      </c>
      <c r="BH47" s="24">
        <v>0</v>
      </c>
      <c r="BI47" s="24">
        <v>0</v>
      </c>
      <c r="BN47" s="83"/>
      <c r="BO47" s="8">
        <f>SUM(BC47:BN47)</f>
        <v>0</v>
      </c>
    </row>
    <row r="48" spans="2:67" x14ac:dyDescent="0.2">
      <c r="B48" s="6" t="s">
        <v>1540</v>
      </c>
      <c r="C48" s="7">
        <f t="shared" ref="C48:N48" si="24">SUM(C45:C47)</f>
        <v>-646517.02</v>
      </c>
      <c r="D48" s="7">
        <f t="shared" si="24"/>
        <v>-497231.19</v>
      </c>
      <c r="E48" s="7">
        <f t="shared" si="24"/>
        <v>-422286.24</v>
      </c>
      <c r="F48" s="7">
        <f t="shared" si="24"/>
        <v>-710397.23</v>
      </c>
      <c r="G48" s="7">
        <f t="shared" si="24"/>
        <v>-622676.49</v>
      </c>
      <c r="H48" s="7">
        <f t="shared" si="24"/>
        <v>-657472.39</v>
      </c>
      <c r="I48" s="7">
        <f t="shared" si="24"/>
        <v>-801128.19</v>
      </c>
      <c r="J48" s="7">
        <f t="shared" si="24"/>
        <v>-819768.26</v>
      </c>
      <c r="K48" s="7">
        <f t="shared" si="24"/>
        <v>-744768.28</v>
      </c>
      <c r="L48" s="7">
        <f t="shared" si="24"/>
        <v>-675804.3899999999</v>
      </c>
      <c r="M48" s="7">
        <f t="shared" si="24"/>
        <v>-636799.36</v>
      </c>
      <c r="N48" s="7">
        <f t="shared" si="24"/>
        <v>-707489.03999999992</v>
      </c>
      <c r="O48" s="7">
        <f>SUM(C48:N48)</f>
        <v>-7942338.0800000001</v>
      </c>
      <c r="P48" s="7">
        <f t="shared" ref="P48:AT48" si="25">SUM(P45:P47)</f>
        <v>-682572.58</v>
      </c>
      <c r="Q48" s="7">
        <f t="shared" si="25"/>
        <v>-1007289.7100000001</v>
      </c>
      <c r="R48" s="7">
        <f t="shared" si="25"/>
        <v>-561112.53</v>
      </c>
      <c r="S48" s="7">
        <f t="shared" si="25"/>
        <v>-579084.34</v>
      </c>
      <c r="T48" s="7">
        <f t="shared" si="25"/>
        <v>-956090.15</v>
      </c>
      <c r="U48" s="7">
        <f t="shared" si="25"/>
        <v>-844983.73</v>
      </c>
      <c r="V48" s="7">
        <f t="shared" si="25"/>
        <v>-941176.54</v>
      </c>
      <c r="W48" s="63">
        <f t="shared" si="25"/>
        <v>-905313.58</v>
      </c>
      <c r="X48" s="63">
        <f t="shared" si="25"/>
        <v>-855190.47</v>
      </c>
      <c r="Y48" s="63">
        <f t="shared" si="25"/>
        <v>-769552.89</v>
      </c>
      <c r="Z48" s="63">
        <f t="shared" si="25"/>
        <v>-738836.28</v>
      </c>
      <c r="AA48" s="63">
        <f t="shared" si="25"/>
        <v>-1537494.84</v>
      </c>
      <c r="AB48" s="63">
        <f t="shared" si="25"/>
        <v>-10378697.640000001</v>
      </c>
      <c r="AC48" s="63">
        <f t="shared" si="25"/>
        <v>-1136676.53</v>
      </c>
      <c r="AD48" s="63">
        <f t="shared" si="25"/>
        <v>-765162.5</v>
      </c>
      <c r="AE48" s="63">
        <f t="shared" si="25"/>
        <v>-739828.37</v>
      </c>
      <c r="AF48" s="63">
        <f t="shared" si="25"/>
        <v>-663639.69999999995</v>
      </c>
      <c r="AG48" s="63">
        <f t="shared" si="25"/>
        <v>-946491.54</v>
      </c>
      <c r="AH48" s="63">
        <f t="shared" si="25"/>
        <v>-1569265.48</v>
      </c>
      <c r="AI48" s="63">
        <f t="shared" si="25"/>
        <v>-1079587.8700000001</v>
      </c>
      <c r="AJ48" s="63">
        <f t="shared" si="25"/>
        <v>-687028.59</v>
      </c>
      <c r="AK48" s="63">
        <f t="shared" si="25"/>
        <v>-610391.36</v>
      </c>
      <c r="AL48" s="63">
        <f t="shared" si="25"/>
        <v>-831287.01</v>
      </c>
      <c r="AM48" s="63">
        <f t="shared" si="25"/>
        <v>-821366.88</v>
      </c>
      <c r="AN48" s="63">
        <f t="shared" si="25"/>
        <v>-711319.55</v>
      </c>
      <c r="AO48" s="63">
        <f t="shared" si="25"/>
        <v>-10562045.380000001</v>
      </c>
      <c r="AP48" s="63">
        <f t="shared" si="25"/>
        <v>-909451.37</v>
      </c>
      <c r="AQ48" s="63">
        <f t="shared" si="25"/>
        <v>-742755.76</v>
      </c>
      <c r="AR48" s="63">
        <f t="shared" si="25"/>
        <v>-666391.56000000006</v>
      </c>
      <c r="AS48" s="63">
        <f t="shared" si="25"/>
        <v>-690659.01</v>
      </c>
      <c r="AT48" s="63">
        <f t="shared" si="25"/>
        <v>-651199.11</v>
      </c>
      <c r="AU48" s="63">
        <f t="shared" ref="AU48:BA48" si="26">SUM(AU45:AU47)</f>
        <v>-1282941.46</v>
      </c>
      <c r="AV48" s="63">
        <f t="shared" si="26"/>
        <v>-942252.29</v>
      </c>
      <c r="AW48" s="63">
        <f t="shared" si="26"/>
        <v>-1102077.29</v>
      </c>
      <c r="AX48" s="63">
        <f t="shared" si="26"/>
        <v>-665129.79999999993</v>
      </c>
      <c r="AY48" s="63">
        <f t="shared" si="26"/>
        <v>-640274.46000000008</v>
      </c>
      <c r="AZ48" s="63">
        <f t="shared" si="26"/>
        <v>-688599.64</v>
      </c>
      <c r="BA48" s="63">
        <f t="shared" si="26"/>
        <v>-628259.82999999996</v>
      </c>
      <c r="BB48" s="63">
        <f>SUM(BB45:BB47)</f>
        <v>-9609991.5800000001</v>
      </c>
      <c r="BC48" s="63">
        <f t="shared" ref="BC48:BO48" si="27">SUM(BC45:BC47)</f>
        <v>-825030.16</v>
      </c>
      <c r="BD48" s="63">
        <f t="shared" si="27"/>
        <v>-491556.48</v>
      </c>
      <c r="BE48" s="63">
        <f t="shared" si="27"/>
        <v>-505631.66</v>
      </c>
      <c r="BF48" s="63">
        <f t="shared" si="27"/>
        <v>-505791.15</v>
      </c>
      <c r="BG48" s="63">
        <f t="shared" si="27"/>
        <v>-482511.54</v>
      </c>
      <c r="BH48" s="63">
        <f t="shared" si="27"/>
        <v>-413805.71</v>
      </c>
      <c r="BI48" s="63">
        <f t="shared" si="27"/>
        <v>-482450.9</v>
      </c>
      <c r="BJ48" s="63">
        <f t="shared" si="27"/>
        <v>0</v>
      </c>
      <c r="BK48" s="63">
        <f t="shared" si="27"/>
        <v>0</v>
      </c>
      <c r="BL48" s="63">
        <f t="shared" si="27"/>
        <v>0</v>
      </c>
      <c r="BM48" s="63">
        <f t="shared" si="27"/>
        <v>0</v>
      </c>
      <c r="BN48" s="63">
        <f t="shared" si="27"/>
        <v>0</v>
      </c>
      <c r="BO48" s="63">
        <f t="shared" si="27"/>
        <v>-3706777.6000000001</v>
      </c>
    </row>
    <row r="49" spans="2:67" x14ac:dyDescent="0.2">
      <c r="B49" s="3" t="s">
        <v>264</v>
      </c>
      <c r="C49" s="23">
        <v>-52009.78</v>
      </c>
      <c r="D49" s="24">
        <v>-28577.48</v>
      </c>
      <c r="E49" s="24">
        <v>-229866.02</v>
      </c>
      <c r="F49" s="24">
        <v>-43904.639999999999</v>
      </c>
      <c r="G49" s="24">
        <v>-25125.119999999999</v>
      </c>
      <c r="H49" s="24">
        <v>-77176.990000000005</v>
      </c>
      <c r="I49" s="24">
        <v>-50082.400000000001</v>
      </c>
      <c r="J49" s="24">
        <v>-98850.02</v>
      </c>
      <c r="K49" s="24">
        <v>-27240.91</v>
      </c>
      <c r="L49" s="24">
        <v>-164113.96</v>
      </c>
      <c r="M49" s="24">
        <v>-72788.11</v>
      </c>
      <c r="N49" s="24">
        <v>-200334.59</v>
      </c>
      <c r="O49" s="24">
        <f>SUBTOTAL(9,C49:N49)</f>
        <v>-1070070.02</v>
      </c>
      <c r="P49" s="24">
        <v>-40869.919999999998</v>
      </c>
      <c r="Q49" s="24">
        <v>-46227.78</v>
      </c>
      <c r="R49" s="24">
        <v>-38828.33</v>
      </c>
      <c r="S49" s="24">
        <v>-88183.13</v>
      </c>
      <c r="T49" s="24">
        <v>-76436.14</v>
      </c>
      <c r="U49" s="24">
        <v>-44287.93</v>
      </c>
      <c r="V49" s="24">
        <v>-54220.92</v>
      </c>
      <c r="W49" s="20">
        <v>-104933.64</v>
      </c>
      <c r="X49" s="20">
        <v>-94205.49</v>
      </c>
      <c r="Y49" s="83">
        <v>-63051.05</v>
      </c>
      <c r="Z49" s="83">
        <v>-121631.22</v>
      </c>
      <c r="AA49" s="83">
        <v>-78368.490000000005</v>
      </c>
      <c r="AB49" s="8">
        <f>SUM(P49:AA49)</f>
        <v>-851244.04</v>
      </c>
      <c r="AC49" s="24">
        <v>-44791.65</v>
      </c>
      <c r="AD49" s="24">
        <v>-135512.76999999999</v>
      </c>
      <c r="AE49" s="24">
        <v>-56898.2</v>
      </c>
      <c r="AF49" s="24">
        <v>-200379.7</v>
      </c>
      <c r="AG49" s="24">
        <v>-42458.76</v>
      </c>
      <c r="AH49" s="24">
        <v>-186147.15</v>
      </c>
      <c r="AI49" s="24">
        <v>-57324.28</v>
      </c>
      <c r="AJ49" s="20">
        <v>-111976.17</v>
      </c>
      <c r="AK49" s="20">
        <v>-18346.810000000001</v>
      </c>
      <c r="AL49" s="83">
        <v>-102416.94</v>
      </c>
      <c r="AM49" s="83">
        <v>-184898.8</v>
      </c>
      <c r="AN49" s="83">
        <v>-42433.72</v>
      </c>
      <c r="AO49" s="8">
        <f>SUM(AC49:AN49)</f>
        <v>-1183584.9500000002</v>
      </c>
      <c r="AP49" s="24">
        <v>-20988.880000000001</v>
      </c>
      <c r="AQ49" s="24">
        <v>-43196.46</v>
      </c>
      <c r="AR49" s="24">
        <f>VLOOKUP(B49,'[1]Sheet1 (2)'!$B$2:$C$397,2,0)</f>
        <v>-35582.21</v>
      </c>
      <c r="AS49" s="24">
        <f>VLOOKUP(B49,'[2]Sheet1 (2)'!$B$2:$C$404,2,0)</f>
        <v>-106400.55</v>
      </c>
      <c r="AT49" s="24">
        <v>-37199.360000000001</v>
      </c>
      <c r="AU49" s="24">
        <v>-69795.81</v>
      </c>
      <c r="AV49" s="24">
        <v>-267626.28000000003</v>
      </c>
      <c r="AW49" s="20">
        <v>-103854.37</v>
      </c>
      <c r="AX49" s="20">
        <v>-60141.51</v>
      </c>
      <c r="AY49" s="83">
        <v>-70712.86</v>
      </c>
      <c r="AZ49" s="83">
        <v>-142763.39000000001</v>
      </c>
      <c r="BA49" s="83">
        <v>-127339.99</v>
      </c>
      <c r="BB49" s="8">
        <f>SUM(AP49:BA49)</f>
        <v>-1085601.6700000002</v>
      </c>
      <c r="BC49" s="24">
        <v>-160229.37</v>
      </c>
      <c r="BD49" s="24">
        <v>-45247.13</v>
      </c>
      <c r="BE49" s="24">
        <v>-85074.6</v>
      </c>
      <c r="BF49" s="24">
        <v>-331693.62</v>
      </c>
      <c r="BG49" s="24">
        <v>-25688.67</v>
      </c>
      <c r="BH49" s="24">
        <v>-249536.33</v>
      </c>
      <c r="BI49" s="24">
        <v>-120159.08</v>
      </c>
      <c r="BN49" s="83"/>
      <c r="BO49" s="8">
        <f>SUM(BC49:BN49)</f>
        <v>-1017628.7999999999</v>
      </c>
    </row>
    <row r="50" spans="2:67" x14ac:dyDescent="0.2">
      <c r="B50" s="6" t="s">
        <v>1541</v>
      </c>
      <c r="C50" s="7">
        <f t="shared" ref="C50:N50" si="28">SUM(C49)</f>
        <v>-52009.78</v>
      </c>
      <c r="D50" s="7">
        <f t="shared" si="28"/>
        <v>-28577.48</v>
      </c>
      <c r="E50" s="7">
        <f t="shared" si="28"/>
        <v>-229866.02</v>
      </c>
      <c r="F50" s="7">
        <f t="shared" si="28"/>
        <v>-43904.639999999999</v>
      </c>
      <c r="G50" s="7">
        <f t="shared" si="28"/>
        <v>-25125.119999999999</v>
      </c>
      <c r="H50" s="7">
        <f t="shared" si="28"/>
        <v>-77176.990000000005</v>
      </c>
      <c r="I50" s="7">
        <f t="shared" si="28"/>
        <v>-50082.400000000001</v>
      </c>
      <c r="J50" s="7">
        <f t="shared" si="28"/>
        <v>-98850.02</v>
      </c>
      <c r="K50" s="7">
        <f t="shared" si="28"/>
        <v>-27240.91</v>
      </c>
      <c r="L50" s="7">
        <f t="shared" si="28"/>
        <v>-164113.96</v>
      </c>
      <c r="M50" s="7">
        <f t="shared" si="28"/>
        <v>-72788.11</v>
      </c>
      <c r="N50" s="7">
        <f t="shared" si="28"/>
        <v>-200334.59</v>
      </c>
      <c r="O50" s="7">
        <f>SUM(C50:N50)</f>
        <v>-1070070.02</v>
      </c>
      <c r="P50" s="7">
        <f t="shared" ref="P50:AT50" si="29">SUM(P49)</f>
        <v>-40869.919999999998</v>
      </c>
      <c r="Q50" s="7">
        <f t="shared" si="29"/>
        <v>-46227.78</v>
      </c>
      <c r="R50" s="7">
        <f t="shared" si="29"/>
        <v>-38828.33</v>
      </c>
      <c r="S50" s="7">
        <f t="shared" si="29"/>
        <v>-88183.13</v>
      </c>
      <c r="T50" s="7">
        <f t="shared" si="29"/>
        <v>-76436.14</v>
      </c>
      <c r="U50" s="7">
        <f t="shared" si="29"/>
        <v>-44287.93</v>
      </c>
      <c r="V50" s="7">
        <f t="shared" si="29"/>
        <v>-54220.92</v>
      </c>
      <c r="W50" s="63">
        <f t="shared" si="29"/>
        <v>-104933.64</v>
      </c>
      <c r="X50" s="63">
        <f t="shared" si="29"/>
        <v>-94205.49</v>
      </c>
      <c r="Y50" s="63">
        <f t="shared" si="29"/>
        <v>-63051.05</v>
      </c>
      <c r="Z50" s="63">
        <f t="shared" si="29"/>
        <v>-121631.22</v>
      </c>
      <c r="AA50" s="63">
        <f t="shared" si="29"/>
        <v>-78368.490000000005</v>
      </c>
      <c r="AB50" s="63">
        <f t="shared" si="29"/>
        <v>-851244.04</v>
      </c>
      <c r="AC50" s="63">
        <f t="shared" si="29"/>
        <v>-44791.65</v>
      </c>
      <c r="AD50" s="63">
        <f t="shared" si="29"/>
        <v>-135512.76999999999</v>
      </c>
      <c r="AE50" s="63">
        <f t="shared" si="29"/>
        <v>-56898.2</v>
      </c>
      <c r="AF50" s="63">
        <f t="shared" si="29"/>
        <v>-200379.7</v>
      </c>
      <c r="AG50" s="63">
        <f t="shared" si="29"/>
        <v>-42458.76</v>
      </c>
      <c r="AH50" s="63">
        <f t="shared" si="29"/>
        <v>-186147.15</v>
      </c>
      <c r="AI50" s="63">
        <f t="shared" si="29"/>
        <v>-57324.28</v>
      </c>
      <c r="AJ50" s="63">
        <f t="shared" si="29"/>
        <v>-111976.17</v>
      </c>
      <c r="AK50" s="63">
        <f t="shared" si="29"/>
        <v>-18346.810000000001</v>
      </c>
      <c r="AL50" s="63">
        <f t="shared" si="29"/>
        <v>-102416.94</v>
      </c>
      <c r="AM50" s="63">
        <f t="shared" si="29"/>
        <v>-184898.8</v>
      </c>
      <c r="AN50" s="63">
        <f t="shared" si="29"/>
        <v>-42433.72</v>
      </c>
      <c r="AO50" s="63">
        <f t="shared" si="29"/>
        <v>-1183584.9500000002</v>
      </c>
      <c r="AP50" s="63">
        <f t="shared" si="29"/>
        <v>-20988.880000000001</v>
      </c>
      <c r="AQ50" s="63">
        <f t="shared" si="29"/>
        <v>-43196.46</v>
      </c>
      <c r="AR50" s="63">
        <f t="shared" si="29"/>
        <v>-35582.21</v>
      </c>
      <c r="AS50" s="63">
        <f t="shared" si="29"/>
        <v>-106400.55</v>
      </c>
      <c r="AT50" s="63">
        <f t="shared" si="29"/>
        <v>-37199.360000000001</v>
      </c>
      <c r="AU50" s="63">
        <f t="shared" ref="AU50:BA50" si="30">SUM(AU49)</f>
        <v>-69795.81</v>
      </c>
      <c r="AV50" s="63">
        <f t="shared" si="30"/>
        <v>-267626.28000000003</v>
      </c>
      <c r="AW50" s="63">
        <f t="shared" si="30"/>
        <v>-103854.37</v>
      </c>
      <c r="AX50" s="63">
        <f t="shared" si="30"/>
        <v>-60141.51</v>
      </c>
      <c r="AY50" s="63">
        <f t="shared" si="30"/>
        <v>-70712.86</v>
      </c>
      <c r="AZ50" s="63">
        <f t="shared" si="30"/>
        <v>-142763.39000000001</v>
      </c>
      <c r="BA50" s="63">
        <f t="shared" si="30"/>
        <v>-127339.99</v>
      </c>
      <c r="BB50" s="63">
        <f>SUM(BB49)</f>
        <v>-1085601.6700000002</v>
      </c>
      <c r="BC50" s="63">
        <f t="shared" ref="BC50:BO50" si="31">SUM(BC49)</f>
        <v>-160229.37</v>
      </c>
      <c r="BD50" s="63">
        <f t="shared" si="31"/>
        <v>-45247.13</v>
      </c>
      <c r="BE50" s="63">
        <f t="shared" si="31"/>
        <v>-85074.6</v>
      </c>
      <c r="BF50" s="63">
        <f t="shared" si="31"/>
        <v>-331693.62</v>
      </c>
      <c r="BG50" s="63">
        <f t="shared" si="31"/>
        <v>-25688.67</v>
      </c>
      <c r="BH50" s="63">
        <f t="shared" si="31"/>
        <v>-249536.33</v>
      </c>
      <c r="BI50" s="63">
        <f t="shared" si="31"/>
        <v>-120159.08</v>
      </c>
      <c r="BJ50" s="63">
        <f t="shared" si="31"/>
        <v>0</v>
      </c>
      <c r="BK50" s="63">
        <f t="shared" si="31"/>
        <v>0</v>
      </c>
      <c r="BL50" s="63">
        <f t="shared" si="31"/>
        <v>0</v>
      </c>
      <c r="BM50" s="63">
        <f t="shared" si="31"/>
        <v>0</v>
      </c>
      <c r="BN50" s="63">
        <f t="shared" si="31"/>
        <v>0</v>
      </c>
      <c r="BO50" s="63">
        <f t="shared" si="31"/>
        <v>-1017628.7999999999</v>
      </c>
    </row>
    <row r="51" spans="2:67" s="9" customFormat="1" ht="12.75" x14ac:dyDescent="0.2">
      <c r="B51" s="13" t="s">
        <v>1537</v>
      </c>
      <c r="C51" s="15">
        <f t="shared" ref="C51:N51" si="32">C50+C48+C44+C34+C13</f>
        <v>-5848420.9799999995</v>
      </c>
      <c r="D51" s="15">
        <f t="shared" si="32"/>
        <v>-5634735.7599999998</v>
      </c>
      <c r="E51" s="15">
        <f t="shared" si="32"/>
        <v>-6708051.7600000007</v>
      </c>
      <c r="F51" s="15">
        <f t="shared" si="32"/>
        <v>-5969681.75</v>
      </c>
      <c r="G51" s="15">
        <f t="shared" si="32"/>
        <v>-6838537.2800000003</v>
      </c>
      <c r="H51" s="15">
        <f t="shared" si="32"/>
        <v>-8679339.4100000001</v>
      </c>
      <c r="I51" s="15">
        <f t="shared" si="32"/>
        <v>-6657472.1699999999</v>
      </c>
      <c r="J51" s="15">
        <f t="shared" si="32"/>
        <v>-6525780.9100000001</v>
      </c>
      <c r="K51" s="15">
        <f t="shared" si="32"/>
        <v>-12126772.74</v>
      </c>
      <c r="L51" s="15">
        <f t="shared" si="32"/>
        <v>-8863151.790000001</v>
      </c>
      <c r="M51" s="15">
        <f t="shared" si="32"/>
        <v>-10544232.85</v>
      </c>
      <c r="N51" s="15">
        <f t="shared" si="32"/>
        <v>-12509425.400000002</v>
      </c>
      <c r="O51" s="14">
        <f>SUM(C51:N51)</f>
        <v>-96905602.799999997</v>
      </c>
      <c r="P51" s="15">
        <f t="shared" ref="P51:BB51" si="33">P50+P48+P44+P34+P13</f>
        <v>-9590168.1099999994</v>
      </c>
      <c r="Q51" s="15">
        <f t="shared" si="33"/>
        <v>-7908667.8900000006</v>
      </c>
      <c r="R51" s="15">
        <f t="shared" si="33"/>
        <v>-12265204.949999999</v>
      </c>
      <c r="S51" s="15">
        <f t="shared" si="33"/>
        <v>-7095671.7200000007</v>
      </c>
      <c r="T51" s="15">
        <f t="shared" si="33"/>
        <v>-9924185</v>
      </c>
      <c r="U51" s="15">
        <f t="shared" si="33"/>
        <v>-8538561.3099999987</v>
      </c>
      <c r="V51" s="15">
        <f t="shared" si="33"/>
        <v>-7420172.3500000006</v>
      </c>
      <c r="W51" s="64">
        <f t="shared" si="33"/>
        <v>-9130037.870000001</v>
      </c>
      <c r="X51" s="64">
        <f t="shared" si="33"/>
        <v>-7940095.4699999997</v>
      </c>
      <c r="Y51" s="64">
        <f t="shared" si="33"/>
        <v>-9418666.9099999983</v>
      </c>
      <c r="Z51" s="64">
        <f t="shared" si="33"/>
        <v>-6874556.8200000003</v>
      </c>
      <c r="AA51" s="64">
        <f t="shared" si="33"/>
        <v>-10431586.309999999</v>
      </c>
      <c r="AB51" s="64">
        <f t="shared" si="33"/>
        <v>-106537574.71000001</v>
      </c>
      <c r="AC51" s="64">
        <f t="shared" si="33"/>
        <v>-5815487.6299999999</v>
      </c>
      <c r="AD51" s="64">
        <f t="shared" si="33"/>
        <v>-7392243.4600000009</v>
      </c>
      <c r="AE51" s="64">
        <f t="shared" si="33"/>
        <v>-7095325.71</v>
      </c>
      <c r="AF51" s="64">
        <f t="shared" si="33"/>
        <v>-6236028.8200000003</v>
      </c>
      <c r="AG51" s="64">
        <f t="shared" si="33"/>
        <v>-7658434.5100000007</v>
      </c>
      <c r="AH51" s="64">
        <f t="shared" si="33"/>
        <v>-7547571.1299999999</v>
      </c>
      <c r="AI51" s="64">
        <f t="shared" si="33"/>
        <v>-7797237.96</v>
      </c>
      <c r="AJ51" s="64">
        <f t="shared" si="33"/>
        <v>-3781318.24</v>
      </c>
      <c r="AK51" s="64">
        <f t="shared" si="33"/>
        <v>-12033315.679999998</v>
      </c>
      <c r="AL51" s="64">
        <f t="shared" si="33"/>
        <v>-7211024.0500000007</v>
      </c>
      <c r="AM51" s="64">
        <f t="shared" si="33"/>
        <v>-7546886.0100000007</v>
      </c>
      <c r="AN51" s="64">
        <f t="shared" si="33"/>
        <v>-8951247.4399999995</v>
      </c>
      <c r="AO51" s="64">
        <f t="shared" si="33"/>
        <v>-89066120.640000001</v>
      </c>
      <c r="AP51" s="64">
        <f t="shared" si="33"/>
        <v>-5371503.1399999997</v>
      </c>
      <c r="AQ51" s="64">
        <f t="shared" si="33"/>
        <v>-5694829.3900000006</v>
      </c>
      <c r="AR51" s="64">
        <f t="shared" si="33"/>
        <v>-3880499.8800000004</v>
      </c>
      <c r="AS51" s="64">
        <f t="shared" si="33"/>
        <v>-3951458.0300000003</v>
      </c>
      <c r="AT51" s="64">
        <f t="shared" si="33"/>
        <v>-5436594.7899999991</v>
      </c>
      <c r="AU51" s="64">
        <f t="shared" si="33"/>
        <v>-5425860.8500000006</v>
      </c>
      <c r="AV51" s="64">
        <f t="shared" si="33"/>
        <v>-4695376.5100000007</v>
      </c>
      <c r="AW51" s="64">
        <f t="shared" si="33"/>
        <v>-5146622.2300000004</v>
      </c>
      <c r="AX51" s="64">
        <f t="shared" si="33"/>
        <v>-4461031.3899999997</v>
      </c>
      <c r="AY51" s="64">
        <f t="shared" si="33"/>
        <v>-4805419.79</v>
      </c>
      <c r="AZ51" s="64">
        <f t="shared" si="33"/>
        <v>-5489646.4199999999</v>
      </c>
      <c r="BA51" s="64">
        <f t="shared" si="33"/>
        <v>-5303462.0500000007</v>
      </c>
      <c r="BB51" s="64">
        <f t="shared" si="33"/>
        <v>-59662304.470000006</v>
      </c>
      <c r="BC51" s="64">
        <f t="shared" ref="BC51:BI51" si="34">BC50+BC48+BC44+BC34+BC13</f>
        <v>-4672952.2200000007</v>
      </c>
      <c r="BD51" s="64">
        <f t="shared" si="34"/>
        <v>-5923390.5700000012</v>
      </c>
      <c r="BE51" s="64">
        <f t="shared" si="34"/>
        <v>-5333049.7100000018</v>
      </c>
      <c r="BF51" s="64">
        <f t="shared" si="34"/>
        <v>-4776841.7</v>
      </c>
      <c r="BG51" s="64">
        <f t="shared" si="34"/>
        <v>-3861326.6700000004</v>
      </c>
      <c r="BH51" s="64">
        <f t="shared" si="34"/>
        <v>-4538222.17</v>
      </c>
      <c r="BI51" s="64">
        <f t="shared" si="34"/>
        <v>-4725010.7299999995</v>
      </c>
      <c r="BJ51" s="64">
        <f t="shared" ref="BJ51:BO51" si="35">BJ50+BJ48+BJ44+BJ34+BJ13</f>
        <v>0</v>
      </c>
      <c r="BK51" s="64">
        <f t="shared" si="35"/>
        <v>0</v>
      </c>
      <c r="BL51" s="64">
        <f t="shared" si="35"/>
        <v>0</v>
      </c>
      <c r="BM51" s="64">
        <f t="shared" si="35"/>
        <v>0</v>
      </c>
      <c r="BN51" s="64">
        <f t="shared" si="35"/>
        <v>0</v>
      </c>
      <c r="BO51" s="64">
        <f t="shared" si="35"/>
        <v>-33830793.770000003</v>
      </c>
    </row>
    <row r="52" spans="2:67" x14ac:dyDescent="0.2">
      <c r="B52" s="3" t="s">
        <v>267</v>
      </c>
      <c r="C52" s="23">
        <v>35994.629999999997</v>
      </c>
      <c r="D52" s="24">
        <v>0</v>
      </c>
      <c r="E52" s="24">
        <v>0</v>
      </c>
      <c r="F52" s="24">
        <v>0</v>
      </c>
      <c r="G52" s="24">
        <v>350.56</v>
      </c>
      <c r="H52" s="24">
        <v>0</v>
      </c>
      <c r="I52" s="24">
        <v>0</v>
      </c>
      <c r="J52" s="24">
        <v>980203.65</v>
      </c>
      <c r="K52" s="24">
        <v>1351771.89</v>
      </c>
      <c r="L52" s="24">
        <v>119269.53</v>
      </c>
      <c r="M52" s="24">
        <v>152016.34</v>
      </c>
      <c r="N52" s="24">
        <v>433.56</v>
      </c>
      <c r="O52" s="24">
        <f>SUBTOTAL(9,C52:N52)</f>
        <v>2640040.1599999997</v>
      </c>
      <c r="P52" s="24">
        <v>1541010.5</v>
      </c>
      <c r="Q52" s="24">
        <v>842702.86</v>
      </c>
      <c r="R52" s="24">
        <v>0</v>
      </c>
      <c r="S52" s="24">
        <v>83246.28</v>
      </c>
      <c r="T52" s="24">
        <v>55578.8</v>
      </c>
      <c r="U52" s="24">
        <v>853.06</v>
      </c>
      <c r="V52" s="24">
        <v>72816.800000000003</v>
      </c>
      <c r="W52" s="20">
        <v>-91.49</v>
      </c>
      <c r="X52" s="20">
        <v>87556.58</v>
      </c>
      <c r="Y52" s="83">
        <v>3024.95</v>
      </c>
      <c r="Z52" s="83">
        <v>884.48</v>
      </c>
      <c r="AA52" s="83">
        <v>101309.86</v>
      </c>
      <c r="AB52" s="8">
        <f>SUM(P52:AA52)</f>
        <v>2788892.6799999992</v>
      </c>
      <c r="AC52" s="24">
        <v>9136.0300000000007</v>
      </c>
      <c r="AD52" s="24">
        <v>488.24</v>
      </c>
      <c r="AE52" s="24">
        <v>30.2</v>
      </c>
      <c r="AF52" s="24">
        <v>381.89</v>
      </c>
      <c r="AG52" s="24">
        <v>0</v>
      </c>
      <c r="AH52" s="24">
        <v>328.98</v>
      </c>
      <c r="AI52" s="24">
        <v>101612.94</v>
      </c>
      <c r="AJ52" s="20">
        <v>31852.560000000001</v>
      </c>
      <c r="AK52" s="20">
        <v>0</v>
      </c>
      <c r="AL52" s="83">
        <v>68921.710000000006</v>
      </c>
      <c r="AM52" s="83">
        <v>1235.8599999999999</v>
      </c>
      <c r="AN52" s="83">
        <v>318613.96999999997</v>
      </c>
      <c r="AO52" s="8">
        <f t="shared" ref="AO52:AO70" si="36">SUM(AC52:AN52)</f>
        <v>532602.37999999989</v>
      </c>
      <c r="AP52" s="24">
        <v>0</v>
      </c>
      <c r="AQ52" s="24">
        <v>296685.36</v>
      </c>
      <c r="AR52" s="24">
        <f>VLOOKUP(B52,'[1]Sheet1 (2)'!$B$2:$C$397,2,0)</f>
        <v>0</v>
      </c>
      <c r="AS52" s="24">
        <f>VLOOKUP(B52,'[2]Sheet1 (2)'!$B$2:$C$404,2,0)</f>
        <v>0</v>
      </c>
      <c r="AT52" s="24">
        <v>139074.85</v>
      </c>
      <c r="AU52" s="24">
        <v>35027.440000000002</v>
      </c>
      <c r="AV52" s="24">
        <v>948.52</v>
      </c>
      <c r="AW52" s="20">
        <v>0</v>
      </c>
      <c r="AX52" s="20">
        <v>1351.88</v>
      </c>
      <c r="AY52" s="83">
        <v>2527.79</v>
      </c>
      <c r="AZ52" s="83">
        <v>107182.84</v>
      </c>
      <c r="BA52" s="83">
        <v>47452.97</v>
      </c>
      <c r="BB52" s="8">
        <f t="shared" ref="BB52:BB80" si="37">SUM(AP52:BA52)</f>
        <v>630251.64999999991</v>
      </c>
      <c r="BC52" s="24">
        <v>0</v>
      </c>
      <c r="BD52" s="24">
        <v>400.5</v>
      </c>
      <c r="BE52" s="24">
        <v>5283.5</v>
      </c>
      <c r="BF52" s="24">
        <v>97627.57</v>
      </c>
      <c r="BG52" s="24">
        <v>0</v>
      </c>
      <c r="BH52" s="24">
        <v>0</v>
      </c>
      <c r="BI52" s="24">
        <v>0</v>
      </c>
      <c r="BN52" s="83"/>
      <c r="BO52" s="8">
        <f t="shared" ref="BO52:BO80" si="38">SUM(BC52:BN52)</f>
        <v>103311.57</v>
      </c>
    </row>
    <row r="53" spans="2:67" x14ac:dyDescent="0.2">
      <c r="B53" s="3" t="s">
        <v>268</v>
      </c>
      <c r="C53" s="23"/>
      <c r="J53" s="24">
        <v>20484.939999999999</v>
      </c>
      <c r="K53" s="24">
        <v>13784.74</v>
      </c>
      <c r="L53" s="24">
        <v>0</v>
      </c>
      <c r="M53" s="24">
        <v>0</v>
      </c>
      <c r="N53" s="24">
        <v>0</v>
      </c>
      <c r="O53" s="24">
        <f>SUBTOTAL(9,C53:N53)</f>
        <v>34269.68</v>
      </c>
      <c r="P53" s="24">
        <v>19021.95</v>
      </c>
      <c r="Q53" s="24">
        <v>19350.3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0">
        <v>0</v>
      </c>
      <c r="X53" s="20">
        <v>8915.43</v>
      </c>
      <c r="Y53" s="83">
        <v>1407.16</v>
      </c>
      <c r="Z53" s="83">
        <v>0</v>
      </c>
      <c r="AA53" s="83">
        <v>0</v>
      </c>
      <c r="AB53" s="8">
        <f>SUM(P53:AA53)</f>
        <v>48694.840000000004</v>
      </c>
      <c r="AC53" s="24">
        <v>0</v>
      </c>
      <c r="AD53" s="24">
        <v>0</v>
      </c>
      <c r="AE53" s="24">
        <v>0</v>
      </c>
      <c r="AF53" s="24">
        <v>0</v>
      </c>
      <c r="AG53" s="24">
        <v>0</v>
      </c>
      <c r="AH53" s="24">
        <v>0</v>
      </c>
      <c r="AI53" s="24">
        <v>0</v>
      </c>
      <c r="AJ53" s="20">
        <v>0</v>
      </c>
      <c r="AK53" s="20">
        <v>0</v>
      </c>
      <c r="AL53" s="83">
        <v>1745.32</v>
      </c>
      <c r="AM53" s="83">
        <v>0</v>
      </c>
      <c r="AN53" s="83">
        <v>0</v>
      </c>
      <c r="AO53" s="8">
        <f t="shared" si="36"/>
        <v>1745.32</v>
      </c>
      <c r="AP53" s="24">
        <v>0</v>
      </c>
      <c r="AQ53" s="24">
        <v>8815.14</v>
      </c>
      <c r="AR53" s="24">
        <f>VLOOKUP(B53,'[1]Sheet1 (2)'!$B$2:$C$397,2,0)</f>
        <v>0</v>
      </c>
      <c r="AS53" s="24">
        <f>VLOOKUP(B53,'[2]Sheet1 (2)'!$B$2:$C$404,2,0)</f>
        <v>0</v>
      </c>
      <c r="AT53" s="24">
        <v>692.93</v>
      </c>
      <c r="AU53" s="24">
        <v>243.26</v>
      </c>
      <c r="AV53" s="24">
        <v>0</v>
      </c>
      <c r="AW53" s="20">
        <v>0</v>
      </c>
      <c r="AX53" s="20">
        <v>0</v>
      </c>
      <c r="AY53" s="83">
        <v>0</v>
      </c>
      <c r="AZ53" s="83">
        <v>0</v>
      </c>
      <c r="BA53" s="83">
        <v>60.13</v>
      </c>
      <c r="BB53" s="8">
        <f t="shared" si="37"/>
        <v>9811.4599999999991</v>
      </c>
      <c r="BC53" s="24">
        <v>0</v>
      </c>
      <c r="BD53" s="24">
        <v>0</v>
      </c>
      <c r="BE53" s="24">
        <v>0</v>
      </c>
      <c r="BF53" s="24">
        <v>1931.77</v>
      </c>
      <c r="BG53" s="24">
        <v>0</v>
      </c>
      <c r="BH53" s="24">
        <v>0</v>
      </c>
      <c r="BI53" s="24">
        <v>0</v>
      </c>
      <c r="BN53" s="83"/>
      <c r="BO53" s="8">
        <f t="shared" si="38"/>
        <v>1931.77</v>
      </c>
    </row>
    <row r="54" spans="2:67" x14ac:dyDescent="0.2">
      <c r="B54" s="3" t="s">
        <v>1838</v>
      </c>
      <c r="C54" s="23"/>
      <c r="AA54" s="83"/>
      <c r="AB54" s="8"/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  <c r="AK54" s="24">
        <v>0</v>
      </c>
      <c r="AL54" s="24">
        <v>0</v>
      </c>
      <c r="AM54" s="24">
        <v>0</v>
      </c>
      <c r="AN54" s="83">
        <v>5830</v>
      </c>
      <c r="AO54" s="8">
        <f t="shared" si="36"/>
        <v>5830</v>
      </c>
      <c r="AP54" s="24">
        <v>0</v>
      </c>
      <c r="AQ54" s="24">
        <v>0</v>
      </c>
      <c r="AR54" s="24">
        <v>0</v>
      </c>
      <c r="AS54" s="24">
        <v>0</v>
      </c>
      <c r="AT54" s="24">
        <v>0</v>
      </c>
      <c r="AU54" s="24">
        <v>0</v>
      </c>
      <c r="AV54" s="24">
        <v>0</v>
      </c>
      <c r="AW54" s="20">
        <v>-813.72</v>
      </c>
      <c r="AX54" s="20">
        <v>0</v>
      </c>
      <c r="AY54" s="83">
        <v>0</v>
      </c>
      <c r="AZ54" s="83">
        <v>0</v>
      </c>
      <c r="BA54" s="83">
        <v>0</v>
      </c>
      <c r="BB54" s="8">
        <f t="shared" si="37"/>
        <v>-813.72</v>
      </c>
      <c r="BC54" s="24">
        <v>0</v>
      </c>
      <c r="BD54" s="24">
        <v>0</v>
      </c>
      <c r="BE54" s="24">
        <v>0</v>
      </c>
      <c r="BF54" s="24">
        <v>0</v>
      </c>
      <c r="BG54" s="24">
        <v>0</v>
      </c>
      <c r="BH54" s="24">
        <v>0</v>
      </c>
      <c r="BI54" s="24">
        <v>0</v>
      </c>
      <c r="BN54" s="83"/>
      <c r="BO54" s="8">
        <f t="shared" si="38"/>
        <v>0</v>
      </c>
    </row>
    <row r="55" spans="2:67" x14ac:dyDescent="0.2">
      <c r="B55" s="3" t="s">
        <v>1640</v>
      </c>
      <c r="C55" s="23"/>
      <c r="P55" s="24">
        <v>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0">
        <v>338700.38</v>
      </c>
      <c r="X55" s="20">
        <v>109827.94</v>
      </c>
      <c r="Y55" s="83">
        <v>0</v>
      </c>
      <c r="Z55" s="83">
        <v>0</v>
      </c>
      <c r="AA55" s="83">
        <v>624894.64</v>
      </c>
      <c r="AB55" s="8">
        <f>SUM(P55:AA55)</f>
        <v>1073422.96</v>
      </c>
      <c r="AC55" s="24">
        <v>11894.65</v>
      </c>
      <c r="AD55" s="24">
        <v>904.78</v>
      </c>
      <c r="AE55" s="24">
        <v>27478.09</v>
      </c>
      <c r="AF55" s="24">
        <v>1035.28</v>
      </c>
      <c r="AG55" s="24">
        <v>0</v>
      </c>
      <c r="AH55" s="24">
        <v>0</v>
      </c>
      <c r="AI55" s="24">
        <v>839.82</v>
      </c>
      <c r="AJ55" s="20">
        <v>0</v>
      </c>
      <c r="AK55" s="20">
        <v>0</v>
      </c>
      <c r="AL55" s="83">
        <v>0</v>
      </c>
      <c r="AM55" s="83">
        <v>0</v>
      </c>
      <c r="AN55" s="83">
        <v>0</v>
      </c>
      <c r="AO55" s="8">
        <f t="shared" si="36"/>
        <v>42152.62</v>
      </c>
      <c r="AP55" s="24">
        <v>0</v>
      </c>
      <c r="AQ55" s="24">
        <v>1684</v>
      </c>
      <c r="AR55" s="24">
        <f>VLOOKUP(B55,'[1]Sheet1 (2)'!$B$2:$C$397,2,0)</f>
        <v>628.29</v>
      </c>
      <c r="AS55" s="24">
        <f>VLOOKUP(B55,'[2]Sheet1 (2)'!$B$2:$C$404,2,0)</f>
        <v>0</v>
      </c>
      <c r="AT55" s="24">
        <v>0</v>
      </c>
      <c r="AU55" s="24">
        <v>0</v>
      </c>
      <c r="AV55" s="24">
        <v>0</v>
      </c>
      <c r="AW55" s="20">
        <v>0</v>
      </c>
      <c r="AX55" s="20">
        <v>0</v>
      </c>
      <c r="AY55" s="83">
        <v>0</v>
      </c>
      <c r="AZ55" s="83">
        <v>0</v>
      </c>
      <c r="BA55" s="83">
        <v>449416.58</v>
      </c>
      <c r="BB55" s="8">
        <f t="shared" si="37"/>
        <v>451728.87</v>
      </c>
      <c r="BC55" s="24">
        <v>0</v>
      </c>
      <c r="BD55" s="24">
        <v>0</v>
      </c>
      <c r="BE55" s="24">
        <v>0</v>
      </c>
      <c r="BF55" s="24">
        <v>0</v>
      </c>
      <c r="BG55" s="24">
        <v>0</v>
      </c>
      <c r="BH55" s="24">
        <v>0</v>
      </c>
      <c r="BI55" s="24">
        <v>0</v>
      </c>
      <c r="BN55" s="83"/>
      <c r="BO55" s="8">
        <f t="shared" si="38"/>
        <v>0</v>
      </c>
    </row>
    <row r="56" spans="2:67" x14ac:dyDescent="0.2">
      <c r="B56" s="3" t="s">
        <v>1830</v>
      </c>
      <c r="C56" s="23"/>
      <c r="AA56" s="83"/>
      <c r="AB56" s="8"/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0">
        <v>17049.259999999998</v>
      </c>
      <c r="AK56" s="20">
        <v>0</v>
      </c>
      <c r="AL56" s="83">
        <v>0</v>
      </c>
      <c r="AM56" s="83">
        <v>0</v>
      </c>
      <c r="AN56" s="83">
        <v>0</v>
      </c>
      <c r="AO56" s="8">
        <f t="shared" si="36"/>
        <v>17049.259999999998</v>
      </c>
      <c r="AP56" s="24">
        <v>0</v>
      </c>
      <c r="AQ56" s="24">
        <v>0</v>
      </c>
      <c r="AR56" s="24">
        <v>0</v>
      </c>
      <c r="AS56" s="24">
        <v>0</v>
      </c>
      <c r="AT56" s="24">
        <v>0</v>
      </c>
      <c r="AU56" s="24">
        <v>893.97</v>
      </c>
      <c r="AV56" s="24">
        <v>0</v>
      </c>
      <c r="AW56" s="20">
        <v>0</v>
      </c>
      <c r="AX56" s="20">
        <v>0</v>
      </c>
      <c r="AY56" s="83">
        <v>0</v>
      </c>
      <c r="AZ56" s="83">
        <v>0</v>
      </c>
      <c r="BA56" s="83">
        <v>0</v>
      </c>
      <c r="BB56" s="8">
        <f t="shared" si="37"/>
        <v>893.97</v>
      </c>
      <c r="BC56" s="24">
        <v>0</v>
      </c>
      <c r="BD56" s="24">
        <v>5435.76</v>
      </c>
      <c r="BE56" s="24">
        <v>5450.56</v>
      </c>
      <c r="BF56" s="24">
        <v>0</v>
      </c>
      <c r="BG56" s="24">
        <v>0</v>
      </c>
      <c r="BH56" s="24">
        <v>0</v>
      </c>
      <c r="BI56" s="24">
        <v>0</v>
      </c>
      <c r="BN56" s="83"/>
      <c r="BO56" s="8">
        <f t="shared" si="38"/>
        <v>10886.32</v>
      </c>
    </row>
    <row r="57" spans="2:67" x14ac:dyDescent="0.2">
      <c r="B57" s="3" t="s">
        <v>269</v>
      </c>
      <c r="C57" s="23"/>
      <c r="P57" s="24">
        <v>9.6</v>
      </c>
      <c r="Q57" s="24">
        <v>172.37</v>
      </c>
      <c r="R57" s="24">
        <v>223.05</v>
      </c>
      <c r="S57" s="24">
        <v>0</v>
      </c>
      <c r="T57" s="24">
        <v>0</v>
      </c>
      <c r="U57" s="24">
        <v>0</v>
      </c>
      <c r="V57" s="24">
        <v>0</v>
      </c>
      <c r="W57" s="20">
        <v>0</v>
      </c>
      <c r="X57" s="20">
        <v>0</v>
      </c>
      <c r="Y57" s="83">
        <v>0</v>
      </c>
      <c r="Z57" s="83">
        <v>0</v>
      </c>
      <c r="AA57" s="83">
        <v>0</v>
      </c>
      <c r="AB57" s="8">
        <f t="shared" ref="AB57:AB70" si="39">SUM(P57:AA57)</f>
        <v>405.02</v>
      </c>
      <c r="AC57" s="24">
        <v>0</v>
      </c>
      <c r="AD57" s="24">
        <v>0</v>
      </c>
      <c r="AE57" s="24">
        <v>0</v>
      </c>
      <c r="AF57" s="24">
        <v>260.70999999999998</v>
      </c>
      <c r="AG57" s="24">
        <v>337.01</v>
      </c>
      <c r="AH57" s="24">
        <v>89.33</v>
      </c>
      <c r="AI57" s="24">
        <v>234.57</v>
      </c>
      <c r="AJ57" s="20">
        <v>140.68</v>
      </c>
      <c r="AK57" s="20">
        <v>47.93</v>
      </c>
      <c r="AL57" s="83">
        <v>394.19</v>
      </c>
      <c r="AM57" s="83">
        <v>236.44</v>
      </c>
      <c r="AN57" s="83">
        <v>481.8</v>
      </c>
      <c r="AO57" s="8">
        <f t="shared" si="36"/>
        <v>2222.6600000000003</v>
      </c>
      <c r="AP57" s="24">
        <v>0</v>
      </c>
      <c r="AQ57" s="24">
        <v>74.98</v>
      </c>
      <c r="AR57" s="24">
        <f>VLOOKUP(B57,'[1]Sheet1 (2)'!$B$2:$C$397,2,0)</f>
        <v>521.20000000000005</v>
      </c>
      <c r="AS57" s="24">
        <f>VLOOKUP(B57,'[2]Sheet1 (2)'!$B$2:$C$404,2,0)</f>
        <v>823.1</v>
      </c>
      <c r="AT57" s="24">
        <v>716.89</v>
      </c>
      <c r="AU57" s="24">
        <v>83.57</v>
      </c>
      <c r="AV57" s="24">
        <v>0</v>
      </c>
      <c r="AW57" s="20">
        <v>0</v>
      </c>
      <c r="AX57" s="20">
        <v>806.87</v>
      </c>
      <c r="AY57" s="83">
        <v>2.0099999999999998</v>
      </c>
      <c r="AZ57" s="83">
        <v>0</v>
      </c>
      <c r="BA57" s="83">
        <v>0</v>
      </c>
      <c r="BB57" s="8">
        <f t="shared" si="37"/>
        <v>3028.6200000000003</v>
      </c>
      <c r="BC57" s="24">
        <v>0</v>
      </c>
      <c r="BD57" s="24">
        <v>0</v>
      </c>
      <c r="BE57" s="24">
        <v>0</v>
      </c>
      <c r="BF57" s="24">
        <v>0</v>
      </c>
      <c r="BG57" s="24">
        <v>0</v>
      </c>
      <c r="BH57" s="24">
        <v>110.87</v>
      </c>
      <c r="BI57" s="24">
        <v>111.64</v>
      </c>
      <c r="BN57" s="83"/>
      <c r="BO57" s="8">
        <f t="shared" si="38"/>
        <v>222.51</v>
      </c>
    </row>
    <row r="58" spans="2:67" x14ac:dyDescent="0.2">
      <c r="B58" s="3" t="s">
        <v>542</v>
      </c>
      <c r="C58" s="23">
        <v>0</v>
      </c>
      <c r="D58" s="24">
        <v>70.900000000000006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3506.84</v>
      </c>
      <c r="N58" s="24">
        <v>0</v>
      </c>
      <c r="O58" s="24">
        <f t="shared" ref="O58:O65" si="40">SUBTOTAL(9,C58:N58)</f>
        <v>3577.7400000000002</v>
      </c>
      <c r="P58" s="24">
        <v>0</v>
      </c>
      <c r="Q58" s="24">
        <v>2074.29</v>
      </c>
      <c r="R58" s="24">
        <v>3550.86</v>
      </c>
      <c r="S58" s="24">
        <v>0</v>
      </c>
      <c r="T58" s="24">
        <v>0</v>
      </c>
      <c r="U58" s="24">
        <v>0</v>
      </c>
      <c r="V58" s="24">
        <v>0</v>
      </c>
      <c r="W58" s="20">
        <v>668982.07999999996</v>
      </c>
      <c r="X58" s="20">
        <v>1537.05</v>
      </c>
      <c r="Y58" s="83">
        <v>1987722.77</v>
      </c>
      <c r="Z58" s="83">
        <v>1194523.77</v>
      </c>
      <c r="AA58" s="83">
        <v>1590000</v>
      </c>
      <c r="AB58" s="8">
        <f t="shared" si="39"/>
        <v>5448390.8200000003</v>
      </c>
      <c r="AC58" s="24">
        <v>0</v>
      </c>
      <c r="AD58" s="24">
        <v>1523.46</v>
      </c>
      <c r="AE58" s="24">
        <v>0</v>
      </c>
      <c r="AF58" s="24">
        <v>0</v>
      </c>
      <c r="AG58" s="24">
        <v>0</v>
      </c>
      <c r="AH58" s="24">
        <v>768.18</v>
      </c>
      <c r="AI58" s="24">
        <v>0</v>
      </c>
      <c r="AJ58" s="20">
        <v>0</v>
      </c>
      <c r="AK58" s="20">
        <v>18096.5</v>
      </c>
      <c r="AL58" s="83">
        <v>0</v>
      </c>
      <c r="AM58" s="83">
        <v>811117.34</v>
      </c>
      <c r="AN58" s="83">
        <v>1621979.16</v>
      </c>
      <c r="AO58" s="8">
        <f t="shared" si="36"/>
        <v>2453484.6399999997</v>
      </c>
      <c r="AP58" s="24">
        <v>379.27</v>
      </c>
      <c r="AQ58" s="24">
        <v>0</v>
      </c>
      <c r="AR58" s="24">
        <f>VLOOKUP(B58,'[1]Sheet1 (2)'!$B$2:$C$397,2,0)</f>
        <v>204399.29</v>
      </c>
      <c r="AS58" s="24">
        <f>VLOOKUP(B58,'[2]Sheet1 (2)'!$B$2:$C$404,2,0)</f>
        <v>-404475.35</v>
      </c>
      <c r="AT58" s="24">
        <v>0</v>
      </c>
      <c r="AU58" s="24">
        <v>0</v>
      </c>
      <c r="AV58" s="24">
        <v>0</v>
      </c>
      <c r="AW58" s="20">
        <v>0</v>
      </c>
      <c r="AX58" s="20">
        <v>0</v>
      </c>
      <c r="AY58" s="83">
        <v>0</v>
      </c>
      <c r="AZ58" s="83">
        <v>15835.59</v>
      </c>
      <c r="BA58" s="83">
        <v>0</v>
      </c>
      <c r="BB58" s="8">
        <f t="shared" si="37"/>
        <v>-183861.19999999998</v>
      </c>
      <c r="BC58" s="24">
        <v>0</v>
      </c>
      <c r="BD58" s="24">
        <v>0</v>
      </c>
      <c r="BE58" s="24">
        <v>188.45</v>
      </c>
      <c r="BF58" s="24">
        <v>172.3</v>
      </c>
      <c r="BG58" s="24">
        <v>0</v>
      </c>
      <c r="BH58" s="24">
        <v>0</v>
      </c>
      <c r="BI58" s="24">
        <v>0</v>
      </c>
      <c r="BN58" s="83"/>
      <c r="BO58" s="8">
        <f t="shared" si="38"/>
        <v>360.75</v>
      </c>
    </row>
    <row r="59" spans="2:67" x14ac:dyDescent="0.2">
      <c r="B59" s="3" t="s">
        <v>270</v>
      </c>
      <c r="C59" s="23">
        <v>1700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57103</v>
      </c>
      <c r="K59" s="24">
        <v>73816</v>
      </c>
      <c r="L59" s="24">
        <v>9281.7800000000007</v>
      </c>
      <c r="M59" s="24">
        <v>5099.18</v>
      </c>
      <c r="N59" s="24">
        <v>3986.78</v>
      </c>
      <c r="O59" s="24">
        <f t="shared" si="40"/>
        <v>150986.74</v>
      </c>
      <c r="P59" s="24">
        <v>47559</v>
      </c>
      <c r="Q59" s="24">
        <v>54892</v>
      </c>
      <c r="R59" s="24">
        <v>0</v>
      </c>
      <c r="S59" s="24">
        <v>1532.62</v>
      </c>
      <c r="T59" s="24">
        <v>1041.67</v>
      </c>
      <c r="U59" s="24">
        <v>0</v>
      </c>
      <c r="V59" s="24">
        <v>927.86</v>
      </c>
      <c r="W59" s="20">
        <v>24772.3</v>
      </c>
      <c r="X59" s="20">
        <v>3090</v>
      </c>
      <c r="Y59" s="83">
        <v>59159.95</v>
      </c>
      <c r="Z59" s="83">
        <v>38210.58</v>
      </c>
      <c r="AA59" s="83">
        <v>56496.65</v>
      </c>
      <c r="AB59" s="8">
        <f t="shared" si="39"/>
        <v>287682.63000000006</v>
      </c>
      <c r="AC59" s="24">
        <v>1960</v>
      </c>
      <c r="AD59" s="24">
        <v>0</v>
      </c>
      <c r="AE59" s="24">
        <v>0</v>
      </c>
      <c r="AF59" s="24">
        <v>0</v>
      </c>
      <c r="AG59" s="24">
        <v>0</v>
      </c>
      <c r="AH59" s="24">
        <v>0</v>
      </c>
      <c r="AI59" s="24">
        <v>1827.43</v>
      </c>
      <c r="AJ59" s="20">
        <v>456.74</v>
      </c>
      <c r="AK59" s="20">
        <v>0</v>
      </c>
      <c r="AL59" s="83">
        <v>630</v>
      </c>
      <c r="AM59" s="83">
        <v>23332.82</v>
      </c>
      <c r="AN59" s="83">
        <v>49647.22</v>
      </c>
      <c r="AO59" s="8">
        <f t="shared" si="36"/>
        <v>77854.209999999992</v>
      </c>
      <c r="AP59" s="24">
        <v>0</v>
      </c>
      <c r="AQ59" s="24">
        <v>5500</v>
      </c>
      <c r="AR59" s="24">
        <f>VLOOKUP(B59,'[1]Sheet1 (2)'!$B$2:$C$397,2,0)</f>
        <v>0</v>
      </c>
      <c r="AS59" s="24">
        <f>VLOOKUP(B59,'[2]Sheet1 (2)'!$B$2:$C$404,2,0)</f>
        <v>0</v>
      </c>
      <c r="AT59" s="24">
        <v>5523.07</v>
      </c>
      <c r="AU59" s="24">
        <v>456.74</v>
      </c>
      <c r="AV59" s="24">
        <v>0</v>
      </c>
      <c r="AW59" s="20">
        <v>0</v>
      </c>
      <c r="AX59" s="20">
        <v>0</v>
      </c>
      <c r="AY59" s="83">
        <v>0</v>
      </c>
      <c r="AZ59" s="83">
        <v>420.67</v>
      </c>
      <c r="BA59" s="83">
        <v>553.33000000000004</v>
      </c>
      <c r="BB59" s="8">
        <f t="shared" si="37"/>
        <v>12453.81</v>
      </c>
      <c r="BC59" s="24">
        <v>0</v>
      </c>
      <c r="BD59" s="24">
        <v>0</v>
      </c>
      <c r="BE59" s="24">
        <v>0</v>
      </c>
      <c r="BF59" s="24">
        <v>5779.8</v>
      </c>
      <c r="BG59" s="24">
        <v>0</v>
      </c>
      <c r="BH59" s="24">
        <v>0</v>
      </c>
      <c r="BI59" s="24">
        <v>0</v>
      </c>
      <c r="BN59" s="83"/>
      <c r="BO59" s="8">
        <f t="shared" si="38"/>
        <v>5779.8</v>
      </c>
    </row>
    <row r="60" spans="2:67" x14ac:dyDescent="0.2">
      <c r="B60" s="3" t="s">
        <v>271</v>
      </c>
      <c r="C60" s="23">
        <v>687.98</v>
      </c>
      <c r="D60" s="24">
        <v>525.58000000000004</v>
      </c>
      <c r="E60" s="24">
        <v>0</v>
      </c>
      <c r="F60" s="24">
        <v>45.95</v>
      </c>
      <c r="G60" s="24">
        <v>0</v>
      </c>
      <c r="H60" s="24">
        <v>0</v>
      </c>
      <c r="I60" s="24">
        <v>0</v>
      </c>
      <c r="J60" s="24">
        <v>0</v>
      </c>
      <c r="K60" s="24">
        <v>9664.24</v>
      </c>
      <c r="L60" s="24">
        <v>1437.08</v>
      </c>
      <c r="M60" s="24">
        <v>11.52</v>
      </c>
      <c r="N60" s="24">
        <v>1273.67</v>
      </c>
      <c r="O60" s="24">
        <f t="shared" si="40"/>
        <v>13646.02</v>
      </c>
      <c r="P60" s="24">
        <v>3187.83</v>
      </c>
      <c r="Q60" s="24">
        <v>3481.55</v>
      </c>
      <c r="R60" s="24">
        <v>42.12</v>
      </c>
      <c r="S60" s="24">
        <v>3841.3</v>
      </c>
      <c r="T60" s="24">
        <v>228.58</v>
      </c>
      <c r="U60" s="24">
        <v>98.96</v>
      </c>
      <c r="V60" s="24">
        <v>88.27</v>
      </c>
      <c r="W60" s="20">
        <v>4730</v>
      </c>
      <c r="X60" s="20">
        <v>1272.69</v>
      </c>
      <c r="Y60" s="83">
        <v>670.92</v>
      </c>
      <c r="Z60" s="83">
        <v>25066.35</v>
      </c>
      <c r="AA60" s="83">
        <v>13516.44</v>
      </c>
      <c r="AB60" s="8">
        <f t="shared" si="39"/>
        <v>56225.009999999995</v>
      </c>
      <c r="AC60" s="24">
        <v>51.15</v>
      </c>
      <c r="AD60" s="24">
        <v>1570.57</v>
      </c>
      <c r="AE60" s="24">
        <v>8.39</v>
      </c>
      <c r="AF60" s="24">
        <v>0</v>
      </c>
      <c r="AG60" s="24">
        <v>0</v>
      </c>
      <c r="AH60" s="24">
        <v>0</v>
      </c>
      <c r="AI60" s="24">
        <v>438.11</v>
      </c>
      <c r="AJ60" s="20">
        <v>198.83</v>
      </c>
      <c r="AK60" s="20">
        <v>0</v>
      </c>
      <c r="AL60" s="83">
        <v>0</v>
      </c>
      <c r="AM60" s="83">
        <v>410.73</v>
      </c>
      <c r="AN60" s="83">
        <v>1563.1</v>
      </c>
      <c r="AO60" s="8">
        <f t="shared" si="36"/>
        <v>4240.88</v>
      </c>
      <c r="AP60" s="24">
        <v>4276.74</v>
      </c>
      <c r="AQ60" s="24">
        <v>7362.82</v>
      </c>
      <c r="AR60" s="24">
        <f>VLOOKUP(B60,'[1]Sheet1 (2)'!$B$2:$C$397,2,0)</f>
        <v>762.75</v>
      </c>
      <c r="AS60" s="24">
        <f>VLOOKUP(B60,'[2]Sheet1 (2)'!$B$2:$C$404,2,0)</f>
        <v>1013.57</v>
      </c>
      <c r="AT60" s="24">
        <v>1655.52</v>
      </c>
      <c r="AU60" s="24">
        <v>128.33000000000001</v>
      </c>
      <c r="AV60" s="24">
        <v>49.14</v>
      </c>
      <c r="AW60" s="20">
        <v>308.86</v>
      </c>
      <c r="AX60" s="20">
        <v>0</v>
      </c>
      <c r="AY60" s="83">
        <v>0</v>
      </c>
      <c r="AZ60" s="83">
        <v>358.47</v>
      </c>
      <c r="BA60" s="83">
        <v>350.88</v>
      </c>
      <c r="BB60" s="8">
        <f t="shared" si="37"/>
        <v>16267.079999999998</v>
      </c>
      <c r="BC60" s="24">
        <v>282.04000000000002</v>
      </c>
      <c r="BD60" s="24">
        <v>0</v>
      </c>
      <c r="BE60" s="24">
        <v>0</v>
      </c>
      <c r="BF60" s="24">
        <v>1557.33</v>
      </c>
      <c r="BG60" s="24">
        <v>0</v>
      </c>
      <c r="BH60" s="24">
        <v>0</v>
      </c>
      <c r="BI60" s="24">
        <v>0</v>
      </c>
      <c r="BN60" s="83"/>
      <c r="BO60" s="8">
        <f t="shared" si="38"/>
        <v>1839.37</v>
      </c>
    </row>
    <row r="61" spans="2:67" x14ac:dyDescent="0.2">
      <c r="B61" s="3" t="s">
        <v>272</v>
      </c>
      <c r="C61" s="23">
        <v>3744.15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98743.4</v>
      </c>
      <c r="L61" s="24">
        <v>7936.13</v>
      </c>
      <c r="M61" s="24">
        <v>45659.03</v>
      </c>
      <c r="N61" s="24">
        <v>-18439.419999999998</v>
      </c>
      <c r="O61" s="24">
        <f t="shared" si="40"/>
        <v>137643.28999999998</v>
      </c>
      <c r="P61" s="24">
        <v>158521.4</v>
      </c>
      <c r="Q61" s="24">
        <v>0</v>
      </c>
      <c r="R61" s="24">
        <v>0</v>
      </c>
      <c r="S61" s="24">
        <v>0</v>
      </c>
      <c r="T61" s="24">
        <v>5391.07</v>
      </c>
      <c r="U61" s="24">
        <v>0</v>
      </c>
      <c r="V61" s="24">
        <v>7088.11</v>
      </c>
      <c r="W61" s="20">
        <v>71103.179999999993</v>
      </c>
      <c r="X61" s="20">
        <v>0</v>
      </c>
      <c r="Y61" s="83">
        <v>101827.7</v>
      </c>
      <c r="Z61" s="83">
        <v>61124.07</v>
      </c>
      <c r="AA61" s="83">
        <v>91996.67</v>
      </c>
      <c r="AB61" s="8">
        <f t="shared" si="39"/>
        <v>497052.19999999995</v>
      </c>
      <c r="AC61" s="24">
        <v>0</v>
      </c>
      <c r="AD61" s="24">
        <v>0</v>
      </c>
      <c r="AE61" s="24">
        <v>0</v>
      </c>
      <c r="AF61" s="24">
        <v>0</v>
      </c>
      <c r="AG61" s="24">
        <v>0</v>
      </c>
      <c r="AH61" s="24">
        <v>0</v>
      </c>
      <c r="AI61" s="24">
        <v>10128.67</v>
      </c>
      <c r="AJ61" s="20">
        <v>3068.76</v>
      </c>
      <c r="AK61" s="20">
        <v>0</v>
      </c>
      <c r="AL61" s="83">
        <v>3325.98</v>
      </c>
      <c r="AM61" s="83">
        <v>41711.699999999997</v>
      </c>
      <c r="AN61" s="83">
        <v>93087.27</v>
      </c>
      <c r="AO61" s="8">
        <f t="shared" si="36"/>
        <v>151322.38</v>
      </c>
      <c r="AP61" s="24">
        <v>0</v>
      </c>
      <c r="AQ61" s="24">
        <v>26550.04</v>
      </c>
      <c r="AR61" s="24">
        <f>VLOOKUP(B61,'[1]Sheet1 (2)'!$B$2:$C$397,2,0)</f>
        <v>0</v>
      </c>
      <c r="AS61" s="24">
        <f>VLOOKUP(B61,'[2]Sheet1 (2)'!$B$2:$C$404,2,0)</f>
        <v>0</v>
      </c>
      <c r="AT61" s="24">
        <v>0</v>
      </c>
      <c r="AU61" s="24">
        <v>0</v>
      </c>
      <c r="AV61" s="24">
        <v>0</v>
      </c>
      <c r="AW61" s="20">
        <v>0</v>
      </c>
      <c r="AX61" s="20">
        <v>0</v>
      </c>
      <c r="AY61" s="83">
        <v>0</v>
      </c>
      <c r="AZ61" s="83">
        <v>5308.78</v>
      </c>
      <c r="BA61" s="83">
        <v>0</v>
      </c>
      <c r="BB61" s="8">
        <f t="shared" si="37"/>
        <v>31858.82</v>
      </c>
      <c r="BC61" s="24">
        <v>0</v>
      </c>
      <c r="BD61" s="24">
        <v>0</v>
      </c>
      <c r="BE61" s="24">
        <v>0</v>
      </c>
      <c r="BF61" s="24">
        <v>10330.39</v>
      </c>
      <c r="BG61" s="24">
        <v>0</v>
      </c>
      <c r="BH61" s="24">
        <v>0</v>
      </c>
      <c r="BI61" s="24">
        <v>0</v>
      </c>
      <c r="BN61" s="83"/>
      <c r="BO61" s="8">
        <f t="shared" si="38"/>
        <v>10330.39</v>
      </c>
    </row>
    <row r="62" spans="2:67" x14ac:dyDescent="0.2">
      <c r="B62" s="3" t="s">
        <v>273</v>
      </c>
      <c r="C62" s="23">
        <v>0</v>
      </c>
      <c r="D62" s="24">
        <v>107.78</v>
      </c>
      <c r="E62" s="24">
        <v>0</v>
      </c>
      <c r="F62" s="24">
        <v>0</v>
      </c>
      <c r="G62" s="24">
        <v>52.94</v>
      </c>
      <c r="H62" s="24">
        <v>0</v>
      </c>
      <c r="I62" s="24">
        <v>0</v>
      </c>
      <c r="J62" s="24">
        <v>0</v>
      </c>
      <c r="K62" s="24">
        <v>114.94</v>
      </c>
      <c r="L62" s="24">
        <v>24669.54</v>
      </c>
      <c r="M62" s="24">
        <v>29657.93</v>
      </c>
      <c r="N62" s="24">
        <v>0</v>
      </c>
      <c r="O62" s="24">
        <f t="shared" si="40"/>
        <v>54603.130000000005</v>
      </c>
      <c r="P62" s="24">
        <v>7048.96</v>
      </c>
      <c r="Q62" s="24">
        <v>856.47</v>
      </c>
      <c r="R62" s="24">
        <v>0</v>
      </c>
      <c r="S62" s="24">
        <v>117.91</v>
      </c>
      <c r="T62" s="24">
        <v>118.04</v>
      </c>
      <c r="U62" s="24">
        <v>0</v>
      </c>
      <c r="V62" s="24">
        <v>229.32</v>
      </c>
      <c r="W62" s="20">
        <v>0</v>
      </c>
      <c r="X62" s="20">
        <v>284.89999999999998</v>
      </c>
      <c r="Y62" s="83">
        <v>0</v>
      </c>
      <c r="Z62" s="83">
        <v>0</v>
      </c>
      <c r="AA62" s="83">
        <v>224.52</v>
      </c>
      <c r="AB62" s="8">
        <f t="shared" si="39"/>
        <v>8880.1200000000008</v>
      </c>
      <c r="AC62" s="24">
        <v>0</v>
      </c>
      <c r="AD62" s="24">
        <v>0</v>
      </c>
      <c r="AE62" s="24">
        <v>0</v>
      </c>
      <c r="AF62" s="24">
        <v>0</v>
      </c>
      <c r="AG62" s="24">
        <v>0</v>
      </c>
      <c r="AH62" s="24">
        <v>0</v>
      </c>
      <c r="AI62" s="24">
        <v>106.3</v>
      </c>
      <c r="AJ62" s="20">
        <v>106.9</v>
      </c>
      <c r="AK62" s="20">
        <v>0</v>
      </c>
      <c r="AL62" s="83">
        <v>220.36</v>
      </c>
      <c r="AM62" s="83">
        <v>0</v>
      </c>
      <c r="AN62" s="83">
        <v>323.64</v>
      </c>
      <c r="AO62" s="8">
        <f t="shared" si="36"/>
        <v>757.2</v>
      </c>
      <c r="AP62" s="24">
        <v>0</v>
      </c>
      <c r="AQ62" s="24">
        <v>241.95</v>
      </c>
      <c r="AR62" s="24">
        <f>VLOOKUP(B62,'[1]Sheet1 (2)'!$B$2:$C$397,2,0)</f>
        <v>0</v>
      </c>
      <c r="AS62" s="24">
        <f>VLOOKUP(B62,'[2]Sheet1 (2)'!$B$2:$C$404,2,0)</f>
        <v>0</v>
      </c>
      <c r="AT62" s="24">
        <v>146.88</v>
      </c>
      <c r="AU62" s="24">
        <v>106.83</v>
      </c>
      <c r="AV62" s="24">
        <v>0</v>
      </c>
      <c r="AW62" s="20">
        <v>0</v>
      </c>
      <c r="AX62" s="20">
        <v>0</v>
      </c>
      <c r="AY62" s="83">
        <v>0</v>
      </c>
      <c r="AZ62" s="83">
        <v>104.19</v>
      </c>
      <c r="BA62" s="83">
        <v>130.72999999999999</v>
      </c>
      <c r="BB62" s="8">
        <f t="shared" si="37"/>
        <v>730.57999999999993</v>
      </c>
      <c r="BC62" s="24">
        <v>0</v>
      </c>
      <c r="BD62" s="24">
        <v>0</v>
      </c>
      <c r="BE62" s="24">
        <v>0</v>
      </c>
      <c r="BF62" s="24">
        <v>124.69</v>
      </c>
      <c r="BG62" s="24">
        <v>0</v>
      </c>
      <c r="BH62" s="24">
        <v>0</v>
      </c>
      <c r="BI62" s="24">
        <v>0</v>
      </c>
      <c r="BN62" s="83"/>
      <c r="BO62" s="8">
        <f t="shared" si="38"/>
        <v>124.69</v>
      </c>
    </row>
    <row r="63" spans="2:67" x14ac:dyDescent="0.2">
      <c r="B63" s="3" t="s">
        <v>274</v>
      </c>
      <c r="C63" s="23">
        <v>54.02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1178.8</v>
      </c>
      <c r="K63" s="24">
        <v>1817.66</v>
      </c>
      <c r="L63" s="24">
        <v>134.85</v>
      </c>
      <c r="M63" s="24">
        <v>219.63</v>
      </c>
      <c r="N63" s="24">
        <v>0</v>
      </c>
      <c r="O63" s="24">
        <f t="shared" si="40"/>
        <v>3404.96</v>
      </c>
      <c r="P63" s="24">
        <v>1215.74</v>
      </c>
      <c r="Q63" s="24">
        <v>1253.93</v>
      </c>
      <c r="R63" s="24">
        <v>0</v>
      </c>
      <c r="S63" s="24">
        <v>135.72999999999999</v>
      </c>
      <c r="T63" s="24">
        <v>72.98</v>
      </c>
      <c r="U63" s="24">
        <v>0</v>
      </c>
      <c r="V63" s="24">
        <v>115.76</v>
      </c>
      <c r="W63" s="20">
        <v>1068.3800000000001</v>
      </c>
      <c r="X63" s="20">
        <v>67.459999999999994</v>
      </c>
      <c r="Y63" s="83">
        <v>2131.0500000000002</v>
      </c>
      <c r="Z63" s="83">
        <v>1289.98</v>
      </c>
      <c r="AA63" s="83">
        <v>1855.28</v>
      </c>
      <c r="AB63" s="8">
        <f t="shared" si="39"/>
        <v>9206.2900000000009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57.32</v>
      </c>
      <c r="AJ63" s="20">
        <v>49.1</v>
      </c>
      <c r="AK63" s="20">
        <v>15.67</v>
      </c>
      <c r="AL63" s="83">
        <v>34.049999999999997</v>
      </c>
      <c r="AM63" s="83">
        <v>445.7</v>
      </c>
      <c r="AN63" s="83">
        <v>1047.8900000000001</v>
      </c>
      <c r="AO63" s="8">
        <f t="shared" si="36"/>
        <v>1649.73</v>
      </c>
      <c r="AP63" s="24">
        <v>0</v>
      </c>
      <c r="AQ63" s="24">
        <v>133.6</v>
      </c>
      <c r="AR63" s="24">
        <f>VLOOKUP(B63,'[1]Sheet1 (2)'!$B$2:$C$397,2,0)</f>
        <v>0</v>
      </c>
      <c r="AS63" s="24">
        <f>VLOOKUP(B63,'[2]Sheet1 (2)'!$B$2:$C$404,2,0)</f>
        <v>0</v>
      </c>
      <c r="AT63" s="24">
        <v>74.48</v>
      </c>
      <c r="AU63" s="24">
        <v>47.62</v>
      </c>
      <c r="AV63" s="24">
        <v>0</v>
      </c>
      <c r="AW63" s="20">
        <v>0</v>
      </c>
      <c r="AX63" s="20">
        <v>0</v>
      </c>
      <c r="AY63" s="83">
        <v>0</v>
      </c>
      <c r="AZ63" s="83">
        <v>58.77</v>
      </c>
      <c r="BA63" s="83">
        <v>16.760000000000002</v>
      </c>
      <c r="BB63" s="8">
        <f t="shared" si="37"/>
        <v>331.22999999999996</v>
      </c>
      <c r="BC63" s="24">
        <v>0</v>
      </c>
      <c r="BD63" s="24">
        <v>0</v>
      </c>
      <c r="BE63" s="24">
        <v>0</v>
      </c>
      <c r="BF63" s="24">
        <v>46.09</v>
      </c>
      <c r="BG63" s="24">
        <v>0</v>
      </c>
      <c r="BH63" s="24">
        <v>0</v>
      </c>
      <c r="BI63" s="24">
        <v>0</v>
      </c>
      <c r="BN63" s="83"/>
      <c r="BO63" s="8">
        <f t="shared" si="38"/>
        <v>46.09</v>
      </c>
    </row>
    <row r="64" spans="2:67" x14ac:dyDescent="0.2">
      <c r="B64" s="3" t="s">
        <v>641</v>
      </c>
      <c r="C64" s="23">
        <v>0</v>
      </c>
      <c r="D64" s="24">
        <v>178.04</v>
      </c>
      <c r="E64" s="24">
        <v>98.79</v>
      </c>
      <c r="F64" s="24">
        <v>429.79</v>
      </c>
      <c r="G64" s="24">
        <v>0</v>
      </c>
      <c r="H64" s="24">
        <v>0</v>
      </c>
      <c r="I64" s="24">
        <v>0</v>
      </c>
      <c r="J64" s="24">
        <v>0</v>
      </c>
      <c r="K64" s="24">
        <v>127.32</v>
      </c>
      <c r="L64" s="24">
        <v>0</v>
      </c>
      <c r="M64" s="24">
        <v>68.8</v>
      </c>
      <c r="N64" s="24">
        <v>142.36000000000001</v>
      </c>
      <c r="O64" s="24">
        <f t="shared" si="40"/>
        <v>1045.0999999999999</v>
      </c>
      <c r="P64" s="24">
        <v>0</v>
      </c>
      <c r="Q64" s="24">
        <v>0</v>
      </c>
      <c r="R64" s="24">
        <v>923.16</v>
      </c>
      <c r="S64" s="24">
        <v>39.68</v>
      </c>
      <c r="T64" s="24">
        <v>406.2</v>
      </c>
      <c r="U64" s="24">
        <v>0</v>
      </c>
      <c r="V64" s="24">
        <v>0</v>
      </c>
      <c r="W64" s="20">
        <v>1953.47</v>
      </c>
      <c r="X64" s="20">
        <v>665.96</v>
      </c>
      <c r="Y64" s="83">
        <v>517.02</v>
      </c>
      <c r="Z64" s="83">
        <v>3333.25</v>
      </c>
      <c r="AA64" s="83">
        <v>553.52</v>
      </c>
      <c r="AB64" s="8">
        <f t="shared" si="39"/>
        <v>8392.26</v>
      </c>
      <c r="AC64" s="24">
        <v>145.99</v>
      </c>
      <c r="AD64" s="24">
        <v>1467.78</v>
      </c>
      <c r="AE64" s="24">
        <v>721.67</v>
      </c>
      <c r="AF64" s="24">
        <v>2153.81</v>
      </c>
      <c r="AG64" s="24">
        <v>1105.97</v>
      </c>
      <c r="AH64" s="24">
        <v>0</v>
      </c>
      <c r="AI64" s="24">
        <v>1821.98</v>
      </c>
      <c r="AJ64" s="20">
        <v>0</v>
      </c>
      <c r="AK64" s="20">
        <v>0</v>
      </c>
      <c r="AL64" s="83">
        <v>1444.04</v>
      </c>
      <c r="AM64" s="83">
        <v>830.17</v>
      </c>
      <c r="AN64" s="83">
        <v>1121.07</v>
      </c>
      <c r="AO64" s="8">
        <f t="shared" si="36"/>
        <v>10812.480000000001</v>
      </c>
      <c r="AP64" s="24">
        <v>367.04</v>
      </c>
      <c r="AQ64" s="24">
        <v>2594.4499999999998</v>
      </c>
      <c r="AR64" s="24">
        <f>VLOOKUP(B64,'[1]Sheet1 (2)'!$B$2:$C$397,2,0)</f>
        <v>253.73</v>
      </c>
      <c r="AS64" s="24">
        <f>VLOOKUP(B64,'[2]Sheet1 (2)'!$B$2:$C$404,2,0)</f>
        <v>1533.89</v>
      </c>
      <c r="AT64" s="24">
        <v>1171.0999999999999</v>
      </c>
      <c r="AU64" s="24">
        <v>965.95</v>
      </c>
      <c r="AV64" s="24">
        <v>289.25</v>
      </c>
      <c r="AW64" s="20">
        <v>0</v>
      </c>
      <c r="AX64" s="20">
        <v>227.8</v>
      </c>
      <c r="AY64" s="83">
        <v>0</v>
      </c>
      <c r="AZ64" s="83">
        <v>192.35</v>
      </c>
      <c r="BA64" s="83">
        <v>218.01</v>
      </c>
      <c r="BB64" s="8">
        <f t="shared" si="37"/>
        <v>7813.57</v>
      </c>
      <c r="BC64" s="24">
        <v>156.83000000000001</v>
      </c>
      <c r="BD64" s="24">
        <v>880.94</v>
      </c>
      <c r="BE64" s="24">
        <v>0</v>
      </c>
      <c r="BF64" s="24">
        <v>123</v>
      </c>
      <c r="BG64" s="24">
        <v>0</v>
      </c>
      <c r="BH64" s="24">
        <v>143.84</v>
      </c>
      <c r="BI64" s="24">
        <v>0</v>
      </c>
      <c r="BN64" s="83"/>
      <c r="BO64" s="8">
        <f t="shared" si="38"/>
        <v>1304.6099999999999</v>
      </c>
    </row>
    <row r="65" spans="2:67" x14ac:dyDescent="0.2">
      <c r="B65" s="3" t="s">
        <v>275</v>
      </c>
      <c r="C65" s="23">
        <v>270.11</v>
      </c>
      <c r="D65" s="24">
        <v>-763.87</v>
      </c>
      <c r="E65" s="24">
        <v>-600.11</v>
      </c>
      <c r="F65" s="24">
        <v>0</v>
      </c>
      <c r="G65" s="24">
        <v>4.3899999999999997</v>
      </c>
      <c r="H65" s="24">
        <v>-26.47</v>
      </c>
      <c r="I65" s="24">
        <v>-14.95</v>
      </c>
      <c r="J65" s="24">
        <v>6987.38</v>
      </c>
      <c r="K65" s="24">
        <v>9040.09</v>
      </c>
      <c r="L65" s="24">
        <v>539.4</v>
      </c>
      <c r="M65" s="24">
        <v>1098.17</v>
      </c>
      <c r="N65" s="24">
        <v>273.49</v>
      </c>
      <c r="O65" s="24">
        <f t="shared" si="40"/>
        <v>16807.63</v>
      </c>
      <c r="P65" s="24">
        <v>7361.19</v>
      </c>
      <c r="Q65" s="24">
        <v>4225.25</v>
      </c>
      <c r="R65" s="24">
        <v>-740.59</v>
      </c>
      <c r="S65" s="24">
        <v>545.82000000000005</v>
      </c>
      <c r="T65" s="24">
        <v>291.91000000000003</v>
      </c>
      <c r="U65" s="24">
        <v>0</v>
      </c>
      <c r="V65" s="24">
        <v>578.78</v>
      </c>
      <c r="W65" s="20">
        <v>-2259.31</v>
      </c>
      <c r="X65" s="20">
        <v>-1376.16</v>
      </c>
      <c r="Y65" s="83">
        <v>16343.28</v>
      </c>
      <c r="Z65" s="83">
        <v>9372.6299999999992</v>
      </c>
      <c r="AA65" s="83">
        <v>12233.39</v>
      </c>
      <c r="AB65" s="8">
        <f t="shared" si="39"/>
        <v>46576.189999999995</v>
      </c>
      <c r="AC65" s="24">
        <v>1590.64</v>
      </c>
      <c r="AD65" s="24">
        <v>-1620</v>
      </c>
      <c r="AE65" s="24">
        <v>0</v>
      </c>
      <c r="AF65" s="24">
        <v>0</v>
      </c>
      <c r="AG65" s="24">
        <v>0</v>
      </c>
      <c r="AH65" s="24">
        <v>0</v>
      </c>
      <c r="AI65" s="24">
        <v>573.23</v>
      </c>
      <c r="AJ65" s="20">
        <v>196.41</v>
      </c>
      <c r="AK65" s="20">
        <v>195.92</v>
      </c>
      <c r="AL65" s="83">
        <v>425.56</v>
      </c>
      <c r="AM65" s="83">
        <v>5516.79</v>
      </c>
      <c r="AN65" s="83">
        <v>-22067.48</v>
      </c>
      <c r="AO65" s="8">
        <f t="shared" si="36"/>
        <v>-15188.93</v>
      </c>
      <c r="AP65" s="24">
        <v>2017.57</v>
      </c>
      <c r="AQ65" s="24">
        <v>1670.05</v>
      </c>
      <c r="AR65" s="24">
        <f>VLOOKUP(B65,'[1]Sheet1 (2)'!$B$2:$C$397,2,0)</f>
        <v>-20339.099999999999</v>
      </c>
      <c r="AS65" s="24">
        <f>VLOOKUP(B65,'[2]Sheet1 (2)'!$B$2:$C$404,2,0)</f>
        <v>0</v>
      </c>
      <c r="AT65" s="24">
        <v>930.97</v>
      </c>
      <c r="AU65" s="24">
        <v>-352.44</v>
      </c>
      <c r="AV65" s="24">
        <v>-192.88</v>
      </c>
      <c r="AW65" s="20">
        <v>0</v>
      </c>
      <c r="AX65" s="20">
        <v>0</v>
      </c>
      <c r="AY65" s="83">
        <v>-941.69</v>
      </c>
      <c r="AZ65" s="83">
        <v>-821.52</v>
      </c>
      <c r="BA65" s="83">
        <v>209.47</v>
      </c>
      <c r="BB65" s="8">
        <f t="shared" si="37"/>
        <v>-17819.57</v>
      </c>
      <c r="BC65" s="24">
        <v>-578.78</v>
      </c>
      <c r="BD65" s="24">
        <v>-601.37</v>
      </c>
      <c r="BE65" s="24">
        <v>-380.11</v>
      </c>
      <c r="BF65" s="24">
        <v>576.16</v>
      </c>
      <c r="BG65" s="24">
        <v>0</v>
      </c>
      <c r="BH65" s="24">
        <v>-408.45</v>
      </c>
      <c r="BI65" s="24">
        <v>0</v>
      </c>
      <c r="BN65" s="83"/>
      <c r="BO65" s="8">
        <f t="shared" si="38"/>
        <v>-1392.5500000000002</v>
      </c>
    </row>
    <row r="66" spans="2:67" x14ac:dyDescent="0.2">
      <c r="B66" s="3" t="s">
        <v>1767</v>
      </c>
      <c r="C66" s="23"/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X66" s="20">
        <v>10001.469999999999</v>
      </c>
      <c r="Y66" s="83">
        <v>0</v>
      </c>
      <c r="Z66" s="83">
        <v>0</v>
      </c>
      <c r="AA66" s="83">
        <v>0</v>
      </c>
      <c r="AB66" s="8">
        <f t="shared" si="39"/>
        <v>10001.469999999999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0">
        <v>0</v>
      </c>
      <c r="AK66" s="20">
        <v>0</v>
      </c>
      <c r="AL66" s="83">
        <v>0</v>
      </c>
      <c r="AM66" s="83">
        <v>0</v>
      </c>
      <c r="AN66" s="83">
        <v>0</v>
      </c>
      <c r="AO66" s="8">
        <f t="shared" si="36"/>
        <v>0</v>
      </c>
      <c r="AP66" s="24">
        <v>0</v>
      </c>
      <c r="AQ66" s="24">
        <v>0</v>
      </c>
      <c r="AR66" s="24">
        <v>0</v>
      </c>
      <c r="AS66" s="24">
        <v>0</v>
      </c>
      <c r="AT66" s="24">
        <v>0</v>
      </c>
      <c r="AU66" s="24">
        <v>0</v>
      </c>
      <c r="AV66" s="24">
        <v>0</v>
      </c>
      <c r="AW66" s="20">
        <v>0</v>
      </c>
      <c r="AX66" s="20">
        <v>0</v>
      </c>
      <c r="AY66" s="83">
        <v>0</v>
      </c>
      <c r="AZ66" s="83">
        <v>0</v>
      </c>
      <c r="BA66" s="83">
        <v>0</v>
      </c>
      <c r="BB66" s="8">
        <f t="shared" si="37"/>
        <v>0</v>
      </c>
      <c r="BC66" s="24">
        <v>0</v>
      </c>
      <c r="BD66" s="24">
        <v>0</v>
      </c>
      <c r="BE66" s="24">
        <v>0</v>
      </c>
      <c r="BF66" s="24">
        <v>0</v>
      </c>
      <c r="BG66" s="24">
        <v>0</v>
      </c>
      <c r="BH66" s="24">
        <v>0</v>
      </c>
      <c r="BI66" s="24">
        <v>0</v>
      </c>
      <c r="BN66" s="83"/>
      <c r="BO66" s="8">
        <f t="shared" si="38"/>
        <v>0</v>
      </c>
    </row>
    <row r="67" spans="2:67" x14ac:dyDescent="0.2">
      <c r="B67" s="3" t="s">
        <v>276</v>
      </c>
      <c r="C67" s="23">
        <v>1027.45</v>
      </c>
      <c r="D67" s="24">
        <v>784.14</v>
      </c>
      <c r="E67" s="24">
        <v>0</v>
      </c>
      <c r="F67" s="24">
        <v>45.95</v>
      </c>
      <c r="G67" s="24">
        <v>0</v>
      </c>
      <c r="H67" s="24">
        <v>0</v>
      </c>
      <c r="I67" s="24">
        <v>0</v>
      </c>
      <c r="J67" s="24">
        <v>0</v>
      </c>
      <c r="K67" s="24">
        <v>20233.95</v>
      </c>
      <c r="L67" s="24">
        <v>444.86</v>
      </c>
      <c r="M67" s="24">
        <v>18615.599999999999</v>
      </c>
      <c r="N67" s="24">
        <v>1666.56</v>
      </c>
      <c r="O67" s="24">
        <f>SUBTOTAL(9,C67:N67)</f>
        <v>42818.509999999995</v>
      </c>
      <c r="P67" s="24">
        <v>4835.87</v>
      </c>
      <c r="Q67" s="24">
        <v>3506.91</v>
      </c>
      <c r="R67" s="24">
        <v>1336.04</v>
      </c>
      <c r="S67" s="24">
        <v>332.92</v>
      </c>
      <c r="T67" s="24">
        <v>263.66000000000003</v>
      </c>
      <c r="U67" s="24">
        <v>0</v>
      </c>
      <c r="V67" s="24">
        <v>532.41999999999996</v>
      </c>
      <c r="W67" s="20">
        <v>5798.84</v>
      </c>
      <c r="X67" s="20">
        <v>1728.29</v>
      </c>
      <c r="Y67" s="83">
        <v>13927.44</v>
      </c>
      <c r="Z67" s="83">
        <v>9973.0300000000007</v>
      </c>
      <c r="AA67" s="83">
        <v>13017.82</v>
      </c>
      <c r="AB67" s="8">
        <f t="shared" si="39"/>
        <v>55253.24</v>
      </c>
      <c r="AC67" s="24">
        <v>2559.1799999999998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129.84</v>
      </c>
      <c r="AJ67" s="20">
        <v>89.25</v>
      </c>
      <c r="AK67" s="20">
        <v>1230.01</v>
      </c>
      <c r="AL67" s="83">
        <v>1051.5899999999999</v>
      </c>
      <c r="AM67" s="83">
        <v>1432.1</v>
      </c>
      <c r="AN67" s="83">
        <v>16548.03</v>
      </c>
      <c r="AO67" s="8">
        <f t="shared" si="36"/>
        <v>23040</v>
      </c>
      <c r="AP67" s="24">
        <v>740.82</v>
      </c>
      <c r="AQ67" s="24">
        <v>5988.77</v>
      </c>
      <c r="AR67" s="24">
        <f>VLOOKUP(B67,'[1]Sheet1 (2)'!$B$2:$C$397,2,0)</f>
        <v>16.82</v>
      </c>
      <c r="AS67" s="24">
        <f>VLOOKUP(B67,'[2]Sheet1 (2)'!$B$2:$C$404,2,0)</f>
        <v>0</v>
      </c>
      <c r="AT67" s="24">
        <v>2554.3200000000002</v>
      </c>
      <c r="AU67" s="24">
        <v>170.74</v>
      </c>
      <c r="AV67" s="24">
        <v>0</v>
      </c>
      <c r="AW67" s="20">
        <v>0</v>
      </c>
      <c r="AX67" s="20">
        <v>0</v>
      </c>
      <c r="AY67" s="83">
        <v>0</v>
      </c>
      <c r="AZ67" s="83">
        <v>0</v>
      </c>
      <c r="BA67" s="83">
        <v>1584.32</v>
      </c>
      <c r="BB67" s="8">
        <f t="shared" si="37"/>
        <v>11055.789999999999</v>
      </c>
      <c r="BC67" s="24">
        <v>-526.22</v>
      </c>
      <c r="BD67" s="24">
        <v>0</v>
      </c>
      <c r="BE67" s="24">
        <v>0</v>
      </c>
      <c r="BF67" s="24">
        <v>952.49</v>
      </c>
      <c r="BG67" s="24">
        <v>1268.03</v>
      </c>
      <c r="BH67" s="24">
        <v>0</v>
      </c>
      <c r="BI67" s="24">
        <v>0</v>
      </c>
      <c r="BN67" s="83"/>
      <c r="BO67" s="8">
        <f t="shared" si="38"/>
        <v>1694.3</v>
      </c>
    </row>
    <row r="68" spans="2:67" s="18" customFormat="1" x14ac:dyDescent="0.2">
      <c r="B68" s="18" t="s">
        <v>277</v>
      </c>
      <c r="C68" s="79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>
        <v>-653147.53</v>
      </c>
      <c r="Q68" s="77">
        <v>0</v>
      </c>
      <c r="R68" s="77">
        <v>63087.53</v>
      </c>
      <c r="S68" s="77">
        <v>0</v>
      </c>
      <c r="T68" s="77">
        <v>0</v>
      </c>
      <c r="U68" s="77">
        <v>0</v>
      </c>
      <c r="V68" s="77">
        <v>0</v>
      </c>
      <c r="W68" s="76">
        <v>0</v>
      </c>
      <c r="X68" s="76">
        <v>-9923.6200000000008</v>
      </c>
      <c r="Y68" s="91">
        <v>-325880.3</v>
      </c>
      <c r="Z68" s="91">
        <v>-198716.11</v>
      </c>
      <c r="AA68" s="91">
        <v>-266924</v>
      </c>
      <c r="AB68" s="78">
        <f t="shared" si="39"/>
        <v>-1391504.0299999998</v>
      </c>
      <c r="AC68" s="77">
        <v>-10179.530000000001</v>
      </c>
      <c r="AD68" s="77">
        <v>0</v>
      </c>
      <c r="AE68" s="77">
        <v>0</v>
      </c>
      <c r="AF68" s="77">
        <v>0</v>
      </c>
      <c r="AG68" s="77">
        <v>0</v>
      </c>
      <c r="AH68" s="77">
        <v>0</v>
      </c>
      <c r="AI68" s="77">
        <v>0</v>
      </c>
      <c r="AJ68" s="76">
        <v>0</v>
      </c>
      <c r="AK68" s="76">
        <v>0</v>
      </c>
      <c r="AL68" s="91">
        <v>-6160.67</v>
      </c>
      <c r="AM68" s="83">
        <v>-130622.37</v>
      </c>
      <c r="AN68" s="83">
        <v>-266108.82</v>
      </c>
      <c r="AO68" s="78">
        <f t="shared" si="36"/>
        <v>-413071.39</v>
      </c>
      <c r="AP68" s="24">
        <v>-3399.2</v>
      </c>
      <c r="AQ68" s="24">
        <v>0</v>
      </c>
      <c r="AR68" s="24">
        <f>VLOOKUP(B68,'[1]Sheet1 (2)'!$B$2:$C$397,2,0)</f>
        <v>-4451.4399999999996</v>
      </c>
      <c r="AS68" s="24">
        <f>VLOOKUP(B68,'[2]Sheet1 (2)'!$B$2:$C$404,2,0)</f>
        <v>-4451.8999999999996</v>
      </c>
      <c r="AT68" s="24">
        <v>0</v>
      </c>
      <c r="AU68" s="24">
        <v>0</v>
      </c>
      <c r="AV68" s="24">
        <v>0</v>
      </c>
      <c r="AW68" s="20">
        <v>0</v>
      </c>
      <c r="AX68" s="20">
        <v>0</v>
      </c>
      <c r="AY68" s="83">
        <v>0</v>
      </c>
      <c r="AZ68" s="83">
        <v>0</v>
      </c>
      <c r="BA68" s="83">
        <v>-11168.52</v>
      </c>
      <c r="BB68" s="78">
        <f t="shared" si="37"/>
        <v>-23471.059999999998</v>
      </c>
      <c r="BC68" s="24">
        <v>-332.91</v>
      </c>
      <c r="BD68" s="24">
        <v>0</v>
      </c>
      <c r="BE68" s="24">
        <v>0</v>
      </c>
      <c r="BF68" s="24">
        <v>-3887.6</v>
      </c>
      <c r="BG68" s="24">
        <v>0</v>
      </c>
      <c r="BH68" s="24">
        <v>-361.14</v>
      </c>
      <c r="BI68" s="24">
        <v>0</v>
      </c>
      <c r="BJ68" s="20"/>
      <c r="BK68" s="20"/>
      <c r="BL68" s="83"/>
      <c r="BM68" s="83"/>
      <c r="BN68" s="83"/>
      <c r="BO68" s="78">
        <f t="shared" si="38"/>
        <v>-4581.6500000000005</v>
      </c>
    </row>
    <row r="69" spans="2:67" x14ac:dyDescent="0.2">
      <c r="B69" s="3" t="s">
        <v>278</v>
      </c>
      <c r="C69" s="23"/>
      <c r="J69" s="24">
        <v>34962.43</v>
      </c>
      <c r="K69" s="24">
        <v>10624.89</v>
      </c>
      <c r="L69" s="24">
        <v>0</v>
      </c>
      <c r="M69" s="24">
        <v>0</v>
      </c>
      <c r="N69" s="24">
        <v>0</v>
      </c>
      <c r="O69" s="24">
        <f>SUBTOTAL(9,C69:N69)</f>
        <v>45587.32</v>
      </c>
      <c r="P69" s="24">
        <v>11650</v>
      </c>
      <c r="Q69" s="24">
        <v>11650</v>
      </c>
      <c r="R69" s="24">
        <v>-84.89</v>
      </c>
      <c r="S69" s="24">
        <v>-30832.43</v>
      </c>
      <c r="T69" s="24">
        <v>0</v>
      </c>
      <c r="U69" s="24">
        <v>0</v>
      </c>
      <c r="V69" s="24">
        <v>0</v>
      </c>
      <c r="W69" s="20">
        <v>0</v>
      </c>
      <c r="X69" s="20">
        <v>0</v>
      </c>
      <c r="Y69" s="83">
        <v>0</v>
      </c>
      <c r="Z69" s="83">
        <v>0</v>
      </c>
      <c r="AA69" s="83">
        <v>0</v>
      </c>
      <c r="AB69" s="8">
        <f t="shared" si="39"/>
        <v>-7617.32</v>
      </c>
      <c r="AC69" s="24">
        <v>0</v>
      </c>
      <c r="AD69" s="24">
        <v>0</v>
      </c>
      <c r="AE69" s="24">
        <v>0</v>
      </c>
      <c r="AF69" s="24">
        <v>0</v>
      </c>
      <c r="AG69" s="24">
        <v>0</v>
      </c>
      <c r="AH69" s="24">
        <v>0</v>
      </c>
      <c r="AI69" s="24">
        <v>0</v>
      </c>
      <c r="AJ69" s="20">
        <v>0</v>
      </c>
      <c r="AK69" s="20">
        <v>0</v>
      </c>
      <c r="AL69" s="83">
        <v>0</v>
      </c>
      <c r="AM69" s="83">
        <v>0</v>
      </c>
      <c r="AN69" s="83">
        <v>0</v>
      </c>
      <c r="AO69" s="8">
        <f t="shared" si="36"/>
        <v>0</v>
      </c>
      <c r="AP69" s="24">
        <v>0</v>
      </c>
      <c r="AQ69" s="24">
        <v>0</v>
      </c>
      <c r="AR69" s="24">
        <v>0</v>
      </c>
      <c r="AS69" s="24">
        <v>0</v>
      </c>
      <c r="AT69" s="24">
        <v>0</v>
      </c>
      <c r="AU69" s="24">
        <v>0</v>
      </c>
      <c r="AV69" s="24">
        <v>0</v>
      </c>
      <c r="AW69" s="20">
        <v>0</v>
      </c>
      <c r="AX69" s="20">
        <v>0</v>
      </c>
      <c r="AY69" s="83">
        <v>0</v>
      </c>
      <c r="AZ69" s="83">
        <v>0</v>
      </c>
      <c r="BA69" s="83">
        <v>0</v>
      </c>
      <c r="BB69" s="8">
        <f t="shared" si="37"/>
        <v>0</v>
      </c>
      <c r="BC69" s="24">
        <v>0</v>
      </c>
      <c r="BD69" s="24">
        <v>0</v>
      </c>
      <c r="BE69" s="24">
        <v>0</v>
      </c>
      <c r="BF69" s="24">
        <v>0</v>
      </c>
      <c r="BG69" s="24">
        <v>0</v>
      </c>
      <c r="BH69" s="24">
        <v>0</v>
      </c>
      <c r="BI69" s="24">
        <v>0</v>
      </c>
      <c r="BN69" s="83"/>
      <c r="BO69" s="8">
        <f t="shared" si="38"/>
        <v>0</v>
      </c>
    </row>
    <row r="70" spans="2:67" x14ac:dyDescent="0.2">
      <c r="B70" s="3" t="s">
        <v>1511</v>
      </c>
      <c r="C70" s="23"/>
      <c r="K70" s="24">
        <v>-10624.89</v>
      </c>
      <c r="L70" s="24">
        <v>0</v>
      </c>
      <c r="M70" s="24">
        <v>0</v>
      </c>
      <c r="N70" s="24">
        <v>0</v>
      </c>
      <c r="O70" s="24">
        <f>SUBTOTAL(9,C70:N70)</f>
        <v>-10624.89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0">
        <v>0</v>
      </c>
      <c r="X70" s="20">
        <v>725.74</v>
      </c>
      <c r="Y70" s="83">
        <v>899.93</v>
      </c>
      <c r="Z70" s="83">
        <v>870.89</v>
      </c>
      <c r="AA70" s="83">
        <v>899.92</v>
      </c>
      <c r="AB70" s="8">
        <f t="shared" si="39"/>
        <v>3396.48</v>
      </c>
      <c r="AC70" s="24">
        <v>899.92</v>
      </c>
      <c r="AD70" s="24">
        <v>841.87</v>
      </c>
      <c r="AE70" s="24">
        <v>899.92</v>
      </c>
      <c r="AF70" s="24">
        <v>870.89</v>
      </c>
      <c r="AG70" s="24">
        <v>899.92</v>
      </c>
      <c r="AH70" s="24">
        <v>870.9</v>
      </c>
      <c r="AI70" s="24">
        <v>899.92</v>
      </c>
      <c r="AJ70" s="20">
        <v>899.92</v>
      </c>
      <c r="AK70" s="20">
        <v>145.15</v>
      </c>
      <c r="AL70" s="83">
        <v>0</v>
      </c>
      <c r="AM70" s="83">
        <v>0</v>
      </c>
      <c r="AN70" s="83">
        <v>0</v>
      </c>
      <c r="AO70" s="8">
        <f t="shared" si="36"/>
        <v>7228.4099999999989</v>
      </c>
      <c r="AP70" s="24">
        <v>0</v>
      </c>
      <c r="AQ70" s="24">
        <v>0</v>
      </c>
      <c r="AR70" s="24">
        <v>0</v>
      </c>
      <c r="AS70" s="24">
        <v>0</v>
      </c>
      <c r="AT70" s="24">
        <v>0</v>
      </c>
      <c r="AU70" s="24">
        <v>0</v>
      </c>
      <c r="AV70" s="24">
        <v>0</v>
      </c>
      <c r="AW70" s="20">
        <v>0</v>
      </c>
      <c r="AX70" s="20">
        <v>0</v>
      </c>
      <c r="AY70" s="83">
        <v>0</v>
      </c>
      <c r="AZ70" s="83">
        <v>0</v>
      </c>
      <c r="BA70" s="83">
        <v>0</v>
      </c>
      <c r="BB70" s="8">
        <f t="shared" si="37"/>
        <v>0</v>
      </c>
      <c r="BC70" s="24">
        <v>0</v>
      </c>
      <c r="BD70" s="24">
        <v>0</v>
      </c>
      <c r="BE70" s="24">
        <v>0</v>
      </c>
      <c r="BF70" s="24">
        <v>0</v>
      </c>
      <c r="BG70" s="24">
        <v>0</v>
      </c>
      <c r="BH70" s="24">
        <v>0</v>
      </c>
      <c r="BI70" s="24">
        <v>0</v>
      </c>
      <c r="BN70" s="83"/>
      <c r="BO70" s="8">
        <f t="shared" si="38"/>
        <v>0</v>
      </c>
    </row>
    <row r="71" spans="2:67" x14ac:dyDescent="0.2">
      <c r="B71" s="3" t="s">
        <v>1875</v>
      </c>
      <c r="C71" s="23"/>
      <c r="AA71" s="83"/>
      <c r="AB71" s="8"/>
      <c r="AN71" s="83"/>
      <c r="AO71" s="8"/>
      <c r="AP71" s="24">
        <v>0</v>
      </c>
      <c r="AQ71" s="24">
        <v>0</v>
      </c>
      <c r="AR71" s="24">
        <f>VLOOKUP(B71,'[1]Sheet1 (2)'!$B$2:$C$397,2,0)</f>
        <v>-69.14</v>
      </c>
      <c r="AS71" s="24">
        <f>VLOOKUP(B71,'[2]Sheet1 (2)'!$B$2:$C$404,2,0)</f>
        <v>0</v>
      </c>
      <c r="AT71" s="24">
        <v>0</v>
      </c>
      <c r="AU71" s="24">
        <v>0</v>
      </c>
      <c r="AV71" s="24">
        <v>0</v>
      </c>
      <c r="AW71" s="20">
        <v>0</v>
      </c>
      <c r="AX71" s="20">
        <v>0</v>
      </c>
      <c r="AY71" s="83">
        <v>0</v>
      </c>
      <c r="AZ71" s="83">
        <v>0</v>
      </c>
      <c r="BA71" s="83">
        <v>0</v>
      </c>
      <c r="BB71" s="8">
        <f t="shared" si="37"/>
        <v>-69.14</v>
      </c>
      <c r="BC71" s="24">
        <v>0</v>
      </c>
      <c r="BD71" s="24">
        <v>0</v>
      </c>
      <c r="BE71" s="24">
        <v>0</v>
      </c>
      <c r="BF71" s="24">
        <v>0</v>
      </c>
      <c r="BG71" s="24">
        <v>-20.18</v>
      </c>
      <c r="BH71" s="24">
        <v>0</v>
      </c>
      <c r="BI71" s="24">
        <v>-16.079999999999998</v>
      </c>
      <c r="BN71" s="83"/>
      <c r="BO71" s="8">
        <f t="shared" si="38"/>
        <v>-36.26</v>
      </c>
    </row>
    <row r="72" spans="2:67" x14ac:dyDescent="0.2">
      <c r="B72" s="3" t="s">
        <v>279</v>
      </c>
      <c r="C72" s="23">
        <v>611.70000000000005</v>
      </c>
      <c r="D72" s="24">
        <v>-1606.06</v>
      </c>
      <c r="E72" s="24">
        <v>0</v>
      </c>
      <c r="F72" s="24">
        <v>0</v>
      </c>
      <c r="G72" s="24">
        <v>-350.56</v>
      </c>
      <c r="H72" s="24">
        <v>0</v>
      </c>
      <c r="I72" s="24">
        <v>0</v>
      </c>
      <c r="J72" s="24">
        <v>-14.44</v>
      </c>
      <c r="K72" s="24">
        <v>12245.84</v>
      </c>
      <c r="L72" s="24">
        <v>-22.56</v>
      </c>
      <c r="M72" s="24">
        <v>2280.41</v>
      </c>
      <c r="N72" s="24">
        <v>-36688.82</v>
      </c>
      <c r="O72" s="24">
        <f t="shared" ref="O72:O80" si="41">SUBTOTAL(9,C72:N72)</f>
        <v>-23544.489999999998</v>
      </c>
      <c r="P72" s="24">
        <v>150.68</v>
      </c>
      <c r="Q72" s="24">
        <v>-2299.41</v>
      </c>
      <c r="R72" s="24">
        <v>-566.78</v>
      </c>
      <c r="S72" s="24">
        <v>0</v>
      </c>
      <c r="T72" s="24">
        <v>23914.94</v>
      </c>
      <c r="U72" s="24">
        <v>0</v>
      </c>
      <c r="V72" s="24">
        <v>812</v>
      </c>
      <c r="W72" s="20">
        <v>15597.92</v>
      </c>
      <c r="X72" s="20">
        <v>-13789.92</v>
      </c>
      <c r="Y72" s="83">
        <v>0</v>
      </c>
      <c r="Z72" s="83">
        <v>-2620</v>
      </c>
      <c r="AA72" s="83">
        <v>0</v>
      </c>
      <c r="AB72" s="8">
        <f t="shared" ref="AB72:AB80" si="42">SUM(P72:AA72)</f>
        <v>21199.43</v>
      </c>
      <c r="AC72" s="24">
        <v>0</v>
      </c>
      <c r="AD72" s="24">
        <v>-2314.94</v>
      </c>
      <c r="AE72" s="24">
        <v>0</v>
      </c>
      <c r="AF72" s="24">
        <v>0</v>
      </c>
      <c r="AG72" s="24">
        <v>2717.14</v>
      </c>
      <c r="AH72" s="24">
        <v>0</v>
      </c>
      <c r="AI72" s="24">
        <v>5521.47</v>
      </c>
      <c r="AJ72" s="20">
        <v>0</v>
      </c>
      <c r="AK72" s="20">
        <v>0</v>
      </c>
      <c r="AL72" s="83">
        <v>-5306.2</v>
      </c>
      <c r="AM72" s="83">
        <v>175.81</v>
      </c>
      <c r="AN72" s="83">
        <v>13767.48</v>
      </c>
      <c r="AO72" s="8">
        <f t="shared" ref="AO72:AO80" si="43">SUM(AC72:AN72)</f>
        <v>14560.76</v>
      </c>
      <c r="AP72" s="24">
        <v>0</v>
      </c>
      <c r="AQ72" s="24">
        <v>-391.08</v>
      </c>
      <c r="AR72" s="24">
        <f>VLOOKUP(B72,'[1]Sheet1 (2)'!$B$2:$C$397,2,0)</f>
        <v>-13767.48</v>
      </c>
      <c r="AS72" s="24">
        <f>VLOOKUP(B72,'[2]Sheet1 (2)'!$B$2:$C$404,2,0)</f>
        <v>0</v>
      </c>
      <c r="AT72" s="24">
        <v>0</v>
      </c>
      <c r="AU72" s="24">
        <v>0</v>
      </c>
      <c r="AV72" s="24">
        <v>0</v>
      </c>
      <c r="AW72" s="20">
        <v>0</v>
      </c>
      <c r="AX72" s="20">
        <v>0</v>
      </c>
      <c r="AY72" s="83">
        <v>0</v>
      </c>
      <c r="AZ72" s="83">
        <v>3000</v>
      </c>
      <c r="BA72" s="83">
        <v>190.42</v>
      </c>
      <c r="BB72" s="8">
        <f t="shared" si="37"/>
        <v>-10968.14</v>
      </c>
      <c r="BC72" s="24">
        <v>0</v>
      </c>
      <c r="BD72" s="24">
        <v>-3000</v>
      </c>
      <c r="BE72" s="24">
        <v>-190.42</v>
      </c>
      <c r="BF72" s="24">
        <v>0</v>
      </c>
      <c r="BG72" s="24">
        <v>0</v>
      </c>
      <c r="BH72" s="24">
        <v>0</v>
      </c>
      <c r="BI72" s="24">
        <v>0</v>
      </c>
      <c r="BN72" s="83"/>
      <c r="BO72" s="8">
        <f t="shared" si="38"/>
        <v>-3190.42</v>
      </c>
    </row>
    <row r="73" spans="2:67" x14ac:dyDescent="0.2">
      <c r="B73" s="3" t="s">
        <v>280</v>
      </c>
      <c r="C73" s="23">
        <v>0</v>
      </c>
      <c r="D73" s="24">
        <v>-6177.34</v>
      </c>
      <c r="E73" s="24">
        <v>4203</v>
      </c>
      <c r="F73" s="24">
        <v>0</v>
      </c>
      <c r="G73" s="24">
        <v>0</v>
      </c>
      <c r="H73" s="24">
        <v>0</v>
      </c>
      <c r="I73" s="24">
        <v>0</v>
      </c>
      <c r="J73" s="24">
        <v>0</v>
      </c>
      <c r="K73" s="24">
        <v>0.37</v>
      </c>
      <c r="L73" s="24">
        <v>3881.45</v>
      </c>
      <c r="M73" s="24">
        <v>-1649.46</v>
      </c>
      <c r="N73" s="24">
        <v>-9975.9699999999993</v>
      </c>
      <c r="O73" s="24">
        <f t="shared" si="41"/>
        <v>-9717.9500000000007</v>
      </c>
      <c r="P73" s="24">
        <v>-55.88</v>
      </c>
      <c r="Q73" s="24">
        <v>0</v>
      </c>
      <c r="R73" s="24">
        <v>0</v>
      </c>
      <c r="S73" s="24">
        <v>0</v>
      </c>
      <c r="T73" s="24">
        <v>7799.49</v>
      </c>
      <c r="U73" s="24">
        <v>0</v>
      </c>
      <c r="V73" s="24">
        <v>0</v>
      </c>
      <c r="W73" s="20">
        <v>2620</v>
      </c>
      <c r="X73" s="20">
        <v>0</v>
      </c>
      <c r="Y73" s="83">
        <v>0</v>
      </c>
      <c r="Z73" s="83">
        <v>-2620</v>
      </c>
      <c r="AA73" s="83">
        <v>0</v>
      </c>
      <c r="AB73" s="8">
        <f t="shared" si="42"/>
        <v>7743.6100000000006</v>
      </c>
      <c r="AC73" s="24">
        <v>0</v>
      </c>
      <c r="AD73" s="24">
        <v>-680.93</v>
      </c>
      <c r="AE73" s="24">
        <v>0</v>
      </c>
      <c r="AF73" s="24">
        <v>0</v>
      </c>
      <c r="AG73" s="24">
        <v>680.93</v>
      </c>
      <c r="AH73" s="24">
        <v>0</v>
      </c>
      <c r="AI73" s="24">
        <v>0</v>
      </c>
      <c r="AJ73" s="20">
        <v>0</v>
      </c>
      <c r="AK73" s="20">
        <v>375</v>
      </c>
      <c r="AL73" s="83">
        <v>0</v>
      </c>
      <c r="AM73" s="83">
        <v>0</v>
      </c>
      <c r="AN73" s="83">
        <v>-375</v>
      </c>
      <c r="AO73" s="8">
        <f t="shared" si="43"/>
        <v>0</v>
      </c>
      <c r="AP73" s="24">
        <v>0</v>
      </c>
      <c r="AQ73" s="24">
        <v>0</v>
      </c>
      <c r="AR73" s="24">
        <v>0</v>
      </c>
      <c r="AS73" s="24">
        <v>0</v>
      </c>
      <c r="AT73" s="24">
        <v>0</v>
      </c>
      <c r="AU73" s="24">
        <v>0</v>
      </c>
      <c r="AV73" s="24">
        <v>0</v>
      </c>
      <c r="AW73" s="20">
        <v>0</v>
      </c>
      <c r="AX73" s="20">
        <v>0</v>
      </c>
      <c r="AY73" s="83">
        <v>0</v>
      </c>
      <c r="AZ73" s="83">
        <v>0</v>
      </c>
      <c r="BA73" s="83">
        <v>0</v>
      </c>
      <c r="BB73" s="8">
        <f t="shared" si="37"/>
        <v>0</v>
      </c>
      <c r="BC73" s="24">
        <v>0</v>
      </c>
      <c r="BD73" s="24">
        <v>0</v>
      </c>
      <c r="BE73" s="24">
        <v>0</v>
      </c>
      <c r="BF73" s="24">
        <v>0</v>
      </c>
      <c r="BG73" s="24">
        <v>0</v>
      </c>
      <c r="BH73" s="24">
        <v>0</v>
      </c>
      <c r="BI73" s="24">
        <v>0</v>
      </c>
      <c r="BN73" s="83"/>
      <c r="BO73" s="8">
        <f t="shared" si="38"/>
        <v>0</v>
      </c>
    </row>
    <row r="74" spans="2:67" x14ac:dyDescent="0.2">
      <c r="B74" s="3" t="s">
        <v>281</v>
      </c>
      <c r="C74" s="23">
        <v>-195.89</v>
      </c>
      <c r="D74" s="24">
        <v>-4888.6000000000004</v>
      </c>
      <c r="E74" s="24">
        <v>3833.02</v>
      </c>
      <c r="F74" s="24">
        <v>0</v>
      </c>
      <c r="G74" s="24">
        <v>0</v>
      </c>
      <c r="H74" s="24">
        <v>0</v>
      </c>
      <c r="I74" s="24">
        <v>0</v>
      </c>
      <c r="J74" s="24">
        <v>10257.33</v>
      </c>
      <c r="K74" s="24">
        <v>1088.8599999999999</v>
      </c>
      <c r="L74" s="24">
        <v>1310.32</v>
      </c>
      <c r="M74" s="24">
        <v>-6675.3</v>
      </c>
      <c r="N74" s="24">
        <v>-4307.7</v>
      </c>
      <c r="O74" s="24">
        <f t="shared" si="41"/>
        <v>422.03999999999905</v>
      </c>
      <c r="P74" s="24">
        <v>10059.700000000001</v>
      </c>
      <c r="Q74" s="24">
        <v>3097.83</v>
      </c>
      <c r="R74" s="24">
        <v>0</v>
      </c>
      <c r="S74" s="24">
        <v>-10363.01</v>
      </c>
      <c r="T74" s="24">
        <v>-3346.61</v>
      </c>
      <c r="U74" s="24">
        <v>-98.96</v>
      </c>
      <c r="V74" s="24">
        <v>458.62</v>
      </c>
      <c r="W74" s="20">
        <v>2000.62</v>
      </c>
      <c r="X74" s="20">
        <v>6.19</v>
      </c>
      <c r="Y74" s="83">
        <v>19656.57</v>
      </c>
      <c r="Z74" s="83">
        <v>-15468.48</v>
      </c>
      <c r="AA74" s="83">
        <v>4094.1</v>
      </c>
      <c r="AB74" s="8">
        <f t="shared" si="42"/>
        <v>10096.570000000002</v>
      </c>
      <c r="AC74" s="24">
        <v>-5641.55</v>
      </c>
      <c r="AD74" s="24">
        <v>-2245.98</v>
      </c>
      <c r="AE74" s="24">
        <v>-4492.58</v>
      </c>
      <c r="AF74" s="24">
        <v>0</v>
      </c>
      <c r="AG74" s="24">
        <v>610.03</v>
      </c>
      <c r="AH74" s="24">
        <v>0</v>
      </c>
      <c r="AI74" s="24">
        <v>0</v>
      </c>
      <c r="AJ74" s="20">
        <v>0</v>
      </c>
      <c r="AK74" s="20">
        <v>180.97</v>
      </c>
      <c r="AL74" s="83">
        <v>399.13</v>
      </c>
      <c r="AM74" s="83">
        <v>8034.4</v>
      </c>
      <c r="AN74" s="83">
        <v>16190.05</v>
      </c>
      <c r="AO74" s="8">
        <f t="shared" si="43"/>
        <v>13034.469999999998</v>
      </c>
      <c r="AP74" s="24">
        <v>-4354.33</v>
      </c>
      <c r="AQ74" s="24">
        <v>-10611.43</v>
      </c>
      <c r="AR74" s="24">
        <f>VLOOKUP(B74,'[1]Sheet1 (2)'!$B$2:$C$397,2,0)</f>
        <v>-9420.34</v>
      </c>
      <c r="AS74" s="24">
        <f>VLOOKUP(B74,'[2]Sheet1 (2)'!$B$2:$C$404,2,0)</f>
        <v>-418.45</v>
      </c>
      <c r="AT74" s="24">
        <v>0</v>
      </c>
      <c r="AU74" s="24">
        <v>0</v>
      </c>
      <c r="AV74" s="24">
        <v>0</v>
      </c>
      <c r="AW74" s="20">
        <v>0</v>
      </c>
      <c r="AX74" s="20">
        <v>0</v>
      </c>
      <c r="AY74" s="83">
        <v>0</v>
      </c>
      <c r="AZ74" s="83">
        <v>0</v>
      </c>
      <c r="BA74" s="83">
        <v>78.84</v>
      </c>
      <c r="BB74" s="8">
        <f t="shared" si="37"/>
        <v>-24725.71</v>
      </c>
      <c r="BC74" s="24">
        <v>-21.31</v>
      </c>
      <c r="BD74" s="24">
        <v>0</v>
      </c>
      <c r="BE74" s="24">
        <v>-57.53</v>
      </c>
      <c r="BF74" s="24">
        <v>20.91</v>
      </c>
      <c r="BG74" s="24">
        <v>0</v>
      </c>
      <c r="BH74" s="24">
        <v>0</v>
      </c>
      <c r="BI74" s="24">
        <v>-20.91</v>
      </c>
      <c r="BN74" s="83"/>
      <c r="BO74" s="8">
        <f t="shared" si="38"/>
        <v>-78.84</v>
      </c>
    </row>
    <row r="75" spans="2:67" x14ac:dyDescent="0.2">
      <c r="B75" s="3" t="s">
        <v>282</v>
      </c>
      <c r="C75" s="23">
        <v>0</v>
      </c>
      <c r="D75" s="24">
        <v>-60.88</v>
      </c>
      <c r="E75" s="24">
        <v>0</v>
      </c>
      <c r="F75" s="24">
        <v>0</v>
      </c>
      <c r="G75" s="24">
        <v>0</v>
      </c>
      <c r="H75" s="24">
        <v>0</v>
      </c>
      <c r="I75" s="24">
        <v>0</v>
      </c>
      <c r="J75" s="24">
        <v>0</v>
      </c>
      <c r="K75" s="24">
        <v>145.35</v>
      </c>
      <c r="L75" s="24">
        <v>13081.47</v>
      </c>
      <c r="M75" s="24">
        <v>-13081.47</v>
      </c>
      <c r="N75" s="24">
        <v>3273.48</v>
      </c>
      <c r="O75" s="24">
        <f t="shared" si="41"/>
        <v>3357.9499999999994</v>
      </c>
      <c r="P75" s="24">
        <v>-4085.23</v>
      </c>
      <c r="Q75" s="24">
        <v>89369.76</v>
      </c>
      <c r="R75" s="24">
        <v>0</v>
      </c>
      <c r="S75" s="24">
        <v>12763.59</v>
      </c>
      <c r="T75" s="24">
        <v>-88703.360000000001</v>
      </c>
      <c r="U75" s="24">
        <v>0</v>
      </c>
      <c r="V75" s="24">
        <v>-12395.6</v>
      </c>
      <c r="W75" s="20">
        <v>13.86</v>
      </c>
      <c r="X75" s="20">
        <v>0</v>
      </c>
      <c r="Y75" s="83">
        <v>137.31</v>
      </c>
      <c r="Z75" s="83">
        <v>397.59</v>
      </c>
      <c r="AA75" s="83">
        <v>230.82</v>
      </c>
      <c r="AB75" s="8">
        <f t="shared" si="42"/>
        <v>-2271.2600000000052</v>
      </c>
      <c r="AC75" s="24">
        <v>-505.3</v>
      </c>
      <c r="AD75" s="24">
        <v>-1731.71</v>
      </c>
      <c r="AE75" s="24">
        <v>-230.82</v>
      </c>
      <c r="AF75" s="24">
        <v>0</v>
      </c>
      <c r="AG75" s="24">
        <v>1320.26</v>
      </c>
      <c r="AH75" s="24">
        <v>0</v>
      </c>
      <c r="AI75" s="24">
        <v>0</v>
      </c>
      <c r="AJ75" s="20">
        <v>0</v>
      </c>
      <c r="AK75" s="20">
        <v>925.65</v>
      </c>
      <c r="AL75" s="83">
        <v>151.61000000000001</v>
      </c>
      <c r="AM75" s="83">
        <v>0</v>
      </c>
      <c r="AN75" s="83">
        <v>19916.099999999999</v>
      </c>
      <c r="AO75" s="8">
        <f t="shared" si="43"/>
        <v>19845.789999999997</v>
      </c>
      <c r="AP75" s="24">
        <v>-151.61000000000001</v>
      </c>
      <c r="AQ75" s="24">
        <v>0</v>
      </c>
      <c r="AR75" s="24">
        <f>VLOOKUP(B75,'[1]Sheet1 (2)'!$B$2:$C$397,2,0)</f>
        <v>-20841.75</v>
      </c>
      <c r="AS75" s="24">
        <f>VLOOKUP(B75,'[2]Sheet1 (2)'!$B$2:$C$404,2,0)</f>
        <v>0</v>
      </c>
      <c r="AT75" s="24">
        <v>0</v>
      </c>
      <c r="AU75" s="24">
        <v>3960.93</v>
      </c>
      <c r="AV75" s="24">
        <v>0</v>
      </c>
      <c r="AW75" s="20">
        <v>0</v>
      </c>
      <c r="AX75" s="20">
        <v>-3960.93</v>
      </c>
      <c r="AY75" s="83">
        <v>0</v>
      </c>
      <c r="AZ75" s="83">
        <v>0</v>
      </c>
      <c r="BA75" s="83">
        <v>0</v>
      </c>
      <c r="BB75" s="8">
        <f t="shared" si="37"/>
        <v>-20993.360000000001</v>
      </c>
      <c r="BC75" s="24">
        <v>0</v>
      </c>
      <c r="BD75" s="24">
        <v>0</v>
      </c>
      <c r="BE75" s="24">
        <v>0</v>
      </c>
      <c r="BF75" s="24">
        <v>0</v>
      </c>
      <c r="BG75" s="24">
        <v>0</v>
      </c>
      <c r="BH75" s="24">
        <v>0</v>
      </c>
      <c r="BI75" s="24">
        <v>0</v>
      </c>
      <c r="BN75" s="83"/>
      <c r="BO75" s="8">
        <f t="shared" si="38"/>
        <v>0</v>
      </c>
    </row>
    <row r="76" spans="2:67" x14ac:dyDescent="0.2">
      <c r="B76" s="3" t="s">
        <v>829</v>
      </c>
      <c r="C76" s="23">
        <v>199.48</v>
      </c>
      <c r="D76" s="24">
        <v>-66621.41</v>
      </c>
      <c r="E76" s="24">
        <v>65998.67</v>
      </c>
      <c r="F76" s="24">
        <v>0</v>
      </c>
      <c r="G76" s="24">
        <v>-52.94</v>
      </c>
      <c r="H76" s="24">
        <v>0</v>
      </c>
      <c r="I76" s="24">
        <v>0</v>
      </c>
      <c r="J76" s="24">
        <v>63000</v>
      </c>
      <c r="K76" s="24">
        <v>2718.68</v>
      </c>
      <c r="L76" s="24">
        <v>-24557.69</v>
      </c>
      <c r="M76" s="24">
        <v>-38580.71</v>
      </c>
      <c r="N76" s="24">
        <v>-3187.79</v>
      </c>
      <c r="O76" s="24">
        <f t="shared" si="41"/>
        <v>-1083.7100000000055</v>
      </c>
      <c r="P76" s="24">
        <v>0</v>
      </c>
      <c r="Q76" s="24">
        <v>0</v>
      </c>
      <c r="R76" s="24">
        <v>0</v>
      </c>
      <c r="S76" s="24">
        <v>0</v>
      </c>
      <c r="T76" s="24">
        <v>1507.09</v>
      </c>
      <c r="U76" s="24">
        <v>0</v>
      </c>
      <c r="V76" s="24">
        <v>1.4</v>
      </c>
      <c r="W76" s="20">
        <v>2000</v>
      </c>
      <c r="X76" s="20">
        <v>3.4</v>
      </c>
      <c r="Y76" s="83">
        <v>-1.4</v>
      </c>
      <c r="Z76" s="83">
        <v>-2003.4</v>
      </c>
      <c r="AA76" s="83">
        <v>135.47999999999999</v>
      </c>
      <c r="AB76" s="8">
        <f t="shared" si="42"/>
        <v>1642.5699999999997</v>
      </c>
      <c r="AC76" s="24">
        <v>0</v>
      </c>
      <c r="AD76" s="24">
        <v>-580</v>
      </c>
      <c r="AE76" s="24">
        <v>-135.47999999999999</v>
      </c>
      <c r="AF76" s="24">
        <v>0</v>
      </c>
      <c r="AG76" s="24">
        <v>580</v>
      </c>
      <c r="AH76" s="24">
        <v>0</v>
      </c>
      <c r="AI76" s="24">
        <v>0</v>
      </c>
      <c r="AJ76" s="20">
        <v>0</v>
      </c>
      <c r="AK76" s="20">
        <v>776.7</v>
      </c>
      <c r="AL76" s="83">
        <v>0</v>
      </c>
      <c r="AM76" s="83">
        <v>0</v>
      </c>
      <c r="AN76" s="83">
        <v>-776.7</v>
      </c>
      <c r="AO76" s="8">
        <f t="shared" si="43"/>
        <v>-135.48000000000002</v>
      </c>
      <c r="AP76" s="24">
        <v>0</v>
      </c>
      <c r="AQ76" s="24">
        <v>0</v>
      </c>
      <c r="AR76" s="24">
        <v>0</v>
      </c>
      <c r="AS76" s="24">
        <v>0</v>
      </c>
      <c r="AT76" s="24">
        <v>0</v>
      </c>
      <c r="AU76" s="24">
        <v>0</v>
      </c>
      <c r="AV76" s="24">
        <v>0</v>
      </c>
      <c r="AW76" s="20">
        <v>0</v>
      </c>
      <c r="AX76" s="20">
        <v>0</v>
      </c>
      <c r="AY76" s="83">
        <v>0</v>
      </c>
      <c r="AZ76" s="83">
        <v>0.11</v>
      </c>
      <c r="BA76" s="83">
        <v>0.56999999999999995</v>
      </c>
      <c r="BB76" s="8">
        <f t="shared" si="37"/>
        <v>0.67999999999999994</v>
      </c>
      <c r="BC76" s="24">
        <v>0</v>
      </c>
      <c r="BD76" s="24">
        <v>-0.11</v>
      </c>
      <c r="BE76" s="24">
        <v>-0.56999999999999995</v>
      </c>
      <c r="BF76" s="24">
        <v>0</v>
      </c>
      <c r="BG76" s="24">
        <v>0</v>
      </c>
      <c r="BH76" s="24">
        <v>0</v>
      </c>
      <c r="BI76" s="24">
        <v>0</v>
      </c>
      <c r="BN76" s="83"/>
      <c r="BO76" s="8">
        <f t="shared" si="38"/>
        <v>-0.67999999999999994</v>
      </c>
    </row>
    <row r="77" spans="2:67" x14ac:dyDescent="0.2">
      <c r="B77" s="3" t="s">
        <v>283</v>
      </c>
      <c r="C77" s="23">
        <v>1000</v>
      </c>
      <c r="D77" s="24">
        <v>-2955.09</v>
      </c>
      <c r="E77" s="24">
        <v>0</v>
      </c>
      <c r="F77" s="24">
        <v>0</v>
      </c>
      <c r="G77" s="24">
        <v>0</v>
      </c>
      <c r="H77" s="24">
        <v>2970.7</v>
      </c>
      <c r="I77" s="24">
        <v>-2970.7</v>
      </c>
      <c r="J77" s="24">
        <v>0</v>
      </c>
      <c r="K77" s="24">
        <v>1128.68</v>
      </c>
      <c r="L77" s="24">
        <v>1256</v>
      </c>
      <c r="M77" s="24">
        <v>1931.2</v>
      </c>
      <c r="N77" s="24">
        <v>-1205.81</v>
      </c>
      <c r="O77" s="24">
        <f t="shared" si="41"/>
        <v>1154.98</v>
      </c>
      <c r="P77" s="24">
        <v>-78.59</v>
      </c>
      <c r="Q77" s="24">
        <v>284.39999999999998</v>
      </c>
      <c r="R77" s="24">
        <v>-0.28999999999999998</v>
      </c>
      <c r="S77" s="24">
        <v>1216.32</v>
      </c>
      <c r="T77" s="24">
        <v>849.8</v>
      </c>
      <c r="U77" s="24">
        <v>0</v>
      </c>
      <c r="V77" s="24">
        <v>2512</v>
      </c>
      <c r="W77" s="20">
        <v>-1216.32</v>
      </c>
      <c r="X77" s="20">
        <v>-327.64</v>
      </c>
      <c r="Y77" s="83">
        <v>0</v>
      </c>
      <c r="Z77" s="83">
        <v>0</v>
      </c>
      <c r="AA77" s="83">
        <v>112.37</v>
      </c>
      <c r="AB77" s="8">
        <f t="shared" si="42"/>
        <v>3352.0499999999997</v>
      </c>
      <c r="AC77" s="24">
        <v>-430.1</v>
      </c>
      <c r="AD77" s="24">
        <v>-3139.13</v>
      </c>
      <c r="AE77" s="24">
        <v>0</v>
      </c>
      <c r="AF77" s="24">
        <v>0</v>
      </c>
      <c r="AG77" s="24">
        <v>0</v>
      </c>
      <c r="AH77" s="24">
        <v>0</v>
      </c>
      <c r="AI77" s="24">
        <v>716.68</v>
      </c>
      <c r="AJ77" s="20">
        <v>733.84</v>
      </c>
      <c r="AK77" s="20">
        <v>0</v>
      </c>
      <c r="AL77" s="83">
        <v>-2512</v>
      </c>
      <c r="AM77" s="83">
        <v>0</v>
      </c>
      <c r="AN77" s="83">
        <v>2984.37</v>
      </c>
      <c r="AO77" s="8">
        <f t="shared" si="43"/>
        <v>-1646.3400000000001</v>
      </c>
      <c r="AP77" s="24">
        <v>-240.62</v>
      </c>
      <c r="AQ77" s="24">
        <v>-448.65</v>
      </c>
      <c r="AR77" s="24">
        <f>VLOOKUP(B77,'[1]Sheet1 (2)'!$B$2:$C$397,2,0)</f>
        <v>-931.13</v>
      </c>
      <c r="AS77" s="24">
        <f>VLOOKUP(B77,'[2]Sheet1 (2)'!$B$2:$C$404,2,0)</f>
        <v>0</v>
      </c>
      <c r="AT77" s="24">
        <v>0</v>
      </c>
      <c r="AU77" s="24">
        <v>713.56</v>
      </c>
      <c r="AV77" s="24">
        <v>0</v>
      </c>
      <c r="AW77" s="20">
        <v>0</v>
      </c>
      <c r="AX77" s="20">
        <v>0</v>
      </c>
      <c r="AY77" s="83">
        <v>-446.01</v>
      </c>
      <c r="AZ77" s="83">
        <v>-78.150000000000006</v>
      </c>
      <c r="BA77" s="83">
        <v>-218.01</v>
      </c>
      <c r="BB77" s="8">
        <f t="shared" si="37"/>
        <v>-1649.0100000000002</v>
      </c>
      <c r="BC77" s="24">
        <v>0</v>
      </c>
      <c r="BD77" s="24">
        <v>0</v>
      </c>
      <c r="BE77" s="24">
        <v>-2571.13</v>
      </c>
      <c r="BF77" s="24">
        <v>-123</v>
      </c>
      <c r="BG77" s="24">
        <v>0</v>
      </c>
      <c r="BH77" s="24">
        <v>0</v>
      </c>
      <c r="BI77" s="24">
        <v>0</v>
      </c>
      <c r="BN77" s="83"/>
      <c r="BO77" s="8">
        <f t="shared" si="38"/>
        <v>-2694.13</v>
      </c>
    </row>
    <row r="78" spans="2:67" x14ac:dyDescent="0.2">
      <c r="B78" s="3" t="s">
        <v>284</v>
      </c>
      <c r="C78" s="23">
        <v>536.67999999999995</v>
      </c>
      <c r="D78" s="24">
        <v>-992.38</v>
      </c>
      <c r="E78" s="24">
        <v>0</v>
      </c>
      <c r="F78" s="24">
        <v>0</v>
      </c>
      <c r="G78" s="24">
        <v>0</v>
      </c>
      <c r="H78" s="24">
        <v>0</v>
      </c>
      <c r="I78" s="24">
        <v>0</v>
      </c>
      <c r="J78" s="24">
        <v>30286.71</v>
      </c>
      <c r="K78" s="24">
        <v>8529.23</v>
      </c>
      <c r="L78" s="24">
        <v>1160.48</v>
      </c>
      <c r="M78" s="24">
        <v>-30232.67</v>
      </c>
      <c r="N78" s="24">
        <v>-9359.49</v>
      </c>
      <c r="O78" s="24">
        <f t="shared" si="41"/>
        <v>-71.439999999996871</v>
      </c>
      <c r="P78" s="24">
        <v>-514.86</v>
      </c>
      <c r="Q78" s="24">
        <v>406.78</v>
      </c>
      <c r="R78" s="24">
        <v>-460.82</v>
      </c>
      <c r="S78" s="24">
        <v>255.34</v>
      </c>
      <c r="T78" s="24">
        <v>-62.39</v>
      </c>
      <c r="U78" s="24">
        <v>0</v>
      </c>
      <c r="V78" s="24">
        <v>-126.11</v>
      </c>
      <c r="W78" s="20">
        <v>1806.06</v>
      </c>
      <c r="X78" s="20">
        <v>-1872.9</v>
      </c>
      <c r="Y78" s="83">
        <v>4839.91</v>
      </c>
      <c r="Z78" s="83">
        <v>1339.73</v>
      </c>
      <c r="AA78" s="83">
        <v>5664.2</v>
      </c>
      <c r="AB78" s="8">
        <f t="shared" si="42"/>
        <v>11274.939999999999</v>
      </c>
      <c r="AC78" s="24">
        <v>-6806.31</v>
      </c>
      <c r="AD78" s="24">
        <v>-1932.51</v>
      </c>
      <c r="AE78" s="24">
        <v>-3105.02</v>
      </c>
      <c r="AF78" s="24">
        <v>0</v>
      </c>
      <c r="AG78" s="24">
        <v>0</v>
      </c>
      <c r="AH78" s="24">
        <v>0</v>
      </c>
      <c r="AI78" s="24">
        <v>86.56</v>
      </c>
      <c r="AJ78" s="20">
        <v>101.94</v>
      </c>
      <c r="AK78" s="20">
        <v>0</v>
      </c>
      <c r="AL78" s="83">
        <v>-71.22</v>
      </c>
      <c r="AM78" s="83">
        <v>4813.76</v>
      </c>
      <c r="AN78" s="83">
        <v>-1346.28</v>
      </c>
      <c r="AO78" s="8">
        <f t="shared" si="43"/>
        <v>-8259.08</v>
      </c>
      <c r="AP78" s="24">
        <v>-585.17999999999995</v>
      </c>
      <c r="AQ78" s="24">
        <v>393.9</v>
      </c>
      <c r="AR78" s="24">
        <f>VLOOKUP(B78,'[1]Sheet1 (2)'!$B$2:$C$397,2,0)</f>
        <v>-1656.26</v>
      </c>
      <c r="AS78" s="24">
        <f>VLOOKUP(B78,'[2]Sheet1 (2)'!$B$2:$C$404,2,0)</f>
        <v>0</v>
      </c>
      <c r="AT78" s="24">
        <v>-1533</v>
      </c>
      <c r="AU78" s="24">
        <v>12.2</v>
      </c>
      <c r="AV78" s="24">
        <v>0</v>
      </c>
      <c r="AW78" s="20">
        <v>-204.22</v>
      </c>
      <c r="AX78" s="20">
        <v>-12.2</v>
      </c>
      <c r="AY78" s="83">
        <v>0</v>
      </c>
      <c r="AZ78" s="83">
        <v>0</v>
      </c>
      <c r="BA78" s="83">
        <v>23.78</v>
      </c>
      <c r="BB78" s="8">
        <f t="shared" si="37"/>
        <v>-3560.9799999999996</v>
      </c>
      <c r="BC78" s="24">
        <v>0</v>
      </c>
      <c r="BD78" s="24">
        <v>0</v>
      </c>
      <c r="BE78" s="24">
        <v>-23.78</v>
      </c>
      <c r="BF78" s="24">
        <v>1322.76</v>
      </c>
      <c r="BG78" s="24">
        <v>-1268.03</v>
      </c>
      <c r="BH78" s="24">
        <v>0</v>
      </c>
      <c r="BI78" s="24">
        <v>-54.73</v>
      </c>
      <c r="BN78" s="83"/>
      <c r="BO78" s="8">
        <f t="shared" si="38"/>
        <v>-23.779999999999951</v>
      </c>
    </row>
    <row r="79" spans="2:67" x14ac:dyDescent="0.2">
      <c r="B79" s="3" t="s">
        <v>1062</v>
      </c>
      <c r="C79" s="23">
        <v>0</v>
      </c>
      <c r="D79" s="24">
        <v>-21104.46</v>
      </c>
      <c r="E79" s="24">
        <v>21104.46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f t="shared" si="41"/>
        <v>0</v>
      </c>
      <c r="P79" s="24">
        <v>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0">
        <v>0</v>
      </c>
      <c r="X79" s="20">
        <v>0</v>
      </c>
      <c r="Y79" s="83">
        <v>0</v>
      </c>
      <c r="Z79" s="83">
        <v>0</v>
      </c>
      <c r="AA79" s="83">
        <v>0</v>
      </c>
      <c r="AB79" s="8">
        <f t="shared" si="42"/>
        <v>0</v>
      </c>
      <c r="AC79" s="24">
        <v>0</v>
      </c>
      <c r="AD79" s="24">
        <v>0</v>
      </c>
      <c r="AE79" s="24">
        <v>0</v>
      </c>
      <c r="AF79" s="24">
        <v>0</v>
      </c>
      <c r="AG79" s="24">
        <v>0</v>
      </c>
      <c r="AH79" s="24">
        <v>0</v>
      </c>
      <c r="AI79" s="24">
        <v>0</v>
      </c>
      <c r="AJ79" s="20">
        <v>0</v>
      </c>
      <c r="AK79" s="20">
        <v>0</v>
      </c>
      <c r="AL79" s="83">
        <v>0</v>
      </c>
      <c r="AM79" s="83">
        <v>0</v>
      </c>
      <c r="AN79" s="83">
        <v>0</v>
      </c>
      <c r="AO79" s="8">
        <f t="shared" si="43"/>
        <v>0</v>
      </c>
      <c r="AP79" s="24">
        <v>0</v>
      </c>
      <c r="AQ79" s="24">
        <v>0</v>
      </c>
      <c r="AR79" s="24">
        <v>0</v>
      </c>
      <c r="AS79" s="24">
        <v>0</v>
      </c>
      <c r="AT79" s="24">
        <v>0</v>
      </c>
      <c r="AU79" s="24">
        <v>0</v>
      </c>
      <c r="AV79" s="24">
        <v>0</v>
      </c>
      <c r="AW79" s="20">
        <v>0</v>
      </c>
      <c r="AX79" s="20">
        <v>0</v>
      </c>
      <c r="AY79" s="83">
        <v>0</v>
      </c>
      <c r="AZ79" s="83">
        <v>0</v>
      </c>
      <c r="BA79" s="83">
        <v>0</v>
      </c>
      <c r="BB79" s="8">
        <f t="shared" si="37"/>
        <v>0</v>
      </c>
      <c r="BC79" s="24">
        <v>0</v>
      </c>
      <c r="BD79" s="24">
        <v>0</v>
      </c>
      <c r="BE79" s="24">
        <v>0</v>
      </c>
      <c r="BF79" s="24">
        <v>0</v>
      </c>
      <c r="BG79" s="24">
        <v>0</v>
      </c>
      <c r="BH79" s="24">
        <v>0</v>
      </c>
      <c r="BI79" s="24">
        <v>0</v>
      </c>
      <c r="BN79" s="83"/>
      <c r="BO79" s="8">
        <f t="shared" si="38"/>
        <v>0</v>
      </c>
    </row>
    <row r="80" spans="2:67" x14ac:dyDescent="0.2">
      <c r="B80" s="3" t="s">
        <v>285</v>
      </c>
      <c r="C80" s="23">
        <v>200</v>
      </c>
      <c r="D80" s="24">
        <v>-600</v>
      </c>
      <c r="E80" s="24">
        <v>0</v>
      </c>
      <c r="F80" s="24">
        <v>0</v>
      </c>
      <c r="G80" s="24">
        <v>0</v>
      </c>
      <c r="H80" s="24">
        <v>600</v>
      </c>
      <c r="I80" s="24">
        <v>-600</v>
      </c>
      <c r="J80" s="24">
        <v>0</v>
      </c>
      <c r="K80" s="24">
        <v>0</v>
      </c>
      <c r="L80" s="24">
        <v>0</v>
      </c>
      <c r="M80" s="24">
        <v>0</v>
      </c>
      <c r="N80" s="24">
        <v>0</v>
      </c>
      <c r="O80" s="24">
        <f t="shared" si="41"/>
        <v>-400</v>
      </c>
      <c r="P80" s="24">
        <v>2356.2399999999998</v>
      </c>
      <c r="Q80" s="24">
        <v>2364.81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0">
        <v>0</v>
      </c>
      <c r="X80" s="20">
        <v>565.21</v>
      </c>
      <c r="Y80" s="83">
        <v>0</v>
      </c>
      <c r="Z80" s="83">
        <v>0</v>
      </c>
      <c r="AA80" s="83">
        <v>205.19</v>
      </c>
      <c r="AB80" s="8">
        <f t="shared" si="42"/>
        <v>5491.4499999999989</v>
      </c>
      <c r="AC80" s="24">
        <v>0</v>
      </c>
      <c r="AD80" s="24">
        <v>0</v>
      </c>
      <c r="AE80" s="24">
        <v>0</v>
      </c>
      <c r="AF80" s="24">
        <v>-2356.2399999999998</v>
      </c>
      <c r="AG80" s="24">
        <v>-2364.81</v>
      </c>
      <c r="AH80" s="24">
        <v>0</v>
      </c>
      <c r="AI80" s="24">
        <v>0</v>
      </c>
      <c r="AJ80" s="20">
        <v>0</v>
      </c>
      <c r="AK80" s="20">
        <v>0</v>
      </c>
      <c r="AL80" s="83">
        <v>506.49</v>
      </c>
      <c r="AM80" s="83">
        <v>-565.21</v>
      </c>
      <c r="AN80" s="83">
        <v>0</v>
      </c>
      <c r="AO80" s="8">
        <f t="shared" si="43"/>
        <v>-4779.7699999999995</v>
      </c>
      <c r="AP80" s="24">
        <v>0</v>
      </c>
      <c r="AQ80" s="24">
        <v>0</v>
      </c>
      <c r="AR80" s="24">
        <f>VLOOKUP(B80,'[1]Sheet1 (2)'!$B$2:$C$397,2,0)</f>
        <v>1145.28</v>
      </c>
      <c r="AS80" s="24">
        <f>VLOOKUP(B80,'[2]Sheet1 (2)'!$B$2:$C$404,2,0)</f>
        <v>0</v>
      </c>
      <c r="AT80" s="24">
        <v>876.05</v>
      </c>
      <c r="AU80" s="24">
        <v>0</v>
      </c>
      <c r="AV80" s="24">
        <v>0</v>
      </c>
      <c r="AW80" s="20">
        <v>-69.14</v>
      </c>
      <c r="AX80" s="20">
        <v>0</v>
      </c>
      <c r="AY80" s="83">
        <v>-506.49</v>
      </c>
      <c r="AZ80" s="83">
        <v>0</v>
      </c>
      <c r="BA80" s="83">
        <v>0</v>
      </c>
      <c r="BB80" s="8">
        <f t="shared" si="37"/>
        <v>1445.6999999999998</v>
      </c>
      <c r="BC80" s="24">
        <v>-876.05</v>
      </c>
      <c r="BD80" s="24">
        <v>0</v>
      </c>
      <c r="BE80" s="24">
        <v>0</v>
      </c>
      <c r="BF80" s="24">
        <v>0</v>
      </c>
      <c r="BG80" s="24">
        <v>14.25</v>
      </c>
      <c r="BH80" s="24">
        <v>-14.25</v>
      </c>
      <c r="BI80" s="24">
        <v>0</v>
      </c>
      <c r="BN80" s="83"/>
      <c r="BO80" s="8">
        <f t="shared" si="38"/>
        <v>-876.05</v>
      </c>
    </row>
    <row r="81" spans="2:67" x14ac:dyDescent="0.2">
      <c r="B81" s="6" t="s">
        <v>1542</v>
      </c>
      <c r="C81" s="7">
        <f t="shared" ref="C81:N81" si="44">SUM(C52:C80)</f>
        <v>45830.31</v>
      </c>
      <c r="D81" s="7">
        <f t="shared" si="44"/>
        <v>-104103.65</v>
      </c>
      <c r="E81" s="7">
        <f t="shared" si="44"/>
        <v>94637.829999999987</v>
      </c>
      <c r="F81" s="7">
        <f t="shared" si="44"/>
        <v>521.69000000000005</v>
      </c>
      <c r="G81" s="7">
        <f t="shared" si="44"/>
        <v>4.3899999999999864</v>
      </c>
      <c r="H81" s="7">
        <f t="shared" si="44"/>
        <v>3544.23</v>
      </c>
      <c r="I81" s="7">
        <f t="shared" si="44"/>
        <v>-3585.6499999999996</v>
      </c>
      <c r="J81" s="7">
        <f t="shared" si="44"/>
        <v>1204449.7999999998</v>
      </c>
      <c r="K81" s="7">
        <f t="shared" si="44"/>
        <v>1604971.24</v>
      </c>
      <c r="L81" s="7">
        <f t="shared" si="44"/>
        <v>159822.64000000001</v>
      </c>
      <c r="M81" s="7">
        <f t="shared" si="44"/>
        <v>169945.04000000004</v>
      </c>
      <c r="N81" s="7">
        <f t="shared" si="44"/>
        <v>-72115.099999999991</v>
      </c>
      <c r="O81" s="7">
        <f>SUM(C81:N81)</f>
        <v>3103922.7699999996</v>
      </c>
      <c r="P81" s="7">
        <f t="shared" ref="P81:AT81" si="45">SUM(P52:P80)</f>
        <v>1156106.5699999998</v>
      </c>
      <c r="Q81" s="7">
        <f t="shared" si="45"/>
        <v>1037390.1000000002</v>
      </c>
      <c r="R81" s="7">
        <f t="shared" si="45"/>
        <v>67309.39</v>
      </c>
      <c r="S81" s="7">
        <f t="shared" si="45"/>
        <v>62832.069999999985</v>
      </c>
      <c r="T81" s="7">
        <f t="shared" si="45"/>
        <v>5351.8700000000099</v>
      </c>
      <c r="U81" s="7">
        <f t="shared" si="45"/>
        <v>853.06</v>
      </c>
      <c r="V81" s="7">
        <f t="shared" si="45"/>
        <v>73639.62999999999</v>
      </c>
      <c r="W81" s="63">
        <f t="shared" si="45"/>
        <v>1137579.97</v>
      </c>
      <c r="X81" s="63">
        <f t="shared" si="45"/>
        <v>198958.06999999995</v>
      </c>
      <c r="Y81" s="63">
        <f t="shared" si="45"/>
        <v>1886384.2599999998</v>
      </c>
      <c r="Z81" s="63">
        <f t="shared" si="45"/>
        <v>1124958.3600000003</v>
      </c>
      <c r="AA81" s="63">
        <f t="shared" si="45"/>
        <v>2250516.8699999996</v>
      </c>
      <c r="AB81" s="63">
        <f t="shared" si="45"/>
        <v>9001880.2199999988</v>
      </c>
      <c r="AC81" s="63">
        <f t="shared" si="45"/>
        <v>4674.7699999999995</v>
      </c>
      <c r="AD81" s="63">
        <f t="shared" si="45"/>
        <v>-7448.5</v>
      </c>
      <c r="AE81" s="63">
        <f t="shared" si="45"/>
        <v>21174.369999999995</v>
      </c>
      <c r="AF81" s="63">
        <f t="shared" si="45"/>
        <v>2346.34</v>
      </c>
      <c r="AG81" s="63">
        <f t="shared" si="45"/>
        <v>5886.4500000000007</v>
      </c>
      <c r="AH81" s="63">
        <f t="shared" si="45"/>
        <v>2057.39</v>
      </c>
      <c r="AI81" s="63">
        <f t="shared" si="45"/>
        <v>124994.84</v>
      </c>
      <c r="AJ81" s="63">
        <f t="shared" si="45"/>
        <v>54944.19</v>
      </c>
      <c r="AK81" s="63">
        <f t="shared" si="45"/>
        <v>21989.5</v>
      </c>
      <c r="AL81" s="63">
        <f t="shared" si="45"/>
        <v>65199.94000000001</v>
      </c>
      <c r="AM81" s="63">
        <f t="shared" si="45"/>
        <v>768106.04</v>
      </c>
      <c r="AN81" s="63">
        <f t="shared" si="45"/>
        <v>1872426.87</v>
      </c>
      <c r="AO81" s="63">
        <f t="shared" si="45"/>
        <v>2936352.1999999993</v>
      </c>
      <c r="AP81" s="63">
        <f t="shared" si="45"/>
        <v>-949.50000000000011</v>
      </c>
      <c r="AQ81" s="63">
        <f t="shared" si="45"/>
        <v>346243.89999999997</v>
      </c>
      <c r="AR81" s="63">
        <f t="shared" si="45"/>
        <v>136250.71999999997</v>
      </c>
      <c r="AS81" s="63">
        <f t="shared" si="45"/>
        <v>-405975.14</v>
      </c>
      <c r="AT81" s="63">
        <f t="shared" si="45"/>
        <v>151884.06000000003</v>
      </c>
      <c r="AU81" s="63">
        <f t="shared" ref="AU81:BA81" si="46">SUM(AU52:AU80)</f>
        <v>42458.7</v>
      </c>
      <c r="AV81" s="63">
        <f t="shared" si="46"/>
        <v>1094.0299999999997</v>
      </c>
      <c r="AW81" s="63">
        <f t="shared" si="46"/>
        <v>-778.22</v>
      </c>
      <c r="AX81" s="63">
        <f t="shared" si="46"/>
        <v>-1586.5799999999997</v>
      </c>
      <c r="AY81" s="63">
        <f t="shared" si="46"/>
        <v>635.61000000000013</v>
      </c>
      <c r="AZ81" s="63">
        <f t="shared" si="46"/>
        <v>131562.1</v>
      </c>
      <c r="BA81" s="63">
        <f t="shared" si="46"/>
        <v>488900.26</v>
      </c>
      <c r="BB81" s="63">
        <f>SUM(BB52:BB80)</f>
        <v>889739.94</v>
      </c>
      <c r="BC81" s="63">
        <f t="shared" ref="BC81:BO81" si="47">SUM(BC52:BC80)</f>
        <v>-1896.3999999999999</v>
      </c>
      <c r="BD81" s="63">
        <f t="shared" si="47"/>
        <v>3115.7200000000007</v>
      </c>
      <c r="BE81" s="63">
        <f t="shared" si="47"/>
        <v>7698.9700000000012</v>
      </c>
      <c r="BF81" s="63">
        <f t="shared" si="47"/>
        <v>116554.66000000002</v>
      </c>
      <c r="BG81" s="63">
        <f t="shared" si="47"/>
        <v>-5.9300000000000637</v>
      </c>
      <c r="BH81" s="63">
        <f t="shared" si="47"/>
        <v>-529.13</v>
      </c>
      <c r="BI81" s="63">
        <f t="shared" si="47"/>
        <v>19.920000000000009</v>
      </c>
      <c r="BJ81" s="63">
        <f t="shared" si="47"/>
        <v>0</v>
      </c>
      <c r="BK81" s="63">
        <f t="shared" si="47"/>
        <v>0</v>
      </c>
      <c r="BL81" s="63">
        <f t="shared" si="47"/>
        <v>0</v>
      </c>
      <c r="BM81" s="63">
        <f t="shared" si="47"/>
        <v>0</v>
      </c>
      <c r="BN81" s="63">
        <f t="shared" si="47"/>
        <v>0</v>
      </c>
      <c r="BO81" s="63">
        <f t="shared" si="47"/>
        <v>124957.80999999997</v>
      </c>
    </row>
    <row r="82" spans="2:67" x14ac:dyDescent="0.2">
      <c r="B82" s="3" t="s">
        <v>287</v>
      </c>
      <c r="C82" s="23">
        <v>3184835.62</v>
      </c>
      <c r="D82" s="24">
        <v>3183621.05</v>
      </c>
      <c r="E82" s="24">
        <v>3656982.35</v>
      </c>
      <c r="F82" s="24">
        <v>3041108.36</v>
      </c>
      <c r="G82" s="24">
        <v>3803618.76</v>
      </c>
      <c r="H82" s="24">
        <v>4895571.21</v>
      </c>
      <c r="I82" s="24">
        <v>3826961.46</v>
      </c>
      <c r="J82" s="24">
        <v>2560284.67</v>
      </c>
      <c r="K82" s="24">
        <v>6341438.1100000003</v>
      </c>
      <c r="L82" s="24">
        <v>5483608.5499999998</v>
      </c>
      <c r="M82" s="24">
        <v>6796169.6600000001</v>
      </c>
      <c r="N82" s="24">
        <v>7112953.3200000003</v>
      </c>
      <c r="O82" s="24">
        <f>SUBTOTAL(9,C82:N82)</f>
        <v>53887153.119999997</v>
      </c>
      <c r="P82" s="24">
        <v>4599898.2300000004</v>
      </c>
      <c r="Q82" s="24">
        <v>2965898.53</v>
      </c>
      <c r="R82" s="24">
        <v>6622098.4500000002</v>
      </c>
      <c r="S82" s="24">
        <v>3765594.08</v>
      </c>
      <c r="T82" s="24">
        <v>4981808.5599999996</v>
      </c>
      <c r="U82" s="24">
        <v>3992528.3</v>
      </c>
      <c r="V82" s="24">
        <v>3408756.05</v>
      </c>
      <c r="W82" s="20">
        <v>3951722.21</v>
      </c>
      <c r="X82" s="20">
        <v>3947988.91</v>
      </c>
      <c r="Y82" s="83">
        <v>4076447.73</v>
      </c>
      <c r="Z82" s="83">
        <v>2693818.08</v>
      </c>
      <c r="AA82" s="83">
        <v>3613016.32</v>
      </c>
      <c r="AB82" s="8">
        <f>SUM(P82:AA82)</f>
        <v>48619575.449999988</v>
      </c>
      <c r="AC82" s="24">
        <v>2730594.54</v>
      </c>
      <c r="AD82" s="24">
        <v>3355008.65</v>
      </c>
      <c r="AE82" s="24">
        <v>3621610.01</v>
      </c>
      <c r="AF82" s="24">
        <v>2924269.88</v>
      </c>
      <c r="AG82" s="24">
        <v>3528144.87</v>
      </c>
      <c r="AH82" s="24">
        <v>3117663.67</v>
      </c>
      <c r="AI82" s="24">
        <v>3261956.13</v>
      </c>
      <c r="AJ82" s="20">
        <v>1022859.29</v>
      </c>
      <c r="AK82" s="20">
        <v>5962635.3200000003</v>
      </c>
      <c r="AL82" s="83">
        <v>3524605.77</v>
      </c>
      <c r="AM82" s="83">
        <v>3076585.7</v>
      </c>
      <c r="AN82" s="83">
        <v>2788930.35</v>
      </c>
      <c r="AO82" s="8">
        <f>SUM(AC82:AN82)</f>
        <v>38914864.18</v>
      </c>
      <c r="AP82" s="24">
        <v>2490591.16</v>
      </c>
      <c r="AQ82" s="24">
        <v>2463137.0299999998</v>
      </c>
      <c r="AR82" s="24">
        <f>VLOOKUP(B82,'[1]Sheet1 (2)'!$B$2:$C$397,2,0)</f>
        <v>1752616.04</v>
      </c>
      <c r="AS82" s="24">
        <f>VLOOKUP(B82,'[2]Sheet1 (2)'!$B$2:$C$404,2,0)</f>
        <v>1717305.52</v>
      </c>
      <c r="AT82" s="24">
        <v>2445087.5</v>
      </c>
      <c r="AU82" s="24">
        <v>2406889.2999999998</v>
      </c>
      <c r="AV82" s="24">
        <v>2029562.83</v>
      </c>
      <c r="AW82" s="20">
        <v>2078132.45</v>
      </c>
      <c r="AX82" s="20">
        <v>1936129.83</v>
      </c>
      <c r="AY82" s="83">
        <v>2203714.0099999998</v>
      </c>
      <c r="AZ82" s="83">
        <v>2727682.4</v>
      </c>
      <c r="BA82" s="83">
        <v>2025447.99</v>
      </c>
      <c r="BB82" s="8">
        <f t="shared" ref="BB82:BB95" si="48">SUM(AP82:BA82)</f>
        <v>26276296.059999999</v>
      </c>
      <c r="BC82" s="24">
        <v>2115353.83</v>
      </c>
      <c r="BD82" s="24">
        <v>2879112.48</v>
      </c>
      <c r="BE82" s="24">
        <v>2817465.52</v>
      </c>
      <c r="BF82" s="24">
        <v>2324080.48</v>
      </c>
      <c r="BG82" s="24">
        <v>1838100</v>
      </c>
      <c r="BH82" s="24">
        <v>2208410.13</v>
      </c>
      <c r="BI82" s="24">
        <v>2308117.31</v>
      </c>
      <c r="BN82" s="83"/>
      <c r="BO82" s="8">
        <f t="shared" ref="BO82:BO95" si="49">SUM(BC82:BN82)</f>
        <v>16490639.750000002</v>
      </c>
    </row>
    <row r="83" spans="2:67" x14ac:dyDescent="0.2">
      <c r="B83" s="3" t="s">
        <v>548</v>
      </c>
      <c r="C83" s="23">
        <v>7169.99</v>
      </c>
      <c r="D83" s="24">
        <v>3165.23</v>
      </c>
      <c r="E83" s="24">
        <v>0</v>
      </c>
      <c r="F83" s="24">
        <v>18821.759999999998</v>
      </c>
      <c r="G83" s="24">
        <v>29025.56</v>
      </c>
      <c r="H83" s="24">
        <v>721501.9</v>
      </c>
      <c r="I83" s="24">
        <v>11447.32</v>
      </c>
      <c r="J83" s="24">
        <v>52.78</v>
      </c>
      <c r="K83" s="24">
        <v>267.19</v>
      </c>
      <c r="L83" s="24">
        <v>7856.33</v>
      </c>
      <c r="M83" s="24">
        <v>217.08</v>
      </c>
      <c r="N83" s="24">
        <v>1245943.78</v>
      </c>
      <c r="O83" s="24">
        <f>SUBTOTAL(9,C83:N83)</f>
        <v>2045468.92</v>
      </c>
      <c r="P83" s="24">
        <v>0</v>
      </c>
      <c r="Q83" s="24">
        <v>330889.19</v>
      </c>
      <c r="R83" s="24">
        <v>485781.97</v>
      </c>
      <c r="S83" s="24">
        <v>226218.27</v>
      </c>
      <c r="T83" s="24">
        <v>471028.04</v>
      </c>
      <c r="U83" s="24">
        <v>543287.67000000004</v>
      </c>
      <c r="V83" s="24">
        <v>387814.71</v>
      </c>
      <c r="W83" s="20">
        <v>435838.77</v>
      </c>
      <c r="X83" s="20">
        <v>480959.59</v>
      </c>
      <c r="Y83" s="83">
        <v>575650.31999999995</v>
      </c>
      <c r="Z83" s="83">
        <v>548313.62</v>
      </c>
      <c r="AA83" s="83">
        <v>938920.71</v>
      </c>
      <c r="AB83" s="8">
        <f>SUM(P83:AA83)</f>
        <v>5424702.8599999994</v>
      </c>
      <c r="AC83" s="24">
        <v>285469.71999999997</v>
      </c>
      <c r="AD83" s="24">
        <v>1049819.05</v>
      </c>
      <c r="AE83" s="24">
        <v>529870.03</v>
      </c>
      <c r="AF83" s="24">
        <v>663922.03</v>
      </c>
      <c r="AG83" s="24">
        <v>932254.4</v>
      </c>
      <c r="AH83" s="24">
        <v>777619.45</v>
      </c>
      <c r="AI83" s="24">
        <v>826152.29</v>
      </c>
      <c r="AJ83" s="20">
        <v>684234.15</v>
      </c>
      <c r="AK83" s="20">
        <v>911759.39</v>
      </c>
      <c r="AL83" s="83">
        <v>728908.86</v>
      </c>
      <c r="AM83" s="83">
        <v>816616.9</v>
      </c>
      <c r="AN83" s="83">
        <v>1141366.3</v>
      </c>
      <c r="AO83" s="8">
        <f>SUM(AC83:AN83)</f>
        <v>9347992.5700000003</v>
      </c>
      <c r="AP83" s="24">
        <v>688671.31</v>
      </c>
      <c r="AQ83" s="24">
        <v>796962.98</v>
      </c>
      <c r="AR83" s="24">
        <f>VLOOKUP(B83,'[1]Sheet1 (2)'!$B$2:$C$397,2,0)</f>
        <v>550369.31000000006</v>
      </c>
      <c r="AS83" s="24">
        <f>VLOOKUP(B83,'[2]Sheet1 (2)'!$B$2:$C$404,2,0)</f>
        <v>356439.03999999998</v>
      </c>
      <c r="AT83" s="24">
        <v>442978.69</v>
      </c>
      <c r="AU83" s="24">
        <v>171911.36</v>
      </c>
      <c r="AV83" s="24">
        <v>23506.51</v>
      </c>
      <c r="AW83" s="20">
        <v>186182.53</v>
      </c>
      <c r="AX83" s="20">
        <v>445704.88</v>
      </c>
      <c r="AY83" s="83">
        <v>124165.3</v>
      </c>
      <c r="AZ83" s="83">
        <v>23047.06</v>
      </c>
      <c r="BA83" s="83">
        <v>351675.4</v>
      </c>
      <c r="BB83" s="8">
        <f t="shared" si="48"/>
        <v>4161614.3699999992</v>
      </c>
      <c r="BC83" s="24">
        <v>221636.28</v>
      </c>
      <c r="BD83" s="24">
        <v>129110.88</v>
      </c>
      <c r="BE83" s="24">
        <v>284884.71000000002</v>
      </c>
      <c r="BF83" s="24">
        <v>157666.76</v>
      </c>
      <c r="BG83" s="24">
        <v>415577.52</v>
      </c>
      <c r="BH83" s="24">
        <v>224183.79</v>
      </c>
      <c r="BI83" s="24">
        <v>186580.95</v>
      </c>
      <c r="BN83" s="83"/>
      <c r="BO83" s="8">
        <f t="shared" si="49"/>
        <v>1619640.8900000001</v>
      </c>
    </row>
    <row r="84" spans="2:67" x14ac:dyDescent="0.2">
      <c r="B84" s="3" t="s">
        <v>288</v>
      </c>
      <c r="C84" s="23">
        <v>28211.14</v>
      </c>
      <c r="D84" s="24">
        <v>20608.37</v>
      </c>
      <c r="E84" s="24">
        <v>29290.35</v>
      </c>
      <c r="F84" s="24">
        <v>277204.52</v>
      </c>
      <c r="G84" s="24">
        <v>79989.27</v>
      </c>
      <c r="H84" s="24">
        <v>52200.45</v>
      </c>
      <c r="I84" s="24">
        <v>31217.17</v>
      </c>
      <c r="J84" s="24">
        <v>34765.75</v>
      </c>
      <c r="K84" s="24">
        <v>42212.78</v>
      </c>
      <c r="L84" s="24">
        <v>22773.31</v>
      </c>
      <c r="M84" s="24">
        <v>52971.78</v>
      </c>
      <c r="N84" s="24">
        <v>65077.53</v>
      </c>
      <c r="O84" s="24">
        <f>SUBTOTAL(9,C84:N84)</f>
        <v>736522.42000000016</v>
      </c>
      <c r="P84" s="24">
        <v>78719.259999999995</v>
      </c>
      <c r="Q84" s="24">
        <v>63572.58</v>
      </c>
      <c r="R84" s="24">
        <v>72886.97</v>
      </c>
      <c r="S84" s="24">
        <v>59423.12</v>
      </c>
      <c r="T84" s="24">
        <v>28248.19</v>
      </c>
      <c r="U84" s="24">
        <v>46785.3</v>
      </c>
      <c r="V84" s="24">
        <v>27370.61</v>
      </c>
      <c r="W84" s="20">
        <v>33190.629999999997</v>
      </c>
      <c r="X84" s="20">
        <v>18508.580000000002</v>
      </c>
      <c r="Y84" s="83">
        <v>9204.83</v>
      </c>
      <c r="Z84" s="83">
        <v>2957.39</v>
      </c>
      <c r="AA84" s="83">
        <v>3118.1</v>
      </c>
      <c r="AB84" s="8">
        <f>SUM(P84:AA84)</f>
        <v>443985.56</v>
      </c>
      <c r="AC84" s="24">
        <v>8367.83</v>
      </c>
      <c r="AD84" s="24">
        <v>126.31</v>
      </c>
      <c r="AE84" s="24">
        <v>2709.05</v>
      </c>
      <c r="AF84" s="24">
        <v>3485.31</v>
      </c>
      <c r="AG84" s="24">
        <v>379.07</v>
      </c>
      <c r="AH84" s="24">
        <v>0</v>
      </c>
      <c r="AI84" s="24">
        <v>15346.22</v>
      </c>
      <c r="AJ84" s="20">
        <v>3474.97</v>
      </c>
      <c r="AK84" s="20">
        <v>-356.7</v>
      </c>
      <c r="AL84" s="83">
        <v>5.13</v>
      </c>
      <c r="AM84" s="83">
        <v>599.22</v>
      </c>
      <c r="AN84" s="83">
        <v>1348.03</v>
      </c>
      <c r="AO84" s="8">
        <f>SUM(AC84:AN84)</f>
        <v>35484.439999999995</v>
      </c>
      <c r="AP84" s="24">
        <v>0</v>
      </c>
      <c r="AQ84" s="24">
        <v>1971.62</v>
      </c>
      <c r="AR84" s="24">
        <f>VLOOKUP(B84,'[1]Sheet1 (2)'!$B$2:$C$397,2,0)</f>
        <v>1847.58</v>
      </c>
      <c r="AS84" s="24">
        <f>VLOOKUP(B84,'[2]Sheet1 (2)'!$B$2:$C$404,2,0)</f>
        <v>879.82</v>
      </c>
      <c r="AT84" s="24">
        <v>126460.04</v>
      </c>
      <c r="AU84" s="24">
        <v>81961.83</v>
      </c>
      <c r="AV84" s="24">
        <v>105335.75</v>
      </c>
      <c r="AW84" s="20">
        <v>161104.34</v>
      </c>
      <c r="AX84" s="20">
        <v>90436.92</v>
      </c>
      <c r="AY84" s="83">
        <v>106960.69</v>
      </c>
      <c r="AZ84" s="83">
        <v>165135.13</v>
      </c>
      <c r="BA84" s="83">
        <v>152647.59</v>
      </c>
      <c r="BB84" s="8">
        <f t="shared" si="48"/>
        <v>994741.31</v>
      </c>
      <c r="BC84" s="24">
        <v>112614.35</v>
      </c>
      <c r="BD84" s="24">
        <v>122939.11</v>
      </c>
      <c r="BE84" s="24">
        <v>132808.48000000001</v>
      </c>
      <c r="BF84" s="24">
        <v>185678.89</v>
      </c>
      <c r="BG84" s="24">
        <v>19756.900000000001</v>
      </c>
      <c r="BH84" s="24">
        <v>192365.34</v>
      </c>
      <c r="BI84" s="24">
        <v>139069.13</v>
      </c>
      <c r="BN84" s="83"/>
      <c r="BO84" s="8">
        <f t="shared" si="49"/>
        <v>905232.20000000007</v>
      </c>
    </row>
    <row r="85" spans="2:67" x14ac:dyDescent="0.2">
      <c r="B85" s="3" t="s">
        <v>289</v>
      </c>
      <c r="C85" s="23">
        <v>18.079999999999998</v>
      </c>
      <c r="D85" s="24">
        <v>5.18</v>
      </c>
      <c r="E85" s="24">
        <v>43.38</v>
      </c>
      <c r="F85" s="24">
        <v>7.84</v>
      </c>
      <c r="G85" s="24">
        <v>17.95</v>
      </c>
      <c r="H85" s="24">
        <v>21.72</v>
      </c>
      <c r="I85" s="24">
        <v>29.94</v>
      </c>
      <c r="J85" s="24">
        <v>19.13</v>
      </c>
      <c r="K85" s="24">
        <v>36.479999999999997</v>
      </c>
      <c r="L85" s="24">
        <v>62.04</v>
      </c>
      <c r="M85" s="24">
        <v>41.72</v>
      </c>
      <c r="N85" s="24">
        <v>75.52</v>
      </c>
      <c r="O85" s="24">
        <f>SUBTOTAL(9,C85:N85)</f>
        <v>378.98</v>
      </c>
      <c r="P85" s="24">
        <v>29.4</v>
      </c>
      <c r="Q85" s="24">
        <v>18.600000000000001</v>
      </c>
      <c r="R85" s="24">
        <v>45.26</v>
      </c>
      <c r="S85" s="24">
        <v>0.62</v>
      </c>
      <c r="T85" s="24">
        <v>21.9</v>
      </c>
      <c r="U85" s="24">
        <v>27.28</v>
      </c>
      <c r="V85" s="24">
        <v>41.48</v>
      </c>
      <c r="W85" s="20">
        <v>27.06</v>
      </c>
      <c r="X85" s="20">
        <v>0</v>
      </c>
      <c r="Y85" s="83">
        <v>22.36</v>
      </c>
      <c r="Z85" s="83">
        <v>25.35</v>
      </c>
      <c r="AA85" s="83">
        <v>2.4</v>
      </c>
      <c r="AB85" s="8">
        <f>SUM(P85:AA85)</f>
        <v>261.70999999999998</v>
      </c>
      <c r="AC85" s="24">
        <v>2.34</v>
      </c>
      <c r="AD85" s="24">
        <v>37.659999999999997</v>
      </c>
      <c r="AE85" s="24">
        <v>3</v>
      </c>
      <c r="AF85" s="24">
        <v>23.4</v>
      </c>
      <c r="AG85" s="24">
        <v>17.98</v>
      </c>
      <c r="AH85" s="24">
        <v>1.1100000000000001</v>
      </c>
      <c r="AI85" s="24">
        <v>2.85</v>
      </c>
      <c r="AJ85" s="20">
        <v>91.28</v>
      </c>
      <c r="AK85" s="20">
        <v>0</v>
      </c>
      <c r="AL85" s="83">
        <v>4.32</v>
      </c>
      <c r="AM85" s="83">
        <v>0.6</v>
      </c>
      <c r="AN85" s="83">
        <v>0</v>
      </c>
      <c r="AO85" s="8">
        <f>SUM(AC85:AN85)</f>
        <v>184.54</v>
      </c>
      <c r="AP85" s="24">
        <v>0</v>
      </c>
      <c r="AQ85" s="24">
        <v>0</v>
      </c>
      <c r="AR85" s="24">
        <v>0</v>
      </c>
      <c r="AS85" s="24">
        <f>VLOOKUP(B85,'[2]Sheet1 (2)'!$B$2:$C$404,2,0)</f>
        <v>4</v>
      </c>
      <c r="AT85" s="24">
        <v>0</v>
      </c>
      <c r="AU85" s="24">
        <v>0</v>
      </c>
      <c r="AV85" s="24">
        <v>1.56</v>
      </c>
      <c r="AW85" s="20">
        <v>0</v>
      </c>
      <c r="AX85" s="20">
        <v>35.799999999999997</v>
      </c>
      <c r="AY85" s="83">
        <v>46.87</v>
      </c>
      <c r="AZ85" s="83">
        <v>23.53</v>
      </c>
      <c r="BA85" s="83">
        <v>44.34</v>
      </c>
      <c r="BB85" s="8">
        <f t="shared" si="48"/>
        <v>156.1</v>
      </c>
      <c r="BC85" s="24">
        <v>33.950000000000003</v>
      </c>
      <c r="BD85" s="24">
        <v>42.41</v>
      </c>
      <c r="BE85" s="24">
        <v>1.6</v>
      </c>
      <c r="BF85" s="24">
        <v>10.029999999999999</v>
      </c>
      <c r="BG85" s="24">
        <v>7.83</v>
      </c>
      <c r="BH85" s="24">
        <v>5.41</v>
      </c>
      <c r="BI85" s="24">
        <v>5.86</v>
      </c>
      <c r="BN85" s="83"/>
      <c r="BO85" s="8">
        <f t="shared" si="49"/>
        <v>107.08999999999999</v>
      </c>
    </row>
    <row r="86" spans="2:67" x14ac:dyDescent="0.2">
      <c r="B86" s="3" t="s">
        <v>952</v>
      </c>
      <c r="C86" s="23">
        <v>8746</v>
      </c>
      <c r="D86" s="24">
        <v>0</v>
      </c>
      <c r="E86" s="24">
        <v>1025.21</v>
      </c>
      <c r="F86" s="24">
        <v>0</v>
      </c>
      <c r="G86" s="24">
        <v>0</v>
      </c>
      <c r="H86" s="24">
        <v>3182.65</v>
      </c>
      <c r="I86" s="24">
        <v>0</v>
      </c>
      <c r="J86" s="24">
        <v>4560.57</v>
      </c>
      <c r="K86" s="24">
        <v>998.56</v>
      </c>
      <c r="L86" s="24">
        <v>0</v>
      </c>
      <c r="M86" s="24">
        <v>0</v>
      </c>
      <c r="N86" s="24">
        <v>0</v>
      </c>
      <c r="O86" s="24">
        <f>SUBTOTAL(9,C86:N86)</f>
        <v>18512.990000000002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2313.39</v>
      </c>
      <c r="W86" s="20">
        <v>0</v>
      </c>
      <c r="X86" s="20">
        <v>3361.75</v>
      </c>
      <c r="Y86" s="83">
        <v>698.1</v>
      </c>
      <c r="Z86" s="83">
        <v>0</v>
      </c>
      <c r="AA86" s="83">
        <v>0</v>
      </c>
      <c r="AB86" s="8">
        <f>SUM(P86:AA86)</f>
        <v>6373.24</v>
      </c>
      <c r="AC86" s="24">
        <v>3110.51</v>
      </c>
      <c r="AD86" s="24">
        <v>0</v>
      </c>
      <c r="AE86" s="24">
        <v>3172.71</v>
      </c>
      <c r="AF86" s="24">
        <v>0</v>
      </c>
      <c r="AG86" s="24">
        <v>0</v>
      </c>
      <c r="AH86" s="24">
        <v>0</v>
      </c>
      <c r="AI86" s="24">
        <v>0</v>
      </c>
      <c r="AJ86" s="20">
        <v>0</v>
      </c>
      <c r="AK86" s="20">
        <v>0</v>
      </c>
      <c r="AL86" s="83">
        <v>0</v>
      </c>
      <c r="AM86" s="83">
        <v>0</v>
      </c>
      <c r="AN86" s="83">
        <v>0</v>
      </c>
      <c r="AO86" s="8">
        <f>SUM(AC86:AN86)</f>
        <v>6283.22</v>
      </c>
      <c r="AP86" s="24">
        <v>0</v>
      </c>
      <c r="AQ86" s="24">
        <v>0</v>
      </c>
      <c r="AR86" s="24">
        <v>0</v>
      </c>
      <c r="AS86" s="24">
        <v>0</v>
      </c>
      <c r="AT86" s="24">
        <v>0</v>
      </c>
      <c r="AU86" s="24">
        <v>0</v>
      </c>
      <c r="AV86" s="24">
        <v>0</v>
      </c>
      <c r="AW86" s="20">
        <v>0</v>
      </c>
      <c r="AX86" s="20">
        <v>0</v>
      </c>
      <c r="AY86" s="83">
        <v>0</v>
      </c>
      <c r="AZ86" s="83">
        <v>0</v>
      </c>
      <c r="BA86" s="83">
        <v>0</v>
      </c>
      <c r="BB86" s="8">
        <f t="shared" si="48"/>
        <v>0</v>
      </c>
      <c r="BC86" s="24">
        <v>0</v>
      </c>
      <c r="BD86" s="24">
        <v>0</v>
      </c>
      <c r="BE86" s="24">
        <v>0</v>
      </c>
      <c r="BF86" s="24">
        <v>0</v>
      </c>
      <c r="BG86" s="24">
        <v>0</v>
      </c>
      <c r="BH86" s="24">
        <v>0</v>
      </c>
      <c r="BI86" s="24">
        <v>0</v>
      </c>
      <c r="BN86" s="83"/>
      <c r="BO86" s="8">
        <f t="shared" si="49"/>
        <v>0</v>
      </c>
    </row>
    <row r="87" spans="2:67" x14ac:dyDescent="0.2">
      <c r="B87" s="3" t="s">
        <v>1861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>
        <v>0</v>
      </c>
      <c r="AG87" s="23">
        <v>0</v>
      </c>
      <c r="AH87" s="23">
        <v>0</v>
      </c>
      <c r="AI87" s="23">
        <v>0</v>
      </c>
      <c r="AJ87" s="23">
        <v>0</v>
      </c>
      <c r="AK87" s="23">
        <v>0</v>
      </c>
      <c r="AL87" s="23">
        <v>0</v>
      </c>
      <c r="AM87" s="23">
        <v>0</v>
      </c>
      <c r="AN87" s="23">
        <v>0</v>
      </c>
      <c r="AO87" s="23">
        <v>0</v>
      </c>
      <c r="AP87" s="23">
        <v>0</v>
      </c>
      <c r="AQ87" s="24">
        <v>194.66</v>
      </c>
      <c r="AR87" s="24">
        <f>VLOOKUP(B87,'[1]Sheet1 (2)'!$B$2:$C$397,2,0)</f>
        <v>0</v>
      </c>
      <c r="AS87" s="24">
        <f>VLOOKUP(B87,'[2]Sheet1 (2)'!$B$2:$C$404,2,0)</f>
        <v>187.27</v>
      </c>
      <c r="AT87" s="24">
        <v>0</v>
      </c>
      <c r="AU87" s="24">
        <v>1556.8</v>
      </c>
      <c r="AV87" s="24">
        <v>1627.52</v>
      </c>
      <c r="AW87" s="20">
        <v>8445.73</v>
      </c>
      <c r="AX87" s="20">
        <v>1002.86</v>
      </c>
      <c r="AY87" s="83">
        <v>0</v>
      </c>
      <c r="AZ87" s="83">
        <v>0</v>
      </c>
      <c r="BA87" s="83">
        <v>4090.02</v>
      </c>
      <c r="BB87" s="8">
        <f t="shared" si="48"/>
        <v>17104.86</v>
      </c>
      <c r="BC87" s="24">
        <v>199.54</v>
      </c>
      <c r="BD87" s="24">
        <v>4435.0200000000004</v>
      </c>
      <c r="BE87" s="24">
        <v>1801.7</v>
      </c>
      <c r="BF87" s="24">
        <v>0</v>
      </c>
      <c r="BG87" s="24">
        <v>14.28</v>
      </c>
      <c r="BH87" s="24">
        <v>188.02</v>
      </c>
      <c r="BI87" s="24">
        <v>-113.7</v>
      </c>
      <c r="BN87" s="83"/>
      <c r="BO87" s="8">
        <f t="shared" si="49"/>
        <v>6524.8600000000006</v>
      </c>
    </row>
    <row r="88" spans="2:67" x14ac:dyDescent="0.2">
      <c r="B88" s="3" t="s">
        <v>290</v>
      </c>
      <c r="C88" s="23">
        <v>-21923.22</v>
      </c>
      <c r="D88" s="24">
        <v>101066.29</v>
      </c>
      <c r="E88" s="24">
        <v>-34949.379999999997</v>
      </c>
      <c r="F88" s="24">
        <v>-136252.24</v>
      </c>
      <c r="G88" s="24">
        <v>-70648.539999999994</v>
      </c>
      <c r="H88" s="24">
        <v>-44363.21</v>
      </c>
      <c r="I88" s="24">
        <v>4666.4399999999996</v>
      </c>
      <c r="J88" s="24">
        <v>-284738.15000000002</v>
      </c>
      <c r="K88" s="24">
        <v>-63292.66</v>
      </c>
      <c r="L88" s="24">
        <v>-45875.62</v>
      </c>
      <c r="M88" s="24">
        <v>-32258.71</v>
      </c>
      <c r="N88" s="24">
        <v>-53412.03</v>
      </c>
      <c r="O88" s="24">
        <f t="shared" ref="O88:O94" si="50">SUBTOTAL(9,C88:N88)</f>
        <v>-681981.03</v>
      </c>
      <c r="P88" s="24">
        <v>-78041.740000000005</v>
      </c>
      <c r="Q88" s="24">
        <v>-37843.449999999997</v>
      </c>
      <c r="R88" s="24">
        <v>-145155.13</v>
      </c>
      <c r="S88" s="24">
        <v>-24034.02</v>
      </c>
      <c r="T88" s="24">
        <v>-31744.77</v>
      </c>
      <c r="U88" s="24">
        <v>-17924.759999999998</v>
      </c>
      <c r="V88" s="24">
        <v>-32622.639999999999</v>
      </c>
      <c r="W88" s="20">
        <v>-31421.040000000001</v>
      </c>
      <c r="X88" s="20">
        <v>-643.28</v>
      </c>
      <c r="Y88" s="83">
        <v>75866.460000000006</v>
      </c>
      <c r="Z88" s="83">
        <v>-111900.1</v>
      </c>
      <c r="AA88" s="83">
        <v>-216712.69</v>
      </c>
      <c r="AB88" s="8">
        <f t="shared" ref="AB88:AB94" si="51">SUM(P88:AA88)</f>
        <v>-652177.16000000015</v>
      </c>
      <c r="AC88" s="24">
        <v>-113739.42</v>
      </c>
      <c r="AD88" s="24">
        <v>-110912.07</v>
      </c>
      <c r="AE88" s="24">
        <v>-208495.08</v>
      </c>
      <c r="AF88" s="24">
        <v>-130640.22</v>
      </c>
      <c r="AG88" s="24">
        <v>-110006.47</v>
      </c>
      <c r="AH88" s="24">
        <v>-19249.04</v>
      </c>
      <c r="AI88" s="24">
        <v>-6824.05</v>
      </c>
      <c r="AJ88" s="20">
        <v>-79009.990000000005</v>
      </c>
      <c r="AK88" s="20">
        <v>-40250.79</v>
      </c>
      <c r="AL88" s="83">
        <v>-15596.96</v>
      </c>
      <c r="AM88" s="83">
        <v>-39857.269999999997</v>
      </c>
      <c r="AN88" s="83">
        <v>-102603.71</v>
      </c>
      <c r="AO88" s="8">
        <f t="shared" ref="AO88:AO94" si="52">SUM(AC88:AN88)</f>
        <v>-977185.07</v>
      </c>
      <c r="AP88" s="24">
        <v>-136761.57999999999</v>
      </c>
      <c r="AQ88" s="24">
        <v>-70437.8</v>
      </c>
      <c r="AR88" s="24">
        <f>VLOOKUP(B88,'[1]Sheet1 (2)'!$B$2:$C$397,2,0)</f>
        <v>-61679.82</v>
      </c>
      <c r="AS88" s="24">
        <f>VLOOKUP(B88,'[2]Sheet1 (2)'!$B$2:$C$404,2,0)</f>
        <v>-75591.070000000007</v>
      </c>
      <c r="AT88" s="24">
        <v>-90458.16</v>
      </c>
      <c r="AU88" s="24">
        <v>-28003.1</v>
      </c>
      <c r="AV88" s="24">
        <v>-49701.63</v>
      </c>
      <c r="AW88" s="20">
        <v>-58057.48</v>
      </c>
      <c r="AX88" s="20">
        <v>-74340.52</v>
      </c>
      <c r="AY88" s="83">
        <v>-61697.9</v>
      </c>
      <c r="AZ88" s="83">
        <v>78406.55</v>
      </c>
      <c r="BA88" s="83">
        <v>1802316.41</v>
      </c>
      <c r="BB88" s="8">
        <f t="shared" si="48"/>
        <v>1173993.8999999999</v>
      </c>
      <c r="BC88" s="24">
        <v>-70758.42</v>
      </c>
      <c r="BD88" s="24">
        <v>-66469.119999999995</v>
      </c>
      <c r="BE88" s="24">
        <v>-73045.97</v>
      </c>
      <c r="BF88" s="24">
        <v>-10052.129999999999</v>
      </c>
      <c r="BG88" s="24">
        <v>-247815.22</v>
      </c>
      <c r="BH88" s="24">
        <v>-109049.69</v>
      </c>
      <c r="BI88" s="24">
        <v>-101601.54</v>
      </c>
      <c r="BN88" s="83"/>
      <c r="BO88" s="8">
        <f t="shared" si="49"/>
        <v>-678792.09000000008</v>
      </c>
    </row>
    <row r="89" spans="2:67" x14ac:dyDescent="0.2">
      <c r="B89" s="3" t="s">
        <v>291</v>
      </c>
      <c r="C89" s="23">
        <v>-107667</v>
      </c>
      <c r="D89" s="24">
        <v>-85420.57</v>
      </c>
      <c r="E89" s="24">
        <v>-24377.040000000001</v>
      </c>
      <c r="F89" s="24">
        <v>-36190.44</v>
      </c>
      <c r="G89" s="24">
        <v>-133408.85999999999</v>
      </c>
      <c r="H89" s="24">
        <v>-787999.78</v>
      </c>
      <c r="I89" s="24">
        <v>-273767.12</v>
      </c>
      <c r="J89" s="24">
        <v>-175076.19</v>
      </c>
      <c r="K89" s="24">
        <v>-318446.34999999998</v>
      </c>
      <c r="L89" s="24">
        <v>-199194.04</v>
      </c>
      <c r="M89" s="24">
        <v>-316686.38</v>
      </c>
      <c r="N89" s="24">
        <v>-563238.9</v>
      </c>
      <c r="O89" s="24">
        <f t="shared" si="50"/>
        <v>-3021472.67</v>
      </c>
      <c r="P89" s="24">
        <v>-224426.59</v>
      </c>
      <c r="Q89" s="24">
        <v>-142337.07999999999</v>
      </c>
      <c r="R89" s="24">
        <v>-212571.65</v>
      </c>
      <c r="S89" s="24">
        <v>-248951.48</v>
      </c>
      <c r="T89" s="24">
        <v>-300600.94</v>
      </c>
      <c r="U89" s="24">
        <v>-12446.64</v>
      </c>
      <c r="V89" s="24">
        <v>-94617.36</v>
      </c>
      <c r="W89" s="20">
        <v>-60497.7</v>
      </c>
      <c r="X89" s="20">
        <v>-85799.63</v>
      </c>
      <c r="Y89" s="83">
        <v>-146156.35</v>
      </c>
      <c r="Z89" s="83">
        <v>-84273.78</v>
      </c>
      <c r="AA89" s="83">
        <v>-68738.48</v>
      </c>
      <c r="AB89" s="8">
        <f t="shared" si="51"/>
        <v>-1681417.68</v>
      </c>
      <c r="AC89" s="24">
        <v>-27065.4</v>
      </c>
      <c r="AD89" s="24">
        <v>-141668.67000000001</v>
      </c>
      <c r="AE89" s="24">
        <v>-82657.399999999994</v>
      </c>
      <c r="AF89" s="24">
        <v>-39629.47</v>
      </c>
      <c r="AG89" s="24">
        <v>-122110.44</v>
      </c>
      <c r="AH89" s="24">
        <v>-88843.57</v>
      </c>
      <c r="AI89" s="24">
        <v>-291440.25</v>
      </c>
      <c r="AJ89" s="20">
        <v>-161392.29999999999</v>
      </c>
      <c r="AK89" s="20">
        <v>-47485.09</v>
      </c>
      <c r="AL89" s="83">
        <v>-47814.64</v>
      </c>
      <c r="AM89" s="83">
        <v>-103869.18</v>
      </c>
      <c r="AN89" s="83">
        <v>-80976.44</v>
      </c>
      <c r="AO89" s="8">
        <f t="shared" si="52"/>
        <v>-1234952.8499999999</v>
      </c>
      <c r="AP89" s="24">
        <v>-124536.54</v>
      </c>
      <c r="AQ89" s="24">
        <v>-138744.46</v>
      </c>
      <c r="AR89" s="24">
        <f>VLOOKUP(B89,'[1]Sheet1 (2)'!$B$2:$C$397,2,0)</f>
        <v>-64861.7</v>
      </c>
      <c r="AS89" s="24">
        <f>VLOOKUP(B89,'[2]Sheet1 (2)'!$B$2:$C$404,2,0)</f>
        <v>-83280.149999999994</v>
      </c>
      <c r="AT89" s="24">
        <v>-63991.32</v>
      </c>
      <c r="AU89" s="24">
        <v>-106131.91</v>
      </c>
      <c r="AV89" s="24">
        <v>-73343.240000000005</v>
      </c>
      <c r="AW89" s="20">
        <v>-25488.81</v>
      </c>
      <c r="AX89" s="20">
        <v>-68850.899999999994</v>
      </c>
      <c r="AY89" s="83">
        <v>-71858.490000000005</v>
      </c>
      <c r="AZ89" s="83">
        <v>-95237.98</v>
      </c>
      <c r="BA89" s="83">
        <v>-2570.64</v>
      </c>
      <c r="BB89" s="8">
        <f t="shared" si="48"/>
        <v>-918896.14</v>
      </c>
      <c r="BC89" s="24">
        <v>-77735.520000000004</v>
      </c>
      <c r="BD89" s="24">
        <v>131781.07</v>
      </c>
      <c r="BE89" s="24">
        <v>-181900.73</v>
      </c>
      <c r="BF89" s="24">
        <v>-147020</v>
      </c>
      <c r="BG89" s="24">
        <v>-47971.49</v>
      </c>
      <c r="BH89" s="24">
        <v>-223266.86</v>
      </c>
      <c r="BI89" s="24">
        <v>-130512.44</v>
      </c>
      <c r="BN89" s="83"/>
      <c r="BO89" s="8">
        <f t="shared" si="49"/>
        <v>-676625.97</v>
      </c>
    </row>
    <row r="90" spans="2:67" x14ac:dyDescent="0.2">
      <c r="B90" s="3" t="s">
        <v>292</v>
      </c>
      <c r="C90" s="23"/>
      <c r="E90" s="24">
        <v>31726.73</v>
      </c>
      <c r="F90" s="24">
        <v>131862.56</v>
      </c>
      <c r="G90" s="24">
        <v>21295.97</v>
      </c>
      <c r="H90" s="24">
        <v>219616.47</v>
      </c>
      <c r="I90" s="24">
        <v>80511.05</v>
      </c>
      <c r="J90" s="24">
        <v>279097.42</v>
      </c>
      <c r="K90" s="24">
        <v>183736.07</v>
      </c>
      <c r="L90" s="24">
        <v>10368.91</v>
      </c>
      <c r="M90" s="24">
        <v>12146.18</v>
      </c>
      <c r="N90" s="24">
        <v>149474.35</v>
      </c>
      <c r="O90" s="24">
        <f t="shared" si="50"/>
        <v>1119835.7100000002</v>
      </c>
      <c r="P90" s="24">
        <v>331451.15999999997</v>
      </c>
      <c r="Q90" s="24">
        <v>116373.91</v>
      </c>
      <c r="R90" s="24">
        <v>16951.939999999999</v>
      </c>
      <c r="S90" s="24">
        <v>104371.58</v>
      </c>
      <c r="T90" s="24">
        <v>17330.91</v>
      </c>
      <c r="U90" s="24">
        <v>481841.55</v>
      </c>
      <c r="V90" s="24">
        <v>405477.21</v>
      </c>
      <c r="W90" s="20">
        <v>19997.87</v>
      </c>
      <c r="X90" s="20">
        <v>338305.67</v>
      </c>
      <c r="Y90" s="83">
        <v>59357.75</v>
      </c>
      <c r="Z90" s="83">
        <v>5307.48</v>
      </c>
      <c r="AA90" s="83">
        <v>53161.53</v>
      </c>
      <c r="AB90" s="8">
        <f t="shared" si="51"/>
        <v>1949928.56</v>
      </c>
      <c r="AC90" s="24">
        <v>21684.71</v>
      </c>
      <c r="AD90" s="24">
        <v>5978.01</v>
      </c>
      <c r="AE90" s="24">
        <v>21</v>
      </c>
      <c r="AF90" s="24">
        <v>1506.51</v>
      </c>
      <c r="AG90" s="24">
        <v>1199.76</v>
      </c>
      <c r="AH90" s="24">
        <v>38.9</v>
      </c>
      <c r="AI90" s="24">
        <v>1269.1300000000001</v>
      </c>
      <c r="AJ90" s="20">
        <v>1765.73</v>
      </c>
      <c r="AK90" s="20">
        <v>885.11</v>
      </c>
      <c r="AL90" s="83">
        <v>938.02</v>
      </c>
      <c r="AM90" s="83">
        <v>19.850000000000001</v>
      </c>
      <c r="AN90" s="83">
        <v>0</v>
      </c>
      <c r="AO90" s="8">
        <f t="shared" si="52"/>
        <v>35306.729999999996</v>
      </c>
      <c r="AP90" s="24">
        <v>0</v>
      </c>
      <c r="AQ90" s="24">
        <v>291.45</v>
      </c>
      <c r="AR90" s="24">
        <f>VLOOKUP(B90,'[1]Sheet1 (2)'!$B$2:$C$397,2,0)</f>
        <v>445.55</v>
      </c>
      <c r="AS90" s="24">
        <f>VLOOKUP(B90,'[2]Sheet1 (2)'!$B$2:$C$404,2,0)</f>
        <v>102.26</v>
      </c>
      <c r="AT90" s="24">
        <v>97.93</v>
      </c>
      <c r="AU90" s="24">
        <v>0</v>
      </c>
      <c r="AV90" s="24">
        <v>0</v>
      </c>
      <c r="AW90" s="20">
        <v>0</v>
      </c>
      <c r="AX90" s="20">
        <v>0</v>
      </c>
      <c r="AY90" s="83">
        <v>123.08</v>
      </c>
      <c r="AZ90" s="83">
        <v>-79.06</v>
      </c>
      <c r="BA90" s="83">
        <v>0</v>
      </c>
      <c r="BB90" s="8">
        <f t="shared" si="48"/>
        <v>981.21</v>
      </c>
      <c r="BC90" s="24">
        <v>0</v>
      </c>
      <c r="BD90" s="24">
        <v>0</v>
      </c>
      <c r="BE90" s="24">
        <v>0</v>
      </c>
      <c r="BF90" s="24">
        <v>0</v>
      </c>
      <c r="BG90" s="24">
        <v>0</v>
      </c>
      <c r="BH90" s="24">
        <v>0</v>
      </c>
      <c r="BI90" s="24">
        <v>0</v>
      </c>
      <c r="BN90" s="83"/>
      <c r="BO90" s="8">
        <f t="shared" si="49"/>
        <v>0</v>
      </c>
    </row>
    <row r="91" spans="2:67" x14ac:dyDescent="0.2">
      <c r="B91" s="3" t="s">
        <v>293</v>
      </c>
      <c r="C91" s="23">
        <v>0</v>
      </c>
      <c r="D91" s="24">
        <v>75321.83</v>
      </c>
      <c r="E91" s="24">
        <v>93112.04</v>
      </c>
      <c r="F91" s="24">
        <v>0</v>
      </c>
      <c r="G91" s="24">
        <v>21166.16</v>
      </c>
      <c r="H91" s="24">
        <v>52658.879999999997</v>
      </c>
      <c r="I91" s="24">
        <v>705.91</v>
      </c>
      <c r="J91" s="24">
        <v>58256.27</v>
      </c>
      <c r="K91" s="24">
        <v>33836.81</v>
      </c>
      <c r="L91" s="24">
        <v>0</v>
      </c>
      <c r="M91" s="24">
        <v>0</v>
      </c>
      <c r="N91" s="24">
        <v>101180.44</v>
      </c>
      <c r="O91" s="24">
        <f t="shared" si="50"/>
        <v>436238.34</v>
      </c>
      <c r="P91" s="24">
        <v>57409.34</v>
      </c>
      <c r="Q91" s="24">
        <v>22957.759999999998</v>
      </c>
      <c r="R91" s="24">
        <v>88882.25</v>
      </c>
      <c r="S91" s="24">
        <v>0</v>
      </c>
      <c r="T91" s="24">
        <v>30307.87</v>
      </c>
      <c r="U91" s="24">
        <v>85058.06</v>
      </c>
      <c r="V91" s="24">
        <v>183256.14</v>
      </c>
      <c r="W91" s="20">
        <v>184911.05</v>
      </c>
      <c r="X91" s="20">
        <v>83978.7</v>
      </c>
      <c r="Y91" s="83">
        <v>-6565.28</v>
      </c>
      <c r="Z91" s="83">
        <v>0</v>
      </c>
      <c r="AA91" s="83">
        <v>0</v>
      </c>
      <c r="AB91" s="8">
        <f t="shared" si="51"/>
        <v>730195.8899999999</v>
      </c>
      <c r="AC91" s="24">
        <v>0</v>
      </c>
      <c r="AD91" s="24">
        <v>1079.55</v>
      </c>
      <c r="AE91" s="24">
        <v>0</v>
      </c>
      <c r="AF91" s="24">
        <v>0</v>
      </c>
      <c r="AG91" s="24">
        <v>0</v>
      </c>
      <c r="AH91" s="24">
        <v>0</v>
      </c>
      <c r="AI91" s="24">
        <v>0</v>
      </c>
      <c r="AJ91" s="20">
        <v>0</v>
      </c>
      <c r="AK91" s="20">
        <v>0</v>
      </c>
      <c r="AL91" s="83">
        <v>0</v>
      </c>
      <c r="AM91" s="83">
        <v>0</v>
      </c>
      <c r="AN91" s="83">
        <v>0</v>
      </c>
      <c r="AO91" s="8">
        <f t="shared" si="52"/>
        <v>1079.55</v>
      </c>
      <c r="AP91" s="24">
        <v>0</v>
      </c>
      <c r="AQ91" s="24">
        <v>0</v>
      </c>
      <c r="AR91" s="24">
        <v>0</v>
      </c>
      <c r="AS91" s="24">
        <v>0</v>
      </c>
      <c r="AT91" s="24">
        <v>0</v>
      </c>
      <c r="AU91" s="24">
        <v>0</v>
      </c>
      <c r="AV91" s="24">
        <v>0</v>
      </c>
      <c r="AW91" s="20">
        <v>87264.37</v>
      </c>
      <c r="AX91" s="20">
        <v>0</v>
      </c>
      <c r="AY91" s="83">
        <v>93478.84</v>
      </c>
      <c r="AZ91" s="83">
        <v>29516.03</v>
      </c>
      <c r="BA91" s="83">
        <v>36392.18</v>
      </c>
      <c r="BB91" s="8">
        <f t="shared" si="48"/>
        <v>246651.41999999998</v>
      </c>
      <c r="BC91" s="24">
        <v>28017.29</v>
      </c>
      <c r="BD91" s="24">
        <v>244202.33</v>
      </c>
      <c r="BE91" s="24">
        <v>87563.53</v>
      </c>
      <c r="BF91" s="24">
        <v>0</v>
      </c>
      <c r="BG91" s="24">
        <v>0</v>
      </c>
      <c r="BH91" s="24">
        <v>82763.47</v>
      </c>
      <c r="BI91" s="24">
        <v>72925.52</v>
      </c>
      <c r="BN91" s="83"/>
      <c r="BO91" s="8">
        <f t="shared" si="49"/>
        <v>515472.14</v>
      </c>
    </row>
    <row r="92" spans="2:67" x14ac:dyDescent="0.2">
      <c r="B92" s="3" t="s">
        <v>294</v>
      </c>
      <c r="C92" s="23"/>
      <c r="E92" s="24">
        <v>1465.22</v>
      </c>
      <c r="F92" s="24">
        <v>0</v>
      </c>
      <c r="G92" s="24">
        <v>289.39</v>
      </c>
      <c r="H92" s="24">
        <v>1606.56</v>
      </c>
      <c r="I92" s="24">
        <v>34.31</v>
      </c>
      <c r="J92" s="24">
        <v>1681.1</v>
      </c>
      <c r="K92" s="24">
        <v>1391.71</v>
      </c>
      <c r="L92" s="24">
        <v>0</v>
      </c>
      <c r="M92" s="24">
        <v>0</v>
      </c>
      <c r="N92" s="24">
        <v>1279.5999999999999</v>
      </c>
      <c r="O92" s="24">
        <f t="shared" si="50"/>
        <v>7747.8899999999994</v>
      </c>
      <c r="P92" s="24">
        <v>1681.1</v>
      </c>
      <c r="Q92" s="24">
        <v>289.39</v>
      </c>
      <c r="R92" s="24">
        <v>939.34</v>
      </c>
      <c r="S92" s="24">
        <v>0</v>
      </c>
      <c r="T92" s="24">
        <v>460.02</v>
      </c>
      <c r="U92" s="24">
        <v>3481.86</v>
      </c>
      <c r="V92" s="24">
        <v>2519.5</v>
      </c>
      <c r="W92" s="20">
        <v>1931.31</v>
      </c>
      <c r="X92" s="20">
        <v>1033.1500000000001</v>
      </c>
      <c r="Y92" s="83">
        <v>505.33</v>
      </c>
      <c r="Z92" s="83">
        <v>0</v>
      </c>
      <c r="AA92" s="83">
        <v>0</v>
      </c>
      <c r="AB92" s="8">
        <f t="shared" si="51"/>
        <v>12840.999999999998</v>
      </c>
      <c r="AC92" s="24">
        <v>0</v>
      </c>
      <c r="AD92" s="24">
        <v>12.65</v>
      </c>
      <c r="AE92" s="24">
        <v>0</v>
      </c>
      <c r="AF92" s="24">
        <v>0</v>
      </c>
      <c r="AG92" s="24">
        <v>0</v>
      </c>
      <c r="AH92" s="24">
        <v>0</v>
      </c>
      <c r="AI92" s="24">
        <v>0</v>
      </c>
      <c r="AJ92" s="20">
        <v>0</v>
      </c>
      <c r="AK92" s="20">
        <v>0</v>
      </c>
      <c r="AL92" s="83">
        <v>0</v>
      </c>
      <c r="AM92" s="83">
        <v>0</v>
      </c>
      <c r="AN92" s="83">
        <v>0</v>
      </c>
      <c r="AO92" s="8">
        <f t="shared" si="52"/>
        <v>12.65</v>
      </c>
      <c r="AP92" s="24">
        <v>0</v>
      </c>
      <c r="AQ92" s="24">
        <v>0</v>
      </c>
      <c r="AR92" s="24">
        <v>0</v>
      </c>
      <c r="AS92" s="24">
        <v>0</v>
      </c>
      <c r="AT92" s="24">
        <v>0</v>
      </c>
      <c r="AU92" s="24">
        <v>0</v>
      </c>
      <c r="AV92" s="24">
        <v>0</v>
      </c>
      <c r="AW92" s="20">
        <v>914.74</v>
      </c>
      <c r="AX92" s="20">
        <v>76473.149999999994</v>
      </c>
      <c r="AY92" s="83">
        <v>1151.8900000000001</v>
      </c>
      <c r="AZ92" s="83">
        <v>460.4</v>
      </c>
      <c r="BA92" s="83">
        <v>637.67999999999995</v>
      </c>
      <c r="BB92" s="8">
        <f t="shared" si="48"/>
        <v>79637.859999999986</v>
      </c>
      <c r="BC92" s="24">
        <v>26522.799999999999</v>
      </c>
      <c r="BD92" s="24">
        <v>536484.91</v>
      </c>
      <c r="BE92" s="24">
        <v>35468.019999999997</v>
      </c>
      <c r="BF92" s="24">
        <v>0</v>
      </c>
      <c r="BG92" s="24">
        <v>0</v>
      </c>
      <c r="BH92" s="24">
        <v>169471.84</v>
      </c>
      <c r="BI92" s="24">
        <v>979.33</v>
      </c>
      <c r="BN92" s="83"/>
      <c r="BO92" s="8">
        <f t="shared" si="49"/>
        <v>768926.9</v>
      </c>
    </row>
    <row r="93" spans="2:67" x14ac:dyDescent="0.2">
      <c r="B93" s="3" t="s">
        <v>295</v>
      </c>
      <c r="C93" s="23"/>
      <c r="J93" s="24">
        <v>132094.57999999999</v>
      </c>
      <c r="K93" s="24">
        <v>0</v>
      </c>
      <c r="L93" s="24">
        <v>31261.11</v>
      </c>
      <c r="M93" s="24">
        <v>25518.39</v>
      </c>
      <c r="N93" s="24">
        <v>22054.65</v>
      </c>
      <c r="O93" s="24">
        <f t="shared" si="50"/>
        <v>210928.73</v>
      </c>
      <c r="P93" s="24">
        <v>19891.22</v>
      </c>
      <c r="Q93" s="24">
        <v>24561.82</v>
      </c>
      <c r="R93" s="24">
        <v>0</v>
      </c>
      <c r="S93" s="24">
        <v>0</v>
      </c>
      <c r="T93" s="24">
        <v>1322.46</v>
      </c>
      <c r="U93" s="24">
        <v>0</v>
      </c>
      <c r="V93" s="24">
        <v>8398.81</v>
      </c>
      <c r="W93" s="20">
        <v>34215.379999999997</v>
      </c>
      <c r="X93" s="20">
        <v>17034.259999999998</v>
      </c>
      <c r="Y93" s="83">
        <v>13494.75</v>
      </c>
      <c r="Z93" s="83">
        <v>32445.72</v>
      </c>
      <c r="AA93" s="83">
        <v>20049.810000000001</v>
      </c>
      <c r="AB93" s="8">
        <f t="shared" si="51"/>
        <v>171414.22999999998</v>
      </c>
      <c r="AC93" s="24">
        <v>-11964.59</v>
      </c>
      <c r="AD93" s="24">
        <v>39414.65</v>
      </c>
      <c r="AE93" s="24">
        <v>0</v>
      </c>
      <c r="AF93" s="24">
        <v>527</v>
      </c>
      <c r="AG93" s="24">
        <v>56.94</v>
      </c>
      <c r="AH93" s="24">
        <v>0</v>
      </c>
      <c r="AI93" s="24">
        <v>0</v>
      </c>
      <c r="AJ93" s="20">
        <v>18739.919999999998</v>
      </c>
      <c r="AK93" s="20">
        <v>1128.1199999999999</v>
      </c>
      <c r="AL93" s="83">
        <v>0</v>
      </c>
      <c r="AM93" s="83">
        <v>8363.9599999999991</v>
      </c>
      <c r="AN93" s="83">
        <v>12699.46</v>
      </c>
      <c r="AO93" s="8">
        <f t="shared" si="52"/>
        <v>68965.459999999992</v>
      </c>
      <c r="AP93" s="24">
        <v>1243.55</v>
      </c>
      <c r="AQ93" s="24">
        <v>0</v>
      </c>
      <c r="AR93" s="24">
        <f>VLOOKUP(B93,'[1]Sheet1 (2)'!$B$2:$C$397,2,0)</f>
        <v>21332.37</v>
      </c>
      <c r="AS93" s="24">
        <f>VLOOKUP(B93,'[2]Sheet1 (2)'!$B$2:$C$404,2,0)</f>
        <v>21333.68</v>
      </c>
      <c r="AT93" s="24">
        <v>0</v>
      </c>
      <c r="AU93" s="24">
        <v>0</v>
      </c>
      <c r="AV93" s="24">
        <v>-23821.13</v>
      </c>
      <c r="AW93" s="20">
        <v>123.08</v>
      </c>
      <c r="AX93" s="20">
        <v>0</v>
      </c>
      <c r="AY93" s="83">
        <v>0</v>
      </c>
      <c r="AZ93" s="83">
        <v>27079.24</v>
      </c>
      <c r="BA93" s="83">
        <v>6506.86</v>
      </c>
      <c r="BB93" s="8">
        <f t="shared" si="48"/>
        <v>53797.65</v>
      </c>
      <c r="BC93" s="24">
        <v>20566.54</v>
      </c>
      <c r="BD93" s="24">
        <v>5243.87</v>
      </c>
      <c r="BE93" s="24">
        <v>22781.13</v>
      </c>
      <c r="BF93" s="24">
        <v>-649.54999999999995</v>
      </c>
      <c r="BG93" s="24">
        <v>0</v>
      </c>
      <c r="BH93" s="24">
        <v>0</v>
      </c>
      <c r="BI93" s="24">
        <v>0</v>
      </c>
      <c r="BN93" s="83"/>
      <c r="BO93" s="8">
        <f t="shared" si="49"/>
        <v>47941.99</v>
      </c>
    </row>
    <row r="94" spans="2:67" x14ac:dyDescent="0.2">
      <c r="B94" s="3" t="s">
        <v>296</v>
      </c>
      <c r="C94" s="23">
        <v>-1015.33</v>
      </c>
      <c r="D94" s="24">
        <v>2281.96</v>
      </c>
      <c r="E94" s="24">
        <v>-576.5</v>
      </c>
      <c r="F94" s="24">
        <v>-1006.22</v>
      </c>
      <c r="G94" s="24">
        <v>-629.36</v>
      </c>
      <c r="H94" s="24">
        <v>45.75</v>
      </c>
      <c r="I94" s="24">
        <v>-631.96</v>
      </c>
      <c r="J94" s="24">
        <v>855.79</v>
      </c>
      <c r="K94" s="24">
        <v>496.94</v>
      </c>
      <c r="L94" s="24">
        <v>-1662.88</v>
      </c>
      <c r="M94" s="24">
        <v>0</v>
      </c>
      <c r="N94" s="24">
        <v>1486.83</v>
      </c>
      <c r="O94" s="24">
        <f t="shared" si="50"/>
        <v>-354.98</v>
      </c>
      <c r="P94" s="24">
        <v>843.33</v>
      </c>
      <c r="Q94" s="24">
        <v>-1944.6</v>
      </c>
      <c r="R94" s="24">
        <v>-445.96</v>
      </c>
      <c r="S94" s="24">
        <v>0</v>
      </c>
      <c r="T94" s="24">
        <v>134.32</v>
      </c>
      <c r="U94" s="24">
        <v>475.7</v>
      </c>
      <c r="V94" s="24">
        <v>2682.5</v>
      </c>
      <c r="W94" s="20">
        <v>1861.55</v>
      </c>
      <c r="X94" s="20">
        <v>737.07</v>
      </c>
      <c r="Y94" s="83">
        <v>362.78</v>
      </c>
      <c r="Z94" s="83">
        <v>0</v>
      </c>
      <c r="AA94" s="83">
        <v>-1486.83</v>
      </c>
      <c r="AB94" s="8">
        <f t="shared" si="51"/>
        <v>3219.8599999999997</v>
      </c>
      <c r="AC94" s="24">
        <v>-843.33</v>
      </c>
      <c r="AD94" s="24">
        <v>-34.07</v>
      </c>
      <c r="AE94" s="24">
        <v>-1593.27</v>
      </c>
      <c r="AF94" s="24">
        <v>0</v>
      </c>
      <c r="AG94" s="24">
        <v>-445.35</v>
      </c>
      <c r="AH94" s="24">
        <v>-1249.23</v>
      </c>
      <c r="AI94" s="24">
        <v>-2692.87</v>
      </c>
      <c r="AJ94" s="20">
        <v>-2717.34</v>
      </c>
      <c r="AK94" s="20">
        <v>-1234.01</v>
      </c>
      <c r="AL94" s="83">
        <v>-362.78</v>
      </c>
      <c r="AM94" s="83">
        <v>0</v>
      </c>
      <c r="AN94" s="83">
        <v>0</v>
      </c>
      <c r="AO94" s="8">
        <f t="shared" si="52"/>
        <v>-11172.25</v>
      </c>
      <c r="AP94" s="24">
        <v>0</v>
      </c>
      <c r="AQ94" s="24">
        <v>-16.190000000000001</v>
      </c>
      <c r="AR94" s="24">
        <f>VLOOKUP(B94,'[1]Sheet1 (2)'!$B$2:$C$397,2,0)</f>
        <v>0</v>
      </c>
      <c r="AS94" s="24">
        <f>VLOOKUP(B94,'[2]Sheet1 (2)'!$B$2:$C$404,2,0)</f>
        <v>0</v>
      </c>
      <c r="AT94" s="24">
        <v>0</v>
      </c>
      <c r="AU94" s="24">
        <v>0</v>
      </c>
      <c r="AV94" s="24">
        <v>0</v>
      </c>
      <c r="AW94" s="20">
        <v>1308.97</v>
      </c>
      <c r="AX94" s="20">
        <v>0</v>
      </c>
      <c r="AY94" s="83">
        <v>1409.77</v>
      </c>
      <c r="AZ94" s="83">
        <v>442.74</v>
      </c>
      <c r="BA94" s="83">
        <v>545.89</v>
      </c>
      <c r="BB94" s="8">
        <f t="shared" si="48"/>
        <v>3691.18</v>
      </c>
      <c r="BC94" s="24">
        <v>420.26</v>
      </c>
      <c r="BD94" s="24">
        <v>3663.03</v>
      </c>
      <c r="BE94" s="24">
        <v>1313.45</v>
      </c>
      <c r="BF94" s="24">
        <v>0</v>
      </c>
      <c r="BG94" s="24">
        <v>0</v>
      </c>
      <c r="BH94" s="24">
        <v>1241.45</v>
      </c>
      <c r="BI94" s="24">
        <v>1093.8800000000001</v>
      </c>
      <c r="BN94" s="83"/>
      <c r="BO94" s="8">
        <f t="shared" si="49"/>
        <v>7732.07</v>
      </c>
    </row>
    <row r="95" spans="2:67" x14ac:dyDescent="0.2">
      <c r="B95" s="3" t="s">
        <v>1876</v>
      </c>
      <c r="C95" s="23"/>
      <c r="AA95" s="83"/>
      <c r="AB95" s="8"/>
      <c r="AN95" s="83"/>
      <c r="AO95" s="8"/>
      <c r="AP95" s="24">
        <v>0</v>
      </c>
      <c r="AQ95" s="24">
        <v>0</v>
      </c>
      <c r="AR95" s="24">
        <f>VLOOKUP(B95,'[1]Sheet1 (2)'!$B$2:$C$397,2,0)</f>
        <v>1514.26</v>
      </c>
      <c r="AS95" s="24">
        <f>VLOOKUP(B95,'[2]Sheet1 (2)'!$B$2:$C$404,2,0)</f>
        <v>0</v>
      </c>
      <c r="AT95" s="24">
        <v>0</v>
      </c>
      <c r="AU95" s="24">
        <v>0</v>
      </c>
      <c r="AV95" s="24">
        <v>0</v>
      </c>
      <c r="AW95" s="20">
        <v>0</v>
      </c>
      <c r="AX95" s="20">
        <v>0</v>
      </c>
      <c r="AY95" s="83">
        <v>0</v>
      </c>
      <c r="AZ95" s="83">
        <v>0</v>
      </c>
      <c r="BA95" s="83">
        <v>0</v>
      </c>
      <c r="BB95" s="8">
        <f t="shared" si="48"/>
        <v>1514.26</v>
      </c>
      <c r="BC95" s="24">
        <v>0</v>
      </c>
      <c r="BD95" s="24">
        <v>0</v>
      </c>
      <c r="BE95" s="24">
        <v>0</v>
      </c>
      <c r="BF95" s="24">
        <v>0</v>
      </c>
      <c r="BG95" s="24">
        <v>777.14</v>
      </c>
      <c r="BH95" s="24">
        <v>0</v>
      </c>
      <c r="BI95" s="24">
        <v>307.35000000000002</v>
      </c>
      <c r="BN95" s="83"/>
      <c r="BO95" s="8">
        <f t="shared" si="49"/>
        <v>1084.49</v>
      </c>
    </row>
    <row r="96" spans="2:67" x14ac:dyDescent="0.2">
      <c r="B96" s="6" t="s">
        <v>1543</v>
      </c>
      <c r="C96" s="7">
        <f t="shared" ref="C96:N96" si="53">SUM(C82:C94)</f>
        <v>3098375.2800000003</v>
      </c>
      <c r="D96" s="7">
        <f t="shared" si="53"/>
        <v>3300649.3400000003</v>
      </c>
      <c r="E96" s="7">
        <f t="shared" si="53"/>
        <v>3753742.3600000003</v>
      </c>
      <c r="F96" s="7">
        <f t="shared" si="53"/>
        <v>3295556.1399999992</v>
      </c>
      <c r="G96" s="7">
        <f t="shared" si="53"/>
        <v>3750716.3000000007</v>
      </c>
      <c r="H96" s="7">
        <f t="shared" si="53"/>
        <v>5114042.5999999996</v>
      </c>
      <c r="I96" s="7">
        <f t="shared" si="53"/>
        <v>3681174.5199999996</v>
      </c>
      <c r="J96" s="7">
        <f t="shared" si="53"/>
        <v>2611853.7199999997</v>
      </c>
      <c r="K96" s="7">
        <f t="shared" si="53"/>
        <v>6222675.6400000015</v>
      </c>
      <c r="L96" s="7">
        <f t="shared" si="53"/>
        <v>5309197.71</v>
      </c>
      <c r="M96" s="7">
        <f t="shared" si="53"/>
        <v>6538119.7199999997</v>
      </c>
      <c r="N96" s="7">
        <f t="shared" si="53"/>
        <v>8082875.0899999999</v>
      </c>
      <c r="O96" s="7">
        <f>SUM(C96:N96)</f>
        <v>54758978.420000002</v>
      </c>
      <c r="P96" s="7">
        <f t="shared" ref="P96:AO96" si="54">SUM(P82:P94)</f>
        <v>4787454.71</v>
      </c>
      <c r="Q96" s="7">
        <f t="shared" si="54"/>
        <v>3342436.6499999994</v>
      </c>
      <c r="R96" s="7">
        <f t="shared" si="54"/>
        <v>6929413.4399999995</v>
      </c>
      <c r="S96" s="7">
        <f t="shared" si="54"/>
        <v>3882622.1700000004</v>
      </c>
      <c r="T96" s="7">
        <f t="shared" si="54"/>
        <v>5198316.5600000005</v>
      </c>
      <c r="U96" s="7">
        <f t="shared" si="54"/>
        <v>5123114.32</v>
      </c>
      <c r="V96" s="7">
        <f t="shared" si="54"/>
        <v>4301390.3999999994</v>
      </c>
      <c r="W96" s="63">
        <f t="shared" si="54"/>
        <v>4571777.0899999989</v>
      </c>
      <c r="X96" s="63">
        <f t="shared" si="54"/>
        <v>4805464.7700000005</v>
      </c>
      <c r="Y96" s="63">
        <f t="shared" si="54"/>
        <v>4658888.78</v>
      </c>
      <c r="Z96" s="63">
        <f t="shared" si="54"/>
        <v>3086693.7600000007</v>
      </c>
      <c r="AA96" s="63">
        <f t="shared" si="54"/>
        <v>4341330.8699999982</v>
      </c>
      <c r="AB96" s="63">
        <f t="shared" si="54"/>
        <v>55028903.519999996</v>
      </c>
      <c r="AC96" s="63">
        <f t="shared" si="54"/>
        <v>2895616.9099999997</v>
      </c>
      <c r="AD96" s="63">
        <f t="shared" si="54"/>
        <v>4198861.7199999988</v>
      </c>
      <c r="AE96" s="63">
        <f t="shared" si="54"/>
        <v>3864640.05</v>
      </c>
      <c r="AF96" s="63">
        <f t="shared" si="54"/>
        <v>3423464.4399999995</v>
      </c>
      <c r="AG96" s="63">
        <f t="shared" si="54"/>
        <v>4229490.7600000016</v>
      </c>
      <c r="AH96" s="63">
        <f t="shared" si="54"/>
        <v>3785981.29</v>
      </c>
      <c r="AI96" s="63">
        <f t="shared" si="54"/>
        <v>3803769.45</v>
      </c>
      <c r="AJ96" s="63">
        <f t="shared" si="54"/>
        <v>1488045.7099999997</v>
      </c>
      <c r="AK96" s="63">
        <f t="shared" si="54"/>
        <v>6787081.3500000006</v>
      </c>
      <c r="AL96" s="63">
        <f t="shared" si="54"/>
        <v>4190687.72</v>
      </c>
      <c r="AM96" s="63">
        <f t="shared" si="54"/>
        <v>3758459.7800000003</v>
      </c>
      <c r="AN96" s="63">
        <f t="shared" si="54"/>
        <v>3760763.99</v>
      </c>
      <c r="AO96" s="63">
        <f t="shared" si="54"/>
        <v>46186863.169999987</v>
      </c>
      <c r="AP96" s="63">
        <f>SUM(AP82:AP95)</f>
        <v>2919207.9</v>
      </c>
      <c r="AQ96" s="63">
        <f>SUM(AQ82:AQ95)</f>
        <v>3053359.2900000005</v>
      </c>
      <c r="AR96" s="63">
        <f>SUM(AR82:AR95)</f>
        <v>2201583.59</v>
      </c>
      <c r="AS96" s="63">
        <f>SUM(AS82:AS95)</f>
        <v>1937380.37</v>
      </c>
      <c r="AT96" s="63">
        <f>SUM(AT82:AT95)</f>
        <v>2860174.68</v>
      </c>
      <c r="AU96" s="63">
        <f t="shared" ref="AU96:BA96" si="55">SUM(AU82:AU95)</f>
        <v>2528184.2799999993</v>
      </c>
      <c r="AV96" s="63">
        <f t="shared" si="55"/>
        <v>2013168.1700000002</v>
      </c>
      <c r="AW96" s="63">
        <f t="shared" si="55"/>
        <v>2439929.9200000004</v>
      </c>
      <c r="AX96" s="63">
        <f t="shared" si="55"/>
        <v>2406592.0199999996</v>
      </c>
      <c r="AY96" s="63">
        <f t="shared" si="55"/>
        <v>2397494.0599999996</v>
      </c>
      <c r="AZ96" s="63">
        <f t="shared" si="55"/>
        <v>2956476.0399999996</v>
      </c>
      <c r="BA96" s="63">
        <f t="shared" si="55"/>
        <v>4377733.72</v>
      </c>
      <c r="BB96" s="63">
        <f t="shared" ref="BB96" si="56">SUM(BB82:BB95)</f>
        <v>32091284.039999999</v>
      </c>
      <c r="BC96" s="63">
        <f t="shared" ref="BC96" si="57">SUM(BC82:BC95)</f>
        <v>2376870.9</v>
      </c>
      <c r="BD96" s="63">
        <f t="shared" ref="BD96" si="58">SUM(BD82:BD95)</f>
        <v>3990545.9899999998</v>
      </c>
      <c r="BE96" s="63">
        <f t="shared" ref="BE96" si="59">SUM(BE82:BE95)</f>
        <v>3129141.44</v>
      </c>
      <c r="BF96" s="63">
        <f t="shared" ref="BF96:BI96" si="60">SUM(BF82:BF95)</f>
        <v>2509714.4800000004</v>
      </c>
      <c r="BG96" s="63">
        <f t="shared" si="60"/>
        <v>1978446.9599999997</v>
      </c>
      <c r="BH96" s="63">
        <f t="shared" si="60"/>
        <v>2546312.9000000004</v>
      </c>
      <c r="BI96" s="63">
        <f t="shared" si="60"/>
        <v>2476851.65</v>
      </c>
      <c r="BJ96" s="63">
        <f t="shared" ref="BJ96" si="61">SUM(BJ82:BJ95)</f>
        <v>0</v>
      </c>
      <c r="BK96" s="63">
        <f t="shared" ref="BK96" si="62">SUM(BK82:BK95)</f>
        <v>0</v>
      </c>
      <c r="BL96" s="63">
        <f t="shared" ref="BL96" si="63">SUM(BL82:BL95)</f>
        <v>0</v>
      </c>
      <c r="BM96" s="63">
        <f t="shared" ref="BM96" si="64">SUM(BM82:BM95)</f>
        <v>0</v>
      </c>
      <c r="BN96" s="63">
        <f t="shared" ref="BN96" si="65">SUM(BN82:BN95)</f>
        <v>0</v>
      </c>
      <c r="BO96" s="63">
        <f t="shared" ref="BO96" si="66">SUM(BO82:BO95)</f>
        <v>19007884.319999997</v>
      </c>
    </row>
    <row r="97" spans="2:67" x14ac:dyDescent="0.2">
      <c r="B97" s="3" t="s">
        <v>1534</v>
      </c>
      <c r="C97" s="23"/>
      <c r="N97" s="24">
        <v>-572.17999999999995</v>
      </c>
      <c r="O97" s="24">
        <f>SUBTOTAL(9,C97:N97)</f>
        <v>-572.17999999999995</v>
      </c>
      <c r="P97" s="24">
        <v>0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0">
        <v>0</v>
      </c>
      <c r="X97" s="20">
        <v>0</v>
      </c>
      <c r="Y97" s="83">
        <v>0</v>
      </c>
      <c r="Z97" s="83">
        <v>13948.18</v>
      </c>
      <c r="AA97" s="83">
        <v>0</v>
      </c>
      <c r="AB97" s="8">
        <f>SUM(P97:AA97)</f>
        <v>13948.18</v>
      </c>
      <c r="AC97" s="24">
        <v>0</v>
      </c>
      <c r="AD97" s="24">
        <v>0</v>
      </c>
      <c r="AE97" s="24">
        <v>0</v>
      </c>
      <c r="AF97" s="24">
        <v>0</v>
      </c>
      <c r="AG97" s="24">
        <v>0</v>
      </c>
      <c r="AH97" s="24">
        <v>0</v>
      </c>
      <c r="AI97" s="24">
        <v>0</v>
      </c>
      <c r="AJ97" s="20">
        <v>0</v>
      </c>
      <c r="AK97" s="20">
        <v>0</v>
      </c>
      <c r="AL97" s="83">
        <v>0</v>
      </c>
      <c r="AM97" s="83">
        <v>0</v>
      </c>
      <c r="AN97" s="83">
        <v>0</v>
      </c>
      <c r="AO97" s="8">
        <f>SUM(AC97:AN97)</f>
        <v>0</v>
      </c>
      <c r="AP97" s="24">
        <v>0</v>
      </c>
      <c r="AQ97" s="24">
        <v>0</v>
      </c>
      <c r="AR97" s="24">
        <v>0</v>
      </c>
      <c r="AS97" s="24">
        <v>0</v>
      </c>
      <c r="AT97" s="24">
        <v>0</v>
      </c>
      <c r="AU97" s="24">
        <v>0</v>
      </c>
      <c r="AV97" s="24">
        <v>0</v>
      </c>
      <c r="AW97" s="20">
        <v>0</v>
      </c>
      <c r="AX97" s="20">
        <v>0</v>
      </c>
      <c r="AY97" s="83">
        <v>0</v>
      </c>
      <c r="AZ97" s="83">
        <v>0</v>
      </c>
      <c r="BA97" s="83">
        <v>0</v>
      </c>
      <c r="BB97" s="8">
        <f>SUM(AP97:BA97)</f>
        <v>0</v>
      </c>
      <c r="BC97" s="24">
        <v>0</v>
      </c>
      <c r="BD97" s="24">
        <v>0</v>
      </c>
      <c r="BE97" s="24">
        <v>0</v>
      </c>
      <c r="BF97" s="24">
        <v>0</v>
      </c>
      <c r="BG97" s="24">
        <v>0</v>
      </c>
      <c r="BH97" s="24">
        <v>0</v>
      </c>
      <c r="BI97" s="24">
        <v>0</v>
      </c>
      <c r="BN97" s="83"/>
      <c r="BO97" s="8">
        <f>SUM(BC97:BN97)</f>
        <v>0</v>
      </c>
    </row>
    <row r="98" spans="2:67" x14ac:dyDescent="0.2">
      <c r="B98" s="3" t="s">
        <v>1443</v>
      </c>
      <c r="C98" s="23">
        <v>0</v>
      </c>
      <c r="D98" s="24">
        <v>0</v>
      </c>
      <c r="E98" s="24">
        <v>0</v>
      </c>
      <c r="F98" s="24">
        <v>0</v>
      </c>
      <c r="G98" s="24">
        <v>0</v>
      </c>
      <c r="H98" s="24">
        <v>0</v>
      </c>
      <c r="I98" s="24">
        <v>1308.42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f>SUBTOTAL(9,C98:N98)</f>
        <v>1308.42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0">
        <v>0</v>
      </c>
      <c r="X98" s="20">
        <v>0</v>
      </c>
      <c r="Y98" s="83">
        <v>0</v>
      </c>
      <c r="Z98" s="83">
        <v>0</v>
      </c>
      <c r="AA98" s="83">
        <v>0</v>
      </c>
      <c r="AB98" s="8">
        <f>SUM(P98:AA98)</f>
        <v>0</v>
      </c>
      <c r="AC98" s="24">
        <v>0</v>
      </c>
      <c r="AD98" s="24">
        <v>0</v>
      </c>
      <c r="AE98" s="24">
        <v>0</v>
      </c>
      <c r="AF98" s="24">
        <v>0</v>
      </c>
      <c r="AG98" s="24">
        <v>0</v>
      </c>
      <c r="AH98" s="24">
        <v>0</v>
      </c>
      <c r="AI98" s="24">
        <v>0</v>
      </c>
      <c r="AJ98" s="20">
        <v>0</v>
      </c>
      <c r="AK98" s="20">
        <v>0</v>
      </c>
      <c r="AL98" s="83">
        <v>0</v>
      </c>
      <c r="AM98" s="83">
        <v>0</v>
      </c>
      <c r="AN98" s="83">
        <v>0</v>
      </c>
      <c r="AO98" s="8">
        <f>SUM(AC98:AN98)</f>
        <v>0</v>
      </c>
      <c r="AP98" s="24">
        <v>0</v>
      </c>
      <c r="AQ98" s="24">
        <v>0</v>
      </c>
      <c r="AR98" s="24">
        <v>0</v>
      </c>
      <c r="AS98" s="24">
        <v>0</v>
      </c>
      <c r="AT98" s="24">
        <v>0</v>
      </c>
      <c r="AU98" s="24">
        <v>0</v>
      </c>
      <c r="AV98" s="24">
        <v>0</v>
      </c>
      <c r="AW98" s="20">
        <v>0</v>
      </c>
      <c r="AX98" s="20">
        <v>0</v>
      </c>
      <c r="AY98" s="83">
        <v>0</v>
      </c>
      <c r="AZ98" s="83">
        <v>0</v>
      </c>
      <c r="BA98" s="83">
        <v>0</v>
      </c>
      <c r="BB98" s="8">
        <f>SUM(AP98:BA98)</f>
        <v>0</v>
      </c>
      <c r="BC98" s="24">
        <v>0</v>
      </c>
      <c r="BD98" s="24">
        <v>0</v>
      </c>
      <c r="BE98" s="24">
        <v>0</v>
      </c>
      <c r="BF98" s="24">
        <v>0</v>
      </c>
      <c r="BG98" s="24">
        <v>0</v>
      </c>
      <c r="BH98" s="24">
        <v>0</v>
      </c>
      <c r="BI98" s="24">
        <v>0</v>
      </c>
      <c r="BN98" s="83"/>
      <c r="BO98" s="8">
        <f>SUM(BC98:BN98)</f>
        <v>0</v>
      </c>
    </row>
    <row r="99" spans="2:67" x14ac:dyDescent="0.2">
      <c r="B99" s="3" t="s">
        <v>298</v>
      </c>
      <c r="C99" s="23">
        <v>28187.67</v>
      </c>
      <c r="D99" s="24">
        <v>21234.720000000001</v>
      </c>
      <c r="E99" s="24">
        <v>49253.49</v>
      </c>
      <c r="F99" s="24">
        <v>10955.63</v>
      </c>
      <c r="G99" s="24">
        <v>19561.52</v>
      </c>
      <c r="H99" s="24">
        <v>27801.31</v>
      </c>
      <c r="I99" s="24">
        <v>18983.810000000001</v>
      </c>
      <c r="J99" s="24">
        <v>19149.03</v>
      </c>
      <c r="K99" s="24">
        <v>22847.35</v>
      </c>
      <c r="L99" s="24">
        <v>13578.6</v>
      </c>
      <c r="M99" s="24">
        <v>30257.98</v>
      </c>
      <c r="N99" s="24">
        <v>21284.91</v>
      </c>
      <c r="O99" s="24">
        <f>SUBTOTAL(9,C99:N99)</f>
        <v>283096.02</v>
      </c>
      <c r="P99" s="24">
        <v>34268.6</v>
      </c>
      <c r="Q99" s="24">
        <v>13043.07</v>
      </c>
      <c r="R99" s="24">
        <v>15536.63</v>
      </c>
      <c r="S99" s="24">
        <v>13234.04</v>
      </c>
      <c r="T99" s="24">
        <v>52327.6</v>
      </c>
      <c r="U99" s="24">
        <v>28142.13</v>
      </c>
      <c r="V99" s="24">
        <v>38516.019999999997</v>
      </c>
      <c r="W99" s="20">
        <v>49663.55</v>
      </c>
      <c r="X99" s="20">
        <v>184536.63</v>
      </c>
      <c r="Y99" s="83">
        <v>59271.82</v>
      </c>
      <c r="Z99" s="83">
        <v>315493.46999999997</v>
      </c>
      <c r="AA99" s="83">
        <v>138665.96</v>
      </c>
      <c r="AB99" s="8">
        <f>SUM(P99:AA99)</f>
        <v>942699.52000000002</v>
      </c>
      <c r="AC99" s="24">
        <v>153801.66</v>
      </c>
      <c r="AD99" s="24">
        <v>101433.46</v>
      </c>
      <c r="AE99" s="24">
        <v>245323.09</v>
      </c>
      <c r="AF99" s="24">
        <v>55179.73</v>
      </c>
      <c r="AG99" s="24">
        <v>125423.64</v>
      </c>
      <c r="AH99" s="24">
        <v>35217.040000000001</v>
      </c>
      <c r="AI99" s="24">
        <v>140266.06</v>
      </c>
      <c r="AJ99" s="20">
        <v>44102.38</v>
      </c>
      <c r="AK99" s="20">
        <v>30566.9</v>
      </c>
      <c r="AL99" s="83">
        <v>94632.25</v>
      </c>
      <c r="AM99" s="83">
        <v>66614.039999999994</v>
      </c>
      <c r="AN99" s="83">
        <v>-29504.53</v>
      </c>
      <c r="AO99" s="8">
        <f>SUM(AC99:AN99)</f>
        <v>1063055.72</v>
      </c>
      <c r="AP99" s="24">
        <v>43377.62</v>
      </c>
      <c r="AQ99" s="24">
        <v>40415.17</v>
      </c>
      <c r="AR99" s="24">
        <f>VLOOKUP(B99,'[1]Sheet1 (2)'!$B$2:$C$397,2,0)</f>
        <v>33958.1</v>
      </c>
      <c r="AS99" s="24">
        <f>VLOOKUP(B99,'[2]Sheet1 (2)'!$B$2:$C$404,2,0)</f>
        <v>18235.59</v>
      </c>
      <c r="AT99" s="24">
        <v>22614.92</v>
      </c>
      <c r="AU99" s="24">
        <v>39181.019999999997</v>
      </c>
      <c r="AV99" s="24">
        <v>14135.44</v>
      </c>
      <c r="AW99" s="20">
        <v>27712.12</v>
      </c>
      <c r="AX99" s="20">
        <v>17568.29</v>
      </c>
      <c r="AY99" s="83">
        <v>25967.43</v>
      </c>
      <c r="AZ99" s="83">
        <v>5267.81</v>
      </c>
      <c r="BA99" s="83">
        <v>10931.1</v>
      </c>
      <c r="BB99" s="8">
        <f>SUM(AP99:BA99)</f>
        <v>299364.61</v>
      </c>
      <c r="BC99" s="24">
        <v>24945.59</v>
      </c>
      <c r="BD99" s="24">
        <v>5776.73</v>
      </c>
      <c r="BE99" s="24">
        <v>11955.84</v>
      </c>
      <c r="BF99" s="24">
        <v>9708.18</v>
      </c>
      <c r="BG99" s="24">
        <v>22433.32</v>
      </c>
      <c r="BH99" s="24">
        <v>52979.7</v>
      </c>
      <c r="BI99" s="24">
        <v>14430.58</v>
      </c>
      <c r="BN99" s="83"/>
      <c r="BO99" s="8">
        <f>SUM(BC99:BN99)</f>
        <v>142229.94</v>
      </c>
    </row>
    <row r="100" spans="2:67" x14ac:dyDescent="0.2">
      <c r="B100" s="3" t="s">
        <v>299</v>
      </c>
      <c r="C100" s="23">
        <v>111346.46</v>
      </c>
      <c r="D100" s="24">
        <v>125958.41</v>
      </c>
      <c r="E100" s="24">
        <v>169524.85</v>
      </c>
      <c r="F100" s="24">
        <v>154507.01</v>
      </c>
      <c r="G100" s="24">
        <v>171662.07999999999</v>
      </c>
      <c r="H100" s="24">
        <v>187777.29</v>
      </c>
      <c r="I100" s="24">
        <v>158948.96</v>
      </c>
      <c r="J100" s="24">
        <v>188518.54</v>
      </c>
      <c r="K100" s="24">
        <v>186395.75</v>
      </c>
      <c r="L100" s="24">
        <v>187077.65</v>
      </c>
      <c r="M100" s="24">
        <v>198768.75</v>
      </c>
      <c r="N100" s="24">
        <v>240213.28</v>
      </c>
      <c r="O100" s="24">
        <f>SUBTOTAL(9,C100:N100)</f>
        <v>2080699.03</v>
      </c>
      <c r="P100" s="24">
        <v>120787.89</v>
      </c>
      <c r="Q100" s="24">
        <v>313370.68</v>
      </c>
      <c r="R100" s="24">
        <v>210058.89</v>
      </c>
      <c r="S100" s="24">
        <v>143449.13</v>
      </c>
      <c r="T100" s="24">
        <v>274158.14</v>
      </c>
      <c r="U100" s="24">
        <v>77399.61</v>
      </c>
      <c r="V100" s="24">
        <v>164538.35999999999</v>
      </c>
      <c r="W100" s="20">
        <v>141176.57</v>
      </c>
      <c r="X100" s="20">
        <v>162222.41</v>
      </c>
      <c r="Y100" s="83">
        <v>215441.28</v>
      </c>
      <c r="Z100" s="83">
        <v>187999.45</v>
      </c>
      <c r="AA100" s="83">
        <v>246265.06</v>
      </c>
      <c r="AB100" s="8">
        <f>SUM(P100:AA100)</f>
        <v>2256867.4700000002</v>
      </c>
      <c r="AC100" s="24">
        <v>132350.39999999999</v>
      </c>
      <c r="AD100" s="24">
        <v>114259.04</v>
      </c>
      <c r="AE100" s="24">
        <v>232190.27</v>
      </c>
      <c r="AF100" s="24">
        <v>114555.2</v>
      </c>
      <c r="AG100" s="24">
        <v>143411.62</v>
      </c>
      <c r="AH100" s="24">
        <v>129664.12</v>
      </c>
      <c r="AI100" s="24">
        <v>147954.93</v>
      </c>
      <c r="AJ100" s="20">
        <v>221958.05</v>
      </c>
      <c r="AK100" s="20">
        <v>140536.82999999999</v>
      </c>
      <c r="AL100" s="83">
        <v>152955.04</v>
      </c>
      <c r="AM100" s="83">
        <v>112836.43</v>
      </c>
      <c r="AN100" s="83">
        <v>175462.33</v>
      </c>
      <c r="AO100" s="8">
        <f>SUM(AC100:AN100)</f>
        <v>1818134.26</v>
      </c>
      <c r="AP100" s="24">
        <v>78242.03</v>
      </c>
      <c r="AQ100" s="24">
        <v>109915.06</v>
      </c>
      <c r="AR100" s="24">
        <f>VLOOKUP(B100,'[1]Sheet1 (2)'!$B$2:$C$397,2,0)</f>
        <v>96003.14</v>
      </c>
      <c r="AS100" s="24">
        <f>VLOOKUP(B100,'[2]Sheet1 (2)'!$B$2:$C$404,2,0)</f>
        <v>52892.15</v>
      </c>
      <c r="AT100" s="24">
        <v>128940.8</v>
      </c>
      <c r="AU100" s="24">
        <v>104982.39</v>
      </c>
      <c r="AV100" s="24">
        <v>152243.32</v>
      </c>
      <c r="AW100" s="20">
        <v>136992.46</v>
      </c>
      <c r="AX100" s="20">
        <v>103796.94</v>
      </c>
      <c r="AY100" s="83">
        <v>146983.28</v>
      </c>
      <c r="AZ100" s="83">
        <v>116727.11</v>
      </c>
      <c r="BA100" s="83">
        <v>116486.6</v>
      </c>
      <c r="BB100" s="8">
        <f>SUM(AP100:BA100)</f>
        <v>1344205.28</v>
      </c>
      <c r="BC100" s="24">
        <v>74906.62</v>
      </c>
      <c r="BD100" s="24">
        <v>119923.58</v>
      </c>
      <c r="BE100" s="24">
        <v>98573.18</v>
      </c>
      <c r="BF100" s="24">
        <v>118607.64</v>
      </c>
      <c r="BG100" s="24">
        <v>108584.1</v>
      </c>
      <c r="BH100" s="24">
        <v>84597.24</v>
      </c>
      <c r="BI100" s="24">
        <v>143118.79</v>
      </c>
      <c r="BN100" s="83"/>
      <c r="BO100" s="8">
        <f>SUM(BC100:BN100)</f>
        <v>748311.15</v>
      </c>
    </row>
    <row r="101" spans="2:67" x14ac:dyDescent="0.2">
      <c r="B101" s="3" t="s">
        <v>300</v>
      </c>
      <c r="C101" s="23"/>
      <c r="E101" s="24">
        <v>286.14</v>
      </c>
      <c r="F101" s="24">
        <v>16.809999999999999</v>
      </c>
      <c r="G101" s="24">
        <v>0</v>
      </c>
      <c r="H101" s="24">
        <v>82.28</v>
      </c>
      <c r="I101" s="24">
        <v>136.75</v>
      </c>
      <c r="J101" s="24">
        <v>212.1</v>
      </c>
      <c r="K101" s="24">
        <v>177.41</v>
      </c>
      <c r="L101" s="24">
        <v>159.33000000000001</v>
      </c>
      <c r="M101" s="24">
        <v>348.73</v>
      </c>
      <c r="N101" s="24">
        <v>359.84</v>
      </c>
      <c r="O101" s="24">
        <f>SUBTOTAL(9,C101:N101)</f>
        <v>1779.3899999999999</v>
      </c>
      <c r="P101" s="24">
        <v>232.33</v>
      </c>
      <c r="Q101" s="24">
        <v>216.19</v>
      </c>
      <c r="R101" s="24">
        <v>518.87</v>
      </c>
      <c r="S101" s="24">
        <v>0</v>
      </c>
      <c r="T101" s="24">
        <v>246.46</v>
      </c>
      <c r="U101" s="24">
        <v>358.01</v>
      </c>
      <c r="V101" s="24">
        <v>520.74</v>
      </c>
      <c r="W101" s="20">
        <v>308.43</v>
      </c>
      <c r="X101" s="20">
        <v>0</v>
      </c>
      <c r="Y101" s="83">
        <v>244.56</v>
      </c>
      <c r="Z101" s="83">
        <v>106.96</v>
      </c>
      <c r="AA101" s="83">
        <v>32.25</v>
      </c>
      <c r="AB101" s="8">
        <f>SUM(P101:AA101)</f>
        <v>2784.7999999999997</v>
      </c>
      <c r="AC101" s="24">
        <v>16.399999999999999</v>
      </c>
      <c r="AD101" s="24">
        <v>511.89</v>
      </c>
      <c r="AE101" s="24">
        <v>42.35</v>
      </c>
      <c r="AF101" s="24">
        <v>320.01</v>
      </c>
      <c r="AG101" s="24">
        <v>253.1</v>
      </c>
      <c r="AH101" s="24">
        <v>8.0500000000000007</v>
      </c>
      <c r="AI101" s="24">
        <v>42.41</v>
      </c>
      <c r="AJ101" s="20">
        <v>0</v>
      </c>
      <c r="AK101" s="20">
        <v>0</v>
      </c>
      <c r="AL101" s="83">
        <v>68.94</v>
      </c>
      <c r="AM101" s="83">
        <v>8.25</v>
      </c>
      <c r="AN101" s="83">
        <v>0</v>
      </c>
      <c r="AO101" s="8">
        <f>SUM(AC101:AN101)</f>
        <v>1271.4000000000001</v>
      </c>
      <c r="AP101" s="24">
        <v>0</v>
      </c>
      <c r="AQ101" s="24">
        <v>177.65</v>
      </c>
      <c r="AR101" s="24">
        <f>VLOOKUP(B101,'[1]Sheet1 (2)'!$B$2:$C$397,2,0)</f>
        <v>503.1</v>
      </c>
      <c r="AS101" s="24">
        <f>VLOOKUP(B101,'[2]Sheet1 (2)'!$B$2:$C$404,2,0)</f>
        <v>244.13</v>
      </c>
      <c r="AT101" s="24">
        <v>177.97</v>
      </c>
      <c r="AU101" s="24">
        <v>106.56</v>
      </c>
      <c r="AV101" s="24">
        <v>554.96</v>
      </c>
      <c r="AW101" s="20">
        <v>10.92</v>
      </c>
      <c r="AX101" s="20">
        <v>85.79</v>
      </c>
      <c r="AY101" s="83">
        <v>228.16</v>
      </c>
      <c r="AZ101" s="83">
        <v>1466.9</v>
      </c>
      <c r="BA101" s="83">
        <v>306.29000000000002</v>
      </c>
      <c r="BB101" s="8">
        <f>SUM(AP101:BA101)</f>
        <v>3862.43</v>
      </c>
      <c r="BC101" s="24">
        <v>296.61</v>
      </c>
      <c r="BD101" s="24">
        <v>269.39</v>
      </c>
      <c r="BE101" s="24">
        <v>20.29</v>
      </c>
      <c r="BF101" s="24">
        <v>88.78</v>
      </c>
      <c r="BG101" s="24">
        <v>88.07</v>
      </c>
      <c r="BH101" s="24">
        <v>113.26</v>
      </c>
      <c r="BI101" s="24">
        <v>50.08</v>
      </c>
      <c r="BN101" s="83"/>
      <c r="BO101" s="8">
        <f>SUM(BC101:BN101)</f>
        <v>926.4799999999999</v>
      </c>
    </row>
    <row r="102" spans="2:67" x14ac:dyDescent="0.2">
      <c r="B102" s="6" t="s">
        <v>1544</v>
      </c>
      <c r="C102" s="7">
        <f t="shared" ref="C102:N102" si="67">SUM(C97:C101)</f>
        <v>139534.13</v>
      </c>
      <c r="D102" s="7">
        <f t="shared" si="67"/>
        <v>147193.13</v>
      </c>
      <c r="E102" s="7">
        <f t="shared" si="67"/>
        <v>219064.48</v>
      </c>
      <c r="F102" s="7">
        <f t="shared" si="67"/>
        <v>165479.45000000001</v>
      </c>
      <c r="G102" s="7">
        <f t="shared" si="67"/>
        <v>191223.59999999998</v>
      </c>
      <c r="H102" s="7">
        <f t="shared" si="67"/>
        <v>215660.88</v>
      </c>
      <c r="I102" s="7">
        <f t="shared" si="67"/>
        <v>179377.94</v>
      </c>
      <c r="J102" s="7">
        <f t="shared" si="67"/>
        <v>207879.67</v>
      </c>
      <c r="K102" s="7">
        <f t="shared" si="67"/>
        <v>209420.51</v>
      </c>
      <c r="L102" s="7">
        <f t="shared" si="67"/>
        <v>200815.58</v>
      </c>
      <c r="M102" s="7">
        <f t="shared" si="67"/>
        <v>229375.46000000002</v>
      </c>
      <c r="N102" s="7">
        <f t="shared" si="67"/>
        <v>261285.85</v>
      </c>
      <c r="O102" s="7">
        <f>SUM(C102:N102)</f>
        <v>2366310.6800000002</v>
      </c>
      <c r="P102" s="7">
        <f t="shared" ref="P102:AT102" si="68">SUM(P97:P101)</f>
        <v>155288.81999999998</v>
      </c>
      <c r="Q102" s="7">
        <f t="shared" si="68"/>
        <v>326629.94</v>
      </c>
      <c r="R102" s="7">
        <f t="shared" si="68"/>
        <v>226114.39</v>
      </c>
      <c r="S102" s="7">
        <f t="shared" si="68"/>
        <v>156683.17000000001</v>
      </c>
      <c r="T102" s="7">
        <f t="shared" si="68"/>
        <v>326732.2</v>
      </c>
      <c r="U102" s="7">
        <f t="shared" si="68"/>
        <v>105899.75</v>
      </c>
      <c r="V102" s="7">
        <f t="shared" si="68"/>
        <v>203575.11999999997</v>
      </c>
      <c r="W102" s="63">
        <f t="shared" si="68"/>
        <v>191148.55</v>
      </c>
      <c r="X102" s="63">
        <f t="shared" si="68"/>
        <v>346759.04000000004</v>
      </c>
      <c r="Y102" s="63">
        <f t="shared" si="68"/>
        <v>274957.65999999997</v>
      </c>
      <c r="Z102" s="63">
        <f t="shared" si="68"/>
        <v>517548.06</v>
      </c>
      <c r="AA102" s="63">
        <f t="shared" si="68"/>
        <v>384963.27</v>
      </c>
      <c r="AB102" s="63">
        <f t="shared" si="68"/>
        <v>3216299.97</v>
      </c>
      <c r="AC102" s="63">
        <f t="shared" si="68"/>
        <v>286168.46000000002</v>
      </c>
      <c r="AD102" s="63">
        <f t="shared" si="68"/>
        <v>216204.39</v>
      </c>
      <c r="AE102" s="63">
        <f t="shared" si="68"/>
        <v>477555.70999999996</v>
      </c>
      <c r="AF102" s="63">
        <f t="shared" si="68"/>
        <v>170054.94</v>
      </c>
      <c r="AG102" s="63">
        <f t="shared" si="68"/>
        <v>269088.36</v>
      </c>
      <c r="AH102" s="63">
        <f t="shared" si="68"/>
        <v>164889.21</v>
      </c>
      <c r="AI102" s="63">
        <f t="shared" si="68"/>
        <v>288263.39999999997</v>
      </c>
      <c r="AJ102" s="63">
        <f t="shared" si="68"/>
        <v>266060.43</v>
      </c>
      <c r="AK102" s="63">
        <f t="shared" si="68"/>
        <v>171103.72999999998</v>
      </c>
      <c r="AL102" s="63">
        <f t="shared" si="68"/>
        <v>247656.23</v>
      </c>
      <c r="AM102" s="63">
        <f t="shared" si="68"/>
        <v>179458.71999999997</v>
      </c>
      <c r="AN102" s="63">
        <f t="shared" si="68"/>
        <v>145957.79999999999</v>
      </c>
      <c r="AO102" s="63">
        <f t="shared" si="68"/>
        <v>2882461.38</v>
      </c>
      <c r="AP102" s="63">
        <f t="shared" si="68"/>
        <v>121619.65</v>
      </c>
      <c r="AQ102" s="63">
        <f t="shared" si="68"/>
        <v>150507.87999999998</v>
      </c>
      <c r="AR102" s="63">
        <f t="shared" si="68"/>
        <v>130464.34</v>
      </c>
      <c r="AS102" s="63">
        <f t="shared" si="68"/>
        <v>71371.87000000001</v>
      </c>
      <c r="AT102" s="63">
        <f t="shared" si="68"/>
        <v>151733.69</v>
      </c>
      <c r="AU102" s="63">
        <f t="shared" ref="AU102:BA102" si="69">SUM(AU97:AU101)</f>
        <v>144269.97</v>
      </c>
      <c r="AV102" s="63">
        <f t="shared" si="69"/>
        <v>166933.72</v>
      </c>
      <c r="AW102" s="63">
        <f t="shared" si="69"/>
        <v>164715.5</v>
      </c>
      <c r="AX102" s="63">
        <f t="shared" si="69"/>
        <v>121451.02</v>
      </c>
      <c r="AY102" s="63">
        <f t="shared" si="69"/>
        <v>173178.87</v>
      </c>
      <c r="AZ102" s="63">
        <f t="shared" si="69"/>
        <v>123461.81999999999</v>
      </c>
      <c r="BA102" s="63">
        <f t="shared" si="69"/>
        <v>127723.99</v>
      </c>
      <c r="BB102" s="63">
        <f>SUM(BB97:BB101)</f>
        <v>1647432.32</v>
      </c>
      <c r="BC102" s="63">
        <f t="shared" ref="BC102:BO102" si="70">SUM(BC97:BC101)</f>
        <v>100148.81999999999</v>
      </c>
      <c r="BD102" s="63">
        <f t="shared" si="70"/>
        <v>125969.7</v>
      </c>
      <c r="BE102" s="63">
        <f t="shared" si="70"/>
        <v>110549.30999999998</v>
      </c>
      <c r="BF102" s="63">
        <f t="shared" si="70"/>
        <v>128404.6</v>
      </c>
      <c r="BG102" s="63">
        <f t="shared" si="70"/>
        <v>131105.49000000002</v>
      </c>
      <c r="BH102" s="63">
        <f t="shared" si="70"/>
        <v>137690.20000000001</v>
      </c>
      <c r="BI102" s="63">
        <f t="shared" si="70"/>
        <v>157599.44999999998</v>
      </c>
      <c r="BJ102" s="63">
        <f t="shared" si="70"/>
        <v>0</v>
      </c>
      <c r="BK102" s="63">
        <f t="shared" si="70"/>
        <v>0</v>
      </c>
      <c r="BL102" s="63">
        <f t="shared" si="70"/>
        <v>0</v>
      </c>
      <c r="BM102" s="63">
        <f t="shared" si="70"/>
        <v>0</v>
      </c>
      <c r="BN102" s="63">
        <f t="shared" si="70"/>
        <v>0</v>
      </c>
      <c r="BO102" s="63">
        <f t="shared" si="70"/>
        <v>891467.57000000007</v>
      </c>
    </row>
    <row r="103" spans="2:67" x14ac:dyDescent="0.2">
      <c r="B103" s="3" t="s">
        <v>554</v>
      </c>
      <c r="C103" s="23"/>
      <c r="H103" s="24">
        <v>-5075.83</v>
      </c>
      <c r="I103" s="24">
        <v>5075.83</v>
      </c>
      <c r="J103" s="24">
        <v>103051.23</v>
      </c>
      <c r="K103" s="24">
        <v>0</v>
      </c>
      <c r="L103" s="24">
        <v>0</v>
      </c>
      <c r="M103" s="24">
        <v>0</v>
      </c>
      <c r="N103" s="24">
        <v>548.54</v>
      </c>
      <c r="O103" s="24">
        <f>SUBTOTAL(9,C103:N103)</f>
        <v>103599.76999999999</v>
      </c>
      <c r="P103" s="24">
        <v>0</v>
      </c>
      <c r="Q103" s="24">
        <v>4200.3999999999996</v>
      </c>
      <c r="R103" s="24">
        <v>0</v>
      </c>
      <c r="S103" s="24">
        <v>0</v>
      </c>
      <c r="T103" s="24">
        <v>131681.20000000001</v>
      </c>
      <c r="U103" s="24">
        <v>0</v>
      </c>
      <c r="V103" s="24">
        <v>79467.25</v>
      </c>
      <c r="W103" s="20">
        <v>0</v>
      </c>
      <c r="X103" s="20">
        <v>0</v>
      </c>
      <c r="Y103" s="83">
        <v>0</v>
      </c>
      <c r="Z103" s="83">
        <v>0</v>
      </c>
      <c r="AA103" s="83">
        <v>509759.08</v>
      </c>
      <c r="AB103" s="8">
        <f>SUM(P103:AA103)</f>
        <v>725107.93</v>
      </c>
      <c r="AC103" s="24">
        <v>34904.519999999997</v>
      </c>
      <c r="AD103" s="24">
        <v>40312.5</v>
      </c>
      <c r="AE103" s="24">
        <v>17998.25</v>
      </c>
      <c r="AF103" s="24">
        <v>0</v>
      </c>
      <c r="AG103" s="24">
        <v>229101.88</v>
      </c>
      <c r="AH103" s="24">
        <v>836537.26</v>
      </c>
      <c r="AI103" s="24">
        <v>55248.17</v>
      </c>
      <c r="AJ103" s="20">
        <v>0</v>
      </c>
      <c r="AK103" s="20">
        <v>0</v>
      </c>
      <c r="AL103" s="83">
        <v>0</v>
      </c>
      <c r="AM103" s="83">
        <v>40789.32</v>
      </c>
      <c r="AN103" s="83">
        <v>0</v>
      </c>
      <c r="AO103" s="8">
        <f t="shared" ref="AO103:AO120" si="71">SUM(AC103:AN103)</f>
        <v>1254891.9000000001</v>
      </c>
      <c r="AP103" s="24">
        <v>0</v>
      </c>
      <c r="AQ103" s="24">
        <v>0</v>
      </c>
      <c r="AR103" s="24">
        <v>0</v>
      </c>
      <c r="AS103" s="24">
        <f>VLOOKUP(B103,'[2]Sheet1 (2)'!$B$2:$C$404,2,0)</f>
        <v>64667.53</v>
      </c>
      <c r="AT103" s="24">
        <v>0</v>
      </c>
      <c r="AU103" s="24">
        <v>607021.77</v>
      </c>
      <c r="AV103" s="24">
        <v>0</v>
      </c>
      <c r="AW103" s="20">
        <v>0</v>
      </c>
      <c r="AX103" s="20">
        <v>0</v>
      </c>
      <c r="AY103" s="83">
        <v>0</v>
      </c>
      <c r="AZ103" s="83">
        <v>57908.77</v>
      </c>
      <c r="BA103" s="83">
        <v>0</v>
      </c>
      <c r="BB103" s="8">
        <f t="shared" ref="BB103:BB120" si="72">SUM(AP103:BA103)</f>
        <v>729598.07000000007</v>
      </c>
      <c r="BC103" s="24">
        <v>58916.28</v>
      </c>
      <c r="BD103" s="24">
        <v>0</v>
      </c>
      <c r="BE103" s="24">
        <v>0</v>
      </c>
      <c r="BF103" s="24">
        <v>72.16</v>
      </c>
      <c r="BG103" s="24">
        <v>0</v>
      </c>
      <c r="BH103" s="24">
        <v>57332.63</v>
      </c>
      <c r="BI103" s="24">
        <v>0</v>
      </c>
      <c r="BN103" s="83"/>
      <c r="BO103" s="8">
        <f t="shared" ref="BO103:BO120" si="73">SUM(BC103:BN103)</f>
        <v>116321.07</v>
      </c>
    </row>
    <row r="104" spans="2:67" x14ac:dyDescent="0.2">
      <c r="B104" s="3" t="s">
        <v>1426</v>
      </c>
      <c r="C104" s="23"/>
      <c r="G104" s="24">
        <v>10283.11</v>
      </c>
      <c r="H104" s="24">
        <v>0</v>
      </c>
      <c r="I104" s="24">
        <v>0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f>SUBTOTAL(9,C104:N104)</f>
        <v>10283.11</v>
      </c>
      <c r="P104" s="24">
        <v>0</v>
      </c>
      <c r="Q104" s="24">
        <v>0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0">
        <v>0</v>
      </c>
      <c r="X104" s="20">
        <v>0</v>
      </c>
      <c r="Y104" s="83">
        <v>0</v>
      </c>
      <c r="Z104" s="83">
        <v>0</v>
      </c>
      <c r="AA104" s="83">
        <v>0</v>
      </c>
      <c r="AB104" s="8">
        <f>SUM(P104:AA104)</f>
        <v>0</v>
      </c>
      <c r="AC104" s="24">
        <v>0</v>
      </c>
      <c r="AD104" s="24">
        <v>0</v>
      </c>
      <c r="AE104" s="24">
        <v>0</v>
      </c>
      <c r="AF104" s="24">
        <v>0</v>
      </c>
      <c r="AG104" s="24">
        <v>0</v>
      </c>
      <c r="AH104" s="24">
        <v>0</v>
      </c>
      <c r="AI104" s="24">
        <v>0</v>
      </c>
      <c r="AJ104" s="20">
        <v>0</v>
      </c>
      <c r="AK104" s="20">
        <v>0</v>
      </c>
      <c r="AL104" s="83">
        <v>0</v>
      </c>
      <c r="AM104" s="83">
        <v>0</v>
      </c>
      <c r="AN104" s="83">
        <v>0</v>
      </c>
      <c r="AO104" s="8">
        <f t="shared" si="71"/>
        <v>0</v>
      </c>
      <c r="AP104" s="24">
        <v>0</v>
      </c>
      <c r="AQ104" s="24">
        <v>0</v>
      </c>
      <c r="AR104" s="24">
        <v>0</v>
      </c>
      <c r="AS104" s="24">
        <v>0</v>
      </c>
      <c r="AT104" s="24">
        <v>0</v>
      </c>
      <c r="AU104" s="24">
        <v>0</v>
      </c>
      <c r="AV104" s="24">
        <v>0</v>
      </c>
      <c r="AW104" s="20">
        <v>0</v>
      </c>
      <c r="AX104" s="20">
        <v>0</v>
      </c>
      <c r="AY104" s="83">
        <v>0</v>
      </c>
      <c r="AZ104" s="83">
        <v>0</v>
      </c>
      <c r="BA104" s="83">
        <v>0</v>
      </c>
      <c r="BB104" s="8">
        <f t="shared" si="72"/>
        <v>0</v>
      </c>
      <c r="BC104" s="24">
        <v>0</v>
      </c>
      <c r="BD104" s="24">
        <v>0</v>
      </c>
      <c r="BE104" s="24">
        <v>0</v>
      </c>
      <c r="BF104" s="24">
        <v>0</v>
      </c>
      <c r="BG104" s="24">
        <v>0</v>
      </c>
      <c r="BH104" s="24">
        <v>0</v>
      </c>
      <c r="BI104" s="24">
        <v>0</v>
      </c>
      <c r="BN104" s="83"/>
      <c r="BO104" s="8">
        <f t="shared" si="73"/>
        <v>0</v>
      </c>
    </row>
    <row r="105" spans="2:67" x14ac:dyDescent="0.2">
      <c r="B105" s="3" t="s">
        <v>835</v>
      </c>
      <c r="C105" s="23"/>
      <c r="J105" s="24">
        <v>7551.7</v>
      </c>
      <c r="K105" s="24">
        <v>0</v>
      </c>
      <c r="L105" s="24">
        <v>0</v>
      </c>
      <c r="M105" s="24">
        <v>0</v>
      </c>
      <c r="N105" s="24">
        <v>0</v>
      </c>
      <c r="O105" s="24">
        <f>SUBTOTAL(9,C105:N105)</f>
        <v>7551.7</v>
      </c>
      <c r="P105" s="24">
        <v>0</v>
      </c>
      <c r="Q105" s="24">
        <v>0</v>
      </c>
      <c r="R105" s="24">
        <v>0</v>
      </c>
      <c r="S105" s="24">
        <v>0</v>
      </c>
      <c r="T105" s="24">
        <v>1484.25</v>
      </c>
      <c r="U105" s="24">
        <v>19399.02</v>
      </c>
      <c r="V105" s="24">
        <v>5552.72</v>
      </c>
      <c r="W105" s="20">
        <v>0</v>
      </c>
      <c r="X105" s="20">
        <v>0</v>
      </c>
      <c r="Y105" s="83">
        <v>201.5</v>
      </c>
      <c r="Z105" s="83">
        <v>0</v>
      </c>
      <c r="AA105" s="83">
        <v>16200.81</v>
      </c>
      <c r="AB105" s="8">
        <f>SUM(P105:AA105)</f>
        <v>42838.3</v>
      </c>
      <c r="AC105" s="24">
        <v>1904.79</v>
      </c>
      <c r="AD105" s="24">
        <v>1781.09</v>
      </c>
      <c r="AE105" s="24">
        <v>1116.94</v>
      </c>
      <c r="AF105" s="24">
        <v>0</v>
      </c>
      <c r="AG105" s="24">
        <v>395.8</v>
      </c>
      <c r="AH105" s="24">
        <v>0</v>
      </c>
      <c r="AI105" s="24">
        <v>494.75</v>
      </c>
      <c r="AJ105" s="20">
        <v>0</v>
      </c>
      <c r="AK105" s="20">
        <v>0</v>
      </c>
      <c r="AL105" s="83">
        <v>0</v>
      </c>
      <c r="AM105" s="83">
        <v>3059.47</v>
      </c>
      <c r="AN105" s="83">
        <v>0</v>
      </c>
      <c r="AO105" s="8">
        <f t="shared" si="71"/>
        <v>8752.84</v>
      </c>
      <c r="AP105" s="24">
        <v>0</v>
      </c>
      <c r="AQ105" s="24">
        <v>0</v>
      </c>
      <c r="AR105" s="24">
        <v>0</v>
      </c>
      <c r="AS105" s="24">
        <f>VLOOKUP(B105,'[2]Sheet1 (2)'!$B$2:$C$404,2,0)</f>
        <v>5599.53</v>
      </c>
      <c r="AT105" s="24">
        <v>0</v>
      </c>
      <c r="AU105" s="24">
        <v>0</v>
      </c>
      <c r="AV105" s="24">
        <v>0</v>
      </c>
      <c r="AW105" s="20">
        <v>0</v>
      </c>
      <c r="AX105" s="20">
        <v>0</v>
      </c>
      <c r="AY105" s="83">
        <v>0</v>
      </c>
      <c r="AZ105" s="83">
        <v>6148.47</v>
      </c>
      <c r="BA105" s="83">
        <v>0</v>
      </c>
      <c r="BB105" s="8">
        <f t="shared" si="72"/>
        <v>11748</v>
      </c>
      <c r="BC105" s="24">
        <v>5589.5</v>
      </c>
      <c r="BD105" s="24">
        <v>0</v>
      </c>
      <c r="BE105" s="24">
        <v>0</v>
      </c>
      <c r="BF105" s="24">
        <v>0</v>
      </c>
      <c r="BG105" s="24">
        <v>0</v>
      </c>
      <c r="BH105" s="24">
        <v>4442.18</v>
      </c>
      <c r="BI105" s="24">
        <v>0</v>
      </c>
      <c r="BN105" s="83"/>
      <c r="BO105" s="8">
        <f t="shared" si="73"/>
        <v>10031.68</v>
      </c>
    </row>
    <row r="106" spans="2:67" x14ac:dyDescent="0.2">
      <c r="B106" s="3" t="s">
        <v>1787</v>
      </c>
      <c r="C106" s="23"/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83">
        <v>-302.81</v>
      </c>
      <c r="AA106" s="83">
        <v>0</v>
      </c>
      <c r="AB106" s="8">
        <f>SUM(P106:AA106)</f>
        <v>-302.81</v>
      </c>
      <c r="AC106" s="24">
        <v>0</v>
      </c>
      <c r="AD106" s="24">
        <v>0</v>
      </c>
      <c r="AE106" s="24">
        <v>0</v>
      </c>
      <c r="AF106" s="24">
        <v>0</v>
      </c>
      <c r="AG106" s="24">
        <v>0</v>
      </c>
      <c r="AH106" s="24">
        <v>0</v>
      </c>
      <c r="AI106" s="24">
        <v>0</v>
      </c>
      <c r="AJ106" s="20">
        <v>408.6</v>
      </c>
      <c r="AK106" s="20">
        <v>0</v>
      </c>
      <c r="AL106" s="83">
        <v>0</v>
      </c>
      <c r="AM106" s="83">
        <v>0</v>
      </c>
      <c r="AN106" s="83">
        <v>0</v>
      </c>
      <c r="AO106" s="8">
        <f t="shared" si="71"/>
        <v>408.6</v>
      </c>
      <c r="AP106" s="24">
        <v>0</v>
      </c>
      <c r="AQ106" s="24">
        <v>0</v>
      </c>
      <c r="AR106" s="24">
        <v>0</v>
      </c>
      <c r="AS106" s="24">
        <v>0</v>
      </c>
      <c r="AT106" s="24">
        <v>0</v>
      </c>
      <c r="AU106" s="24">
        <v>0</v>
      </c>
      <c r="AV106" s="24">
        <v>0</v>
      </c>
      <c r="AW106" s="20">
        <v>0</v>
      </c>
      <c r="AX106" s="20">
        <v>0</v>
      </c>
      <c r="AY106" s="83">
        <v>0</v>
      </c>
      <c r="AZ106" s="83">
        <v>0</v>
      </c>
      <c r="BA106" s="83">
        <v>0</v>
      </c>
      <c r="BB106" s="8">
        <f t="shared" si="72"/>
        <v>0</v>
      </c>
      <c r="BC106" s="24">
        <v>0</v>
      </c>
      <c r="BD106" s="24">
        <v>0</v>
      </c>
      <c r="BE106" s="24">
        <v>0</v>
      </c>
      <c r="BF106" s="24">
        <v>0</v>
      </c>
      <c r="BG106" s="24">
        <v>0</v>
      </c>
      <c r="BH106" s="24">
        <v>0</v>
      </c>
      <c r="BI106" s="24">
        <v>0</v>
      </c>
      <c r="BN106" s="83"/>
      <c r="BO106" s="8">
        <f t="shared" si="73"/>
        <v>0</v>
      </c>
    </row>
    <row r="107" spans="2:67" x14ac:dyDescent="0.2">
      <c r="B107" s="3" t="s">
        <v>1818</v>
      </c>
      <c r="C107" s="23"/>
      <c r="W107" s="24"/>
      <c r="X107" s="24"/>
      <c r="Y107" s="24"/>
      <c r="AA107" s="83"/>
      <c r="AB107" s="8"/>
      <c r="AC107" s="24">
        <v>0</v>
      </c>
      <c r="AD107" s="24">
        <v>0</v>
      </c>
      <c r="AE107" s="24">
        <v>-0.01</v>
      </c>
      <c r="AF107" s="24">
        <v>0</v>
      </c>
      <c r="AG107" s="24">
        <v>0</v>
      </c>
      <c r="AH107" s="24">
        <v>0</v>
      </c>
      <c r="AI107" s="24">
        <v>0</v>
      </c>
      <c r="AJ107" s="20">
        <v>0</v>
      </c>
      <c r="AK107" s="20">
        <v>0</v>
      </c>
      <c r="AL107" s="83">
        <v>0</v>
      </c>
      <c r="AM107" s="83">
        <v>0</v>
      </c>
      <c r="AN107" s="83">
        <v>0</v>
      </c>
      <c r="AO107" s="8">
        <f t="shared" si="71"/>
        <v>-0.01</v>
      </c>
      <c r="AP107" s="24">
        <v>0</v>
      </c>
      <c r="AQ107" s="24">
        <v>0</v>
      </c>
      <c r="AR107" s="24">
        <v>0</v>
      </c>
      <c r="AS107" s="24">
        <v>0</v>
      </c>
      <c r="AT107" s="24">
        <v>0</v>
      </c>
      <c r="AU107" s="24">
        <v>0</v>
      </c>
      <c r="AV107" s="24">
        <v>0</v>
      </c>
      <c r="AW107" s="20">
        <v>0</v>
      </c>
      <c r="AX107" s="20">
        <v>0</v>
      </c>
      <c r="AY107" s="83">
        <v>0</v>
      </c>
      <c r="AZ107" s="83">
        <v>0</v>
      </c>
      <c r="BA107" s="83">
        <v>0</v>
      </c>
      <c r="BB107" s="8">
        <f t="shared" si="72"/>
        <v>0</v>
      </c>
      <c r="BC107" s="24">
        <v>0</v>
      </c>
      <c r="BD107" s="24">
        <v>0</v>
      </c>
      <c r="BE107" s="24">
        <v>0</v>
      </c>
      <c r="BF107" s="24">
        <v>0</v>
      </c>
      <c r="BG107" s="24">
        <v>0</v>
      </c>
      <c r="BH107" s="24">
        <v>0</v>
      </c>
      <c r="BI107" s="24">
        <v>0</v>
      </c>
      <c r="BN107" s="83"/>
      <c r="BO107" s="8">
        <f t="shared" si="73"/>
        <v>0</v>
      </c>
    </row>
    <row r="108" spans="2:67" x14ac:dyDescent="0.2">
      <c r="B108" s="3" t="s">
        <v>1839</v>
      </c>
      <c r="C108" s="23"/>
      <c r="W108" s="24"/>
      <c r="X108" s="24"/>
      <c r="Y108" s="24"/>
      <c r="AA108" s="83"/>
      <c r="AB108" s="8"/>
      <c r="AC108" s="24">
        <v>0</v>
      </c>
      <c r="AD108" s="24">
        <v>0</v>
      </c>
      <c r="AE108" s="24">
        <v>0</v>
      </c>
      <c r="AF108" s="24">
        <v>0</v>
      </c>
      <c r="AG108" s="24">
        <v>0</v>
      </c>
      <c r="AH108" s="24">
        <v>0</v>
      </c>
      <c r="AI108" s="24">
        <v>0</v>
      </c>
      <c r="AJ108" s="24">
        <v>0</v>
      </c>
      <c r="AK108" s="24">
        <v>0</v>
      </c>
      <c r="AL108" s="24">
        <v>0</v>
      </c>
      <c r="AM108" s="24">
        <v>0</v>
      </c>
      <c r="AN108" s="83">
        <v>-539.53</v>
      </c>
      <c r="AO108" s="8">
        <f t="shared" si="71"/>
        <v>-539.53</v>
      </c>
      <c r="AP108" s="24">
        <v>0</v>
      </c>
      <c r="AQ108" s="24">
        <v>0</v>
      </c>
      <c r="AR108" s="24">
        <v>0</v>
      </c>
      <c r="AS108" s="24">
        <v>0</v>
      </c>
      <c r="AT108" s="24">
        <v>0</v>
      </c>
      <c r="AU108" s="24">
        <v>0</v>
      </c>
      <c r="AV108" s="24">
        <v>0</v>
      </c>
      <c r="AW108" s="20">
        <v>0</v>
      </c>
      <c r="AX108" s="20">
        <v>0</v>
      </c>
      <c r="AY108" s="83">
        <v>0</v>
      </c>
      <c r="AZ108" s="83">
        <v>0</v>
      </c>
      <c r="BA108" s="83">
        <v>0</v>
      </c>
      <c r="BB108" s="8">
        <f t="shared" si="72"/>
        <v>0</v>
      </c>
      <c r="BC108" s="24">
        <v>0</v>
      </c>
      <c r="BD108" s="24">
        <v>0</v>
      </c>
      <c r="BE108" s="24">
        <v>0</v>
      </c>
      <c r="BF108" s="24">
        <v>0</v>
      </c>
      <c r="BG108" s="24">
        <v>0</v>
      </c>
      <c r="BH108" s="24">
        <v>0</v>
      </c>
      <c r="BI108" s="24">
        <v>0</v>
      </c>
      <c r="BN108" s="83"/>
      <c r="BO108" s="8">
        <f t="shared" si="73"/>
        <v>0</v>
      </c>
    </row>
    <row r="109" spans="2:67" x14ac:dyDescent="0.2">
      <c r="B109" s="3" t="s">
        <v>302</v>
      </c>
      <c r="C109" s="23">
        <v>5793.22</v>
      </c>
      <c r="D109" s="24">
        <v>5621.72</v>
      </c>
      <c r="E109" s="24">
        <v>6136.28</v>
      </c>
      <c r="F109" s="24">
        <v>8961.56</v>
      </c>
      <c r="G109" s="24">
        <v>8821.1200000000008</v>
      </c>
      <c r="H109" s="24">
        <v>7507</v>
      </c>
      <c r="I109" s="24">
        <v>7867</v>
      </c>
      <c r="J109" s="24">
        <v>8173.5</v>
      </c>
      <c r="K109" s="24">
        <v>8778</v>
      </c>
      <c r="L109" s="24">
        <v>8563.5</v>
      </c>
      <c r="M109" s="24">
        <v>8451.59</v>
      </c>
      <c r="N109" s="24">
        <v>8203.5</v>
      </c>
      <c r="O109" s="24">
        <f t="shared" ref="O109:O115" si="74">SUBTOTAL(9,C109:N109)</f>
        <v>92877.989999999991</v>
      </c>
      <c r="P109" s="24">
        <v>8156.88</v>
      </c>
      <c r="Q109" s="24">
        <v>9022.8799999999992</v>
      </c>
      <c r="R109" s="24">
        <v>12102.55</v>
      </c>
      <c r="S109" s="24">
        <v>7451.38</v>
      </c>
      <c r="T109" s="24">
        <v>9666.3799999999992</v>
      </c>
      <c r="U109" s="24">
        <v>9666.3799999999992</v>
      </c>
      <c r="V109" s="24">
        <v>10270.879999999999</v>
      </c>
      <c r="W109" s="20">
        <v>10270.879999999999</v>
      </c>
      <c r="X109" s="20">
        <v>10430.719999999999</v>
      </c>
      <c r="Y109" s="83">
        <v>9910.8799999999992</v>
      </c>
      <c r="Z109" s="83">
        <v>8716.2800000000007</v>
      </c>
      <c r="AA109" s="83">
        <v>8633.8799999999992</v>
      </c>
      <c r="AB109" s="8">
        <f t="shared" ref="AB109:AB115" si="75">SUM(P109:AA109)</f>
        <v>114299.97</v>
      </c>
      <c r="AC109" s="24">
        <v>8618.8799999999992</v>
      </c>
      <c r="AD109" s="24">
        <v>8734.3799999999992</v>
      </c>
      <c r="AE109" s="24">
        <v>8633.16</v>
      </c>
      <c r="AF109" s="24">
        <v>8686.44</v>
      </c>
      <c r="AG109" s="24">
        <v>8793</v>
      </c>
      <c r="AH109" s="24">
        <v>8739.7199999999993</v>
      </c>
      <c r="AI109" s="24">
        <v>8734.44</v>
      </c>
      <c r="AJ109" s="20">
        <v>8681.16</v>
      </c>
      <c r="AK109" s="20">
        <v>7235.1</v>
      </c>
      <c r="AL109" s="83">
        <v>10793.56</v>
      </c>
      <c r="AM109" s="83">
        <v>9241.4699999999993</v>
      </c>
      <c r="AN109" s="83">
        <v>8795.91</v>
      </c>
      <c r="AO109" s="8">
        <f t="shared" si="71"/>
        <v>105687.22000000002</v>
      </c>
      <c r="AP109" s="24">
        <v>6038.41</v>
      </c>
      <c r="AQ109" s="24">
        <v>7706.66</v>
      </c>
      <c r="AR109" s="24">
        <f>VLOOKUP(B109,'[1]Sheet1 (2)'!$B$2:$C$397,2,0)</f>
        <v>6884.07</v>
      </c>
      <c r="AS109" s="24">
        <f>VLOOKUP(B109,'[2]Sheet1 (2)'!$B$2:$C$404,2,0)</f>
        <v>6766.16</v>
      </c>
      <c r="AT109" s="24">
        <v>6682.16</v>
      </c>
      <c r="AU109" s="24">
        <v>6695.66</v>
      </c>
      <c r="AV109" s="24">
        <v>8231.66</v>
      </c>
      <c r="AW109" s="20">
        <v>10415.82</v>
      </c>
      <c r="AX109" s="20">
        <v>6407.66</v>
      </c>
      <c r="AY109" s="83">
        <v>6602.66</v>
      </c>
      <c r="AZ109" s="83">
        <v>6407.66</v>
      </c>
      <c r="BA109" s="83">
        <v>6407.66</v>
      </c>
      <c r="BB109" s="8">
        <f t="shared" si="72"/>
        <v>85246.24</v>
      </c>
      <c r="BC109" s="24">
        <v>5466.44</v>
      </c>
      <c r="BD109" s="24">
        <v>5466.44</v>
      </c>
      <c r="BE109" s="24">
        <v>5538.44</v>
      </c>
      <c r="BF109" s="24">
        <v>5502.44</v>
      </c>
      <c r="BG109" s="24">
        <v>5669.21</v>
      </c>
      <c r="BH109" s="24">
        <v>5669.21</v>
      </c>
      <c r="BI109" s="24">
        <v>5669.21</v>
      </c>
      <c r="BN109" s="83"/>
      <c r="BO109" s="8">
        <f t="shared" si="73"/>
        <v>38981.39</v>
      </c>
    </row>
    <row r="110" spans="2:67" x14ac:dyDescent="0.2">
      <c r="B110" s="3" t="s">
        <v>647</v>
      </c>
      <c r="C110" s="23">
        <v>0</v>
      </c>
      <c r="D110" s="24">
        <v>0</v>
      </c>
      <c r="E110" s="24">
        <v>0</v>
      </c>
      <c r="F110" s="24">
        <v>8266.08</v>
      </c>
      <c r="G110" s="24">
        <v>0</v>
      </c>
      <c r="H110" s="24">
        <v>6489.88</v>
      </c>
      <c r="I110" s="24">
        <v>0</v>
      </c>
      <c r="J110" s="24">
        <v>0</v>
      </c>
      <c r="K110" s="24">
        <v>0</v>
      </c>
      <c r="L110" s="24">
        <v>0</v>
      </c>
      <c r="M110" s="24">
        <v>0</v>
      </c>
      <c r="N110" s="24">
        <v>0</v>
      </c>
      <c r="O110" s="24">
        <f t="shared" si="74"/>
        <v>14755.96</v>
      </c>
      <c r="P110" s="24">
        <v>0</v>
      </c>
      <c r="Q110" s="24">
        <v>0</v>
      </c>
      <c r="R110" s="24">
        <v>21430.31</v>
      </c>
      <c r="S110" s="24">
        <v>0</v>
      </c>
      <c r="T110" s="24">
        <v>0</v>
      </c>
      <c r="U110" s="24">
        <v>0</v>
      </c>
      <c r="V110" s="24">
        <v>0</v>
      </c>
      <c r="W110" s="20">
        <v>0</v>
      </c>
      <c r="X110" s="20">
        <v>0</v>
      </c>
      <c r="Y110" s="83">
        <v>0</v>
      </c>
      <c r="Z110" s="83">
        <v>0</v>
      </c>
      <c r="AA110" s="83">
        <v>89028.64</v>
      </c>
      <c r="AB110" s="8">
        <f t="shared" si="75"/>
        <v>110458.95</v>
      </c>
      <c r="AC110" s="24">
        <v>0</v>
      </c>
      <c r="AD110" s="24">
        <v>0</v>
      </c>
      <c r="AE110" s="24">
        <v>0</v>
      </c>
      <c r="AF110" s="24">
        <v>0</v>
      </c>
      <c r="AG110" s="24">
        <v>0</v>
      </c>
      <c r="AH110" s="24">
        <v>0</v>
      </c>
      <c r="AI110" s="24">
        <v>0</v>
      </c>
      <c r="AJ110" s="20">
        <v>0</v>
      </c>
      <c r="AK110" s="20">
        <v>3531.41</v>
      </c>
      <c r="AL110" s="83">
        <v>49801.82</v>
      </c>
      <c r="AM110" s="83">
        <v>0</v>
      </c>
      <c r="AN110" s="83">
        <v>34765.03</v>
      </c>
      <c r="AO110" s="8">
        <f t="shared" si="71"/>
        <v>88098.26</v>
      </c>
      <c r="AP110" s="24">
        <v>8181.74</v>
      </c>
      <c r="AQ110" s="24">
        <v>0</v>
      </c>
      <c r="AR110" s="24">
        <f>VLOOKUP(B110,'[1]Sheet1 (2)'!$B$2:$C$397,2,0)</f>
        <v>0</v>
      </c>
      <c r="AS110" s="24">
        <f>VLOOKUP(B110,'[2]Sheet1 (2)'!$B$2:$C$404,2,0)</f>
        <v>0</v>
      </c>
      <c r="AT110" s="24">
        <v>0</v>
      </c>
      <c r="AU110" s="24">
        <v>0</v>
      </c>
      <c r="AV110" s="24">
        <v>0</v>
      </c>
      <c r="AW110" s="20">
        <v>0</v>
      </c>
      <c r="AX110" s="20">
        <v>0</v>
      </c>
      <c r="AY110" s="83">
        <v>0</v>
      </c>
      <c r="AZ110" s="83">
        <v>0</v>
      </c>
      <c r="BA110" s="83">
        <v>0</v>
      </c>
      <c r="BB110" s="8">
        <f t="shared" si="72"/>
        <v>8181.74</v>
      </c>
      <c r="BC110" s="24">
        <v>0</v>
      </c>
      <c r="BD110" s="24">
        <v>0</v>
      </c>
      <c r="BE110" s="24">
        <v>0</v>
      </c>
      <c r="BF110" s="24">
        <v>0</v>
      </c>
      <c r="BG110" s="24">
        <v>67960.100000000006</v>
      </c>
      <c r="BH110" s="24">
        <v>73934.5</v>
      </c>
      <c r="BI110" s="24">
        <v>0</v>
      </c>
      <c r="BN110" s="83"/>
      <c r="BO110" s="8">
        <f t="shared" si="73"/>
        <v>141894.6</v>
      </c>
    </row>
    <row r="111" spans="2:67" x14ac:dyDescent="0.2">
      <c r="B111" s="3" t="s">
        <v>303</v>
      </c>
      <c r="C111" s="23">
        <v>2303.9899999999998</v>
      </c>
      <c r="D111" s="24">
        <v>7907.74</v>
      </c>
      <c r="E111" s="24">
        <v>1046.9000000000001</v>
      </c>
      <c r="F111" s="24">
        <v>15062.61</v>
      </c>
      <c r="G111" s="24">
        <v>22701.68</v>
      </c>
      <c r="H111" s="24">
        <v>-23.47</v>
      </c>
      <c r="I111" s="24">
        <v>0</v>
      </c>
      <c r="J111" s="24">
        <v>9243</v>
      </c>
      <c r="K111" s="24">
        <v>6517.8</v>
      </c>
      <c r="L111" s="24">
        <v>9048.81</v>
      </c>
      <c r="M111" s="24">
        <v>6632.24</v>
      </c>
      <c r="N111" s="24">
        <v>3071.02</v>
      </c>
      <c r="O111" s="24">
        <f t="shared" si="74"/>
        <v>83512.320000000007</v>
      </c>
      <c r="P111" s="24">
        <v>-66.91</v>
      </c>
      <c r="Q111" s="24">
        <v>0</v>
      </c>
      <c r="R111" s="24">
        <v>2603.14</v>
      </c>
      <c r="S111" s="24">
        <v>0</v>
      </c>
      <c r="T111" s="24">
        <v>284.07</v>
      </c>
      <c r="U111" s="24">
        <v>0</v>
      </c>
      <c r="V111" s="24">
        <v>0</v>
      </c>
      <c r="W111" s="20">
        <v>0</v>
      </c>
      <c r="X111" s="20">
        <v>-17622.05</v>
      </c>
      <c r="Y111" s="83">
        <v>15498.68</v>
      </c>
      <c r="Z111" s="83">
        <v>2579.1</v>
      </c>
      <c r="AA111" s="83">
        <v>12332.86</v>
      </c>
      <c r="AB111" s="8">
        <f t="shared" si="75"/>
        <v>15608.890000000001</v>
      </c>
      <c r="AC111" s="24">
        <v>2922.36</v>
      </c>
      <c r="AD111" s="24">
        <v>0</v>
      </c>
      <c r="AE111" s="24">
        <v>111.92</v>
      </c>
      <c r="AF111" s="24">
        <v>0</v>
      </c>
      <c r="AG111" s="24">
        <v>0</v>
      </c>
      <c r="AH111" s="24">
        <v>2776.56</v>
      </c>
      <c r="AI111" s="24">
        <v>0</v>
      </c>
      <c r="AJ111" s="20">
        <v>2353.1799999999998</v>
      </c>
      <c r="AK111" s="20">
        <v>10462.959999999999</v>
      </c>
      <c r="AL111" s="83">
        <v>5330.17</v>
      </c>
      <c r="AM111" s="83">
        <v>4906.88</v>
      </c>
      <c r="AN111" s="83">
        <v>3809.61</v>
      </c>
      <c r="AO111" s="8">
        <f t="shared" si="71"/>
        <v>32673.640000000003</v>
      </c>
      <c r="AP111" s="24">
        <v>2511.1799999999998</v>
      </c>
      <c r="AQ111" s="24">
        <v>27.04</v>
      </c>
      <c r="AR111" s="24">
        <f>VLOOKUP(B111,'[1]Sheet1 (2)'!$B$2:$C$397,2,0)</f>
        <v>3441.82</v>
      </c>
      <c r="AS111" s="24">
        <f>VLOOKUP(B111,'[2]Sheet1 (2)'!$B$2:$C$404,2,0)</f>
        <v>0</v>
      </c>
      <c r="AT111" s="24">
        <v>2621.08</v>
      </c>
      <c r="AU111" s="24">
        <v>0</v>
      </c>
      <c r="AV111" s="24">
        <v>2701.38</v>
      </c>
      <c r="AW111" s="20">
        <v>10465.73</v>
      </c>
      <c r="AX111" s="20">
        <v>6020.88</v>
      </c>
      <c r="AY111" s="83">
        <v>3437.88</v>
      </c>
      <c r="AZ111" s="83">
        <v>0</v>
      </c>
      <c r="BA111" s="83">
        <v>0</v>
      </c>
      <c r="BB111" s="8">
        <f t="shared" si="72"/>
        <v>31226.99</v>
      </c>
      <c r="BC111" s="24">
        <v>-5168.13</v>
      </c>
      <c r="BD111" s="24">
        <v>4170.1400000000003</v>
      </c>
      <c r="BE111" s="24">
        <v>5414.94</v>
      </c>
      <c r="BF111" s="24">
        <v>10734.49</v>
      </c>
      <c r="BG111" s="24">
        <v>4053.65</v>
      </c>
      <c r="BH111" s="24">
        <v>0</v>
      </c>
      <c r="BI111" s="24">
        <v>0</v>
      </c>
      <c r="BN111" s="83"/>
      <c r="BO111" s="8">
        <f t="shared" si="73"/>
        <v>19205.09</v>
      </c>
    </row>
    <row r="112" spans="2:67" x14ac:dyDescent="0.2">
      <c r="B112" s="3" t="s">
        <v>304</v>
      </c>
      <c r="C112" s="23"/>
      <c r="M112" s="24">
        <v>-59808.3</v>
      </c>
      <c r="N112" s="24">
        <v>59808.3</v>
      </c>
      <c r="O112" s="24">
        <f t="shared" si="74"/>
        <v>0</v>
      </c>
      <c r="P112" s="24">
        <v>-1273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0">
        <v>0</v>
      </c>
      <c r="X112" s="20">
        <v>-586</v>
      </c>
      <c r="Y112" s="83">
        <v>0</v>
      </c>
      <c r="Z112" s="83">
        <v>0</v>
      </c>
      <c r="AA112" s="83">
        <v>0</v>
      </c>
      <c r="AB112" s="8">
        <f t="shared" si="75"/>
        <v>-1859</v>
      </c>
      <c r="AC112" s="24">
        <v>0</v>
      </c>
      <c r="AD112" s="24">
        <v>0</v>
      </c>
      <c r="AE112" s="24">
        <v>0</v>
      </c>
      <c r="AF112" s="24">
        <v>0</v>
      </c>
      <c r="AG112" s="24">
        <v>0</v>
      </c>
      <c r="AH112" s="24">
        <v>0</v>
      </c>
      <c r="AI112" s="24">
        <v>-519</v>
      </c>
      <c r="AJ112" s="20">
        <v>0</v>
      </c>
      <c r="AK112" s="20">
        <v>0</v>
      </c>
      <c r="AL112" s="83">
        <v>0</v>
      </c>
      <c r="AM112" s="83">
        <v>0</v>
      </c>
      <c r="AN112" s="83">
        <v>0</v>
      </c>
      <c r="AO112" s="8">
        <f t="shared" si="71"/>
        <v>-519</v>
      </c>
      <c r="AP112" s="24">
        <v>0</v>
      </c>
      <c r="AQ112" s="24">
        <v>0</v>
      </c>
      <c r="AR112" s="24">
        <v>0</v>
      </c>
      <c r="AS112" s="24">
        <v>0</v>
      </c>
      <c r="AT112" s="24">
        <v>0</v>
      </c>
      <c r="AU112" s="24">
        <v>0</v>
      </c>
      <c r="AV112" s="24">
        <v>0</v>
      </c>
      <c r="AW112" s="20">
        <v>-796</v>
      </c>
      <c r="AX112" s="20">
        <v>0</v>
      </c>
      <c r="AY112" s="83">
        <v>0</v>
      </c>
      <c r="AZ112" s="83">
        <v>0</v>
      </c>
      <c r="BA112" s="83">
        <v>0</v>
      </c>
      <c r="BB112" s="8">
        <f t="shared" si="72"/>
        <v>-796</v>
      </c>
      <c r="BC112" s="24">
        <v>0</v>
      </c>
      <c r="BD112" s="24">
        <v>0</v>
      </c>
      <c r="BE112" s="24">
        <v>0</v>
      </c>
      <c r="BF112" s="24">
        <v>0</v>
      </c>
      <c r="BG112" s="24">
        <v>0</v>
      </c>
      <c r="BH112" s="24">
        <v>0</v>
      </c>
      <c r="BI112" s="24">
        <v>0</v>
      </c>
      <c r="BN112" s="83"/>
      <c r="BO112" s="8">
        <f t="shared" si="73"/>
        <v>0</v>
      </c>
    </row>
    <row r="113" spans="2:67" x14ac:dyDescent="0.2">
      <c r="B113" s="3" t="s">
        <v>305</v>
      </c>
      <c r="C113" s="23">
        <v>9337.1200000000008</v>
      </c>
      <c r="D113" s="24">
        <v>15606.98</v>
      </c>
      <c r="E113" s="24">
        <v>15453.56</v>
      </c>
      <c r="F113" s="24">
        <v>-38814.550000000003</v>
      </c>
      <c r="G113" s="24">
        <v>-9653.14</v>
      </c>
      <c r="H113" s="24">
        <v>46068.31</v>
      </c>
      <c r="I113" s="24">
        <v>47467.62</v>
      </c>
      <c r="J113" s="24">
        <v>23025.08</v>
      </c>
      <c r="K113" s="24">
        <v>23836.97</v>
      </c>
      <c r="L113" s="24">
        <v>26884.91</v>
      </c>
      <c r="M113" s="24">
        <v>28968.13</v>
      </c>
      <c r="N113" s="24">
        <v>40660.129999999997</v>
      </c>
      <c r="O113" s="24">
        <f t="shared" si="74"/>
        <v>228841.12000000002</v>
      </c>
      <c r="P113" s="24">
        <v>35256.519999999997</v>
      </c>
      <c r="Q113" s="24">
        <v>17333.84</v>
      </c>
      <c r="R113" s="24">
        <v>85112.61</v>
      </c>
      <c r="S113" s="24">
        <v>90777.88</v>
      </c>
      <c r="T113" s="24">
        <v>29893.65</v>
      </c>
      <c r="U113" s="24">
        <v>51381.97</v>
      </c>
      <c r="V113" s="24">
        <v>44533.9</v>
      </c>
      <c r="W113" s="20">
        <v>55443.75</v>
      </c>
      <c r="X113" s="20">
        <v>41799.019999999997</v>
      </c>
      <c r="Y113" s="83">
        <v>67298.960000000006</v>
      </c>
      <c r="Z113" s="83">
        <v>109068.27</v>
      </c>
      <c r="AA113" s="83">
        <v>62855.91</v>
      </c>
      <c r="AB113" s="8">
        <f t="shared" si="75"/>
        <v>690756.28</v>
      </c>
      <c r="AC113" s="24">
        <v>64929.82</v>
      </c>
      <c r="AD113" s="24">
        <v>66271.73</v>
      </c>
      <c r="AE113" s="24">
        <v>74814.399999999994</v>
      </c>
      <c r="AF113" s="24">
        <v>76552.02</v>
      </c>
      <c r="AG113" s="24">
        <v>67673.399999999994</v>
      </c>
      <c r="AH113" s="24">
        <v>78320.28</v>
      </c>
      <c r="AI113" s="24">
        <v>80285.25</v>
      </c>
      <c r="AJ113" s="20">
        <v>115631.21</v>
      </c>
      <c r="AK113" s="20">
        <v>170057.8</v>
      </c>
      <c r="AL113" s="83">
        <v>73729.899999999994</v>
      </c>
      <c r="AM113" s="83">
        <v>110755.64</v>
      </c>
      <c r="AN113" s="83">
        <v>128278.26</v>
      </c>
      <c r="AO113" s="8">
        <f t="shared" si="71"/>
        <v>1107299.71</v>
      </c>
      <c r="AP113" s="24">
        <v>193467.45</v>
      </c>
      <c r="AQ113" s="24">
        <v>162814.24</v>
      </c>
      <c r="AR113" s="24">
        <f>VLOOKUP(B113,'[1]Sheet1 (2)'!$B$2:$C$397,2,0)</f>
        <v>180738.1</v>
      </c>
      <c r="AS113" s="24">
        <f>VLOOKUP(B113,'[2]Sheet1 (2)'!$B$2:$C$404,2,0)</f>
        <v>172574.46</v>
      </c>
      <c r="AT113" s="24">
        <v>180427.22</v>
      </c>
      <c r="AU113" s="24">
        <v>160249.93</v>
      </c>
      <c r="AV113" s="24">
        <v>143673.48000000001</v>
      </c>
      <c r="AW113" s="20">
        <v>42267.08</v>
      </c>
      <c r="AX113" s="20">
        <v>179919.01</v>
      </c>
      <c r="AY113" s="83">
        <v>180452.36</v>
      </c>
      <c r="AZ113" s="83">
        <v>185301.56</v>
      </c>
      <c r="BA113" s="83">
        <v>184953.08</v>
      </c>
      <c r="BB113" s="8">
        <f t="shared" si="72"/>
        <v>1966837.9700000002</v>
      </c>
      <c r="BC113" s="24">
        <v>221702.22</v>
      </c>
      <c r="BD113" s="24">
        <v>223000.92</v>
      </c>
      <c r="BE113" s="24">
        <v>230603</v>
      </c>
      <c r="BF113" s="24">
        <v>261124.18</v>
      </c>
      <c r="BG113" s="24">
        <v>273722.73</v>
      </c>
      <c r="BH113" s="24">
        <v>275301.37</v>
      </c>
      <c r="BI113" s="24">
        <v>277768.53999999998</v>
      </c>
      <c r="BN113" s="83"/>
      <c r="BO113" s="8">
        <f t="shared" si="73"/>
        <v>1763222.96</v>
      </c>
    </row>
    <row r="114" spans="2:67" x14ac:dyDescent="0.2">
      <c r="B114" s="3" t="s">
        <v>306</v>
      </c>
      <c r="C114" s="23">
        <v>86638.62</v>
      </c>
      <c r="D114" s="24">
        <v>65995.19</v>
      </c>
      <c r="E114" s="24">
        <v>166262.07</v>
      </c>
      <c r="F114" s="24">
        <v>93099.13</v>
      </c>
      <c r="G114" s="24">
        <v>156264.73000000001</v>
      </c>
      <c r="H114" s="24">
        <v>197840.4</v>
      </c>
      <c r="I114" s="24">
        <v>203956.99</v>
      </c>
      <c r="J114" s="24">
        <v>137513.57999999999</v>
      </c>
      <c r="K114" s="24">
        <v>189160.92</v>
      </c>
      <c r="L114" s="24">
        <v>181575.4</v>
      </c>
      <c r="M114" s="24">
        <v>190080.39</v>
      </c>
      <c r="N114" s="24">
        <v>143416.57</v>
      </c>
      <c r="O114" s="24">
        <f t="shared" si="74"/>
        <v>1811803.99</v>
      </c>
      <c r="P114" s="24">
        <v>177675.6</v>
      </c>
      <c r="Q114" s="24">
        <v>144114.12</v>
      </c>
      <c r="R114" s="24">
        <v>150653.75</v>
      </c>
      <c r="S114" s="24">
        <v>189881.79</v>
      </c>
      <c r="T114" s="24">
        <v>168819.45</v>
      </c>
      <c r="U114" s="24">
        <v>253415.98</v>
      </c>
      <c r="V114" s="24">
        <v>164927.85</v>
      </c>
      <c r="W114" s="20">
        <v>309611.39</v>
      </c>
      <c r="X114" s="20">
        <v>275051.62</v>
      </c>
      <c r="Y114" s="83">
        <v>187637.45</v>
      </c>
      <c r="Z114" s="83">
        <v>231066.39</v>
      </c>
      <c r="AA114" s="83">
        <v>238234.22</v>
      </c>
      <c r="AB114" s="8">
        <f t="shared" si="75"/>
        <v>2491089.6100000003</v>
      </c>
      <c r="AC114" s="24">
        <v>224227.92</v>
      </c>
      <c r="AD114" s="24">
        <v>112139.74</v>
      </c>
      <c r="AE114" s="24">
        <v>170199.56</v>
      </c>
      <c r="AF114" s="24">
        <v>205013.76000000001</v>
      </c>
      <c r="AG114" s="24">
        <v>227978.99</v>
      </c>
      <c r="AH114" s="24">
        <v>-32858.17</v>
      </c>
      <c r="AI114" s="24">
        <v>215748.24</v>
      </c>
      <c r="AJ114" s="20">
        <v>198958.52</v>
      </c>
      <c r="AK114" s="20">
        <v>182085.99</v>
      </c>
      <c r="AL114" s="83">
        <v>224294.32</v>
      </c>
      <c r="AM114" s="83">
        <v>198913.65</v>
      </c>
      <c r="AN114" s="83">
        <v>269801.96000000002</v>
      </c>
      <c r="AO114" s="8">
        <f t="shared" si="71"/>
        <v>2196504.48</v>
      </c>
      <c r="AP114" s="24">
        <v>116659.76</v>
      </c>
      <c r="AQ114" s="24">
        <v>104906.93</v>
      </c>
      <c r="AR114" s="24">
        <f>VLOOKUP(B114,'[1]Sheet1 (2)'!$B$2:$C$397,2,0)</f>
        <v>85234.03</v>
      </c>
      <c r="AS114" s="24">
        <f>VLOOKUP(B114,'[2]Sheet1 (2)'!$B$2:$C$404,2,0)</f>
        <v>69404.44</v>
      </c>
      <c r="AT114" s="24">
        <v>143811.24</v>
      </c>
      <c r="AU114" s="24">
        <v>121700.13</v>
      </c>
      <c r="AV114" s="24">
        <v>163777.48000000001</v>
      </c>
      <c r="AW114" s="20">
        <v>236862.57</v>
      </c>
      <c r="AX114" s="20">
        <v>86154.94</v>
      </c>
      <c r="AY114" s="83">
        <v>169923.88</v>
      </c>
      <c r="AZ114" s="83">
        <v>117592.54</v>
      </c>
      <c r="BA114" s="83">
        <v>416745.48</v>
      </c>
      <c r="BB114" s="8">
        <f t="shared" si="72"/>
        <v>1832773.42</v>
      </c>
      <c r="BC114" s="24">
        <v>124160.96000000001</v>
      </c>
      <c r="BD114" s="24">
        <v>126012.94</v>
      </c>
      <c r="BE114" s="24">
        <v>97607.22</v>
      </c>
      <c r="BF114" s="24">
        <v>80947.62</v>
      </c>
      <c r="BG114" s="24">
        <v>41569.57</v>
      </c>
      <c r="BH114" s="24">
        <v>103172.77</v>
      </c>
      <c r="BI114" s="24">
        <v>65217.88</v>
      </c>
      <c r="BN114" s="83"/>
      <c r="BO114" s="8">
        <f t="shared" si="73"/>
        <v>638688.96</v>
      </c>
    </row>
    <row r="115" spans="2:67" x14ac:dyDescent="0.2">
      <c r="B115" s="3" t="s">
        <v>838</v>
      </c>
      <c r="C115" s="23">
        <v>0</v>
      </c>
      <c r="D115" s="24">
        <v>-31</v>
      </c>
      <c r="E115" s="24">
        <v>0</v>
      </c>
      <c r="F115" s="24">
        <v>0</v>
      </c>
      <c r="G115" s="24">
        <v>0</v>
      </c>
      <c r="H115" s="24">
        <v>0</v>
      </c>
      <c r="I115" s="24">
        <v>0</v>
      </c>
      <c r="J115" s="24">
        <v>9948.77</v>
      </c>
      <c r="K115" s="24">
        <v>0</v>
      </c>
      <c r="L115" s="24">
        <v>0</v>
      </c>
      <c r="M115" s="24">
        <v>0</v>
      </c>
      <c r="N115" s="24">
        <v>0</v>
      </c>
      <c r="O115" s="24">
        <f t="shared" si="74"/>
        <v>9917.77</v>
      </c>
      <c r="P115" s="24">
        <v>0</v>
      </c>
      <c r="Q115" s="24">
        <v>0</v>
      </c>
      <c r="R115" s="24">
        <v>0</v>
      </c>
      <c r="S115" s="24">
        <v>0</v>
      </c>
      <c r="T115" s="24">
        <v>21636.25</v>
      </c>
      <c r="U115" s="24">
        <v>19000</v>
      </c>
      <c r="V115" s="24">
        <v>31532.75</v>
      </c>
      <c r="W115" s="20">
        <v>0</v>
      </c>
      <c r="X115" s="20">
        <v>-28948.77</v>
      </c>
      <c r="Y115" s="83">
        <v>0</v>
      </c>
      <c r="Z115" s="83">
        <v>-53169</v>
      </c>
      <c r="AA115" s="83">
        <v>175040.11</v>
      </c>
      <c r="AB115" s="8">
        <f t="shared" si="75"/>
        <v>165091.33999999997</v>
      </c>
      <c r="AC115" s="24">
        <v>5190.6899999999996</v>
      </c>
      <c r="AD115" s="24">
        <v>3006.41</v>
      </c>
      <c r="AE115" s="24">
        <v>-167955.3</v>
      </c>
      <c r="AF115" s="24">
        <v>0</v>
      </c>
      <c r="AG115" s="24">
        <v>7171.63</v>
      </c>
      <c r="AH115" s="24">
        <v>2371.52</v>
      </c>
      <c r="AI115" s="24">
        <v>16729.71</v>
      </c>
      <c r="AJ115" s="20">
        <v>-12362.32</v>
      </c>
      <c r="AK115" s="20">
        <v>-12462.74</v>
      </c>
      <c r="AL115" s="83">
        <v>-16729.71</v>
      </c>
      <c r="AM115" s="83">
        <v>0</v>
      </c>
      <c r="AN115" s="83">
        <v>0</v>
      </c>
      <c r="AO115" s="8">
        <f t="shared" si="71"/>
        <v>-175040.11</v>
      </c>
      <c r="AP115" s="24">
        <v>0</v>
      </c>
      <c r="AQ115" s="24">
        <v>0</v>
      </c>
      <c r="AR115" s="24">
        <v>0</v>
      </c>
      <c r="AS115" s="24">
        <v>0</v>
      </c>
      <c r="AT115" s="24">
        <v>0</v>
      </c>
      <c r="AU115" s="24">
        <v>13340.77</v>
      </c>
      <c r="AV115" s="24">
        <v>0</v>
      </c>
      <c r="AW115" s="20">
        <v>0</v>
      </c>
      <c r="AX115" s="20">
        <v>-13340.77</v>
      </c>
      <c r="AY115" s="83">
        <v>0</v>
      </c>
      <c r="AZ115" s="83">
        <v>0</v>
      </c>
      <c r="BA115" s="83">
        <v>0</v>
      </c>
      <c r="BB115" s="8">
        <f t="shared" si="72"/>
        <v>0</v>
      </c>
      <c r="BC115" s="24">
        <v>0</v>
      </c>
      <c r="BD115" s="24">
        <v>0</v>
      </c>
      <c r="BE115" s="24">
        <v>0</v>
      </c>
      <c r="BF115" s="24">
        <v>0</v>
      </c>
      <c r="BG115" s="24">
        <v>0</v>
      </c>
      <c r="BH115" s="24">
        <v>0</v>
      </c>
      <c r="BI115" s="24">
        <v>0</v>
      </c>
      <c r="BN115" s="83"/>
      <c r="BO115" s="8">
        <f t="shared" si="73"/>
        <v>0</v>
      </c>
    </row>
    <row r="116" spans="2:67" x14ac:dyDescent="0.2">
      <c r="B116" s="3" t="s">
        <v>1819</v>
      </c>
      <c r="C116" s="23"/>
      <c r="AA116" s="83"/>
      <c r="AB116" s="8"/>
      <c r="AC116" s="24">
        <v>0</v>
      </c>
      <c r="AD116" s="24">
        <v>0</v>
      </c>
      <c r="AE116" s="24">
        <v>0.01</v>
      </c>
      <c r="AF116" s="24">
        <v>0</v>
      </c>
      <c r="AG116" s="24">
        <v>-0.01</v>
      </c>
      <c r="AH116" s="24">
        <v>0</v>
      </c>
      <c r="AI116" s="24">
        <v>0</v>
      </c>
      <c r="AJ116" s="20">
        <v>0</v>
      </c>
      <c r="AK116" s="20">
        <v>0</v>
      </c>
      <c r="AL116" s="83">
        <v>0</v>
      </c>
      <c r="AM116" s="83">
        <v>0</v>
      </c>
      <c r="AN116" s="83">
        <v>0</v>
      </c>
      <c r="AO116" s="8">
        <f t="shared" si="71"/>
        <v>0</v>
      </c>
      <c r="AP116" s="24">
        <v>0</v>
      </c>
      <c r="AQ116" s="24">
        <v>0</v>
      </c>
      <c r="AR116" s="24">
        <v>0</v>
      </c>
      <c r="AS116" s="24">
        <v>0</v>
      </c>
      <c r="AT116" s="24">
        <v>0</v>
      </c>
      <c r="AU116" s="24">
        <v>0</v>
      </c>
      <c r="AV116" s="24">
        <v>0</v>
      </c>
      <c r="AW116" s="20">
        <v>0</v>
      </c>
      <c r="AX116" s="20">
        <v>0</v>
      </c>
      <c r="AY116" s="83">
        <v>0</v>
      </c>
      <c r="AZ116" s="83">
        <v>0</v>
      </c>
      <c r="BA116" s="83">
        <v>0</v>
      </c>
      <c r="BB116" s="8">
        <f t="shared" si="72"/>
        <v>0</v>
      </c>
      <c r="BC116" s="24">
        <v>0</v>
      </c>
      <c r="BD116" s="24">
        <v>0</v>
      </c>
      <c r="BE116" s="24">
        <v>0</v>
      </c>
      <c r="BF116" s="24">
        <v>0</v>
      </c>
      <c r="BG116" s="24">
        <v>0</v>
      </c>
      <c r="BH116" s="24">
        <v>0</v>
      </c>
      <c r="BI116" s="24">
        <v>0</v>
      </c>
      <c r="BN116" s="83"/>
      <c r="BO116" s="8">
        <f t="shared" si="73"/>
        <v>0</v>
      </c>
    </row>
    <row r="117" spans="2:67" x14ac:dyDescent="0.2">
      <c r="B117" s="3" t="s">
        <v>556</v>
      </c>
      <c r="C117" s="23"/>
      <c r="M117" s="24">
        <v>-6632.24</v>
      </c>
      <c r="N117" s="24">
        <v>-3071.02</v>
      </c>
      <c r="O117" s="24">
        <f>SUBTOTAL(9,C117:N117)</f>
        <v>-9703.26</v>
      </c>
      <c r="P117" s="24">
        <v>0</v>
      </c>
      <c r="Q117" s="24">
        <v>9703.26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0">
        <v>0</v>
      </c>
      <c r="X117" s="20">
        <v>2470.41</v>
      </c>
      <c r="Y117" s="83">
        <v>0</v>
      </c>
      <c r="Z117" s="83">
        <v>0</v>
      </c>
      <c r="AA117" s="83">
        <v>0</v>
      </c>
      <c r="AB117" s="8">
        <f>SUM(P117:AA117)</f>
        <v>12173.67</v>
      </c>
      <c r="AC117" s="24">
        <v>0</v>
      </c>
      <c r="AD117" s="24">
        <v>0</v>
      </c>
      <c r="AE117" s="24">
        <v>0</v>
      </c>
      <c r="AF117" s="24">
        <v>0</v>
      </c>
      <c r="AG117" s="24">
        <v>0</v>
      </c>
      <c r="AH117" s="24">
        <v>-42.98</v>
      </c>
      <c r="AI117" s="24">
        <v>0</v>
      </c>
      <c r="AJ117" s="20">
        <v>-2353.1799999999998</v>
      </c>
      <c r="AK117" s="20">
        <v>0</v>
      </c>
      <c r="AL117" s="83">
        <v>2353.1799999999998</v>
      </c>
      <c r="AM117" s="83">
        <v>42.98</v>
      </c>
      <c r="AN117" s="83">
        <v>0</v>
      </c>
      <c r="AO117" s="8">
        <f t="shared" si="71"/>
        <v>-2.1316282072803006E-14</v>
      </c>
      <c r="AP117" s="24">
        <v>0</v>
      </c>
      <c r="AQ117" s="24">
        <v>0</v>
      </c>
      <c r="AR117" s="24">
        <v>0</v>
      </c>
      <c r="AS117" s="24">
        <v>0</v>
      </c>
      <c r="AT117" s="24">
        <v>0</v>
      </c>
      <c r="AU117" s="24">
        <v>0</v>
      </c>
      <c r="AV117" s="24">
        <v>0</v>
      </c>
      <c r="AW117" s="20">
        <v>-2470.41</v>
      </c>
      <c r="AX117" s="20">
        <v>0</v>
      </c>
      <c r="AY117" s="83">
        <v>0</v>
      </c>
      <c r="AZ117" s="83">
        <v>0</v>
      </c>
      <c r="BA117" s="83">
        <v>0</v>
      </c>
      <c r="BB117" s="8">
        <f t="shared" si="72"/>
        <v>-2470.41</v>
      </c>
      <c r="BC117" s="24">
        <v>0</v>
      </c>
      <c r="BD117" s="24">
        <v>0</v>
      </c>
      <c r="BE117" s="24">
        <v>0</v>
      </c>
      <c r="BF117" s="24">
        <v>0</v>
      </c>
      <c r="BG117" s="24">
        <v>0</v>
      </c>
      <c r="BH117" s="24">
        <v>0</v>
      </c>
      <c r="BI117" s="24">
        <v>0</v>
      </c>
      <c r="BN117" s="83"/>
      <c r="BO117" s="8">
        <f t="shared" si="73"/>
        <v>0</v>
      </c>
    </row>
    <row r="118" spans="2:67" x14ac:dyDescent="0.2">
      <c r="B118" s="3" t="s">
        <v>307</v>
      </c>
      <c r="C118" s="23">
        <v>155566</v>
      </c>
      <c r="D118" s="24">
        <v>149843.5</v>
      </c>
      <c r="E118" s="24">
        <v>167035.04</v>
      </c>
      <c r="F118" s="24">
        <v>261841.99</v>
      </c>
      <c r="G118" s="24">
        <v>256196.13</v>
      </c>
      <c r="H118" s="24">
        <v>212813.81</v>
      </c>
      <c r="I118" s="24">
        <v>224909.81</v>
      </c>
      <c r="J118" s="24">
        <v>235222.31</v>
      </c>
      <c r="K118" s="24">
        <v>255482.81</v>
      </c>
      <c r="L118" s="24">
        <v>248349.31</v>
      </c>
      <c r="M118" s="24">
        <v>244519.93</v>
      </c>
      <c r="N118" s="24">
        <v>236253.31</v>
      </c>
      <c r="O118" s="24">
        <f>SUBTOTAL(9,C118:N118)</f>
        <v>2648033.9500000002</v>
      </c>
      <c r="P118" s="24">
        <v>234768.13</v>
      </c>
      <c r="Q118" s="24">
        <v>252593.13</v>
      </c>
      <c r="R118" s="24">
        <v>234089.13</v>
      </c>
      <c r="S118" s="24">
        <v>222338.63</v>
      </c>
      <c r="T118" s="24">
        <v>265895.13</v>
      </c>
      <c r="U118" s="24">
        <v>265895.13</v>
      </c>
      <c r="V118" s="24">
        <v>286155.63</v>
      </c>
      <c r="W118" s="20">
        <v>286155.63</v>
      </c>
      <c r="X118" s="20">
        <v>291560.21999999997</v>
      </c>
      <c r="Y118" s="83">
        <v>274059.63</v>
      </c>
      <c r="Z118" s="83">
        <v>234047.84</v>
      </c>
      <c r="AA118" s="83">
        <v>231365.13</v>
      </c>
      <c r="AB118" s="8">
        <f>SUM(P118:AA118)</f>
        <v>3078923.3599999994</v>
      </c>
      <c r="AC118" s="24">
        <v>230832.63</v>
      </c>
      <c r="AD118" s="24">
        <v>234640.63</v>
      </c>
      <c r="AE118" s="24">
        <v>232673.16</v>
      </c>
      <c r="AF118" s="24">
        <v>234474.69</v>
      </c>
      <c r="AG118" s="24">
        <v>238077.75</v>
      </c>
      <c r="AH118" s="24">
        <v>236276.22</v>
      </c>
      <c r="AI118" s="24">
        <v>236097.69</v>
      </c>
      <c r="AJ118" s="20">
        <v>234296.16</v>
      </c>
      <c r="AK118" s="20">
        <v>197134.1</v>
      </c>
      <c r="AL118" s="83">
        <v>293696.81</v>
      </c>
      <c r="AM118" s="83">
        <v>253025.22</v>
      </c>
      <c r="AN118" s="83">
        <v>238154.41</v>
      </c>
      <c r="AO118" s="8">
        <f t="shared" si="71"/>
        <v>2859379.47</v>
      </c>
      <c r="AP118" s="24">
        <v>180703.41</v>
      </c>
      <c r="AQ118" s="24">
        <v>214247.41</v>
      </c>
      <c r="AR118" s="24">
        <f>VLOOKUP(B118,'[1]Sheet1 (2)'!$B$2:$C$397,2,0)</f>
        <v>197906.36</v>
      </c>
      <c r="AS118" s="24">
        <f>VLOOKUP(B118,'[2]Sheet1 (2)'!$B$2:$C$404,2,0)</f>
        <v>193907.41</v>
      </c>
      <c r="AT118" s="24">
        <v>191096.41</v>
      </c>
      <c r="AU118" s="24">
        <v>191555.41</v>
      </c>
      <c r="AV118" s="24">
        <v>220316.16</v>
      </c>
      <c r="AW118" s="20">
        <v>317289.82</v>
      </c>
      <c r="AX118" s="20">
        <v>181929.66</v>
      </c>
      <c r="AY118" s="83">
        <v>188689.66</v>
      </c>
      <c r="AZ118" s="83">
        <v>181929.66</v>
      </c>
      <c r="BA118" s="83">
        <v>181929.66</v>
      </c>
      <c r="BB118" s="8">
        <f t="shared" si="72"/>
        <v>2441501.0299999998</v>
      </c>
      <c r="BC118" s="24">
        <v>142979.51999999999</v>
      </c>
      <c r="BD118" s="24">
        <v>142979.51999999999</v>
      </c>
      <c r="BE118" s="24">
        <v>144563.51999999999</v>
      </c>
      <c r="BF118" s="24">
        <v>143771.51999999999</v>
      </c>
      <c r="BG118" s="24">
        <v>149153.68</v>
      </c>
      <c r="BH118" s="24">
        <v>149153.68</v>
      </c>
      <c r="BI118" s="24">
        <v>149153.68</v>
      </c>
      <c r="BN118" s="83"/>
      <c r="BO118" s="8">
        <f t="shared" si="73"/>
        <v>1021755.1199999999</v>
      </c>
    </row>
    <row r="119" spans="2:67" x14ac:dyDescent="0.2">
      <c r="B119" s="3" t="s">
        <v>308</v>
      </c>
      <c r="C119" s="23">
        <v>5356.12</v>
      </c>
      <c r="D119" s="24">
        <v>0</v>
      </c>
      <c r="E119" s="24">
        <v>0</v>
      </c>
      <c r="F119" s="24">
        <v>8680.16</v>
      </c>
      <c r="G119" s="24">
        <v>921.06</v>
      </c>
      <c r="H119" s="24">
        <v>-6554.3</v>
      </c>
      <c r="I119" s="24">
        <v>815.89</v>
      </c>
      <c r="J119" s="24">
        <v>-160.36000000000001</v>
      </c>
      <c r="K119" s="24">
        <v>1600.49</v>
      </c>
      <c r="L119" s="24">
        <v>109.7</v>
      </c>
      <c r="M119" s="24">
        <v>-1296.95</v>
      </c>
      <c r="N119" s="24">
        <v>-767.96</v>
      </c>
      <c r="O119" s="24">
        <f>SUBTOTAL(9,C119:N119)</f>
        <v>8703.8499999999949</v>
      </c>
      <c r="P119" s="24">
        <v>-1354.35</v>
      </c>
      <c r="Q119" s="24">
        <v>1496.14</v>
      </c>
      <c r="R119" s="24">
        <v>-103.12</v>
      </c>
      <c r="S119" s="24">
        <v>802.44</v>
      </c>
      <c r="T119" s="24">
        <v>23429.17</v>
      </c>
      <c r="U119" s="24">
        <v>-6925.71</v>
      </c>
      <c r="V119" s="24">
        <v>-8622.48</v>
      </c>
      <c r="W119" s="20">
        <v>-8832.4699999999993</v>
      </c>
      <c r="X119" s="20">
        <v>1099.51</v>
      </c>
      <c r="Y119" s="83">
        <v>-3048.66</v>
      </c>
      <c r="Z119" s="83">
        <v>1381.91</v>
      </c>
      <c r="AA119" s="83">
        <v>918.02</v>
      </c>
      <c r="AB119" s="8">
        <f>SUM(P119:AA119)</f>
        <v>240.40000000000123</v>
      </c>
      <c r="AC119" s="24">
        <v>-1593.89</v>
      </c>
      <c r="AD119" s="24">
        <v>0</v>
      </c>
      <c r="AE119" s="24">
        <v>0</v>
      </c>
      <c r="AF119" s="24">
        <v>623.95000000000005</v>
      </c>
      <c r="AG119" s="24">
        <v>196.81</v>
      </c>
      <c r="AH119" s="24">
        <v>-532.63</v>
      </c>
      <c r="AI119" s="24">
        <v>-1687.06</v>
      </c>
      <c r="AJ119" s="20">
        <v>-406.08</v>
      </c>
      <c r="AK119" s="20">
        <v>-474.11</v>
      </c>
      <c r="AL119" s="83">
        <v>3159.3</v>
      </c>
      <c r="AM119" s="83">
        <v>2145.0700000000002</v>
      </c>
      <c r="AN119" s="83">
        <v>-3871.57</v>
      </c>
      <c r="AO119" s="8">
        <f t="shared" si="71"/>
        <v>-2440.21</v>
      </c>
      <c r="AP119" s="24">
        <v>-681.75</v>
      </c>
      <c r="AQ119" s="24">
        <v>382.83</v>
      </c>
      <c r="AR119" s="24">
        <f>VLOOKUP(B119,'[1]Sheet1 (2)'!$B$2:$C$397,2,0)</f>
        <v>478.82</v>
      </c>
      <c r="AS119" s="24">
        <f>VLOOKUP(B119,'[2]Sheet1 (2)'!$B$2:$C$404,2,0)</f>
        <v>-1327.82</v>
      </c>
      <c r="AT119" s="24">
        <v>0</v>
      </c>
      <c r="AU119" s="24">
        <v>0</v>
      </c>
      <c r="AV119" s="24">
        <v>0</v>
      </c>
      <c r="AW119" s="20">
        <v>2547.69</v>
      </c>
      <c r="AX119" s="20">
        <v>-2233.91</v>
      </c>
      <c r="AY119" s="83">
        <v>-313.77999999999997</v>
      </c>
      <c r="AZ119" s="83">
        <v>0</v>
      </c>
      <c r="BA119" s="83">
        <v>0</v>
      </c>
      <c r="BB119" s="8">
        <f t="shared" si="72"/>
        <v>-1147.9199999999998</v>
      </c>
      <c r="BC119" s="24">
        <v>0</v>
      </c>
      <c r="BD119" s="24">
        <v>0</v>
      </c>
      <c r="BE119" s="24">
        <v>7024.5</v>
      </c>
      <c r="BF119" s="24">
        <v>-2370.62</v>
      </c>
      <c r="BG119" s="24">
        <v>8675.67</v>
      </c>
      <c r="BH119" s="24">
        <v>-18637.36</v>
      </c>
      <c r="BI119" s="24">
        <v>-4140.92</v>
      </c>
      <c r="BN119" s="83"/>
      <c r="BO119" s="8">
        <f t="shared" si="73"/>
        <v>-9448.7300000000014</v>
      </c>
    </row>
    <row r="120" spans="2:67" x14ac:dyDescent="0.2">
      <c r="B120" s="3" t="s">
        <v>309</v>
      </c>
      <c r="C120" s="23">
        <v>0</v>
      </c>
      <c r="D120" s="24">
        <v>0</v>
      </c>
      <c r="E120" s="24">
        <v>0</v>
      </c>
      <c r="F120" s="24">
        <v>0</v>
      </c>
      <c r="G120" s="24">
        <v>0</v>
      </c>
      <c r="H120" s="24">
        <v>0</v>
      </c>
      <c r="I120" s="24">
        <v>36417.919999999998</v>
      </c>
      <c r="J120" s="24">
        <v>-14546.24</v>
      </c>
      <c r="K120" s="24">
        <v>10116.85</v>
      </c>
      <c r="L120" s="24">
        <v>9449.77</v>
      </c>
      <c r="M120" s="24">
        <v>9565.9699999999993</v>
      </c>
      <c r="N120" s="24">
        <v>9312.0499999999993</v>
      </c>
      <c r="O120" s="24">
        <f>SUBTOTAL(9,C120:N120)</f>
        <v>60316.320000000007</v>
      </c>
      <c r="P120" s="24">
        <v>4379.91</v>
      </c>
      <c r="Q120" s="24">
        <v>18119.310000000001</v>
      </c>
      <c r="R120" s="24">
        <v>13162.02</v>
      </c>
      <c r="S120" s="24">
        <v>13580.49</v>
      </c>
      <c r="T120" s="24">
        <v>9395.42</v>
      </c>
      <c r="U120" s="24">
        <v>12896.75</v>
      </c>
      <c r="V120" s="24">
        <v>14091.73</v>
      </c>
      <c r="W120" s="20">
        <v>8789.69</v>
      </c>
      <c r="X120" s="20">
        <v>11864.1</v>
      </c>
      <c r="Y120" s="83">
        <v>11982.6</v>
      </c>
      <c r="Z120" s="83">
        <v>10074.280000000001</v>
      </c>
      <c r="AA120" s="83">
        <v>3707.67</v>
      </c>
      <c r="AB120" s="8">
        <f>SUM(P120:AA120)</f>
        <v>132043.97</v>
      </c>
      <c r="AC120" s="24">
        <v>8747.2800000000007</v>
      </c>
      <c r="AD120" s="24">
        <v>10918.26</v>
      </c>
      <c r="AE120" s="24">
        <v>10795.61</v>
      </c>
      <c r="AF120" s="24">
        <v>10795.61</v>
      </c>
      <c r="AG120" s="24">
        <v>5341.92</v>
      </c>
      <c r="AH120" s="24">
        <v>9246.0499999999993</v>
      </c>
      <c r="AI120" s="24">
        <v>8834.64</v>
      </c>
      <c r="AJ120" s="20">
        <v>8452.5</v>
      </c>
      <c r="AK120" s="20">
        <v>4313.5600000000004</v>
      </c>
      <c r="AL120" s="83">
        <v>13942.45</v>
      </c>
      <c r="AM120" s="83">
        <v>10063.35</v>
      </c>
      <c r="AN120" s="83">
        <v>9675.6299999999992</v>
      </c>
      <c r="AO120" s="8">
        <f t="shared" si="71"/>
        <v>111126.86</v>
      </c>
      <c r="AP120" s="24">
        <v>4999.21</v>
      </c>
      <c r="AQ120" s="24">
        <v>9767.32</v>
      </c>
      <c r="AR120" s="24">
        <f>VLOOKUP(B120,'[1]Sheet1 (2)'!$B$2:$C$397,2,0)</f>
        <v>5486.31</v>
      </c>
      <c r="AS120" s="24">
        <f>VLOOKUP(B120,'[2]Sheet1 (2)'!$B$2:$C$404,2,0)</f>
        <v>5179.68</v>
      </c>
      <c r="AT120" s="24">
        <v>5072.28</v>
      </c>
      <c r="AU120" s="24">
        <v>-14052.69</v>
      </c>
      <c r="AV120" s="24">
        <v>12004.63</v>
      </c>
      <c r="AW120" s="20">
        <v>16248.08</v>
      </c>
      <c r="AX120" s="20">
        <v>11047.81</v>
      </c>
      <c r="AY120" s="83">
        <v>10107.98</v>
      </c>
      <c r="AZ120" s="83">
        <v>9596.39</v>
      </c>
      <c r="BA120" s="83">
        <v>8741.67</v>
      </c>
      <c r="BB120" s="8">
        <f t="shared" si="72"/>
        <v>84198.67</v>
      </c>
      <c r="BC120" s="24">
        <v>6508.89</v>
      </c>
      <c r="BD120" s="24">
        <v>6037.93</v>
      </c>
      <c r="BE120" s="24">
        <v>5771.71</v>
      </c>
      <c r="BF120" s="24">
        <v>5412.91</v>
      </c>
      <c r="BG120" s="24">
        <v>-977.9</v>
      </c>
      <c r="BH120" s="24">
        <v>-2414.13</v>
      </c>
      <c r="BI120" s="24">
        <v>-2144.34</v>
      </c>
      <c r="BN120" s="83"/>
      <c r="BO120" s="8">
        <f t="shared" si="73"/>
        <v>18195.069999999996</v>
      </c>
    </row>
    <row r="121" spans="2:67" x14ac:dyDescent="0.2">
      <c r="B121" s="6" t="s">
        <v>1545</v>
      </c>
      <c r="C121" s="7">
        <f t="shared" ref="C121:N121" si="76">SUM(C103:C120)</f>
        <v>264995.07</v>
      </c>
      <c r="D121" s="7">
        <f t="shared" si="76"/>
        <v>244944.13</v>
      </c>
      <c r="E121" s="7">
        <f t="shared" si="76"/>
        <v>355933.85</v>
      </c>
      <c r="F121" s="7">
        <f t="shared" si="76"/>
        <v>357096.98</v>
      </c>
      <c r="G121" s="7">
        <f t="shared" si="76"/>
        <v>445534.69</v>
      </c>
      <c r="H121" s="7">
        <f t="shared" si="76"/>
        <v>459065.8</v>
      </c>
      <c r="I121" s="7">
        <f t="shared" si="76"/>
        <v>526511.06000000006</v>
      </c>
      <c r="J121" s="7">
        <f t="shared" si="76"/>
        <v>519022.56999999995</v>
      </c>
      <c r="K121" s="7">
        <f t="shared" si="76"/>
        <v>495493.83999999997</v>
      </c>
      <c r="L121" s="7">
        <f t="shared" si="76"/>
        <v>483981.4</v>
      </c>
      <c r="M121" s="7">
        <f t="shared" si="76"/>
        <v>420480.75999999995</v>
      </c>
      <c r="N121" s="7">
        <f t="shared" si="76"/>
        <v>497434.43999999994</v>
      </c>
      <c r="O121" s="7">
        <f>SUM(C121:N121)</f>
        <v>5070494.59</v>
      </c>
      <c r="P121" s="7">
        <f t="shared" ref="P121:AT121" si="77">SUM(P103:P120)</f>
        <v>457542.77999999997</v>
      </c>
      <c r="Q121" s="7">
        <f t="shared" si="77"/>
        <v>456583.08</v>
      </c>
      <c r="R121" s="7">
        <f t="shared" si="77"/>
        <v>519050.39</v>
      </c>
      <c r="S121" s="7">
        <f t="shared" si="77"/>
        <v>524832.6100000001</v>
      </c>
      <c r="T121" s="7">
        <f t="shared" si="77"/>
        <v>662184.97000000009</v>
      </c>
      <c r="U121" s="7">
        <f t="shared" si="77"/>
        <v>624729.52</v>
      </c>
      <c r="V121" s="7">
        <f t="shared" si="77"/>
        <v>627910.23</v>
      </c>
      <c r="W121" s="63">
        <f t="shared" si="77"/>
        <v>661438.87</v>
      </c>
      <c r="X121" s="63">
        <f t="shared" si="77"/>
        <v>587118.77999999991</v>
      </c>
      <c r="Y121" s="63">
        <f t="shared" si="77"/>
        <v>563541.04</v>
      </c>
      <c r="Z121" s="63">
        <f t="shared" si="77"/>
        <v>543462.26000000013</v>
      </c>
      <c r="AA121" s="63">
        <f t="shared" si="77"/>
        <v>1348076.33</v>
      </c>
      <c r="AB121" s="63">
        <f t="shared" si="77"/>
        <v>7576470.8599999994</v>
      </c>
      <c r="AC121" s="63">
        <f t="shared" si="77"/>
        <v>580685.00000000012</v>
      </c>
      <c r="AD121" s="63">
        <f t="shared" si="77"/>
        <v>477804.74</v>
      </c>
      <c r="AE121" s="63">
        <f t="shared" si="77"/>
        <v>348387.69999999995</v>
      </c>
      <c r="AF121" s="63">
        <f t="shared" si="77"/>
        <v>536146.47</v>
      </c>
      <c r="AG121" s="63">
        <f t="shared" si="77"/>
        <v>784731.17</v>
      </c>
      <c r="AH121" s="63">
        <f t="shared" si="77"/>
        <v>1140833.8300000003</v>
      </c>
      <c r="AI121" s="63">
        <f t="shared" si="77"/>
        <v>619966.82999999996</v>
      </c>
      <c r="AJ121" s="63">
        <f t="shared" si="77"/>
        <v>553659.75</v>
      </c>
      <c r="AK121" s="63">
        <f t="shared" si="77"/>
        <v>561884.07000000007</v>
      </c>
      <c r="AL121" s="63">
        <f t="shared" si="77"/>
        <v>660371.80000000005</v>
      </c>
      <c r="AM121" s="63">
        <f t="shared" si="77"/>
        <v>632943.04999999993</v>
      </c>
      <c r="AN121" s="63">
        <f t="shared" si="77"/>
        <v>688869.71000000008</v>
      </c>
      <c r="AO121" s="63">
        <f t="shared" si="77"/>
        <v>7586284.1199999992</v>
      </c>
      <c r="AP121" s="63">
        <f t="shared" si="77"/>
        <v>511879.41</v>
      </c>
      <c r="AQ121" s="63">
        <f t="shared" si="77"/>
        <v>499852.43000000005</v>
      </c>
      <c r="AR121" s="63">
        <f t="shared" si="77"/>
        <v>480169.51</v>
      </c>
      <c r="AS121" s="63">
        <f t="shared" si="77"/>
        <v>516771.39</v>
      </c>
      <c r="AT121" s="63">
        <f t="shared" si="77"/>
        <v>529710.39</v>
      </c>
      <c r="AU121" s="63">
        <f t="shared" ref="AU121:BA121" si="78">SUM(AU103:AU120)</f>
        <v>1086510.9800000002</v>
      </c>
      <c r="AV121" s="63">
        <f t="shared" si="78"/>
        <v>550704.79</v>
      </c>
      <c r="AW121" s="63">
        <f t="shared" si="78"/>
        <v>632830.38</v>
      </c>
      <c r="AX121" s="63">
        <f t="shared" si="78"/>
        <v>455905.28000000003</v>
      </c>
      <c r="AY121" s="63">
        <f t="shared" si="78"/>
        <v>558900.64</v>
      </c>
      <c r="AZ121" s="63">
        <f t="shared" si="78"/>
        <v>564885.05000000005</v>
      </c>
      <c r="BA121" s="63">
        <f t="shared" si="78"/>
        <v>798777.55</v>
      </c>
      <c r="BB121" s="63">
        <f>SUM(BB103:BB120)</f>
        <v>7186897.7999999989</v>
      </c>
      <c r="BC121" s="63">
        <f t="shared" ref="BC121:BO121" si="79">SUM(BC103:BC120)</f>
        <v>560155.68000000005</v>
      </c>
      <c r="BD121" s="63">
        <f t="shared" si="79"/>
        <v>507667.88999999996</v>
      </c>
      <c r="BE121" s="63">
        <f t="shared" si="79"/>
        <v>496523.33</v>
      </c>
      <c r="BF121" s="63">
        <f t="shared" si="79"/>
        <v>505194.7</v>
      </c>
      <c r="BG121" s="63">
        <f t="shared" si="79"/>
        <v>549826.71</v>
      </c>
      <c r="BH121" s="63">
        <f t="shared" si="79"/>
        <v>647954.85000000009</v>
      </c>
      <c r="BI121" s="63">
        <f t="shared" si="79"/>
        <v>491524.05</v>
      </c>
      <c r="BJ121" s="63">
        <f t="shared" si="79"/>
        <v>0</v>
      </c>
      <c r="BK121" s="63">
        <f t="shared" si="79"/>
        <v>0</v>
      </c>
      <c r="BL121" s="63">
        <f t="shared" si="79"/>
        <v>0</v>
      </c>
      <c r="BM121" s="63">
        <f t="shared" si="79"/>
        <v>0</v>
      </c>
      <c r="BN121" s="63">
        <f t="shared" si="79"/>
        <v>0</v>
      </c>
      <c r="BO121" s="63">
        <f t="shared" si="79"/>
        <v>3758847.21</v>
      </c>
    </row>
    <row r="122" spans="2:67" x14ac:dyDescent="0.2">
      <c r="B122" s="3" t="s">
        <v>311</v>
      </c>
      <c r="C122" s="23">
        <v>32947.410000000003</v>
      </c>
      <c r="D122" s="24">
        <v>22992.51</v>
      </c>
      <c r="E122" s="24">
        <v>158218.99</v>
      </c>
      <c r="F122" s="24">
        <v>31290.41</v>
      </c>
      <c r="G122" s="24">
        <v>17268.18</v>
      </c>
      <c r="H122" s="24">
        <v>50544.11</v>
      </c>
      <c r="I122" s="24">
        <v>63824</v>
      </c>
      <c r="J122" s="24">
        <v>42832.49</v>
      </c>
      <c r="K122" s="24">
        <v>18548.04</v>
      </c>
      <c r="L122" s="24">
        <v>110649.27</v>
      </c>
      <c r="M122" s="24">
        <v>51160.44</v>
      </c>
      <c r="N122" s="24">
        <v>136166.51</v>
      </c>
      <c r="O122" s="24">
        <f>SUBTOTAL(9,C122:N122)</f>
        <v>736442.35999999987</v>
      </c>
      <c r="P122" s="24">
        <v>28710.76</v>
      </c>
      <c r="Q122" s="24">
        <v>30835.08</v>
      </c>
      <c r="R122" s="24">
        <v>25488.61</v>
      </c>
      <c r="S122" s="24">
        <v>61985.58</v>
      </c>
      <c r="T122" s="24">
        <v>51949.14</v>
      </c>
      <c r="U122" s="24">
        <v>31348.94</v>
      </c>
      <c r="V122" s="24">
        <v>36960.199999999997</v>
      </c>
      <c r="W122" s="20">
        <v>70980.11</v>
      </c>
      <c r="X122" s="20">
        <v>66907.149999999994</v>
      </c>
      <c r="Y122" s="83">
        <v>43323.7</v>
      </c>
      <c r="Z122" s="83">
        <v>101746.88</v>
      </c>
      <c r="AA122" s="83">
        <v>35267.03</v>
      </c>
      <c r="AB122" s="8">
        <f>SUM(P122:AA122)</f>
        <v>585503.17999999993</v>
      </c>
      <c r="AC122" s="24">
        <v>30906.05</v>
      </c>
      <c r="AD122" s="24">
        <v>92158.16</v>
      </c>
      <c r="AE122" s="24">
        <v>39234.269999999997</v>
      </c>
      <c r="AF122" s="24">
        <v>139176.93</v>
      </c>
      <c r="AG122" s="24">
        <v>30753.8</v>
      </c>
      <c r="AH122" s="24">
        <v>127614.01</v>
      </c>
      <c r="AI122" s="24">
        <v>40252.39</v>
      </c>
      <c r="AJ122" s="20">
        <v>79856.19</v>
      </c>
      <c r="AK122" s="20">
        <v>14856.46</v>
      </c>
      <c r="AL122" s="83">
        <v>76132.17</v>
      </c>
      <c r="AM122" s="83">
        <v>138015.13</v>
      </c>
      <c r="AN122" s="83">
        <v>31685.53</v>
      </c>
      <c r="AO122" s="8">
        <f>SUM(AC122:AN122)</f>
        <v>840641.09000000008</v>
      </c>
      <c r="AP122" s="24">
        <v>15769.28</v>
      </c>
      <c r="AQ122" s="24">
        <v>32005.03</v>
      </c>
      <c r="AR122" s="24">
        <f>VLOOKUP(B122,'[1]Sheet1 (2)'!$B$2:$C$397,2,0)</f>
        <v>26973.03</v>
      </c>
      <c r="AS122" s="24">
        <f>VLOOKUP(B122,'[2]Sheet1 (2)'!$B$2:$C$404,2,0)</f>
        <v>77929.13</v>
      </c>
      <c r="AT122" s="24">
        <v>29409.8</v>
      </c>
      <c r="AU122" s="24">
        <v>50224.98</v>
      </c>
      <c r="AV122" s="24">
        <v>199909.33</v>
      </c>
      <c r="AW122" s="20">
        <v>81422.64</v>
      </c>
      <c r="AX122" s="20">
        <v>43043.57</v>
      </c>
      <c r="AY122" s="83">
        <v>55236.12</v>
      </c>
      <c r="AZ122" s="83">
        <v>107794.88</v>
      </c>
      <c r="BA122" s="83">
        <v>93465.75</v>
      </c>
      <c r="BB122" s="8">
        <f>SUM(AP122:BA122)</f>
        <v>813183.53999999992</v>
      </c>
      <c r="BC122" s="24">
        <v>103147.29</v>
      </c>
      <c r="BD122" s="24">
        <v>33394.79</v>
      </c>
      <c r="BE122" s="24">
        <v>59881.03</v>
      </c>
      <c r="BF122" s="24">
        <v>239559.45</v>
      </c>
      <c r="BG122" s="24">
        <v>18858.05</v>
      </c>
      <c r="BH122" s="24">
        <v>180560.75</v>
      </c>
      <c r="BI122" s="24">
        <v>79365.39</v>
      </c>
      <c r="BN122" s="83"/>
      <c r="BO122" s="8">
        <f>SUM(BC122:BN122)</f>
        <v>714766.75</v>
      </c>
    </row>
    <row r="123" spans="2:67" x14ac:dyDescent="0.2">
      <c r="B123" s="6" t="s">
        <v>1546</v>
      </c>
      <c r="C123" s="7">
        <f t="shared" ref="C123:N123" si="80">SUM(C122)</f>
        <v>32947.410000000003</v>
      </c>
      <c r="D123" s="7">
        <f t="shared" si="80"/>
        <v>22992.51</v>
      </c>
      <c r="E123" s="7">
        <f t="shared" si="80"/>
        <v>158218.99</v>
      </c>
      <c r="F123" s="7">
        <f t="shared" si="80"/>
        <v>31290.41</v>
      </c>
      <c r="G123" s="7">
        <f t="shared" si="80"/>
        <v>17268.18</v>
      </c>
      <c r="H123" s="7">
        <f t="shared" si="80"/>
        <v>50544.11</v>
      </c>
      <c r="I123" s="7">
        <f t="shared" si="80"/>
        <v>63824</v>
      </c>
      <c r="J123" s="7">
        <f t="shared" si="80"/>
        <v>42832.49</v>
      </c>
      <c r="K123" s="7">
        <f t="shared" si="80"/>
        <v>18548.04</v>
      </c>
      <c r="L123" s="7">
        <f t="shared" si="80"/>
        <v>110649.27</v>
      </c>
      <c r="M123" s="7">
        <f t="shared" si="80"/>
        <v>51160.44</v>
      </c>
      <c r="N123" s="7">
        <f t="shared" si="80"/>
        <v>136166.51</v>
      </c>
      <c r="O123" s="7">
        <f>SUM(C123:N123)</f>
        <v>736442.35999999987</v>
      </c>
      <c r="P123" s="7">
        <f t="shared" ref="P123:AT123" si="81">SUM(P122)</f>
        <v>28710.76</v>
      </c>
      <c r="Q123" s="7">
        <f t="shared" si="81"/>
        <v>30835.08</v>
      </c>
      <c r="R123" s="7">
        <f t="shared" si="81"/>
        <v>25488.61</v>
      </c>
      <c r="S123" s="7">
        <f t="shared" si="81"/>
        <v>61985.58</v>
      </c>
      <c r="T123" s="7">
        <f t="shared" si="81"/>
        <v>51949.14</v>
      </c>
      <c r="U123" s="7">
        <f t="shared" si="81"/>
        <v>31348.94</v>
      </c>
      <c r="V123" s="7">
        <f t="shared" si="81"/>
        <v>36960.199999999997</v>
      </c>
      <c r="W123" s="63">
        <f t="shared" si="81"/>
        <v>70980.11</v>
      </c>
      <c r="X123" s="63">
        <f t="shared" si="81"/>
        <v>66907.149999999994</v>
      </c>
      <c r="Y123" s="63">
        <f t="shared" si="81"/>
        <v>43323.7</v>
      </c>
      <c r="Z123" s="63">
        <f t="shared" si="81"/>
        <v>101746.88</v>
      </c>
      <c r="AA123" s="63">
        <f t="shared" si="81"/>
        <v>35267.03</v>
      </c>
      <c r="AB123" s="63">
        <f t="shared" si="81"/>
        <v>585503.17999999993</v>
      </c>
      <c r="AC123" s="63">
        <f t="shared" si="81"/>
        <v>30906.05</v>
      </c>
      <c r="AD123" s="63">
        <f t="shared" si="81"/>
        <v>92158.16</v>
      </c>
      <c r="AE123" s="63">
        <f t="shared" si="81"/>
        <v>39234.269999999997</v>
      </c>
      <c r="AF123" s="63">
        <f t="shared" si="81"/>
        <v>139176.93</v>
      </c>
      <c r="AG123" s="63">
        <f t="shared" si="81"/>
        <v>30753.8</v>
      </c>
      <c r="AH123" s="63">
        <f t="shared" si="81"/>
        <v>127614.01</v>
      </c>
      <c r="AI123" s="63">
        <f t="shared" si="81"/>
        <v>40252.39</v>
      </c>
      <c r="AJ123" s="63">
        <f t="shared" si="81"/>
        <v>79856.19</v>
      </c>
      <c r="AK123" s="63">
        <f t="shared" si="81"/>
        <v>14856.46</v>
      </c>
      <c r="AL123" s="63">
        <f t="shared" si="81"/>
        <v>76132.17</v>
      </c>
      <c r="AM123" s="63">
        <f t="shared" si="81"/>
        <v>138015.13</v>
      </c>
      <c r="AN123" s="63">
        <f t="shared" si="81"/>
        <v>31685.53</v>
      </c>
      <c r="AO123" s="63">
        <f t="shared" si="81"/>
        <v>840641.09000000008</v>
      </c>
      <c r="AP123" s="63">
        <f t="shared" si="81"/>
        <v>15769.28</v>
      </c>
      <c r="AQ123" s="63">
        <f t="shared" si="81"/>
        <v>32005.03</v>
      </c>
      <c r="AR123" s="63">
        <f t="shared" si="81"/>
        <v>26973.03</v>
      </c>
      <c r="AS123" s="63">
        <f t="shared" si="81"/>
        <v>77929.13</v>
      </c>
      <c r="AT123" s="63">
        <f t="shared" si="81"/>
        <v>29409.8</v>
      </c>
      <c r="AU123" s="63">
        <f t="shared" ref="AU123:BA123" si="82">SUM(AU122)</f>
        <v>50224.98</v>
      </c>
      <c r="AV123" s="63">
        <f t="shared" si="82"/>
        <v>199909.33</v>
      </c>
      <c r="AW123" s="63">
        <f t="shared" si="82"/>
        <v>81422.64</v>
      </c>
      <c r="AX123" s="63">
        <f t="shared" si="82"/>
        <v>43043.57</v>
      </c>
      <c r="AY123" s="63">
        <f t="shared" si="82"/>
        <v>55236.12</v>
      </c>
      <c r="AZ123" s="63">
        <f t="shared" si="82"/>
        <v>107794.88</v>
      </c>
      <c r="BA123" s="63">
        <f t="shared" si="82"/>
        <v>93465.75</v>
      </c>
      <c r="BB123" s="63">
        <f>SUM(BB122)</f>
        <v>813183.53999999992</v>
      </c>
      <c r="BC123" s="63">
        <f t="shared" ref="BC123:BO123" si="83">SUM(BC122)</f>
        <v>103147.29</v>
      </c>
      <c r="BD123" s="63">
        <f t="shared" si="83"/>
        <v>33394.79</v>
      </c>
      <c r="BE123" s="63">
        <f t="shared" si="83"/>
        <v>59881.03</v>
      </c>
      <c r="BF123" s="63">
        <f t="shared" si="83"/>
        <v>239559.45</v>
      </c>
      <c r="BG123" s="63">
        <f t="shared" si="83"/>
        <v>18858.05</v>
      </c>
      <c r="BH123" s="63">
        <f t="shared" si="83"/>
        <v>180560.75</v>
      </c>
      <c r="BI123" s="63">
        <f t="shared" si="83"/>
        <v>79365.39</v>
      </c>
      <c r="BJ123" s="63">
        <f t="shared" si="83"/>
        <v>0</v>
      </c>
      <c r="BK123" s="63">
        <f t="shared" si="83"/>
        <v>0</v>
      </c>
      <c r="BL123" s="63">
        <f t="shared" si="83"/>
        <v>0</v>
      </c>
      <c r="BM123" s="63">
        <f t="shared" si="83"/>
        <v>0</v>
      </c>
      <c r="BN123" s="63">
        <f t="shared" si="83"/>
        <v>0</v>
      </c>
      <c r="BO123" s="63">
        <f t="shared" si="83"/>
        <v>714766.75</v>
      </c>
    </row>
    <row r="124" spans="2:67" s="9" customFormat="1" ht="12.75" x14ac:dyDescent="0.2">
      <c r="B124" s="13" t="s">
        <v>1547</v>
      </c>
      <c r="C124" s="15">
        <f t="shared" ref="C124:N124" si="84">C123+C121+C102+C96+C81</f>
        <v>3581682.2</v>
      </c>
      <c r="D124" s="15">
        <f t="shared" si="84"/>
        <v>3611675.4600000004</v>
      </c>
      <c r="E124" s="15">
        <f t="shared" si="84"/>
        <v>4581597.5100000007</v>
      </c>
      <c r="F124" s="15">
        <f t="shared" si="84"/>
        <v>3849944.669999999</v>
      </c>
      <c r="G124" s="15">
        <f t="shared" si="84"/>
        <v>4404747.16</v>
      </c>
      <c r="H124" s="15">
        <f t="shared" si="84"/>
        <v>5842857.6200000001</v>
      </c>
      <c r="I124" s="15">
        <f t="shared" si="84"/>
        <v>4447301.8699999992</v>
      </c>
      <c r="J124" s="15">
        <f t="shared" si="84"/>
        <v>4586038.25</v>
      </c>
      <c r="K124" s="15">
        <f t="shared" si="84"/>
        <v>8551109.2700000014</v>
      </c>
      <c r="L124" s="15">
        <f t="shared" si="84"/>
        <v>6264466.5999999996</v>
      </c>
      <c r="M124" s="15">
        <f t="shared" si="84"/>
        <v>7409081.4199999999</v>
      </c>
      <c r="N124" s="15">
        <f t="shared" si="84"/>
        <v>8905646.790000001</v>
      </c>
      <c r="O124" s="14">
        <f>SUM(C124:N124)</f>
        <v>66036148.820000008</v>
      </c>
      <c r="P124" s="15">
        <f t="shared" ref="P124:AT124" si="85">P123+P121+P102+P96+P81</f>
        <v>6585103.6400000006</v>
      </c>
      <c r="Q124" s="15">
        <f t="shared" si="85"/>
        <v>5193874.8499999996</v>
      </c>
      <c r="R124" s="15">
        <f t="shared" si="85"/>
        <v>7767376.2199999988</v>
      </c>
      <c r="S124" s="15">
        <f t="shared" si="85"/>
        <v>4688955.6000000006</v>
      </c>
      <c r="T124" s="15">
        <f t="shared" si="85"/>
        <v>6244534.7400000012</v>
      </c>
      <c r="U124" s="15">
        <f t="shared" si="85"/>
        <v>5885945.5899999999</v>
      </c>
      <c r="V124" s="15">
        <f t="shared" si="85"/>
        <v>5243475.5799999991</v>
      </c>
      <c r="W124" s="64">
        <f t="shared" si="85"/>
        <v>6632924.5899999989</v>
      </c>
      <c r="X124" s="64">
        <f t="shared" si="85"/>
        <v>6005207.8100000005</v>
      </c>
      <c r="Y124" s="64">
        <f t="shared" si="85"/>
        <v>7427095.4399999995</v>
      </c>
      <c r="Z124" s="64">
        <f t="shared" si="85"/>
        <v>5374409.3200000012</v>
      </c>
      <c r="AA124" s="64">
        <f t="shared" si="85"/>
        <v>8360154.3699999973</v>
      </c>
      <c r="AB124" s="64">
        <f t="shared" si="85"/>
        <v>75409057.75</v>
      </c>
      <c r="AC124" s="64">
        <f t="shared" si="85"/>
        <v>3798051.19</v>
      </c>
      <c r="AD124" s="64">
        <f t="shared" si="85"/>
        <v>4977580.5099999988</v>
      </c>
      <c r="AE124" s="64">
        <f t="shared" si="85"/>
        <v>4750992.0999999996</v>
      </c>
      <c r="AF124" s="64">
        <f t="shared" si="85"/>
        <v>4271189.1199999992</v>
      </c>
      <c r="AG124" s="64">
        <f t="shared" si="85"/>
        <v>5319950.5400000019</v>
      </c>
      <c r="AH124" s="64">
        <f t="shared" si="85"/>
        <v>5221375.7299999995</v>
      </c>
      <c r="AI124" s="64">
        <f t="shared" si="85"/>
        <v>4877246.91</v>
      </c>
      <c r="AJ124" s="64">
        <f t="shared" si="85"/>
        <v>2442566.2699999996</v>
      </c>
      <c r="AK124" s="64">
        <f t="shared" si="85"/>
        <v>7556915.1100000003</v>
      </c>
      <c r="AL124" s="64">
        <f t="shared" si="85"/>
        <v>5240047.8600000003</v>
      </c>
      <c r="AM124" s="64">
        <f t="shared" si="85"/>
        <v>5476982.7199999997</v>
      </c>
      <c r="AN124" s="64">
        <f t="shared" si="85"/>
        <v>6499703.9000000004</v>
      </c>
      <c r="AO124" s="64">
        <f t="shared" si="85"/>
        <v>60432601.959999993</v>
      </c>
      <c r="AP124" s="64">
        <f t="shared" si="85"/>
        <v>3567526.7399999998</v>
      </c>
      <c r="AQ124" s="64">
        <f t="shared" si="85"/>
        <v>4081968.5300000007</v>
      </c>
      <c r="AR124" s="64">
        <f t="shared" si="85"/>
        <v>2975441.1899999995</v>
      </c>
      <c r="AS124" s="64">
        <f t="shared" si="85"/>
        <v>2197477.62</v>
      </c>
      <c r="AT124" s="64">
        <f t="shared" si="85"/>
        <v>3722912.6200000006</v>
      </c>
      <c r="AU124" s="64">
        <f t="shared" ref="AU124:BB124" si="86">AU123+AU121+AU102+AU96+AU81</f>
        <v>3851648.9099999997</v>
      </c>
      <c r="AV124" s="64">
        <f t="shared" si="86"/>
        <v>2931810.04</v>
      </c>
      <c r="AW124" s="64">
        <f t="shared" si="86"/>
        <v>3318120.22</v>
      </c>
      <c r="AX124" s="64">
        <f t="shared" si="86"/>
        <v>3025405.3099999996</v>
      </c>
      <c r="AY124" s="64">
        <f t="shared" si="86"/>
        <v>3185445.2999999993</v>
      </c>
      <c r="AZ124" s="64">
        <f t="shared" si="86"/>
        <v>3884179.8899999997</v>
      </c>
      <c r="BA124" s="64">
        <f t="shared" si="86"/>
        <v>5886601.2699999996</v>
      </c>
      <c r="BB124" s="64">
        <f t="shared" si="86"/>
        <v>42628537.639999993</v>
      </c>
      <c r="BC124" s="64">
        <f t="shared" ref="BC124:BO124" si="87">BC123+BC121+BC102+BC96+BC81</f>
        <v>3138426.29</v>
      </c>
      <c r="BD124" s="64">
        <f t="shared" si="87"/>
        <v>4660694.0899999989</v>
      </c>
      <c r="BE124" s="64">
        <f t="shared" si="87"/>
        <v>3803794.08</v>
      </c>
      <c r="BF124" s="64">
        <f t="shared" si="87"/>
        <v>3499427.8900000006</v>
      </c>
      <c r="BG124" s="64">
        <f t="shared" si="87"/>
        <v>2678231.2799999998</v>
      </c>
      <c r="BH124" s="64">
        <f t="shared" si="87"/>
        <v>3511989.5700000003</v>
      </c>
      <c r="BI124" s="64">
        <f t="shared" si="87"/>
        <v>3205360.46</v>
      </c>
      <c r="BJ124" s="64">
        <f t="shared" si="87"/>
        <v>0</v>
      </c>
      <c r="BK124" s="64">
        <f t="shared" si="87"/>
        <v>0</v>
      </c>
      <c r="BL124" s="64">
        <f t="shared" si="87"/>
        <v>0</v>
      </c>
      <c r="BM124" s="64">
        <f t="shared" si="87"/>
        <v>0</v>
      </c>
      <c r="BN124" s="64">
        <f t="shared" si="87"/>
        <v>0</v>
      </c>
      <c r="BO124" s="64">
        <f t="shared" si="87"/>
        <v>24497923.659999996</v>
      </c>
    </row>
    <row r="125" spans="2:67" s="9" customFormat="1" ht="12.75" x14ac:dyDescent="0.2">
      <c r="B125" s="16" t="s">
        <v>1548</v>
      </c>
      <c r="C125" s="17">
        <f t="shared" ref="C125:N125" si="88">C51+C124</f>
        <v>-2266738.7799999993</v>
      </c>
      <c r="D125" s="17">
        <f t="shared" si="88"/>
        <v>-2023060.2999999993</v>
      </c>
      <c r="E125" s="17">
        <f t="shared" si="88"/>
        <v>-2126454.25</v>
      </c>
      <c r="F125" s="17">
        <f t="shared" si="88"/>
        <v>-2119737.080000001</v>
      </c>
      <c r="G125" s="17">
        <f t="shared" si="88"/>
        <v>-2433790.12</v>
      </c>
      <c r="H125" s="17">
        <f t="shared" si="88"/>
        <v>-2836481.79</v>
      </c>
      <c r="I125" s="17">
        <f t="shared" si="88"/>
        <v>-2210170.3000000007</v>
      </c>
      <c r="J125" s="17">
        <f t="shared" si="88"/>
        <v>-1939742.6600000001</v>
      </c>
      <c r="K125" s="17">
        <f t="shared" si="88"/>
        <v>-3575663.4699999988</v>
      </c>
      <c r="L125" s="17">
        <f t="shared" si="88"/>
        <v>-2598685.1900000013</v>
      </c>
      <c r="M125" s="17">
        <f t="shared" si="88"/>
        <v>-3135151.4299999997</v>
      </c>
      <c r="N125" s="17">
        <f t="shared" si="88"/>
        <v>-3603778.6100000013</v>
      </c>
      <c r="O125" s="17">
        <f>SUM(C125:N125)</f>
        <v>-30869453.980000004</v>
      </c>
      <c r="P125" s="17">
        <f t="shared" ref="P125:AT125" si="89">P51+P124</f>
        <v>-3005064.4699999988</v>
      </c>
      <c r="Q125" s="17">
        <f t="shared" si="89"/>
        <v>-2714793.040000001</v>
      </c>
      <c r="R125" s="17">
        <f t="shared" si="89"/>
        <v>-4497828.7300000004</v>
      </c>
      <c r="S125" s="17">
        <f t="shared" si="89"/>
        <v>-2406716.12</v>
      </c>
      <c r="T125" s="17">
        <f t="shared" si="89"/>
        <v>-3679650.2599999988</v>
      </c>
      <c r="U125" s="17">
        <f t="shared" si="89"/>
        <v>-2652615.7199999988</v>
      </c>
      <c r="V125" s="17">
        <f t="shared" si="89"/>
        <v>-2176696.7700000014</v>
      </c>
      <c r="W125" s="65">
        <f t="shared" si="89"/>
        <v>-2497113.2800000021</v>
      </c>
      <c r="X125" s="65">
        <f t="shared" si="89"/>
        <v>-1934887.6599999992</v>
      </c>
      <c r="Y125" s="65">
        <f t="shared" si="89"/>
        <v>-1991571.4699999988</v>
      </c>
      <c r="Z125" s="65">
        <f t="shared" si="89"/>
        <v>-1500147.4999999991</v>
      </c>
      <c r="AA125" s="65">
        <f t="shared" si="89"/>
        <v>-2071431.9400000013</v>
      </c>
      <c r="AB125" s="65">
        <f t="shared" si="89"/>
        <v>-31128516.960000008</v>
      </c>
      <c r="AC125" s="65">
        <f t="shared" si="89"/>
        <v>-2017436.44</v>
      </c>
      <c r="AD125" s="65">
        <f t="shared" si="89"/>
        <v>-2414662.950000002</v>
      </c>
      <c r="AE125" s="65">
        <f t="shared" si="89"/>
        <v>-2344333.6100000003</v>
      </c>
      <c r="AF125" s="65">
        <f t="shared" si="89"/>
        <v>-1964839.7000000011</v>
      </c>
      <c r="AG125" s="65">
        <f t="shared" si="89"/>
        <v>-2338483.9699999988</v>
      </c>
      <c r="AH125" s="65">
        <f t="shared" si="89"/>
        <v>-2326195.4000000004</v>
      </c>
      <c r="AI125" s="65">
        <f t="shared" si="89"/>
        <v>-2919991.05</v>
      </c>
      <c r="AJ125" s="65">
        <f t="shared" si="89"/>
        <v>-1338751.9700000007</v>
      </c>
      <c r="AK125" s="65">
        <f t="shared" si="89"/>
        <v>-4476400.5699999975</v>
      </c>
      <c r="AL125" s="65">
        <f t="shared" si="89"/>
        <v>-1970976.1900000004</v>
      </c>
      <c r="AM125" s="65">
        <f t="shared" si="89"/>
        <v>-2069903.290000001</v>
      </c>
      <c r="AN125" s="65">
        <f t="shared" si="89"/>
        <v>-2451543.5399999991</v>
      </c>
      <c r="AO125" s="65">
        <f t="shared" si="89"/>
        <v>-28633518.680000007</v>
      </c>
      <c r="AP125" s="65">
        <f t="shared" si="89"/>
        <v>-1803976.4</v>
      </c>
      <c r="AQ125" s="65">
        <f t="shared" si="89"/>
        <v>-1612860.8599999999</v>
      </c>
      <c r="AR125" s="65">
        <f t="shared" si="89"/>
        <v>-905058.69000000088</v>
      </c>
      <c r="AS125" s="65">
        <f t="shared" si="89"/>
        <v>-1753980.4100000001</v>
      </c>
      <c r="AT125" s="65">
        <f t="shared" si="89"/>
        <v>-1713682.1699999985</v>
      </c>
      <c r="AU125" s="65">
        <f t="shared" ref="AU125:BB125" si="90">AU51+AU124</f>
        <v>-1574211.9400000009</v>
      </c>
      <c r="AV125" s="65">
        <f t="shared" si="90"/>
        <v>-1763566.4700000007</v>
      </c>
      <c r="AW125" s="65">
        <f t="shared" si="90"/>
        <v>-1828502.0100000002</v>
      </c>
      <c r="AX125" s="65">
        <f t="shared" si="90"/>
        <v>-1435626.08</v>
      </c>
      <c r="AY125" s="65">
        <f t="shared" si="90"/>
        <v>-1619974.4900000007</v>
      </c>
      <c r="AZ125" s="65">
        <f t="shared" si="90"/>
        <v>-1605466.5300000003</v>
      </c>
      <c r="BA125" s="65">
        <f t="shared" si="90"/>
        <v>583139.21999999881</v>
      </c>
      <c r="BB125" s="65">
        <f t="shared" si="90"/>
        <v>-17033766.830000013</v>
      </c>
      <c r="BC125" s="65">
        <f t="shared" ref="BC125:BO125" si="91">BC51+BC124</f>
        <v>-1534525.9300000006</v>
      </c>
      <c r="BD125" s="65">
        <f t="shared" si="91"/>
        <v>-1262696.4800000023</v>
      </c>
      <c r="BE125" s="65">
        <f t="shared" si="91"/>
        <v>-1529255.6300000018</v>
      </c>
      <c r="BF125" s="65">
        <f t="shared" si="91"/>
        <v>-1277413.8099999996</v>
      </c>
      <c r="BG125" s="65">
        <f t="shared" si="91"/>
        <v>-1183095.3900000006</v>
      </c>
      <c r="BH125" s="65">
        <f t="shared" si="91"/>
        <v>-1026232.5999999996</v>
      </c>
      <c r="BI125" s="65">
        <f t="shared" si="91"/>
        <v>-1519650.2699999996</v>
      </c>
      <c r="BJ125" s="65">
        <f t="shared" si="91"/>
        <v>0</v>
      </c>
      <c r="BK125" s="65">
        <f t="shared" si="91"/>
        <v>0</v>
      </c>
      <c r="BL125" s="65">
        <f t="shared" si="91"/>
        <v>0</v>
      </c>
      <c r="BM125" s="65">
        <f t="shared" si="91"/>
        <v>0</v>
      </c>
      <c r="BN125" s="65">
        <f t="shared" si="91"/>
        <v>0</v>
      </c>
      <c r="BO125" s="65">
        <f t="shared" si="91"/>
        <v>-9332870.1100000069</v>
      </c>
    </row>
    <row r="126" spans="2:67" s="27" customFormat="1" ht="12.75" x14ac:dyDescent="0.2">
      <c r="B126" s="26" t="s">
        <v>1549</v>
      </c>
      <c r="C126" s="26">
        <f t="shared" ref="C126:AH126" si="92">C125/C51</f>
        <v>0.38758132968738507</v>
      </c>
      <c r="D126" s="26">
        <f t="shared" si="92"/>
        <v>0.35903374819478656</v>
      </c>
      <c r="E126" s="26">
        <f t="shared" si="92"/>
        <v>0.31700027460730262</v>
      </c>
      <c r="F126" s="26">
        <f t="shared" si="92"/>
        <v>0.35508376640011019</v>
      </c>
      <c r="G126" s="26">
        <f t="shared" si="92"/>
        <v>0.35589337607588506</v>
      </c>
      <c r="H126" s="26">
        <f t="shared" si="92"/>
        <v>0.32680848806672025</v>
      </c>
      <c r="I126" s="26">
        <f t="shared" si="92"/>
        <v>0.33198340805080689</v>
      </c>
      <c r="J126" s="26">
        <f t="shared" si="92"/>
        <v>0.29724299463188691</v>
      </c>
      <c r="K126" s="26">
        <f t="shared" si="92"/>
        <v>0.29485697033026109</v>
      </c>
      <c r="L126" s="26">
        <f t="shared" si="92"/>
        <v>0.29320102504980355</v>
      </c>
      <c r="M126" s="26">
        <f t="shared" si="92"/>
        <v>0.29733328868965558</v>
      </c>
      <c r="N126" s="26">
        <f t="shared" si="92"/>
        <v>0.28808506344344165</v>
      </c>
      <c r="O126" s="26">
        <f t="shared" si="92"/>
        <v>0.31855179770885245</v>
      </c>
      <c r="P126" s="26">
        <f t="shared" si="92"/>
        <v>0.31334846642224284</v>
      </c>
      <c r="Q126" s="26">
        <f t="shared" si="92"/>
        <v>0.34326805446372094</v>
      </c>
      <c r="R126" s="26">
        <f t="shared" si="92"/>
        <v>0.3667145187003174</v>
      </c>
      <c r="S126" s="26">
        <f t="shared" si="92"/>
        <v>0.33918087180053474</v>
      </c>
      <c r="T126" s="26">
        <f t="shared" si="92"/>
        <v>0.37077606473478669</v>
      </c>
      <c r="U126" s="26">
        <f t="shared" si="92"/>
        <v>0.31066307586189823</v>
      </c>
      <c r="V126" s="26">
        <f t="shared" si="92"/>
        <v>0.29334854600782978</v>
      </c>
      <c r="W126" s="26">
        <f t="shared" si="92"/>
        <v>0.27350524888896238</v>
      </c>
      <c r="X126" s="26">
        <f t="shared" si="92"/>
        <v>0.24368569210667176</v>
      </c>
      <c r="Y126" s="26">
        <f t="shared" si="92"/>
        <v>0.21144940032707868</v>
      </c>
      <c r="Z126" s="26">
        <f t="shared" si="92"/>
        <v>0.21821733957244374</v>
      </c>
      <c r="AA126" s="26">
        <f t="shared" si="92"/>
        <v>0.19857305288403462</v>
      </c>
      <c r="AB126" s="26">
        <f t="shared" si="92"/>
        <v>0.29218345775875987</v>
      </c>
      <c r="AC126" s="26">
        <f t="shared" si="92"/>
        <v>0.34690752837178679</v>
      </c>
      <c r="AD126" s="26">
        <f t="shared" si="92"/>
        <v>0.32664819050751365</v>
      </c>
      <c r="AE126" s="26">
        <f t="shared" si="92"/>
        <v>0.3304053549925054</v>
      </c>
      <c r="AF126" s="26">
        <f t="shared" si="92"/>
        <v>0.31507867534197848</v>
      </c>
      <c r="AG126" s="26">
        <f t="shared" si="92"/>
        <v>0.30534751807912225</v>
      </c>
      <c r="AH126" s="26">
        <f t="shared" si="92"/>
        <v>0.30820450181037251</v>
      </c>
      <c r="AI126" s="26">
        <f t="shared" ref="AI126:BF126" si="93">AI125/AI51</f>
        <v>0.37449043686746736</v>
      </c>
      <c r="AJ126" s="26">
        <f t="shared" si="93"/>
        <v>0.35404371836209181</v>
      </c>
      <c r="AK126" s="26">
        <f t="shared" si="93"/>
        <v>0.37200059310668715</v>
      </c>
      <c r="AL126" s="26">
        <f t="shared" si="93"/>
        <v>0.27332819532060776</v>
      </c>
      <c r="AM126" s="26">
        <f t="shared" si="93"/>
        <v>0.27427249957893568</v>
      </c>
      <c r="AN126" s="26">
        <f t="shared" si="93"/>
        <v>0.27387730664721732</v>
      </c>
      <c r="AO126" s="26">
        <f t="shared" si="93"/>
        <v>0.32148608779914195</v>
      </c>
      <c r="AP126" s="26">
        <f t="shared" si="93"/>
        <v>0.33584200790395519</v>
      </c>
      <c r="AQ126" s="26">
        <f t="shared" si="93"/>
        <v>0.28321495685755738</v>
      </c>
      <c r="AR126" s="26">
        <f t="shared" si="93"/>
        <v>0.23323250044785487</v>
      </c>
      <c r="AS126" s="26">
        <f t="shared" si="93"/>
        <v>0.44388182708345758</v>
      </c>
      <c r="AT126" s="26">
        <f t="shared" si="93"/>
        <v>0.3152124144238454</v>
      </c>
      <c r="AU126" s="26">
        <f t="shared" si="93"/>
        <v>0.29013127750963252</v>
      </c>
      <c r="AV126" s="26">
        <f t="shared" ref="AV126:AW126" si="94">AV125/AV51</f>
        <v>0.37559639067155454</v>
      </c>
      <c r="AW126" s="26">
        <f t="shared" si="94"/>
        <v>0.35528195548170244</v>
      </c>
      <c r="AX126" s="26">
        <f t="shared" ref="AX126" si="95">AX125/AX51</f>
        <v>0.32181483484248702</v>
      </c>
      <c r="AY126" s="26">
        <f t="shared" ref="AY126:AZ126" si="96">AY125/AY51</f>
        <v>0.33711404222605923</v>
      </c>
      <c r="AZ126" s="26">
        <f t="shared" si="96"/>
        <v>0.29245354020450742</v>
      </c>
      <c r="BA126" s="26">
        <f t="shared" ref="BA126" si="97">BA125/BA51</f>
        <v>-0.10995444381467738</v>
      </c>
      <c r="BB126" s="26">
        <f t="shared" si="93"/>
        <v>0.28550299860718759</v>
      </c>
      <c r="BC126" s="26">
        <f t="shared" si="93"/>
        <v>0.32838468226409567</v>
      </c>
      <c r="BD126" s="26">
        <f t="shared" si="93"/>
        <v>0.21317123446073927</v>
      </c>
      <c r="BE126" s="26">
        <f t="shared" si="93"/>
        <v>0.28675067984693531</v>
      </c>
      <c r="BF126" s="26">
        <f t="shared" si="93"/>
        <v>0.26741807458262634</v>
      </c>
      <c r="BG126" s="26">
        <f t="shared" ref="BG126:BH126" si="98">BG125/BG51</f>
        <v>0.30639608898979803</v>
      </c>
      <c r="BH126" s="26">
        <f t="shared" si="98"/>
        <v>0.22613097410345595</v>
      </c>
      <c r="BI126" s="26">
        <f t="shared" ref="BI126" si="99">BI125/BI51</f>
        <v>0.32161837439890845</v>
      </c>
      <c r="BJ126" s="26" t="e">
        <f t="shared" ref="BJ126:BO126" si="100">BJ125/BJ51</f>
        <v>#DIV/0!</v>
      </c>
      <c r="BK126" s="26" t="e">
        <f t="shared" si="100"/>
        <v>#DIV/0!</v>
      </c>
      <c r="BL126" s="26" t="e">
        <f t="shared" si="100"/>
        <v>#DIV/0!</v>
      </c>
      <c r="BM126" s="26" t="e">
        <f t="shared" si="100"/>
        <v>#DIV/0!</v>
      </c>
      <c r="BN126" s="26" t="e">
        <f t="shared" si="100"/>
        <v>#DIV/0!</v>
      </c>
      <c r="BO126" s="26">
        <f t="shared" si="100"/>
        <v>0.27586908464075349</v>
      </c>
    </row>
    <row r="127" spans="2:67" s="27" customFormat="1" ht="12.75" x14ac:dyDescent="0.2">
      <c r="B127" s="26" t="s">
        <v>1573</v>
      </c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>
        <f t="shared" ref="P127:BB127" si="101">(P81+P13)/P13</f>
        <v>5.2379384712226293E-2</v>
      </c>
      <c r="Q127" s="26">
        <f t="shared" si="101"/>
        <v>0.14980457652909931</v>
      </c>
      <c r="R127" s="26">
        <f t="shared" si="101"/>
        <v>-290.54671460129077</v>
      </c>
      <c r="S127" s="26">
        <f t="shared" si="101"/>
        <v>0.53071511417258665</v>
      </c>
      <c r="T127" s="26">
        <f t="shared" si="101"/>
        <v>0.92733240867279965</v>
      </c>
      <c r="U127" s="26" t="e">
        <f t="shared" si="101"/>
        <v>#DIV/0!</v>
      </c>
      <c r="V127" s="26">
        <f t="shared" si="101"/>
        <v>0.35724949231706798</v>
      </c>
      <c r="W127" s="26">
        <f t="shared" si="101"/>
        <v>0.21410268241508448</v>
      </c>
      <c r="X127" s="26">
        <f t="shared" si="101"/>
        <v>4.6509518127996835E-2</v>
      </c>
      <c r="Y127" s="26">
        <f t="shared" si="101"/>
        <v>0.10443180868080683</v>
      </c>
      <c r="Z127" s="26">
        <f t="shared" si="101"/>
        <v>0.1004151965440845</v>
      </c>
      <c r="AA127" s="26">
        <f t="shared" si="101"/>
        <v>0.10111148638742903</v>
      </c>
      <c r="AB127" s="26">
        <f t="shared" si="101"/>
        <v>0.12426535640441208</v>
      </c>
      <c r="AC127" s="26">
        <f t="shared" si="101"/>
        <v>0.7564688697203239</v>
      </c>
      <c r="AD127" s="26">
        <f t="shared" si="101"/>
        <v>2.8442267791087494</v>
      </c>
      <c r="AE127" s="26">
        <f t="shared" si="101"/>
        <v>0.30213265378092163</v>
      </c>
      <c r="AF127" s="26">
        <f t="shared" si="101"/>
        <v>0.52179628538877454</v>
      </c>
      <c r="AG127" s="26">
        <f t="shared" si="101"/>
        <v>-1.4357992915783904</v>
      </c>
      <c r="AH127" s="26">
        <f t="shared" si="101"/>
        <v>-1.5007779263400993</v>
      </c>
      <c r="AI127" s="26">
        <f t="shared" si="101"/>
        <v>0.12843075148756877</v>
      </c>
      <c r="AJ127" s="26">
        <f t="shared" si="101"/>
        <v>0.19182118929137359</v>
      </c>
      <c r="AK127" s="26">
        <f t="shared" si="101"/>
        <v>0.44479063409431652</v>
      </c>
      <c r="AL127" s="26">
        <f t="shared" si="101"/>
        <v>0.27579818609493456</v>
      </c>
      <c r="AM127" s="26">
        <f t="shared" si="101"/>
        <v>0.3089127768318578</v>
      </c>
      <c r="AN127" s="26">
        <f t="shared" si="101"/>
        <v>0.28672349153363891</v>
      </c>
      <c r="AO127" s="26">
        <f t="shared" si="101"/>
        <v>0.29061780070829285</v>
      </c>
      <c r="AP127" s="26" t="e">
        <f t="shared" si="101"/>
        <v>#DIV/0!</v>
      </c>
      <c r="AQ127" s="26">
        <f t="shared" si="101"/>
        <v>1.1501274664798149E-2</v>
      </c>
      <c r="AR127" s="26">
        <f t="shared" si="101"/>
        <v>-87.770202036654567</v>
      </c>
      <c r="AS127" s="26">
        <f t="shared" si="101"/>
        <v>187.88895538328393</v>
      </c>
      <c r="AT127" s="26">
        <f t="shared" si="101"/>
        <v>0.18694998607391966</v>
      </c>
      <c r="AU127" s="26">
        <f t="shared" si="101"/>
        <v>0.18098728967549432</v>
      </c>
      <c r="AV127" s="26">
        <f t="shared" si="101"/>
        <v>0.21827081100393017</v>
      </c>
      <c r="AW127" s="26" t="e">
        <f t="shared" si="101"/>
        <v>#DIV/0!</v>
      </c>
      <c r="AX127" s="26">
        <f t="shared" si="101"/>
        <v>1.6103874119955373</v>
      </c>
      <c r="AY127" s="26">
        <f t="shared" si="101"/>
        <v>0.78334259350787905</v>
      </c>
      <c r="AZ127" s="26">
        <f t="shared" si="101"/>
        <v>0.1053342607170485</v>
      </c>
      <c r="BA127" s="26">
        <f t="shared" si="101"/>
        <v>0.13818546235461598</v>
      </c>
      <c r="BB127" s="26">
        <f t="shared" si="101"/>
        <v>0.32282761403445548</v>
      </c>
      <c r="BC127" s="26">
        <f t="shared" ref="BC127:BF127" si="102">(BC81+BC13)/BC13</f>
        <v>11.484878642118648</v>
      </c>
      <c r="BD127" s="26">
        <f t="shared" si="102"/>
        <v>0.5687948837537592</v>
      </c>
      <c r="BE127" s="26">
        <f t="shared" si="102"/>
        <v>0.35008015343537136</v>
      </c>
      <c r="BF127" s="26">
        <f t="shared" si="102"/>
        <v>1.3983865343413081E-2</v>
      </c>
      <c r="BG127" s="26" t="e">
        <f t="shared" ref="BG127:BH127" si="103">(BG81+BG13)/BG13</f>
        <v>#DIV/0!</v>
      </c>
      <c r="BH127" s="26">
        <f t="shared" si="103"/>
        <v>5.6107528755663987</v>
      </c>
      <c r="BI127" s="26">
        <f t="shared" ref="BI127" si="104">(BI81+BI13)/BI13</f>
        <v>0.8276220145379023</v>
      </c>
      <c r="BJ127" s="26" t="e">
        <f t="shared" ref="BJ127:BO127" si="105">(BJ81+BJ13)/BJ13</f>
        <v>#DIV/0!</v>
      </c>
      <c r="BK127" s="26" t="e">
        <f t="shared" si="105"/>
        <v>#DIV/0!</v>
      </c>
      <c r="BL127" s="26" t="e">
        <f t="shared" si="105"/>
        <v>#DIV/0!</v>
      </c>
      <c r="BM127" s="26" t="e">
        <f t="shared" si="105"/>
        <v>#DIV/0!</v>
      </c>
      <c r="BN127" s="26" t="e">
        <f t="shared" si="105"/>
        <v>#DIV/0!</v>
      </c>
      <c r="BO127" s="26">
        <f t="shared" si="105"/>
        <v>9.2473198403172377E-2</v>
      </c>
    </row>
    <row r="128" spans="2:67" s="27" customFormat="1" ht="12.75" x14ac:dyDescent="0.2">
      <c r="B128" s="26" t="s">
        <v>1574</v>
      </c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>
        <f t="shared" ref="P128:BB128" si="106">(P96+P34)/P34</f>
        <v>0.35248897443974903</v>
      </c>
      <c r="Q128" s="26">
        <f t="shared" si="106"/>
        <v>0.35906766376420174</v>
      </c>
      <c r="R128" s="26">
        <f t="shared" si="106"/>
        <v>0.38605263512925037</v>
      </c>
      <c r="S128" s="26">
        <f t="shared" si="106"/>
        <v>0.35909953255684723</v>
      </c>
      <c r="T128" s="26">
        <f t="shared" si="106"/>
        <v>0.38510736921695138</v>
      </c>
      <c r="U128" s="26">
        <f t="shared" si="106"/>
        <v>0.30788132226070103</v>
      </c>
      <c r="V128" s="62">
        <f t="shared" si="106"/>
        <v>0.28277407519530845</v>
      </c>
      <c r="W128" s="62">
        <f t="shared" si="106"/>
        <v>0.2855792363276633</v>
      </c>
      <c r="X128" s="62">
        <f t="shared" si="106"/>
        <v>0.23769826940375302</v>
      </c>
      <c r="Y128" s="62">
        <f t="shared" si="106"/>
        <v>0.22773500571522864</v>
      </c>
      <c r="Z128" s="62">
        <f t="shared" si="106"/>
        <v>0.26066889846571323</v>
      </c>
      <c r="AA128" s="62">
        <f t="shared" si="106"/>
        <v>0.25340907702033155</v>
      </c>
      <c r="AB128" s="62">
        <f t="shared" si="106"/>
        <v>0.31668662585580371</v>
      </c>
      <c r="AC128" s="26">
        <f t="shared" si="106"/>
        <v>0.31199334531611728</v>
      </c>
      <c r="AD128" s="26">
        <f t="shared" si="106"/>
        <v>0.31131441091808937</v>
      </c>
      <c r="AE128" s="26">
        <f t="shared" si="106"/>
        <v>0.31564226719342936</v>
      </c>
      <c r="AF128" s="26">
        <f t="shared" si="106"/>
        <v>0.33184229013592897</v>
      </c>
      <c r="AG128" s="26">
        <f t="shared" si="106"/>
        <v>0.32730813655310426</v>
      </c>
      <c r="AH128" s="26">
        <f t="shared" si="106"/>
        <v>0.31009647384519795</v>
      </c>
      <c r="AI128" s="26">
        <f t="shared" si="106"/>
        <v>0.37644910601578169</v>
      </c>
      <c r="AJ128" s="26">
        <f t="shared" si="106"/>
        <v>0.40854322964651513</v>
      </c>
      <c r="AK128" s="26">
        <f t="shared" si="106"/>
        <v>0.38642814008855242</v>
      </c>
      <c r="AL128" s="26">
        <f t="shared" si="106"/>
        <v>0.27957776734958661</v>
      </c>
      <c r="AM128" s="26">
        <f t="shared" si="106"/>
        <v>0.27183404050496668</v>
      </c>
      <c r="AN128" s="26">
        <f t="shared" si="106"/>
        <v>0.26975694294680896</v>
      </c>
      <c r="AO128" s="26">
        <f t="shared" si="106"/>
        <v>0.32728881959742073</v>
      </c>
      <c r="AP128" s="26">
        <f t="shared" si="106"/>
        <v>0.30839910856506386</v>
      </c>
      <c r="AQ128" s="26">
        <f t="shared" si="106"/>
        <v>0.30068361687371281</v>
      </c>
      <c r="AR128" s="26">
        <f t="shared" si="106"/>
        <v>0.25314672297092206</v>
      </c>
      <c r="AS128" s="26">
        <f t="shared" si="106"/>
        <v>0.36007456782374436</v>
      </c>
      <c r="AT128" s="26">
        <f t="shared" si="106"/>
        <v>0.33649222618669411</v>
      </c>
      <c r="AU128" s="26">
        <f t="shared" si="106"/>
        <v>0.33202379379754393</v>
      </c>
      <c r="AV128" s="26">
        <f t="shared" si="106"/>
        <v>0.36253361934701162</v>
      </c>
      <c r="AW128" s="26">
        <f t="shared" si="106"/>
        <v>0.32674061010995109</v>
      </c>
      <c r="AX128" s="26">
        <f t="shared" si="106"/>
        <v>0.31220805148397884</v>
      </c>
      <c r="AY128" s="26">
        <f t="shared" si="106"/>
        <v>0.36381025102684739</v>
      </c>
      <c r="AZ128" s="26">
        <f t="shared" si="106"/>
        <v>0.30744393726707248</v>
      </c>
      <c r="BA128" s="26">
        <f t="shared" si="106"/>
        <v>-0.1738160726136006</v>
      </c>
      <c r="BB128" s="26">
        <f t="shared" si="106"/>
        <v>0.28217195940121342</v>
      </c>
      <c r="BC128" s="26">
        <f t="shared" ref="BC128:BF128" si="107">(BC96+BC34)/BC34</f>
        <v>0.32321891083624449</v>
      </c>
      <c r="BD128" s="26">
        <f t="shared" si="107"/>
        <v>0.22330650343184613</v>
      </c>
      <c r="BE128" s="26">
        <f t="shared" si="107"/>
        <v>0.30716858287004373</v>
      </c>
      <c r="BF128" s="26">
        <f t="shared" si="107"/>
        <v>0.30115060738202126</v>
      </c>
      <c r="BG128" s="26">
        <f t="shared" ref="BG128:BH128" si="108">(BG96+BG34)/BG34</f>
        <v>0.36697613015603825</v>
      </c>
      <c r="BH128" s="26">
        <f t="shared" si="108"/>
        <v>0.29856299361781491</v>
      </c>
      <c r="BI128" s="26">
        <f t="shared" ref="BI128" si="109">(BI96+BI34)/BI34</f>
        <v>0.35336001416061913</v>
      </c>
      <c r="BJ128" s="26" t="e">
        <f t="shared" ref="BJ128:BO128" si="110">(BJ96+BJ34)/BJ34</f>
        <v>#DIV/0!</v>
      </c>
      <c r="BK128" s="26" t="e">
        <f t="shared" si="110"/>
        <v>#DIV/0!</v>
      </c>
      <c r="BL128" s="26" t="e">
        <f t="shared" si="110"/>
        <v>#DIV/0!</v>
      </c>
      <c r="BM128" s="26" t="e">
        <f t="shared" si="110"/>
        <v>#DIV/0!</v>
      </c>
      <c r="BN128" s="26" t="e">
        <f t="shared" si="110"/>
        <v>#DIV/0!</v>
      </c>
      <c r="BO128" s="26">
        <f t="shared" si="110"/>
        <v>0.30484614940950805</v>
      </c>
    </row>
    <row r="129" spans="2:67" s="27" customFormat="1" ht="12.75" x14ac:dyDescent="0.2">
      <c r="B129" s="26" t="s">
        <v>1575</v>
      </c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>
        <f t="shared" ref="P129:BF129" si="111">(P102+P44)/P44</f>
        <v>0.38642633077233823</v>
      </c>
      <c r="Q129" s="62">
        <f t="shared" si="111"/>
        <v>0.22233142287090787</v>
      </c>
      <c r="R129" s="26">
        <f t="shared" si="111"/>
        <v>0.40240826037526728</v>
      </c>
      <c r="S129" s="26">
        <f t="shared" si="111"/>
        <v>0.33732860946331239</v>
      </c>
      <c r="T129" s="26">
        <f t="shared" si="111"/>
        <v>0.10235168647704253</v>
      </c>
      <c r="U129" s="26">
        <f t="shared" si="111"/>
        <v>0.57162844395464973</v>
      </c>
      <c r="V129" s="26">
        <f t="shared" si="111"/>
        <v>0.34948653004129043</v>
      </c>
      <c r="W129" s="62">
        <f t="shared" si="111"/>
        <v>0.29987542705999998</v>
      </c>
      <c r="X129" s="62">
        <f t="shared" si="111"/>
        <v>0.27478810038503082</v>
      </c>
      <c r="Y129" s="26">
        <f t="shared" si="111"/>
        <v>0.38481205821585396</v>
      </c>
      <c r="Z129" s="26">
        <f t="shared" si="111"/>
        <v>0.12067918515206819</v>
      </c>
      <c r="AA129" s="26">
        <f t="shared" si="111"/>
        <v>0.22571329671646978</v>
      </c>
      <c r="AB129" s="26">
        <f t="shared" si="111"/>
        <v>0.28462209240292935</v>
      </c>
      <c r="AC129" s="26">
        <f t="shared" si="111"/>
        <v>0.29535788376442595</v>
      </c>
      <c r="AD129" s="26">
        <f t="shared" si="111"/>
        <v>0.44649301305062061</v>
      </c>
      <c r="AE129" s="26">
        <f t="shared" si="111"/>
        <v>0.23117798336443926</v>
      </c>
      <c r="AF129" s="26">
        <f t="shared" si="111"/>
        <v>0.30123719951401529</v>
      </c>
      <c r="AG129" s="26">
        <f t="shared" si="111"/>
        <v>0.29123068510192807</v>
      </c>
      <c r="AH129" s="26">
        <f t="shared" si="111"/>
        <v>0.45695663325595215</v>
      </c>
      <c r="AI129" s="26">
        <f t="shared" si="111"/>
        <v>0.30828536508333093</v>
      </c>
      <c r="AJ129" s="26">
        <f t="shared" si="111"/>
        <v>0.33222612625042064</v>
      </c>
      <c r="AK129" s="26">
        <f t="shared" si="111"/>
        <v>0.43600872305072097</v>
      </c>
      <c r="AL129" s="26">
        <f t="shared" si="111"/>
        <v>0.33120417756656273</v>
      </c>
      <c r="AM129" s="26">
        <f t="shared" si="111"/>
        <v>0.32945626309355652</v>
      </c>
      <c r="AN129" s="26">
        <f t="shared" si="111"/>
        <v>0.65443207721745922</v>
      </c>
      <c r="AO129" s="26">
        <f t="shared" si="111"/>
        <v>0.36276535535659921</v>
      </c>
      <c r="AP129" s="26">
        <f t="shared" si="111"/>
        <v>0.44748465552531702</v>
      </c>
      <c r="AQ129" s="26">
        <f t="shared" si="111"/>
        <v>0.21772975438572062</v>
      </c>
      <c r="AR129" s="26">
        <f t="shared" si="111"/>
        <v>0.43073050650645617</v>
      </c>
      <c r="AS129" s="26">
        <f t="shared" si="111"/>
        <v>0.42772767575003223</v>
      </c>
      <c r="AT129" s="26">
        <f t="shared" si="111"/>
        <v>0.39476239886210279</v>
      </c>
      <c r="AU129" s="26">
        <f t="shared" si="111"/>
        <v>0.38982531922204172</v>
      </c>
      <c r="AV129" s="26">
        <f t="shared" ref="AV129:AW129" si="112">(AV102+AV44)/AV44</f>
        <v>0.48796642081750313</v>
      </c>
      <c r="AW129" s="26">
        <f t="shared" si="112"/>
        <v>0.47979260237417753</v>
      </c>
      <c r="AX129" s="26">
        <f t="shared" ref="AX129" si="113">(AX102+AX44)/AX44</f>
        <v>0.48130917915742255</v>
      </c>
      <c r="AY129" s="26">
        <f t="shared" ref="AY129:AZ129" si="114">(AY102+AY44)/AY44</f>
        <v>0.4638065512380799</v>
      </c>
      <c r="AZ129" s="26">
        <f t="shared" si="114"/>
        <v>0.49045428925219842</v>
      </c>
      <c r="BA129" s="26">
        <f t="shared" ref="BA129" si="115">(BA102+BA44)/BA44</f>
        <v>0.49130536516279449</v>
      </c>
      <c r="BB129" s="26">
        <f t="shared" si="111"/>
        <v>0.44092635402934222</v>
      </c>
      <c r="BC129" s="26">
        <f t="shared" si="111"/>
        <v>0.42931438281461026</v>
      </c>
      <c r="BD129" s="26">
        <f t="shared" si="111"/>
        <v>0.47837940206161744</v>
      </c>
      <c r="BE129" s="26">
        <f t="shared" si="111"/>
        <v>0.48351848372974965</v>
      </c>
      <c r="BF129" s="26">
        <f t="shared" si="111"/>
        <v>0.44157323537266757</v>
      </c>
      <c r="BG129" s="26">
        <f t="shared" ref="BG129:BH129" si="116">(BG102+BG44)/BG44</f>
        <v>0.42430854821218406</v>
      </c>
      <c r="BH129" s="26">
        <f t="shared" si="116"/>
        <v>0.43714387209625072</v>
      </c>
      <c r="BI129" s="26">
        <f t="shared" ref="BI129" si="117">(BI102+BI44)/BI44</f>
        <v>0.46017267889455177</v>
      </c>
      <c r="BJ129" s="26" t="e">
        <f t="shared" ref="BJ129:BO129" si="118">(BJ102+BJ44)/BJ44</f>
        <v>#DIV/0!</v>
      </c>
      <c r="BK129" s="26" t="e">
        <f t="shared" si="118"/>
        <v>#DIV/0!</v>
      </c>
      <c r="BL129" s="26" t="e">
        <f t="shared" si="118"/>
        <v>#DIV/0!</v>
      </c>
      <c r="BM129" s="26" t="e">
        <f t="shared" si="118"/>
        <v>#DIV/0!</v>
      </c>
      <c r="BN129" s="26" t="e">
        <f t="shared" si="118"/>
        <v>#DIV/0!</v>
      </c>
      <c r="BO129" s="26">
        <f t="shared" si="118"/>
        <v>0.45149772993324039</v>
      </c>
    </row>
    <row r="130" spans="2:67" s="27" customFormat="1" ht="12.75" x14ac:dyDescent="0.2">
      <c r="B130" s="26" t="s">
        <v>1825</v>
      </c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>
        <f t="shared" ref="P130:BF130" si="119">(P121+P48)/P48</f>
        <v>0.32967893319125124</v>
      </c>
      <c r="Q130" s="26">
        <f t="shared" si="119"/>
        <v>0.54672119106627237</v>
      </c>
      <c r="R130" s="26">
        <f t="shared" si="119"/>
        <v>7.4962040145494541E-2</v>
      </c>
      <c r="S130" s="26">
        <f t="shared" si="119"/>
        <v>9.3685368870447899E-2</v>
      </c>
      <c r="T130" s="26">
        <f t="shared" si="119"/>
        <v>0.3074032087873721</v>
      </c>
      <c r="U130" s="26">
        <f t="shared" si="119"/>
        <v>0.26066088870137177</v>
      </c>
      <c r="V130" s="26">
        <f t="shared" si="119"/>
        <v>0.33284542982764959</v>
      </c>
      <c r="W130" s="26">
        <f t="shared" si="119"/>
        <v>0.26938147774166821</v>
      </c>
      <c r="X130" s="26">
        <f t="shared" si="119"/>
        <v>0.313464309301763</v>
      </c>
      <c r="Y130" s="26">
        <f t="shared" si="119"/>
        <v>0.26770330236821016</v>
      </c>
      <c r="Z130" s="26">
        <f t="shared" si="119"/>
        <v>0.2644347946746739</v>
      </c>
      <c r="AA130" s="26">
        <f t="shared" si="119"/>
        <v>0.12319944436366369</v>
      </c>
      <c r="AB130" s="26">
        <f t="shared" si="119"/>
        <v>0.26999792047126264</v>
      </c>
      <c r="AC130" s="62">
        <f t="shared" si="119"/>
        <v>0.48913786405003007</v>
      </c>
      <c r="AD130" s="62">
        <f t="shared" si="119"/>
        <v>0.37555128485779166</v>
      </c>
      <c r="AE130" s="62">
        <f t="shared" si="119"/>
        <v>0.52909659303819345</v>
      </c>
      <c r="AF130" s="62">
        <f t="shared" si="119"/>
        <v>0.19211212047742168</v>
      </c>
      <c r="AG130" s="62">
        <f t="shared" si="119"/>
        <v>0.17090524654874356</v>
      </c>
      <c r="AH130" s="62">
        <f t="shared" si="119"/>
        <v>0.27301413015215226</v>
      </c>
      <c r="AI130" s="62">
        <f t="shared" si="119"/>
        <v>0.42573749925515569</v>
      </c>
      <c r="AJ130" s="62">
        <f t="shared" si="119"/>
        <v>0.19412414845792658</v>
      </c>
      <c r="AK130" s="62">
        <f t="shared" si="119"/>
        <v>7.9469162210945979E-2</v>
      </c>
      <c r="AL130" s="62">
        <f t="shared" si="119"/>
        <v>0.20560312857529189</v>
      </c>
      <c r="AM130" s="62">
        <f t="shared" si="119"/>
        <v>0.22940276091970019</v>
      </c>
      <c r="AN130" s="62">
        <f t="shared" si="119"/>
        <v>3.156083647637685E-2</v>
      </c>
      <c r="AO130" s="62">
        <f t="shared" si="119"/>
        <v>0.28174100308590055</v>
      </c>
      <c r="AP130" s="62">
        <f t="shared" si="119"/>
        <v>0.43715582065701875</v>
      </c>
      <c r="AQ130" s="62">
        <f t="shared" si="119"/>
        <v>0.32702988395539329</v>
      </c>
      <c r="AR130" s="62">
        <f t="shared" si="119"/>
        <v>0.27944839217351436</v>
      </c>
      <c r="AS130" s="62">
        <f t="shared" si="119"/>
        <v>0.25177058068061692</v>
      </c>
      <c r="AT130" s="62">
        <f t="shared" si="119"/>
        <v>0.18656155718640335</v>
      </c>
      <c r="AU130" s="62">
        <f t="shared" si="119"/>
        <v>0.15310946455810989</v>
      </c>
      <c r="AV130" s="62">
        <f t="shared" ref="AV130:AW130" si="120">(AV121+AV48)/AV48</f>
        <v>0.41554422754440851</v>
      </c>
      <c r="AW130" s="62">
        <f t="shared" si="120"/>
        <v>0.42578403008377025</v>
      </c>
      <c r="AX130" s="62">
        <f t="shared" ref="AX130" si="121">(AX121+AX48)/AX48</f>
        <v>0.31456193963945073</v>
      </c>
      <c r="AY130" s="62">
        <f t="shared" ref="AY130:AZ130" si="122">(AY121+AY48)/AY48</f>
        <v>0.12709209110105696</v>
      </c>
      <c r="AZ130" s="62">
        <f t="shared" si="122"/>
        <v>0.17966113081325452</v>
      </c>
      <c r="BA130" s="62">
        <f t="shared" ref="BA130" si="123">(BA121+BA48)/BA48</f>
        <v>-0.27141273698813451</v>
      </c>
      <c r="BB130" s="62">
        <f t="shared" si="119"/>
        <v>0.2521431740942276</v>
      </c>
      <c r="BC130" s="62">
        <f t="shared" si="119"/>
        <v>0.32104823901225621</v>
      </c>
      <c r="BD130" s="62">
        <f t="shared" si="119"/>
        <v>-3.277631494146914E-2</v>
      </c>
      <c r="BE130" s="62">
        <f t="shared" si="119"/>
        <v>1.8013765198168087E-2</v>
      </c>
      <c r="BF130" s="62">
        <f t="shared" si="119"/>
        <v>1.179241669214678E-3</v>
      </c>
      <c r="BG130" s="62">
        <f t="shared" ref="BG130:BH130" si="124">(BG121+BG48)/BG48</f>
        <v>-0.1395099690258185</v>
      </c>
      <c r="BH130" s="62">
        <f t="shared" si="124"/>
        <v>-0.5658431827825674</v>
      </c>
      <c r="BI130" s="62">
        <f t="shared" ref="BI130" si="125">(BI121+BI48)/BI48</f>
        <v>-1.8806369725914006E-2</v>
      </c>
      <c r="BJ130" s="62" t="e">
        <f t="shared" ref="BJ130:BO130" si="126">(BJ121+BJ48)/BJ48</f>
        <v>#DIV/0!</v>
      </c>
      <c r="BK130" s="62" t="e">
        <f t="shared" si="126"/>
        <v>#DIV/0!</v>
      </c>
      <c r="BL130" s="62" t="e">
        <f t="shared" si="126"/>
        <v>#DIV/0!</v>
      </c>
      <c r="BM130" s="62" t="e">
        <f t="shared" si="126"/>
        <v>#DIV/0!</v>
      </c>
      <c r="BN130" s="62" t="e">
        <f t="shared" si="126"/>
        <v>#DIV/0!</v>
      </c>
      <c r="BO130" s="62">
        <f t="shared" si="126"/>
        <v>-1.4047136251174029E-2</v>
      </c>
    </row>
    <row r="131" spans="2:67" s="27" customFormat="1" ht="12.75" x14ac:dyDescent="0.2">
      <c r="B131" s="26" t="s">
        <v>1576</v>
      </c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>
        <f t="shared" ref="P131:BF131" si="127">(P123+P50)/P50</f>
        <v>0.29750877907272638</v>
      </c>
      <c r="Q131" s="26">
        <f t="shared" si="127"/>
        <v>0.33297510717581502</v>
      </c>
      <c r="R131" s="26">
        <f t="shared" si="127"/>
        <v>0.34355636721950183</v>
      </c>
      <c r="S131" s="26">
        <f t="shared" si="127"/>
        <v>0.29708119909102798</v>
      </c>
      <c r="T131" s="26">
        <f t="shared" si="127"/>
        <v>0.32035892968954216</v>
      </c>
      <c r="U131" s="26">
        <f t="shared" si="127"/>
        <v>0.29215612470485752</v>
      </c>
      <c r="V131" s="26">
        <f t="shared" si="127"/>
        <v>0.31834059621267957</v>
      </c>
      <c r="W131" s="26">
        <f t="shared" si="127"/>
        <v>0.3235714495370598</v>
      </c>
      <c r="X131" s="26">
        <f t="shared" si="127"/>
        <v>0.28977440699050566</v>
      </c>
      <c r="Y131" s="26">
        <f t="shared" si="127"/>
        <v>0.31287900835909954</v>
      </c>
      <c r="Z131" s="26">
        <f t="shared" si="127"/>
        <v>0.16348056033640043</v>
      </c>
      <c r="AA131" s="26">
        <f t="shared" si="127"/>
        <v>0.54998456650115379</v>
      </c>
      <c r="AB131" s="26">
        <f t="shared" si="127"/>
        <v>0.31217940744701145</v>
      </c>
      <c r="AC131" s="26">
        <f t="shared" si="127"/>
        <v>0.310004208373659</v>
      </c>
      <c r="AD131" s="26">
        <f t="shared" si="127"/>
        <v>0.31993007005907997</v>
      </c>
      <c r="AE131" s="26">
        <f t="shared" si="127"/>
        <v>0.3104479579318854</v>
      </c>
      <c r="AF131" s="26">
        <f t="shared" si="127"/>
        <v>0.30543398358216933</v>
      </c>
      <c r="AG131" s="26">
        <f t="shared" si="127"/>
        <v>0.27567832880658788</v>
      </c>
      <c r="AH131" s="26">
        <f t="shared" si="127"/>
        <v>0.3144455340841909</v>
      </c>
      <c r="AI131" s="26">
        <f t="shared" si="127"/>
        <v>0.29781254993521067</v>
      </c>
      <c r="AJ131" s="26">
        <f t="shared" si="127"/>
        <v>0.28684656744376946</v>
      </c>
      <c r="AK131" s="26">
        <f t="shared" si="127"/>
        <v>0.19024288146004684</v>
      </c>
      <c r="AL131" s="26">
        <f t="shared" si="127"/>
        <v>0.25664475037039775</v>
      </c>
      <c r="AM131" s="26">
        <f t="shared" si="127"/>
        <v>0.25356394957674139</v>
      </c>
      <c r="AN131" s="26">
        <f t="shared" si="127"/>
        <v>0.2532936070653245</v>
      </c>
      <c r="AO131" s="26">
        <f t="shared" si="127"/>
        <v>0.2897501020099994</v>
      </c>
      <c r="AP131" s="26">
        <f t="shared" si="127"/>
        <v>0.24868406508589311</v>
      </c>
      <c r="AQ131" s="26">
        <f t="shared" si="127"/>
        <v>0.25908210996919656</v>
      </c>
      <c r="AR131" s="26">
        <f t="shared" si="127"/>
        <v>0.24195180681582173</v>
      </c>
      <c r="AS131" s="26">
        <f t="shared" si="127"/>
        <v>0.26758715063033034</v>
      </c>
      <c r="AT131" s="26">
        <f t="shared" si="127"/>
        <v>0.20940037678067583</v>
      </c>
      <c r="AU131" s="26">
        <f t="shared" si="127"/>
        <v>0.28040121606153717</v>
      </c>
      <c r="AV131" s="26">
        <f t="shared" ref="AV131:AW131" si="128">(AV123+AV50)/AV50</f>
        <v>0.25302802848808431</v>
      </c>
      <c r="AW131" s="26">
        <f t="shared" si="128"/>
        <v>0.21599216287191378</v>
      </c>
      <c r="AX131" s="26">
        <f t="shared" ref="AX131" si="129">(AX123+AX50)/AX50</f>
        <v>0.28429515653996718</v>
      </c>
      <c r="AY131" s="26">
        <f t="shared" ref="AY131:AZ131" si="130">(AY123+AY50)/AY50</f>
        <v>0.21886740261955179</v>
      </c>
      <c r="AZ131" s="26">
        <f t="shared" si="130"/>
        <v>0.2449403169818257</v>
      </c>
      <c r="BA131" s="26">
        <f t="shared" ref="BA131" si="131">(BA123+BA50)/BA50</f>
        <v>0.26601415627565234</v>
      </c>
      <c r="BB131" s="26">
        <f t="shared" si="127"/>
        <v>0.25093746401477091</v>
      </c>
      <c r="BC131" s="26">
        <f t="shared" si="127"/>
        <v>0.35625229007640735</v>
      </c>
      <c r="BD131" s="26">
        <f t="shared" si="127"/>
        <v>0.2619467798289084</v>
      </c>
      <c r="BE131" s="26">
        <f t="shared" si="127"/>
        <v>0.29613503913036332</v>
      </c>
      <c r="BF131" s="26">
        <f t="shared" si="127"/>
        <v>0.2777688940776129</v>
      </c>
      <c r="BG131" s="26">
        <f t="shared" ref="BG131:BH131" si="132">(BG123+BG50)/BG50</f>
        <v>0.26590010304153539</v>
      </c>
      <c r="BH131" s="26">
        <f t="shared" si="132"/>
        <v>0.27641498133758718</v>
      </c>
      <c r="BI131" s="26">
        <f t="shared" ref="BI131" si="133">(BI123+BI50)/BI50</f>
        <v>0.33949735633794803</v>
      </c>
      <c r="BJ131" s="26" t="e">
        <f t="shared" ref="BJ131:BO131" si="134">(BJ123+BJ50)/BJ50</f>
        <v>#DIV/0!</v>
      </c>
      <c r="BK131" s="26" t="e">
        <f t="shared" si="134"/>
        <v>#DIV/0!</v>
      </c>
      <c r="BL131" s="26" t="e">
        <f t="shared" si="134"/>
        <v>#DIV/0!</v>
      </c>
      <c r="BM131" s="26" t="e">
        <f t="shared" si="134"/>
        <v>#DIV/0!</v>
      </c>
      <c r="BN131" s="26" t="e">
        <f t="shared" si="134"/>
        <v>#DIV/0!</v>
      </c>
      <c r="BO131" s="26">
        <f t="shared" si="134"/>
        <v>0.29761544681125374</v>
      </c>
    </row>
    <row r="132" spans="2:67" x14ac:dyDescent="0.2">
      <c r="B132" s="3" t="s">
        <v>314</v>
      </c>
      <c r="C132" s="23">
        <v>47720.12</v>
      </c>
      <c r="D132" s="24">
        <v>61155.24</v>
      </c>
      <c r="E132" s="24">
        <v>56815.03</v>
      </c>
      <c r="F132" s="24">
        <v>60667.6</v>
      </c>
      <c r="G132" s="24">
        <v>59841.17</v>
      </c>
      <c r="H132" s="24">
        <v>59707.33</v>
      </c>
      <c r="I132" s="24">
        <v>59298.69</v>
      </c>
      <c r="J132" s="24">
        <v>60933</v>
      </c>
      <c r="K132" s="24">
        <v>61421.49</v>
      </c>
      <c r="L132" s="24">
        <v>61319.68</v>
      </c>
      <c r="M132" s="24">
        <v>64001.1</v>
      </c>
      <c r="N132" s="24">
        <v>65428.24</v>
      </c>
      <c r="O132" s="24">
        <f t="shared" ref="O132:O144" si="135">SUBTOTAL(9,C132:N132)</f>
        <v>718308.69000000006</v>
      </c>
      <c r="P132" s="24">
        <v>67660.800000000003</v>
      </c>
      <c r="Q132" s="24">
        <v>69990.33</v>
      </c>
      <c r="R132" s="24">
        <v>68488.84</v>
      </c>
      <c r="S132" s="24">
        <v>71529.67</v>
      </c>
      <c r="T132" s="24">
        <v>72372.259999999995</v>
      </c>
      <c r="U132" s="24">
        <v>71327.25</v>
      </c>
      <c r="V132" s="24">
        <v>71402.11</v>
      </c>
      <c r="W132" s="20">
        <v>69292.97</v>
      </c>
      <c r="X132" s="20">
        <v>70291.960000000006</v>
      </c>
      <c r="Y132" s="83">
        <v>70583.100000000006</v>
      </c>
      <c r="Z132" s="83">
        <v>72887.929999999993</v>
      </c>
      <c r="AA132" s="83">
        <v>72834.559999999998</v>
      </c>
      <c r="AB132" s="8">
        <f t="shared" ref="AB132:AB168" si="136">SUM(P132:AA132)</f>
        <v>848661.78</v>
      </c>
      <c r="AC132" s="24">
        <v>71149.009999999995</v>
      </c>
      <c r="AD132" s="24">
        <v>73950.399999999994</v>
      </c>
      <c r="AE132" s="24">
        <v>72182.87</v>
      </c>
      <c r="AF132" s="24">
        <v>70089.87</v>
      </c>
      <c r="AG132" s="24">
        <v>70936.97</v>
      </c>
      <c r="AH132" s="24">
        <v>69226.05</v>
      </c>
      <c r="AI132" s="24">
        <v>69912.100000000006</v>
      </c>
      <c r="AJ132" s="20">
        <v>67027.62</v>
      </c>
      <c r="AK132" s="20">
        <v>70961.22</v>
      </c>
      <c r="AL132" s="83">
        <v>67803.87</v>
      </c>
      <c r="AM132" s="83">
        <v>66663.179999999993</v>
      </c>
      <c r="AN132" s="83">
        <v>67617.94</v>
      </c>
      <c r="AO132" s="8">
        <f t="shared" ref="AO132:AO176" si="137">SUM(AC132:AN132)</f>
        <v>837521.09999999986</v>
      </c>
      <c r="AP132" s="24">
        <v>66477.42</v>
      </c>
      <c r="AQ132" s="24">
        <v>63873.62</v>
      </c>
      <c r="AR132" s="24">
        <f>VLOOKUP(B132,'[1]Sheet1 (2)'!$B$2:$C$397,2,0)</f>
        <v>65625.149999999994</v>
      </c>
      <c r="AS132" s="24">
        <f>VLOOKUP(B132,'[2]Sheet1 (2)'!$B$2:$C$404,2,0)</f>
        <v>64102.36</v>
      </c>
      <c r="AT132" s="24">
        <v>64480.05</v>
      </c>
      <c r="AU132" s="24">
        <v>62795.95</v>
      </c>
      <c r="AV132" s="24">
        <v>57385.81</v>
      </c>
      <c r="AW132" s="20">
        <v>56345.74</v>
      </c>
      <c r="AX132" s="20">
        <v>59027.49</v>
      </c>
      <c r="AY132" s="83">
        <v>59777.22</v>
      </c>
      <c r="AZ132" s="83">
        <v>60444.3</v>
      </c>
      <c r="BA132" s="83">
        <v>61404.59</v>
      </c>
      <c r="BB132" s="8">
        <f t="shared" ref="BB132:BB178" si="138">SUM(AP132:BA132)</f>
        <v>741739.7</v>
      </c>
      <c r="BC132" s="24">
        <v>60159.839999999997</v>
      </c>
      <c r="BD132" s="24">
        <v>64397.8</v>
      </c>
      <c r="BE132" s="24">
        <v>61806.559999999998</v>
      </c>
      <c r="BF132" s="24">
        <v>60596.97</v>
      </c>
      <c r="BG132" s="24">
        <v>58119.03</v>
      </c>
      <c r="BH132" s="24">
        <v>52919.96</v>
      </c>
      <c r="BI132" s="24">
        <v>57868.86</v>
      </c>
      <c r="BN132" s="83"/>
      <c r="BO132" s="8">
        <f t="shared" ref="BO132:BO178" si="139">SUM(BC132:BN132)</f>
        <v>415869.02</v>
      </c>
    </row>
    <row r="133" spans="2:67" x14ac:dyDescent="0.2">
      <c r="B133" s="3" t="s">
        <v>315</v>
      </c>
      <c r="C133" s="23">
        <v>3030.51</v>
      </c>
      <c r="D133" s="24">
        <v>1605.14</v>
      </c>
      <c r="E133" s="24">
        <v>1149.19</v>
      </c>
      <c r="F133" s="24">
        <v>2978.89</v>
      </c>
      <c r="G133" s="24">
        <v>4126.59</v>
      </c>
      <c r="H133" s="24">
        <v>3833.42</v>
      </c>
      <c r="I133" s="24">
        <v>1067.81</v>
      </c>
      <c r="J133" s="24">
        <v>1125.52</v>
      </c>
      <c r="K133" s="24">
        <v>2520.87</v>
      </c>
      <c r="L133" s="24">
        <v>657.94</v>
      </c>
      <c r="M133" s="24">
        <v>1463.48</v>
      </c>
      <c r="N133" s="24">
        <v>3103.01</v>
      </c>
      <c r="O133" s="24">
        <f t="shared" si="135"/>
        <v>26662.369999999995</v>
      </c>
      <c r="P133" s="24">
        <v>2167.0100000000002</v>
      </c>
      <c r="Q133" s="24">
        <v>2174.06</v>
      </c>
      <c r="R133" s="24">
        <v>2647.14</v>
      </c>
      <c r="S133" s="24">
        <v>2383.04</v>
      </c>
      <c r="T133" s="24">
        <v>2936.83</v>
      </c>
      <c r="U133" s="24">
        <v>3906.25</v>
      </c>
      <c r="V133" s="24">
        <v>2329.3000000000002</v>
      </c>
      <c r="W133" s="20">
        <v>1092.9100000000001</v>
      </c>
      <c r="X133" s="20">
        <v>2419.46</v>
      </c>
      <c r="Y133" s="83">
        <v>2033.93</v>
      </c>
      <c r="Z133" s="83">
        <v>3417.34</v>
      </c>
      <c r="AA133" s="83">
        <v>3454.65</v>
      </c>
      <c r="AB133" s="8">
        <f t="shared" si="136"/>
        <v>30961.920000000002</v>
      </c>
      <c r="AC133" s="24">
        <v>4723.58</v>
      </c>
      <c r="AD133" s="24">
        <v>737.7</v>
      </c>
      <c r="AE133" s="24">
        <v>1204.5899999999999</v>
      </c>
      <c r="AF133" s="24">
        <v>2831.81</v>
      </c>
      <c r="AG133" s="24">
        <v>1372.94</v>
      </c>
      <c r="AH133" s="24">
        <v>5112.29</v>
      </c>
      <c r="AI133" s="24">
        <v>2357.62</v>
      </c>
      <c r="AJ133" s="20">
        <v>2294.7600000000002</v>
      </c>
      <c r="AK133" s="20">
        <v>1109.27</v>
      </c>
      <c r="AL133" s="83">
        <v>1760.56</v>
      </c>
      <c r="AM133" s="83">
        <v>2510.9899999999998</v>
      </c>
      <c r="AN133" s="83">
        <v>3303.63</v>
      </c>
      <c r="AO133" s="8">
        <f t="shared" si="137"/>
        <v>29319.74</v>
      </c>
      <c r="AP133" s="24">
        <v>1928.85</v>
      </c>
      <c r="AQ133" s="24">
        <v>1678.16</v>
      </c>
      <c r="AR133" s="24">
        <f>VLOOKUP(B133,'[1]Sheet1 (2)'!$B$2:$C$397,2,0)</f>
        <v>3621.87</v>
      </c>
      <c r="AS133" s="24">
        <f>VLOOKUP(B133,'[2]Sheet1 (2)'!$B$2:$C$404,2,0)</f>
        <v>2555.11</v>
      </c>
      <c r="AT133" s="24">
        <v>2911.79</v>
      </c>
      <c r="AU133" s="24">
        <v>1964.15</v>
      </c>
      <c r="AV133" s="24">
        <v>1441.89</v>
      </c>
      <c r="AW133" s="20">
        <v>2493.88</v>
      </c>
      <c r="AX133" s="20">
        <v>1547.85</v>
      </c>
      <c r="AY133" s="83">
        <v>677.02</v>
      </c>
      <c r="AZ133" s="83">
        <v>2885.94</v>
      </c>
      <c r="BA133" s="83">
        <v>4218.09</v>
      </c>
      <c r="BB133" s="8">
        <f t="shared" si="138"/>
        <v>27924.599999999995</v>
      </c>
      <c r="BC133" s="24">
        <v>2780.74</v>
      </c>
      <c r="BD133" s="24">
        <v>787.28</v>
      </c>
      <c r="BE133" s="24">
        <v>1984.17</v>
      </c>
      <c r="BF133" s="24">
        <v>5642.31</v>
      </c>
      <c r="BG133" s="24">
        <v>4801.8900000000003</v>
      </c>
      <c r="BH133" s="24">
        <v>2875.93</v>
      </c>
      <c r="BI133" s="24">
        <v>2870.97</v>
      </c>
      <c r="BN133" s="83"/>
      <c r="BO133" s="8">
        <f t="shared" si="139"/>
        <v>21743.29</v>
      </c>
    </row>
    <row r="134" spans="2:67" x14ac:dyDescent="0.2">
      <c r="B134" s="3" t="s">
        <v>558</v>
      </c>
      <c r="C134" s="23">
        <v>0</v>
      </c>
      <c r="D134" s="24">
        <v>1574.29</v>
      </c>
      <c r="E134" s="24">
        <v>0</v>
      </c>
      <c r="F134" s="24">
        <v>49728.71</v>
      </c>
      <c r="G134" s="24">
        <v>0</v>
      </c>
      <c r="H134" s="24">
        <v>0</v>
      </c>
      <c r="I134" s="24">
        <v>0</v>
      </c>
      <c r="J134" s="24">
        <v>0</v>
      </c>
      <c r="K134" s="24">
        <v>0</v>
      </c>
      <c r="L134" s="24">
        <v>0</v>
      </c>
      <c r="M134" s="24">
        <v>1678.75</v>
      </c>
      <c r="N134" s="24">
        <v>0</v>
      </c>
      <c r="O134" s="24">
        <f t="shared" si="135"/>
        <v>52981.75</v>
      </c>
      <c r="P134" s="24">
        <v>0</v>
      </c>
      <c r="Q134" s="24">
        <v>1578.17</v>
      </c>
      <c r="R134" s="24">
        <v>60321.61</v>
      </c>
      <c r="S134" s="24">
        <v>0</v>
      </c>
      <c r="T134" s="24">
        <v>0</v>
      </c>
      <c r="U134" s="24">
        <v>0</v>
      </c>
      <c r="V134" s="24">
        <v>0</v>
      </c>
      <c r="W134" s="20">
        <v>0</v>
      </c>
      <c r="X134" s="20">
        <v>0</v>
      </c>
      <c r="Y134" s="83">
        <v>5.27</v>
      </c>
      <c r="Z134" s="83">
        <v>2168</v>
      </c>
      <c r="AA134" s="83">
        <v>0</v>
      </c>
      <c r="AB134" s="8">
        <f t="shared" si="136"/>
        <v>64073.049999999996</v>
      </c>
      <c r="AC134" s="24">
        <v>0</v>
      </c>
      <c r="AD134" s="24">
        <v>1552.31</v>
      </c>
      <c r="AE134" s="24">
        <v>66483.12</v>
      </c>
      <c r="AF134" s="24">
        <v>0</v>
      </c>
      <c r="AG134" s="24">
        <v>0</v>
      </c>
      <c r="AH134" s="24">
        <v>0</v>
      </c>
      <c r="AI134" s="24">
        <v>0</v>
      </c>
      <c r="AJ134" s="20">
        <v>0</v>
      </c>
      <c r="AK134" s="20">
        <v>0</v>
      </c>
      <c r="AL134" s="83">
        <v>0</v>
      </c>
      <c r="AM134" s="83">
        <v>2335.69</v>
      </c>
      <c r="AN134" s="83">
        <v>0</v>
      </c>
      <c r="AO134" s="8">
        <f t="shared" si="137"/>
        <v>70371.12</v>
      </c>
      <c r="AP134" s="24">
        <v>0</v>
      </c>
      <c r="AQ134" s="24">
        <v>1492.28</v>
      </c>
      <c r="AR134" s="24">
        <f>VLOOKUP(B134,'[1]Sheet1 (2)'!$B$2:$C$397,2,0)</f>
        <v>61835.22</v>
      </c>
      <c r="AS134" s="24">
        <f>VLOOKUP(B134,'[2]Sheet1 (2)'!$B$2:$C$404,2,0)</f>
        <v>0</v>
      </c>
      <c r="AT134" s="24">
        <v>0</v>
      </c>
      <c r="AU134" s="24">
        <v>0</v>
      </c>
      <c r="AV134" s="24">
        <v>0</v>
      </c>
      <c r="AW134" s="20">
        <v>0</v>
      </c>
      <c r="AX134" s="20">
        <v>0</v>
      </c>
      <c r="AY134" s="83">
        <v>0</v>
      </c>
      <c r="AZ134" s="83">
        <v>1983.85</v>
      </c>
      <c r="BA134" s="83">
        <v>0</v>
      </c>
      <c r="BB134" s="8">
        <f t="shared" si="138"/>
        <v>65311.35</v>
      </c>
      <c r="BC134" s="24">
        <v>0</v>
      </c>
      <c r="BD134" s="24">
        <v>1467.86</v>
      </c>
      <c r="BE134" s="24">
        <v>58916.5</v>
      </c>
      <c r="BF134" s="24">
        <v>0</v>
      </c>
      <c r="BG134" s="24">
        <v>0</v>
      </c>
      <c r="BH134" s="24">
        <v>-1081.32</v>
      </c>
      <c r="BI134" s="24">
        <v>0</v>
      </c>
      <c r="BN134" s="83"/>
      <c r="BO134" s="8">
        <f t="shared" si="139"/>
        <v>59303.040000000001</v>
      </c>
    </row>
    <row r="135" spans="2:67" x14ac:dyDescent="0.2">
      <c r="B135" s="3" t="s">
        <v>559</v>
      </c>
      <c r="C135" s="23">
        <v>3030.51</v>
      </c>
      <c r="D135" s="24">
        <v>1249.21</v>
      </c>
      <c r="E135" s="24">
        <v>128.99</v>
      </c>
      <c r="F135" s="24">
        <v>0</v>
      </c>
      <c r="G135" s="24">
        <v>0</v>
      </c>
      <c r="H135" s="24">
        <v>886.72</v>
      </c>
      <c r="I135" s="24">
        <v>0</v>
      </c>
      <c r="J135" s="24">
        <v>0</v>
      </c>
      <c r="K135" s="24">
        <v>0</v>
      </c>
      <c r="L135" s="24">
        <v>0</v>
      </c>
      <c r="M135" s="24">
        <v>0</v>
      </c>
      <c r="N135" s="24">
        <v>0</v>
      </c>
      <c r="O135" s="24">
        <f t="shared" si="135"/>
        <v>5295.43</v>
      </c>
      <c r="P135" s="24">
        <v>0</v>
      </c>
      <c r="Q135" s="24">
        <v>476.12</v>
      </c>
      <c r="R135" s="24">
        <v>0</v>
      </c>
      <c r="S135" s="24">
        <v>0</v>
      </c>
      <c r="T135" s="24">
        <v>777</v>
      </c>
      <c r="U135" s="24">
        <v>420.15</v>
      </c>
      <c r="V135" s="24">
        <v>0</v>
      </c>
      <c r="W135" s="20">
        <v>0</v>
      </c>
      <c r="X135" s="20">
        <v>0</v>
      </c>
      <c r="Y135" s="83">
        <v>0</v>
      </c>
      <c r="Z135" s="83">
        <v>0</v>
      </c>
      <c r="AA135" s="83">
        <v>0</v>
      </c>
      <c r="AB135" s="8">
        <f t="shared" si="136"/>
        <v>1673.27</v>
      </c>
      <c r="AC135" s="24">
        <v>0</v>
      </c>
      <c r="AD135" s="24">
        <v>411.83</v>
      </c>
      <c r="AE135" s="24">
        <v>0</v>
      </c>
      <c r="AF135" s="24">
        <v>3037.92</v>
      </c>
      <c r="AG135" s="24">
        <v>0</v>
      </c>
      <c r="AH135" s="24">
        <v>0</v>
      </c>
      <c r="AI135" s="24">
        <v>0</v>
      </c>
      <c r="AJ135" s="20">
        <v>875.99</v>
      </c>
      <c r="AK135" s="20">
        <v>1177.68</v>
      </c>
      <c r="AL135" s="83">
        <v>3744.17</v>
      </c>
      <c r="AM135" s="83">
        <v>0</v>
      </c>
      <c r="AN135" s="83">
        <v>0</v>
      </c>
      <c r="AO135" s="8">
        <f t="shared" si="137"/>
        <v>9247.59</v>
      </c>
      <c r="AP135" s="24">
        <v>0</v>
      </c>
      <c r="AQ135" s="24">
        <v>400.62</v>
      </c>
      <c r="AR135" s="24">
        <f>VLOOKUP(B135,'[1]Sheet1 (2)'!$B$2:$C$397,2,0)</f>
        <v>0</v>
      </c>
      <c r="AS135" s="24">
        <f>VLOOKUP(B135,'[2]Sheet1 (2)'!$B$2:$C$404,2,0)</f>
        <v>2317.0100000000002</v>
      </c>
      <c r="AT135" s="24">
        <v>0</v>
      </c>
      <c r="AU135" s="24">
        <v>0</v>
      </c>
      <c r="AV135" s="24">
        <v>0</v>
      </c>
      <c r="AW135" s="20">
        <v>0</v>
      </c>
      <c r="AX135" s="20">
        <v>0</v>
      </c>
      <c r="AY135" s="83">
        <v>0</v>
      </c>
      <c r="AZ135" s="83">
        <v>355.46</v>
      </c>
      <c r="BA135" s="83">
        <v>0</v>
      </c>
      <c r="BB135" s="8">
        <f t="shared" si="138"/>
        <v>3073.09</v>
      </c>
      <c r="BC135" s="24">
        <v>0</v>
      </c>
      <c r="BD135" s="24">
        <v>0</v>
      </c>
      <c r="BE135" s="24">
        <v>0</v>
      </c>
      <c r="BF135" s="24">
        <v>0</v>
      </c>
      <c r="BG135" s="24">
        <v>0</v>
      </c>
      <c r="BH135" s="24">
        <v>0</v>
      </c>
      <c r="BI135" s="24">
        <v>0</v>
      </c>
      <c r="BN135" s="83"/>
      <c r="BO135" s="8">
        <f t="shared" si="139"/>
        <v>0</v>
      </c>
    </row>
    <row r="136" spans="2:67" x14ac:dyDescent="0.2">
      <c r="B136" s="3" t="s">
        <v>316</v>
      </c>
      <c r="C136" s="23">
        <v>21674.33</v>
      </c>
      <c r="D136" s="24">
        <v>3917.69</v>
      </c>
      <c r="E136" s="24">
        <v>13008.08</v>
      </c>
      <c r="F136" s="24">
        <v>13320.33</v>
      </c>
      <c r="G136" s="24">
        <v>15043.31</v>
      </c>
      <c r="H136" s="24">
        <v>14245.81</v>
      </c>
      <c r="I136" s="24">
        <v>13837.09</v>
      </c>
      <c r="J136" s="24">
        <v>12805.74</v>
      </c>
      <c r="K136" s="24">
        <v>14741.9</v>
      </c>
      <c r="L136" s="24">
        <v>15269.28</v>
      </c>
      <c r="M136" s="24">
        <v>16004.39</v>
      </c>
      <c r="N136" s="24">
        <v>17108.439999999999</v>
      </c>
      <c r="O136" s="24">
        <f t="shared" si="135"/>
        <v>170976.39</v>
      </c>
      <c r="P136" s="24">
        <v>17490.57</v>
      </c>
      <c r="Q136" s="24">
        <v>17789.38</v>
      </c>
      <c r="R136" s="24">
        <v>17765.740000000002</v>
      </c>
      <c r="S136" s="24">
        <v>17733.23</v>
      </c>
      <c r="T136" s="24">
        <v>17581.060000000001</v>
      </c>
      <c r="U136" s="24">
        <v>17954.45</v>
      </c>
      <c r="V136" s="24">
        <v>17587.18</v>
      </c>
      <c r="W136" s="20">
        <v>17164.3</v>
      </c>
      <c r="X136" s="20">
        <v>17470.45</v>
      </c>
      <c r="Y136" s="83">
        <v>17442.29</v>
      </c>
      <c r="Z136" s="83">
        <v>18087.91</v>
      </c>
      <c r="AA136" s="83">
        <v>17483.13</v>
      </c>
      <c r="AB136" s="8">
        <f t="shared" si="136"/>
        <v>211549.69</v>
      </c>
      <c r="AC136" s="24">
        <v>16113.62</v>
      </c>
      <c r="AD136" s="24">
        <v>18688.82</v>
      </c>
      <c r="AE136" s="24">
        <v>18485.7</v>
      </c>
      <c r="AF136" s="24">
        <v>17644.36</v>
      </c>
      <c r="AG136" s="24">
        <v>16173.55</v>
      </c>
      <c r="AH136" s="24">
        <v>17939.57</v>
      </c>
      <c r="AI136" s="24">
        <v>16896.57</v>
      </c>
      <c r="AJ136" s="20">
        <v>14811.61</v>
      </c>
      <c r="AK136" s="20">
        <v>17153.310000000001</v>
      </c>
      <c r="AL136" s="83">
        <v>16891.810000000001</v>
      </c>
      <c r="AM136" s="83">
        <v>16816.07</v>
      </c>
      <c r="AN136" s="83">
        <v>16324.83</v>
      </c>
      <c r="AO136" s="8">
        <f t="shared" si="137"/>
        <v>203939.81999999998</v>
      </c>
      <c r="AP136" s="24">
        <v>15339.23</v>
      </c>
      <c r="AQ136" s="24">
        <v>15088.48</v>
      </c>
      <c r="AR136" s="24">
        <f>VLOOKUP(B136,'[1]Sheet1 (2)'!$B$2:$C$397,2,0)</f>
        <v>16148.04</v>
      </c>
      <c r="AS136" s="24">
        <f>VLOOKUP(B136,'[2]Sheet1 (2)'!$B$2:$C$404,2,0)</f>
        <v>15769.8</v>
      </c>
      <c r="AT136" s="24">
        <v>14747.13</v>
      </c>
      <c r="AU136" s="24">
        <v>15658.91</v>
      </c>
      <c r="AV136" s="24">
        <v>13706.9</v>
      </c>
      <c r="AW136" s="20">
        <v>12773.26</v>
      </c>
      <c r="AX136" s="20">
        <v>13642.1</v>
      </c>
      <c r="AY136" s="83">
        <v>14533.31</v>
      </c>
      <c r="AZ136" s="83">
        <v>13867.76</v>
      </c>
      <c r="BA136" s="83">
        <v>14025.52</v>
      </c>
      <c r="BB136" s="8">
        <f t="shared" si="138"/>
        <v>175300.44</v>
      </c>
      <c r="BC136" s="24">
        <v>13222.4</v>
      </c>
      <c r="BD136" s="24">
        <v>14685.98</v>
      </c>
      <c r="BE136" s="24">
        <v>14496.57</v>
      </c>
      <c r="BF136" s="24">
        <v>13455.91</v>
      </c>
      <c r="BG136" s="24">
        <v>13092.21</v>
      </c>
      <c r="BH136" s="24">
        <v>11725</v>
      </c>
      <c r="BI136" s="24">
        <v>12760.25</v>
      </c>
      <c r="BN136" s="83"/>
      <c r="BO136" s="8">
        <f t="shared" si="139"/>
        <v>93438.32</v>
      </c>
    </row>
    <row r="137" spans="2:67" x14ac:dyDescent="0.2">
      <c r="B137" s="3" t="s">
        <v>317</v>
      </c>
      <c r="C137" s="23">
        <v>423.23</v>
      </c>
      <c r="D137" s="24">
        <v>104.68</v>
      </c>
      <c r="E137" s="24">
        <v>189.79</v>
      </c>
      <c r="F137" s="24">
        <v>198.59</v>
      </c>
      <c r="G137" s="24">
        <v>190.98</v>
      </c>
      <c r="H137" s="24">
        <v>227.98</v>
      </c>
      <c r="I137" s="24">
        <v>138.47999999999999</v>
      </c>
      <c r="J137" s="24">
        <v>176.39</v>
      </c>
      <c r="K137" s="24">
        <v>253.76</v>
      </c>
      <c r="L137" s="24">
        <v>19969.560000000001</v>
      </c>
      <c r="M137" s="24">
        <v>238.61</v>
      </c>
      <c r="N137" s="24">
        <v>23468.36</v>
      </c>
      <c r="O137" s="24">
        <f t="shared" si="135"/>
        <v>45580.41</v>
      </c>
      <c r="P137" s="24">
        <v>258.06</v>
      </c>
      <c r="Q137" s="24">
        <v>26941.63</v>
      </c>
      <c r="R137" s="24">
        <v>309</v>
      </c>
      <c r="S137" s="24">
        <v>30065.37</v>
      </c>
      <c r="T137" s="24">
        <v>323.89</v>
      </c>
      <c r="U137" s="24">
        <v>28421.86</v>
      </c>
      <c r="V137" s="24">
        <v>410.95</v>
      </c>
      <c r="W137" s="20">
        <v>33438.35</v>
      </c>
      <c r="X137" s="20">
        <v>420.56</v>
      </c>
      <c r="Y137" s="83">
        <v>33707.18</v>
      </c>
      <c r="Z137" s="83">
        <v>557.14</v>
      </c>
      <c r="AA137" s="83">
        <v>33131.050000000003</v>
      </c>
      <c r="AB137" s="8">
        <f t="shared" si="136"/>
        <v>187985.03999999998</v>
      </c>
      <c r="AC137" s="24">
        <v>373.75</v>
      </c>
      <c r="AD137" s="24">
        <v>32658.34</v>
      </c>
      <c r="AE137" s="24">
        <v>439.04</v>
      </c>
      <c r="AF137" s="24">
        <v>32124.26</v>
      </c>
      <c r="AG137" s="24">
        <v>404.08</v>
      </c>
      <c r="AH137" s="24">
        <v>31971.78</v>
      </c>
      <c r="AI137" s="24">
        <v>439.16</v>
      </c>
      <c r="AJ137" s="20">
        <v>33203.230000000003</v>
      </c>
      <c r="AK137" s="20">
        <v>389.07</v>
      </c>
      <c r="AL137" s="83">
        <v>31989.7</v>
      </c>
      <c r="AM137" s="83">
        <v>1002.82</v>
      </c>
      <c r="AN137" s="83">
        <v>29555.53</v>
      </c>
      <c r="AO137" s="8">
        <f t="shared" si="137"/>
        <v>194550.76000000004</v>
      </c>
      <c r="AP137" s="24">
        <v>424.04</v>
      </c>
      <c r="AQ137" s="24">
        <v>30173.02</v>
      </c>
      <c r="AR137" s="24">
        <f>VLOOKUP(B137,'[1]Sheet1 (2)'!$B$2:$C$397,2,0)</f>
        <v>451.97</v>
      </c>
      <c r="AS137" s="24">
        <f>VLOOKUP(B137,'[2]Sheet1 (2)'!$B$2:$C$404,2,0)</f>
        <v>28602.94</v>
      </c>
      <c r="AT137" s="24">
        <v>406.73</v>
      </c>
      <c r="AU137" s="24">
        <v>29576.53</v>
      </c>
      <c r="AV137" s="24">
        <v>380.41</v>
      </c>
      <c r="AW137" s="20">
        <v>27188.22</v>
      </c>
      <c r="AX137" s="20">
        <v>386.21</v>
      </c>
      <c r="AY137" s="83">
        <v>24424.959999999999</v>
      </c>
      <c r="AZ137" s="83">
        <v>394.46</v>
      </c>
      <c r="BA137" s="83">
        <v>24036.080000000002</v>
      </c>
      <c r="BB137" s="8">
        <f t="shared" si="138"/>
        <v>166445.57</v>
      </c>
      <c r="BC137" s="24">
        <v>341.68</v>
      </c>
      <c r="BD137" s="24">
        <v>27102.3</v>
      </c>
      <c r="BE137" s="24">
        <v>475.37</v>
      </c>
      <c r="BF137" s="24">
        <v>25615.71</v>
      </c>
      <c r="BG137" s="24">
        <v>512.88</v>
      </c>
      <c r="BH137" s="24">
        <v>23153.4</v>
      </c>
      <c r="BI137" s="24">
        <v>5099.32</v>
      </c>
      <c r="BN137" s="83"/>
      <c r="BO137" s="8">
        <f t="shared" si="139"/>
        <v>82300.66</v>
      </c>
    </row>
    <row r="138" spans="2:67" x14ac:dyDescent="0.2">
      <c r="B138" s="3" t="s">
        <v>318</v>
      </c>
      <c r="C138" s="23">
        <v>12048.91</v>
      </c>
      <c r="D138" s="24">
        <v>10300.790000000001</v>
      </c>
      <c r="E138" s="24">
        <v>5993.21</v>
      </c>
      <c r="F138" s="24">
        <v>33484.46</v>
      </c>
      <c r="G138" s="24">
        <v>7740.43</v>
      </c>
      <c r="H138" s="24">
        <v>8196.5</v>
      </c>
      <c r="I138" s="24">
        <v>26524.79</v>
      </c>
      <c r="J138" s="24">
        <v>11979.4</v>
      </c>
      <c r="K138" s="24">
        <v>6160.87</v>
      </c>
      <c r="L138" s="24">
        <v>19401.41</v>
      </c>
      <c r="M138" s="24">
        <v>3249.97</v>
      </c>
      <c r="N138" s="24">
        <v>8516.31</v>
      </c>
      <c r="O138" s="24">
        <f t="shared" si="135"/>
        <v>153597.04999999999</v>
      </c>
      <c r="P138" s="24">
        <v>10286.41</v>
      </c>
      <c r="Q138" s="24">
        <v>15020.65</v>
      </c>
      <c r="R138" s="24">
        <v>12908.6</v>
      </c>
      <c r="S138" s="24">
        <v>44311.01</v>
      </c>
      <c r="T138" s="24">
        <v>6760.35</v>
      </c>
      <c r="U138" s="24">
        <v>9043.1299999999992</v>
      </c>
      <c r="V138" s="24">
        <v>28116.3</v>
      </c>
      <c r="W138" s="20">
        <v>12498.01</v>
      </c>
      <c r="X138" s="20">
        <v>12142.7</v>
      </c>
      <c r="Y138" s="83">
        <v>24490.04</v>
      </c>
      <c r="Z138" s="83">
        <v>18360.13</v>
      </c>
      <c r="AA138" s="83">
        <v>7506.62</v>
      </c>
      <c r="AB138" s="8">
        <f t="shared" si="136"/>
        <v>201443.95000000004</v>
      </c>
      <c r="AC138" s="24">
        <v>7921.97</v>
      </c>
      <c r="AD138" s="24">
        <v>17325.77</v>
      </c>
      <c r="AE138" s="24">
        <v>13145.57</v>
      </c>
      <c r="AF138" s="24">
        <v>40746.74</v>
      </c>
      <c r="AG138" s="24">
        <v>12897.53</v>
      </c>
      <c r="AH138" s="24">
        <v>7432.35</v>
      </c>
      <c r="AI138" s="24">
        <v>26985.58</v>
      </c>
      <c r="AJ138" s="20">
        <v>10088.68</v>
      </c>
      <c r="AK138" s="20">
        <v>15399.93</v>
      </c>
      <c r="AL138" s="83">
        <v>28215.24</v>
      </c>
      <c r="AM138" s="83">
        <v>14532.89</v>
      </c>
      <c r="AN138" s="83">
        <v>8082.67</v>
      </c>
      <c r="AO138" s="8">
        <f t="shared" si="137"/>
        <v>202774.92</v>
      </c>
      <c r="AP138" s="24">
        <v>7747.99</v>
      </c>
      <c r="AQ138" s="24">
        <v>15718.28</v>
      </c>
      <c r="AR138" s="24">
        <f>VLOOKUP(B138,'[1]Sheet1 (2)'!$B$2:$C$397,2,0)</f>
        <v>11703.74</v>
      </c>
      <c r="AS138" s="24">
        <f>VLOOKUP(B138,'[2]Sheet1 (2)'!$B$2:$C$404,2,0)</f>
        <v>38808.01</v>
      </c>
      <c r="AT138" s="24">
        <v>11037.45</v>
      </c>
      <c r="AU138" s="24">
        <v>6296.83</v>
      </c>
      <c r="AV138" s="24">
        <v>22945.58</v>
      </c>
      <c r="AW138" s="20">
        <v>9818.85</v>
      </c>
      <c r="AX138" s="20">
        <v>11996.21</v>
      </c>
      <c r="AY138" s="83">
        <v>26209.85</v>
      </c>
      <c r="AZ138" s="83">
        <v>12145.34</v>
      </c>
      <c r="BA138" s="83">
        <v>8104.81</v>
      </c>
      <c r="BB138" s="8">
        <f t="shared" si="138"/>
        <v>182532.94</v>
      </c>
      <c r="BC138" s="24">
        <v>5317.18</v>
      </c>
      <c r="BD138" s="24">
        <v>16042.78</v>
      </c>
      <c r="BE138" s="24">
        <v>80064.37</v>
      </c>
      <c r="BF138" s="24">
        <v>148.84</v>
      </c>
      <c r="BG138" s="24">
        <v>0</v>
      </c>
      <c r="BH138" s="24">
        <v>-772.56</v>
      </c>
      <c r="BI138" s="24">
        <v>0</v>
      </c>
      <c r="BN138" s="83"/>
      <c r="BO138" s="8">
        <f t="shared" si="139"/>
        <v>100800.60999999999</v>
      </c>
    </row>
    <row r="139" spans="2:67" x14ac:dyDescent="0.2">
      <c r="B139" s="3" t="s">
        <v>319</v>
      </c>
      <c r="C139" s="23">
        <v>40731.18</v>
      </c>
      <c r="D139" s="24">
        <v>40052.75</v>
      </c>
      <c r="E139" s="24">
        <v>40635.5</v>
      </c>
      <c r="F139" s="24">
        <v>51647.8</v>
      </c>
      <c r="G139" s="24">
        <v>35281.35</v>
      </c>
      <c r="H139" s="24">
        <v>54100.06</v>
      </c>
      <c r="I139" s="24">
        <v>47071.519999999997</v>
      </c>
      <c r="J139" s="24">
        <v>44312.94</v>
      </c>
      <c r="K139" s="24">
        <v>55660.72</v>
      </c>
      <c r="L139" s="24">
        <v>45407.53</v>
      </c>
      <c r="M139" s="24">
        <v>48584.38</v>
      </c>
      <c r="N139" s="24">
        <v>43668.59</v>
      </c>
      <c r="O139" s="24">
        <f t="shared" si="135"/>
        <v>547154.32000000007</v>
      </c>
      <c r="P139" s="24">
        <v>49856.85</v>
      </c>
      <c r="Q139" s="24">
        <v>56118.04</v>
      </c>
      <c r="R139" s="24">
        <v>49591.62</v>
      </c>
      <c r="S139" s="24">
        <v>52406.22</v>
      </c>
      <c r="T139" s="24">
        <v>45434.47</v>
      </c>
      <c r="U139" s="24">
        <v>61975.58</v>
      </c>
      <c r="V139" s="24">
        <v>52450.25</v>
      </c>
      <c r="W139" s="20">
        <v>51579.57</v>
      </c>
      <c r="X139" s="20">
        <v>46860.14</v>
      </c>
      <c r="Y139" s="83">
        <v>45194.17</v>
      </c>
      <c r="Z139" s="83">
        <v>43377.19</v>
      </c>
      <c r="AA139" s="83">
        <v>39717.949999999997</v>
      </c>
      <c r="AB139" s="8">
        <f t="shared" si="136"/>
        <v>594562.05000000005</v>
      </c>
      <c r="AC139" s="24">
        <v>44332.36</v>
      </c>
      <c r="AD139" s="24">
        <v>50031.14</v>
      </c>
      <c r="AE139" s="24">
        <v>58243.17</v>
      </c>
      <c r="AF139" s="24">
        <v>40220.300000000003</v>
      </c>
      <c r="AG139" s="24">
        <v>39453.47</v>
      </c>
      <c r="AH139" s="24">
        <v>61153.42</v>
      </c>
      <c r="AI139" s="24">
        <v>44834.74</v>
      </c>
      <c r="AJ139" s="20">
        <v>44976.13</v>
      </c>
      <c r="AK139" s="20">
        <v>47567.77</v>
      </c>
      <c r="AL139" s="83">
        <v>46548.59</v>
      </c>
      <c r="AM139" s="83">
        <v>39946.050000000003</v>
      </c>
      <c r="AN139" s="83">
        <v>38792.15</v>
      </c>
      <c r="AO139" s="8">
        <f t="shared" si="137"/>
        <v>556099.28999999992</v>
      </c>
      <c r="AP139" s="24">
        <v>44546.85</v>
      </c>
      <c r="AQ139" s="24">
        <v>48613.49</v>
      </c>
      <c r="AR139" s="24">
        <f>VLOOKUP(B139,'[1]Sheet1 (2)'!$B$2:$C$397,2,0)</f>
        <v>37426.86</v>
      </c>
      <c r="AS139" s="24">
        <f>VLOOKUP(B139,'[2]Sheet1 (2)'!$B$2:$C$404,2,0)</f>
        <v>22560.23</v>
      </c>
      <c r="AT139" s="24">
        <v>43733.06</v>
      </c>
      <c r="AU139" s="24">
        <v>48048.639999999999</v>
      </c>
      <c r="AV139" s="24">
        <v>45442.34</v>
      </c>
      <c r="AW139" s="20">
        <v>33893.43</v>
      </c>
      <c r="AX139" s="20">
        <v>39582.51</v>
      </c>
      <c r="AY139" s="83">
        <v>40336.800000000003</v>
      </c>
      <c r="AZ139" s="83">
        <v>36342.74</v>
      </c>
      <c r="BA139" s="83">
        <v>35613.75</v>
      </c>
      <c r="BB139" s="8">
        <f t="shared" si="138"/>
        <v>476140.69999999995</v>
      </c>
      <c r="BC139" s="24">
        <v>39332.86</v>
      </c>
      <c r="BD139" s="24">
        <v>44604.62</v>
      </c>
      <c r="BE139" s="24">
        <v>35786.17</v>
      </c>
      <c r="BF139" s="24">
        <v>33587.550000000003</v>
      </c>
      <c r="BG139" s="24">
        <v>41675.79</v>
      </c>
      <c r="BH139" s="24">
        <v>38987.74</v>
      </c>
      <c r="BI139" s="24">
        <v>33052.68</v>
      </c>
      <c r="BN139" s="83"/>
      <c r="BO139" s="8">
        <f t="shared" si="139"/>
        <v>267027.41000000003</v>
      </c>
    </row>
    <row r="140" spans="2:67" x14ac:dyDescent="0.2">
      <c r="B140" s="3" t="s">
        <v>320</v>
      </c>
      <c r="C140" s="23">
        <v>4675.82</v>
      </c>
      <c r="D140" s="24">
        <v>2858.71</v>
      </c>
      <c r="E140" s="24">
        <v>4822.9799999999996</v>
      </c>
      <c r="F140" s="24">
        <v>-44639.33</v>
      </c>
      <c r="G140" s="24">
        <v>4987.45</v>
      </c>
      <c r="H140" s="24">
        <v>4983.74</v>
      </c>
      <c r="I140" s="24">
        <v>4941.5600000000004</v>
      </c>
      <c r="J140" s="24">
        <v>5078.5200000000004</v>
      </c>
      <c r="K140" s="24">
        <v>5260.18</v>
      </c>
      <c r="L140" s="24">
        <v>5132.2</v>
      </c>
      <c r="M140" s="24">
        <v>3765.04</v>
      </c>
      <c r="N140" s="24">
        <v>5461.02</v>
      </c>
      <c r="O140" s="24">
        <f t="shared" si="135"/>
        <v>7327.8899999999976</v>
      </c>
      <c r="P140" s="24">
        <v>5647.84</v>
      </c>
      <c r="Q140" s="24">
        <v>4278.09</v>
      </c>
      <c r="R140" s="24">
        <v>-54604.18</v>
      </c>
      <c r="S140" s="24">
        <v>5962.96</v>
      </c>
      <c r="T140" s="24">
        <v>6041.13</v>
      </c>
      <c r="U140" s="24">
        <v>5949.21</v>
      </c>
      <c r="V140" s="24">
        <v>5952.2</v>
      </c>
      <c r="W140" s="20">
        <v>5779.92</v>
      </c>
      <c r="X140" s="20">
        <v>5861.29</v>
      </c>
      <c r="Y140" s="83">
        <v>5883.07</v>
      </c>
      <c r="Z140" s="83">
        <v>3908.62</v>
      </c>
      <c r="AA140" s="83">
        <v>6085.3</v>
      </c>
      <c r="AB140" s="8">
        <f t="shared" si="136"/>
        <v>6745.4499999999989</v>
      </c>
      <c r="AC140" s="24">
        <v>5931.8</v>
      </c>
      <c r="AD140" s="24">
        <v>4611.2700000000004</v>
      </c>
      <c r="AE140" s="24">
        <v>-60466.98</v>
      </c>
      <c r="AF140" s="24">
        <v>5845.24</v>
      </c>
      <c r="AG140" s="24">
        <v>5917.17</v>
      </c>
      <c r="AH140" s="24">
        <v>5770.6</v>
      </c>
      <c r="AI140" s="24">
        <v>5848.83</v>
      </c>
      <c r="AJ140" s="20">
        <v>5625.42</v>
      </c>
      <c r="AK140" s="20">
        <v>5951.08</v>
      </c>
      <c r="AL140" s="83">
        <v>5687.08</v>
      </c>
      <c r="AM140" s="83">
        <v>3207.77</v>
      </c>
      <c r="AN140" s="83">
        <v>5669.52</v>
      </c>
      <c r="AO140" s="8">
        <f t="shared" si="137"/>
        <v>-401.200000000008</v>
      </c>
      <c r="AP140" s="24">
        <v>5553.51</v>
      </c>
      <c r="AQ140" s="24">
        <v>3830.52</v>
      </c>
      <c r="AR140" s="24">
        <f>VLOOKUP(B140,'[1]Sheet1 (2)'!$B$2:$C$397,2,0)</f>
        <v>-56366.46</v>
      </c>
      <c r="AS140" s="24">
        <f>VLOOKUP(B140,'[2]Sheet1 (2)'!$B$2:$C$404,2,0)</f>
        <v>5457.36</v>
      </c>
      <c r="AT140" s="24">
        <v>5379.05</v>
      </c>
      <c r="AU140" s="24">
        <v>5258.09</v>
      </c>
      <c r="AV140" s="24">
        <v>4873.01</v>
      </c>
      <c r="AW140" s="20">
        <v>4634.16</v>
      </c>
      <c r="AX140" s="20">
        <v>4899.4399999999996</v>
      </c>
      <c r="AY140" s="83">
        <v>4937.5600000000004</v>
      </c>
      <c r="AZ140" s="83">
        <v>2997.9</v>
      </c>
      <c r="BA140" s="83">
        <v>5112.9399999999996</v>
      </c>
      <c r="BB140" s="8">
        <f t="shared" si="138"/>
        <v>-3432.9199999999992</v>
      </c>
      <c r="BC140" s="24">
        <v>5025.37</v>
      </c>
      <c r="BD140" s="24">
        <v>3907.4</v>
      </c>
      <c r="BE140" s="24">
        <v>-53753.37</v>
      </c>
      <c r="BF140" s="24">
        <v>5049.75</v>
      </c>
      <c r="BG140" s="24">
        <v>4872.32</v>
      </c>
      <c r="BH140" s="24">
        <v>5525.73</v>
      </c>
      <c r="BI140" s="24">
        <v>4837.55</v>
      </c>
      <c r="BN140" s="83"/>
      <c r="BO140" s="8">
        <f t="shared" si="139"/>
        <v>-24535.250000000007</v>
      </c>
    </row>
    <row r="141" spans="2:67" x14ac:dyDescent="0.2">
      <c r="B141" s="3" t="s">
        <v>321</v>
      </c>
      <c r="C141" s="23">
        <v>-127447.83</v>
      </c>
      <c r="D141" s="24">
        <v>-115773.51</v>
      </c>
      <c r="E141" s="24">
        <v>-133520.63</v>
      </c>
      <c r="F141" s="24">
        <v>-121993.13</v>
      </c>
      <c r="G141" s="24">
        <v>-162110.69</v>
      </c>
      <c r="H141" s="24">
        <v>-105974.49</v>
      </c>
      <c r="I141" s="24">
        <v>-133873.73000000001</v>
      </c>
      <c r="J141" s="24">
        <v>-150730.51</v>
      </c>
      <c r="K141" s="24">
        <v>-149497.79</v>
      </c>
      <c r="L141" s="24">
        <v>-150729.76999999999</v>
      </c>
      <c r="M141" s="24">
        <v>-151601.17000000001</v>
      </c>
      <c r="N141" s="24">
        <v>-149347.42000000001</v>
      </c>
      <c r="O141" s="24">
        <f t="shared" si="135"/>
        <v>-1652600.67</v>
      </c>
      <c r="P141" s="24">
        <v>-156942.87</v>
      </c>
      <c r="Q141" s="24">
        <v>-183417.79</v>
      </c>
      <c r="R141" s="24">
        <v>-148293.04</v>
      </c>
      <c r="S141" s="24">
        <v>-146724.18</v>
      </c>
      <c r="T141" s="24">
        <v>-201653.31</v>
      </c>
      <c r="U141" s="24">
        <v>-170939.23</v>
      </c>
      <c r="V141" s="24">
        <v>-167021.54</v>
      </c>
      <c r="W141" s="20">
        <v>-186651.26</v>
      </c>
      <c r="X141" s="20">
        <v>-179096.01</v>
      </c>
      <c r="Y141" s="83">
        <v>-176728.52</v>
      </c>
      <c r="Z141" s="83">
        <v>-150623.88</v>
      </c>
      <c r="AA141" s="83">
        <v>-166279.62</v>
      </c>
      <c r="AB141" s="8">
        <f t="shared" si="136"/>
        <v>-2034371.2500000005</v>
      </c>
      <c r="AC141" s="24">
        <v>-183679.71</v>
      </c>
      <c r="AD141" s="24">
        <v>-179131.16</v>
      </c>
      <c r="AE141" s="24">
        <v>-147420.53</v>
      </c>
      <c r="AF141" s="24">
        <v>-144672.69</v>
      </c>
      <c r="AG141" s="24">
        <v>-191520.46</v>
      </c>
      <c r="AH141" s="24">
        <v>-136236.85999999999</v>
      </c>
      <c r="AI141" s="24">
        <v>-170282.03</v>
      </c>
      <c r="AJ141" s="20">
        <v>-164580.41</v>
      </c>
      <c r="AK141" s="20">
        <v>-172348.74</v>
      </c>
      <c r="AL141" s="83">
        <v>-178451.74</v>
      </c>
      <c r="AM141" s="83">
        <v>-129496.71</v>
      </c>
      <c r="AN141" s="83">
        <v>-132192.19</v>
      </c>
      <c r="AO141" s="8">
        <f t="shared" si="137"/>
        <v>-1930013.2299999997</v>
      </c>
      <c r="AP141" s="24">
        <v>-115158.44</v>
      </c>
      <c r="AQ141" s="24">
        <v>-147539.78</v>
      </c>
      <c r="AR141" s="24">
        <f>VLOOKUP(B141,'[1]Sheet1 (2)'!$B$2:$C$397,2,0)</f>
        <v>-83409.13</v>
      </c>
      <c r="AS141" s="24">
        <f>VLOOKUP(B141,'[2]Sheet1 (2)'!$B$2:$C$404,2,0)</f>
        <v>-102328.75</v>
      </c>
      <c r="AT141" s="24">
        <v>-124130.59</v>
      </c>
      <c r="AU141" s="24">
        <v>-117275.18</v>
      </c>
      <c r="AV141" s="24">
        <v>-130007.53</v>
      </c>
      <c r="AW141" s="20">
        <v>-126558.91</v>
      </c>
      <c r="AX141" s="20">
        <v>-130777.59</v>
      </c>
      <c r="AY141" s="83">
        <v>-135799.51999999999</v>
      </c>
      <c r="AZ141" s="83">
        <v>-129009.74</v>
      </c>
      <c r="BA141" s="83">
        <v>-127648.24</v>
      </c>
      <c r="BB141" s="8">
        <f t="shared" si="138"/>
        <v>-1469643.4</v>
      </c>
      <c r="BC141" s="24">
        <v>-128859.95</v>
      </c>
      <c r="BD141" s="24">
        <v>-119445.15</v>
      </c>
      <c r="BE141" s="24">
        <v>-119588.46</v>
      </c>
      <c r="BF141" s="24">
        <v>-122640.01</v>
      </c>
      <c r="BG141" s="24">
        <v>-122954.73</v>
      </c>
      <c r="BH141" s="24">
        <v>-103735.92</v>
      </c>
      <c r="BI141" s="24">
        <v>-118375.72</v>
      </c>
      <c r="BN141" s="83"/>
      <c r="BO141" s="8">
        <f t="shared" si="139"/>
        <v>-835599.94000000006</v>
      </c>
    </row>
    <row r="142" spans="2:67" x14ac:dyDescent="0.2">
      <c r="B142" s="3" t="s">
        <v>841</v>
      </c>
      <c r="C142" s="23">
        <v>-27313.17</v>
      </c>
      <c r="D142" s="24">
        <v>18626.78</v>
      </c>
      <c r="E142" s="24">
        <v>35534.5</v>
      </c>
      <c r="F142" s="24">
        <v>-26155.21</v>
      </c>
      <c r="G142" s="24">
        <v>60048.6</v>
      </c>
      <c r="H142" s="24">
        <v>0</v>
      </c>
      <c r="I142" s="24">
        <v>42364.39</v>
      </c>
      <c r="J142" s="24">
        <v>19817.46</v>
      </c>
      <c r="K142" s="24">
        <v>19728.89</v>
      </c>
      <c r="L142" s="24">
        <v>18841.87</v>
      </c>
      <c r="M142" s="24">
        <v>18709.849999999999</v>
      </c>
      <c r="N142" s="24">
        <v>37436.31</v>
      </c>
      <c r="O142" s="24">
        <f t="shared" si="135"/>
        <v>217640.27</v>
      </c>
      <c r="P142" s="24">
        <v>0</v>
      </c>
      <c r="Q142" s="24">
        <v>0</v>
      </c>
      <c r="R142" s="24">
        <v>0</v>
      </c>
      <c r="S142" s="24">
        <v>0</v>
      </c>
      <c r="T142" s="24">
        <v>14825.88</v>
      </c>
      <c r="U142" s="24">
        <v>3684.81</v>
      </c>
      <c r="V142" s="24">
        <v>3647.53</v>
      </c>
      <c r="W142" s="20">
        <v>3593.25</v>
      </c>
      <c r="X142" s="20">
        <v>3559.87</v>
      </c>
      <c r="Y142" s="83">
        <v>-8713.8700000000008</v>
      </c>
      <c r="Z142" s="83">
        <v>0</v>
      </c>
      <c r="AA142" s="83">
        <v>0</v>
      </c>
      <c r="AB142" s="8">
        <f t="shared" si="136"/>
        <v>20597.469999999994</v>
      </c>
      <c r="AC142" s="24">
        <v>0</v>
      </c>
      <c r="AD142" s="24">
        <v>0</v>
      </c>
      <c r="AE142" s="24">
        <v>0</v>
      </c>
      <c r="AF142" s="24">
        <v>0</v>
      </c>
      <c r="AG142" s="24">
        <v>0</v>
      </c>
      <c r="AH142" s="77">
        <v>42832.62</v>
      </c>
      <c r="AI142" s="24">
        <v>0</v>
      </c>
      <c r="AJ142" s="20">
        <v>0</v>
      </c>
      <c r="AK142" s="20">
        <v>0</v>
      </c>
      <c r="AL142" s="83">
        <v>0</v>
      </c>
      <c r="AM142" s="83">
        <v>0</v>
      </c>
      <c r="AN142" s="83">
        <v>63558.239999999998</v>
      </c>
      <c r="AO142" s="8">
        <f t="shared" si="137"/>
        <v>106390.86</v>
      </c>
      <c r="AP142" s="24">
        <v>0</v>
      </c>
      <c r="AQ142" s="24">
        <v>29060.1</v>
      </c>
      <c r="AR142" s="24">
        <f>VLOOKUP(B142,'[1]Sheet1 (2)'!$B$2:$C$397,2,0)</f>
        <v>-40.619999999999997</v>
      </c>
      <c r="AS142" s="24">
        <f>VLOOKUP(B142,'[2]Sheet1 (2)'!$B$2:$C$404,2,0)</f>
        <v>14105.68</v>
      </c>
      <c r="AT142" s="24">
        <v>14497.31</v>
      </c>
      <c r="AU142" s="24">
        <v>14614.78</v>
      </c>
      <c r="AV142" s="24">
        <v>23730.61</v>
      </c>
      <c r="AW142" s="20">
        <v>12607.97</v>
      </c>
      <c r="AX142" s="20">
        <v>12008.02</v>
      </c>
      <c r="AY142" s="83">
        <v>22688.37</v>
      </c>
      <c r="AZ142" s="83">
        <v>30844.34</v>
      </c>
      <c r="BA142" s="83">
        <v>-11158.21</v>
      </c>
      <c r="BB142" s="8">
        <f t="shared" si="138"/>
        <v>162958.35</v>
      </c>
      <c r="BC142" s="24">
        <v>12368.58</v>
      </c>
      <c r="BD142" s="24">
        <v>0</v>
      </c>
      <c r="BE142" s="24">
        <v>28264.41</v>
      </c>
      <c r="BF142" s="24">
        <v>13858.49</v>
      </c>
      <c r="BG142" s="24">
        <v>13434.68</v>
      </c>
      <c r="BH142" s="24">
        <v>13305.3</v>
      </c>
      <c r="BI142" s="24">
        <v>13212.61</v>
      </c>
      <c r="BN142" s="83"/>
      <c r="BO142" s="8">
        <f t="shared" si="139"/>
        <v>94444.07</v>
      </c>
    </row>
    <row r="143" spans="2:67" x14ac:dyDescent="0.2">
      <c r="B143" s="3" t="s">
        <v>560</v>
      </c>
      <c r="C143" s="23">
        <v>1760.34</v>
      </c>
      <c r="D143" s="24">
        <v>15438.73</v>
      </c>
      <c r="E143" s="24">
        <v>0</v>
      </c>
      <c r="F143" s="24">
        <v>0</v>
      </c>
      <c r="G143" s="24">
        <v>-8.02</v>
      </c>
      <c r="H143" s="24">
        <v>0</v>
      </c>
      <c r="I143" s="24">
        <v>2608.19</v>
      </c>
      <c r="J143" s="24">
        <v>1828.14</v>
      </c>
      <c r="K143" s="24">
        <v>0</v>
      </c>
      <c r="L143" s="24">
        <v>0</v>
      </c>
      <c r="M143" s="24">
        <v>0</v>
      </c>
      <c r="N143" s="24">
        <v>-132.56</v>
      </c>
      <c r="O143" s="24">
        <f t="shared" si="135"/>
        <v>21494.819999999996</v>
      </c>
      <c r="P143" s="24">
        <v>0</v>
      </c>
      <c r="Q143" s="24">
        <v>-7198.7</v>
      </c>
      <c r="R143" s="24">
        <v>-39.74</v>
      </c>
      <c r="S143" s="24">
        <v>1224.2</v>
      </c>
      <c r="T143" s="24">
        <v>111.58</v>
      </c>
      <c r="U143" s="24">
        <v>4642.1000000000004</v>
      </c>
      <c r="V143" s="24">
        <v>-35.69</v>
      </c>
      <c r="W143" s="20">
        <v>7534.74</v>
      </c>
      <c r="X143" s="20">
        <v>0</v>
      </c>
      <c r="Y143" s="83">
        <v>-248.64</v>
      </c>
      <c r="Z143" s="83">
        <v>9719.7900000000009</v>
      </c>
      <c r="AA143" s="83">
        <v>2254.4</v>
      </c>
      <c r="AB143" s="8">
        <f t="shared" si="136"/>
        <v>17964.04</v>
      </c>
      <c r="AC143" s="24">
        <v>20167.27</v>
      </c>
      <c r="AD143" s="24">
        <v>9596.49</v>
      </c>
      <c r="AE143" s="24">
        <v>0</v>
      </c>
      <c r="AF143" s="24">
        <v>0</v>
      </c>
      <c r="AG143" s="24">
        <v>4668.2</v>
      </c>
      <c r="AH143" s="77">
        <v>26195.79</v>
      </c>
      <c r="AI143" s="24">
        <v>7135.9</v>
      </c>
      <c r="AJ143" s="20">
        <v>-36511.449999999997</v>
      </c>
      <c r="AK143" s="20">
        <v>24959.26</v>
      </c>
      <c r="AL143" s="83">
        <v>-6962.52</v>
      </c>
      <c r="AM143" s="83">
        <v>2609.77</v>
      </c>
      <c r="AN143" s="83">
        <v>3970.27</v>
      </c>
      <c r="AO143" s="8">
        <f t="shared" si="137"/>
        <v>55828.979999999981</v>
      </c>
      <c r="AP143" s="24">
        <v>0</v>
      </c>
      <c r="AQ143" s="24">
        <v>0</v>
      </c>
      <c r="AR143" s="24">
        <f>VLOOKUP(B143,'[1]Sheet1 (2)'!$B$2:$C$397,2,0)</f>
        <v>413.42</v>
      </c>
      <c r="AS143" s="24">
        <f>VLOOKUP(B143,'[2]Sheet1 (2)'!$B$2:$C$404,2,0)</f>
        <v>0</v>
      </c>
      <c r="AT143" s="24">
        <v>0</v>
      </c>
      <c r="AU143" s="24">
        <v>0</v>
      </c>
      <c r="AV143" s="24">
        <v>0</v>
      </c>
      <c r="AW143" s="20">
        <v>0</v>
      </c>
      <c r="AX143" s="20">
        <v>692.38</v>
      </c>
      <c r="AY143" s="83">
        <v>15570.83</v>
      </c>
      <c r="AZ143" s="83">
        <v>0</v>
      </c>
      <c r="BA143" s="83">
        <v>0</v>
      </c>
      <c r="BB143" s="8">
        <f t="shared" si="138"/>
        <v>16676.63</v>
      </c>
      <c r="BC143" s="24">
        <v>0</v>
      </c>
      <c r="BD143" s="24">
        <v>0</v>
      </c>
      <c r="BE143" s="24">
        <v>0</v>
      </c>
      <c r="BF143" s="24">
        <v>0</v>
      </c>
      <c r="BG143" s="24">
        <v>0</v>
      </c>
      <c r="BH143" s="24">
        <v>0</v>
      </c>
      <c r="BI143" s="24">
        <v>0</v>
      </c>
      <c r="BN143" s="83"/>
      <c r="BO143" s="8">
        <f t="shared" si="139"/>
        <v>0</v>
      </c>
    </row>
    <row r="144" spans="2:67" x14ac:dyDescent="0.2">
      <c r="B144" s="3" t="s">
        <v>1085</v>
      </c>
      <c r="C144" s="23">
        <v>0</v>
      </c>
      <c r="D144" s="24">
        <v>575.25</v>
      </c>
      <c r="E144" s="24">
        <v>0</v>
      </c>
      <c r="F144" s="24">
        <v>0</v>
      </c>
      <c r="G144" s="24">
        <v>0</v>
      </c>
      <c r="H144" s="24">
        <v>0</v>
      </c>
      <c r="I144" s="24">
        <v>0</v>
      </c>
      <c r="J144" s="24">
        <v>0</v>
      </c>
      <c r="K144" s="24">
        <v>0</v>
      </c>
      <c r="L144" s="24">
        <v>0</v>
      </c>
      <c r="M144" s="24">
        <v>0</v>
      </c>
      <c r="N144" s="24">
        <v>0</v>
      </c>
      <c r="O144" s="24">
        <f t="shared" si="135"/>
        <v>575.25</v>
      </c>
      <c r="P144" s="24">
        <v>0</v>
      </c>
      <c r="Q144" s="24">
        <v>0</v>
      </c>
      <c r="R144" s="24">
        <v>0</v>
      </c>
      <c r="S144" s="24">
        <v>0</v>
      </c>
      <c r="T144" s="24">
        <v>0</v>
      </c>
      <c r="U144" s="24">
        <v>0</v>
      </c>
      <c r="V144" s="24">
        <v>0</v>
      </c>
      <c r="W144" s="20">
        <v>732.5</v>
      </c>
      <c r="X144" s="20">
        <v>0</v>
      </c>
      <c r="Y144" s="83">
        <v>0</v>
      </c>
      <c r="Z144" s="83">
        <v>0</v>
      </c>
      <c r="AA144" s="83">
        <v>0</v>
      </c>
      <c r="AB144" s="8">
        <f t="shared" si="136"/>
        <v>732.5</v>
      </c>
      <c r="AC144" s="24">
        <v>0</v>
      </c>
      <c r="AD144" s="24">
        <v>0</v>
      </c>
      <c r="AE144" s="24">
        <v>146.4</v>
      </c>
      <c r="AF144" s="24">
        <v>965.04</v>
      </c>
      <c r="AG144" s="24">
        <v>0</v>
      </c>
      <c r="AH144" s="24">
        <v>956.3</v>
      </c>
      <c r="AI144" s="24">
        <v>781.1</v>
      </c>
      <c r="AJ144" s="20">
        <v>576.01</v>
      </c>
      <c r="AK144" s="20">
        <v>454.24</v>
      </c>
      <c r="AL144" s="83">
        <v>81.709999999999994</v>
      </c>
      <c r="AM144" s="83">
        <v>842.44</v>
      </c>
      <c r="AN144" s="83">
        <v>0</v>
      </c>
      <c r="AO144" s="8">
        <f t="shared" si="137"/>
        <v>4803.24</v>
      </c>
      <c r="AP144" s="24">
        <v>672.52</v>
      </c>
      <c r="AQ144" s="24">
        <v>0</v>
      </c>
      <c r="AR144" s="24">
        <f>VLOOKUP(B144,'[1]Sheet1 (2)'!$B$2:$C$397,2,0)</f>
        <v>813.44</v>
      </c>
      <c r="AS144" s="24">
        <f>VLOOKUP(B144,'[2]Sheet1 (2)'!$B$2:$C$404,2,0)</f>
        <v>543.41</v>
      </c>
      <c r="AT144" s="24">
        <v>0</v>
      </c>
      <c r="AU144" s="24">
        <v>355.75</v>
      </c>
      <c r="AV144" s="24">
        <v>265.58999999999997</v>
      </c>
      <c r="AW144" s="20">
        <v>332.42</v>
      </c>
      <c r="AX144" s="20">
        <v>158.35</v>
      </c>
      <c r="AY144" s="83">
        <v>254.46</v>
      </c>
      <c r="AZ144" s="83">
        <v>0</v>
      </c>
      <c r="BA144" s="83">
        <v>396.9</v>
      </c>
      <c r="BB144" s="8">
        <f t="shared" si="138"/>
        <v>3792.84</v>
      </c>
      <c r="BC144" s="24">
        <v>356.19</v>
      </c>
      <c r="BD144" s="24">
        <v>0</v>
      </c>
      <c r="BE144" s="24">
        <v>0</v>
      </c>
      <c r="BF144" s="24">
        <v>83.93</v>
      </c>
      <c r="BG144" s="24">
        <v>209.28</v>
      </c>
      <c r="BH144" s="24">
        <v>0</v>
      </c>
      <c r="BI144" s="24">
        <v>328.49</v>
      </c>
      <c r="BN144" s="83"/>
      <c r="BO144" s="8">
        <f t="shared" si="139"/>
        <v>977.89</v>
      </c>
    </row>
    <row r="145" spans="2:67" x14ac:dyDescent="0.2">
      <c r="B145" s="3" t="s">
        <v>1788</v>
      </c>
      <c r="C145" s="23"/>
      <c r="P145" s="24">
        <v>0</v>
      </c>
      <c r="Q145" s="24">
        <v>0</v>
      </c>
      <c r="R145" s="24">
        <v>0</v>
      </c>
      <c r="S145" s="24">
        <v>0</v>
      </c>
      <c r="T145" s="24">
        <v>0</v>
      </c>
      <c r="U145" s="24">
        <v>0</v>
      </c>
      <c r="V145" s="24">
        <v>0</v>
      </c>
      <c r="W145" s="24">
        <v>0</v>
      </c>
      <c r="X145" s="24">
        <v>0</v>
      </c>
      <c r="Y145" s="24">
        <v>0</v>
      </c>
      <c r="Z145" s="83">
        <v>17.579999999999998</v>
      </c>
      <c r="AA145" s="83">
        <v>0</v>
      </c>
      <c r="AB145" s="8">
        <f t="shared" si="136"/>
        <v>17.579999999999998</v>
      </c>
      <c r="AC145" s="24">
        <v>0</v>
      </c>
      <c r="AD145" s="24">
        <v>0</v>
      </c>
      <c r="AE145" s="24">
        <v>0</v>
      </c>
      <c r="AF145" s="24">
        <v>0</v>
      </c>
      <c r="AG145" s="24">
        <v>0</v>
      </c>
      <c r="AH145" s="24">
        <v>0</v>
      </c>
      <c r="AI145" s="24">
        <v>0</v>
      </c>
      <c r="AJ145" s="20">
        <v>0</v>
      </c>
      <c r="AK145" s="20">
        <v>0</v>
      </c>
      <c r="AL145" s="83">
        <v>0</v>
      </c>
      <c r="AM145" s="83">
        <v>0</v>
      </c>
      <c r="AN145" s="83">
        <v>0</v>
      </c>
      <c r="AO145" s="8">
        <f t="shared" si="137"/>
        <v>0</v>
      </c>
      <c r="AP145" s="24">
        <v>0</v>
      </c>
      <c r="AQ145" s="24">
        <v>0</v>
      </c>
      <c r="AR145" s="24">
        <v>0</v>
      </c>
      <c r="AS145" s="24">
        <v>0</v>
      </c>
      <c r="AT145" s="24">
        <v>0</v>
      </c>
      <c r="AU145" s="24">
        <v>0</v>
      </c>
      <c r="AV145" s="24">
        <v>0</v>
      </c>
      <c r="AW145" s="20">
        <v>0</v>
      </c>
      <c r="AX145" s="20">
        <v>0</v>
      </c>
      <c r="AY145" s="83">
        <v>0</v>
      </c>
      <c r="AZ145" s="83">
        <v>0</v>
      </c>
      <c r="BA145" s="83">
        <v>0</v>
      </c>
      <c r="BB145" s="8">
        <f t="shared" si="138"/>
        <v>0</v>
      </c>
      <c r="BC145" s="24">
        <v>0</v>
      </c>
      <c r="BD145" s="24">
        <v>0</v>
      </c>
      <c r="BE145" s="24">
        <v>0</v>
      </c>
      <c r="BF145" s="24">
        <v>0</v>
      </c>
      <c r="BG145" s="24">
        <v>0</v>
      </c>
      <c r="BH145" s="24">
        <v>0</v>
      </c>
      <c r="BI145" s="24">
        <v>0</v>
      </c>
      <c r="BN145" s="83"/>
      <c r="BO145" s="8">
        <f t="shared" si="139"/>
        <v>0</v>
      </c>
    </row>
    <row r="146" spans="2:67" x14ac:dyDescent="0.2">
      <c r="B146" s="3" t="s">
        <v>990</v>
      </c>
      <c r="C146" s="23">
        <v>-40.28</v>
      </c>
      <c r="D146" s="24">
        <v>-120.38</v>
      </c>
      <c r="E146" s="24">
        <v>0</v>
      </c>
      <c r="F146" s="24">
        <v>0</v>
      </c>
      <c r="G146" s="24">
        <v>0</v>
      </c>
      <c r="H146" s="24">
        <v>0</v>
      </c>
      <c r="I146" s="24">
        <v>0</v>
      </c>
      <c r="J146" s="24">
        <v>-77.37</v>
      </c>
      <c r="K146" s="24">
        <v>-116.01</v>
      </c>
      <c r="L146" s="24">
        <v>0</v>
      </c>
      <c r="M146" s="24">
        <v>0</v>
      </c>
      <c r="N146" s="24">
        <v>-184.58</v>
      </c>
      <c r="O146" s="24">
        <f t="shared" ref="O146:O168" si="140">SUBTOTAL(9,C146:N146)</f>
        <v>-538.62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0">
        <v>-4.51</v>
      </c>
      <c r="X146" s="20">
        <v>0</v>
      </c>
      <c r="Y146" s="83">
        <v>0</v>
      </c>
      <c r="Z146" s="83">
        <v>0</v>
      </c>
      <c r="AA146" s="83">
        <v>0</v>
      </c>
      <c r="AB146" s="8">
        <f t="shared" si="136"/>
        <v>-4.51</v>
      </c>
      <c r="AC146" s="24">
        <v>0</v>
      </c>
      <c r="AD146" s="24">
        <v>0</v>
      </c>
      <c r="AE146" s="24">
        <v>0</v>
      </c>
      <c r="AF146" s="24">
        <v>0</v>
      </c>
      <c r="AG146" s="24">
        <v>0</v>
      </c>
      <c r="AH146" s="24">
        <v>0</v>
      </c>
      <c r="AI146" s="24">
        <v>0</v>
      </c>
      <c r="AJ146" s="20">
        <v>0</v>
      </c>
      <c r="AK146" s="20">
        <v>0</v>
      </c>
      <c r="AL146" s="83">
        <v>0</v>
      </c>
      <c r="AM146" s="83">
        <v>0</v>
      </c>
      <c r="AN146" s="83">
        <v>0</v>
      </c>
      <c r="AO146" s="8">
        <f t="shared" si="137"/>
        <v>0</v>
      </c>
      <c r="AP146" s="24">
        <v>0</v>
      </c>
      <c r="AQ146" s="24">
        <v>-35.4</v>
      </c>
      <c r="AR146" s="24">
        <f>VLOOKUP(B146,'[1]Sheet1 (2)'!$B$2:$C$397,2,0)</f>
        <v>0</v>
      </c>
      <c r="AS146" s="24">
        <f>VLOOKUP(B146,'[2]Sheet1 (2)'!$B$2:$C$404,2,0)</f>
        <v>-92.83</v>
      </c>
      <c r="AT146" s="24">
        <v>0</v>
      </c>
      <c r="AU146" s="24">
        <v>0</v>
      </c>
      <c r="AV146" s="24">
        <v>0</v>
      </c>
      <c r="AW146" s="20">
        <v>0</v>
      </c>
      <c r="AX146" s="20">
        <v>0</v>
      </c>
      <c r="AY146" s="83">
        <v>0</v>
      </c>
      <c r="AZ146" s="83">
        <v>0</v>
      </c>
      <c r="BA146" s="83">
        <v>0</v>
      </c>
      <c r="BB146" s="8">
        <f t="shared" si="138"/>
        <v>-128.22999999999999</v>
      </c>
      <c r="BC146" s="24">
        <v>0</v>
      </c>
      <c r="BD146" s="24">
        <v>0</v>
      </c>
      <c r="BE146" s="24">
        <v>0</v>
      </c>
      <c r="BF146" s="24">
        <v>0</v>
      </c>
      <c r="BG146" s="24">
        <v>0</v>
      </c>
      <c r="BH146" s="24">
        <v>0</v>
      </c>
      <c r="BI146" s="24">
        <v>0</v>
      </c>
      <c r="BN146" s="83"/>
      <c r="BO146" s="8">
        <f t="shared" si="139"/>
        <v>0</v>
      </c>
    </row>
    <row r="147" spans="2:67" x14ac:dyDescent="0.2">
      <c r="B147" s="3" t="s">
        <v>1883</v>
      </c>
      <c r="C147" s="23"/>
      <c r="AA147" s="83"/>
      <c r="AB147" s="8"/>
      <c r="AN147" s="83"/>
      <c r="AO147" s="8"/>
      <c r="AV147" s="24">
        <v>116.56</v>
      </c>
      <c r="AW147" s="20">
        <v>0</v>
      </c>
      <c r="AX147" s="20">
        <v>0</v>
      </c>
      <c r="AY147" s="83">
        <v>0</v>
      </c>
      <c r="AZ147" s="83">
        <v>0</v>
      </c>
      <c r="BA147" s="83">
        <v>136.27000000000001</v>
      </c>
      <c r="BB147" s="8">
        <f t="shared" si="138"/>
        <v>252.83</v>
      </c>
      <c r="BC147" s="24">
        <v>0</v>
      </c>
      <c r="BD147" s="24">
        <v>0</v>
      </c>
      <c r="BE147" s="24">
        <v>0</v>
      </c>
      <c r="BF147" s="24">
        <v>0</v>
      </c>
      <c r="BG147" s="24">
        <v>0</v>
      </c>
      <c r="BH147" s="24">
        <v>0</v>
      </c>
      <c r="BI147" s="24">
        <v>0</v>
      </c>
      <c r="BN147" s="83"/>
      <c r="BO147" s="8">
        <f t="shared" si="139"/>
        <v>0</v>
      </c>
    </row>
    <row r="148" spans="2:67" x14ac:dyDescent="0.2">
      <c r="B148" s="3" t="s">
        <v>322</v>
      </c>
      <c r="C148" s="23">
        <v>2.09</v>
      </c>
      <c r="D148" s="24">
        <v>48.78</v>
      </c>
      <c r="E148" s="24">
        <v>102.44</v>
      </c>
      <c r="F148" s="24">
        <v>24.45</v>
      </c>
      <c r="G148" s="24">
        <v>23.69</v>
      </c>
      <c r="H148" s="24">
        <v>450.84</v>
      </c>
      <c r="I148" s="24">
        <v>346.28</v>
      </c>
      <c r="J148" s="24">
        <v>328.02</v>
      </c>
      <c r="K148" s="24">
        <v>1139.4000000000001</v>
      </c>
      <c r="L148" s="24">
        <v>52.7</v>
      </c>
      <c r="M148" s="24">
        <v>273.44</v>
      </c>
      <c r="N148" s="24">
        <v>41.36</v>
      </c>
      <c r="O148" s="24">
        <f t="shared" si="140"/>
        <v>2833.49</v>
      </c>
      <c r="P148" s="24">
        <v>489.83</v>
      </c>
      <c r="Q148" s="24">
        <v>46.14</v>
      </c>
      <c r="R148" s="24">
        <v>22.65</v>
      </c>
      <c r="S148" s="24">
        <v>23.51</v>
      </c>
      <c r="T148" s="24">
        <v>6.76</v>
      </c>
      <c r="U148" s="24">
        <v>23.53</v>
      </c>
      <c r="V148" s="24">
        <v>125.95</v>
      </c>
      <c r="W148" s="20">
        <v>77.67</v>
      </c>
      <c r="X148" s="20">
        <v>58.24</v>
      </c>
      <c r="Y148" s="83">
        <v>28.03</v>
      </c>
      <c r="Z148" s="83">
        <v>60.52</v>
      </c>
      <c r="AA148" s="83">
        <v>296.45</v>
      </c>
      <c r="AB148" s="8">
        <f t="shared" si="136"/>
        <v>1259.28</v>
      </c>
      <c r="AC148" s="24">
        <v>96.33</v>
      </c>
      <c r="AD148" s="24">
        <v>24.72</v>
      </c>
      <c r="AE148" s="24">
        <v>12.68</v>
      </c>
      <c r="AF148" s="24">
        <v>58.4</v>
      </c>
      <c r="AG148" s="24">
        <v>6.05</v>
      </c>
      <c r="AH148" s="24">
        <v>55.73</v>
      </c>
      <c r="AI148" s="24">
        <v>0</v>
      </c>
      <c r="AJ148" s="20">
        <v>26.7</v>
      </c>
      <c r="AK148" s="20">
        <v>113.84</v>
      </c>
      <c r="AL148" s="83">
        <v>79.58</v>
      </c>
      <c r="AM148" s="83">
        <v>54.18</v>
      </c>
      <c r="AN148" s="83">
        <v>59.29</v>
      </c>
      <c r="AO148" s="8">
        <f t="shared" si="137"/>
        <v>587.5</v>
      </c>
      <c r="AP148" s="24">
        <v>203.13</v>
      </c>
      <c r="AQ148" s="24">
        <v>0</v>
      </c>
      <c r="AR148" s="24">
        <f>VLOOKUP(B148,'[1]Sheet1 (2)'!$B$2:$C$397,2,0)</f>
        <v>70.11</v>
      </c>
      <c r="AS148" s="24">
        <f>VLOOKUP(B148,'[2]Sheet1 (2)'!$B$2:$C$404,2,0)</f>
        <v>5.0599999999999996</v>
      </c>
      <c r="AT148" s="24">
        <v>79.28</v>
      </c>
      <c r="AU148" s="24">
        <v>97.59</v>
      </c>
      <c r="AV148" s="24">
        <v>43.2</v>
      </c>
      <c r="AW148" s="20">
        <v>-43.16</v>
      </c>
      <c r="AX148" s="20">
        <v>0</v>
      </c>
      <c r="AY148" s="83">
        <v>0</v>
      </c>
      <c r="AZ148" s="83">
        <v>83.72</v>
      </c>
      <c r="BA148" s="83">
        <v>36.47</v>
      </c>
      <c r="BB148" s="8">
        <f t="shared" si="138"/>
        <v>575.40000000000009</v>
      </c>
      <c r="BC148" s="24">
        <v>63.83</v>
      </c>
      <c r="BD148" s="24">
        <v>5.17</v>
      </c>
      <c r="BE148" s="24">
        <v>0</v>
      </c>
      <c r="BF148" s="24">
        <v>41.06</v>
      </c>
      <c r="BG148" s="24">
        <v>0</v>
      </c>
      <c r="BH148" s="24">
        <v>318.07</v>
      </c>
      <c r="BI148" s="24">
        <v>0</v>
      </c>
      <c r="BN148" s="83"/>
      <c r="BO148" s="8">
        <f t="shared" si="139"/>
        <v>428.13</v>
      </c>
    </row>
    <row r="149" spans="2:67" x14ac:dyDescent="0.2">
      <c r="B149" s="3" t="s">
        <v>652</v>
      </c>
      <c r="C149" s="23">
        <v>35.14</v>
      </c>
      <c r="D149" s="24">
        <v>55.17</v>
      </c>
      <c r="E149" s="24">
        <v>20.92</v>
      </c>
      <c r="F149" s="24">
        <v>0</v>
      </c>
      <c r="G149" s="24">
        <v>6.82</v>
      </c>
      <c r="H149" s="24">
        <v>24.08</v>
      </c>
      <c r="I149" s="24">
        <v>6.67</v>
      </c>
      <c r="J149" s="24">
        <v>0</v>
      </c>
      <c r="K149" s="24">
        <v>25.36</v>
      </c>
      <c r="L149" s="24">
        <v>19.54</v>
      </c>
      <c r="M149" s="24">
        <v>11.28</v>
      </c>
      <c r="N149" s="24">
        <v>137.21</v>
      </c>
      <c r="O149" s="24">
        <f t="shared" si="140"/>
        <v>342.18999999999994</v>
      </c>
      <c r="P149" s="24">
        <v>0</v>
      </c>
      <c r="Q149" s="24">
        <v>0</v>
      </c>
      <c r="R149" s="24">
        <v>49.23</v>
      </c>
      <c r="S149" s="24">
        <v>20.03</v>
      </c>
      <c r="T149" s="24">
        <v>0</v>
      </c>
      <c r="U149" s="24">
        <v>0</v>
      </c>
      <c r="V149" s="24">
        <v>0</v>
      </c>
      <c r="W149" s="20">
        <v>-4.24</v>
      </c>
      <c r="X149" s="20">
        <v>101.91</v>
      </c>
      <c r="Y149" s="83">
        <v>12.63</v>
      </c>
      <c r="Z149" s="83">
        <v>104.43</v>
      </c>
      <c r="AA149" s="83">
        <v>0</v>
      </c>
      <c r="AB149" s="8">
        <f t="shared" si="136"/>
        <v>283.99</v>
      </c>
      <c r="AC149" s="24">
        <v>-91.65</v>
      </c>
      <c r="AD149" s="24">
        <v>0</v>
      </c>
      <c r="AE149" s="24">
        <v>28.81</v>
      </c>
      <c r="AF149" s="24">
        <v>70.98</v>
      </c>
      <c r="AG149" s="24">
        <v>47.03</v>
      </c>
      <c r="AH149" s="24">
        <v>15.03</v>
      </c>
      <c r="AI149" s="24">
        <v>78.47</v>
      </c>
      <c r="AJ149" s="20">
        <v>134.46</v>
      </c>
      <c r="AK149" s="20">
        <v>347.42</v>
      </c>
      <c r="AL149" s="83">
        <v>475.55</v>
      </c>
      <c r="AM149" s="83">
        <v>189.23</v>
      </c>
      <c r="AN149" s="83">
        <v>121.01</v>
      </c>
      <c r="AO149" s="8">
        <f t="shared" si="137"/>
        <v>1416.34</v>
      </c>
      <c r="AP149" s="24">
        <v>271.25</v>
      </c>
      <c r="AQ149" s="24">
        <v>-303.23</v>
      </c>
      <c r="AR149" s="24">
        <f>VLOOKUP(B149,'[1]Sheet1 (2)'!$B$2:$C$397,2,0)</f>
        <v>105.62</v>
      </c>
      <c r="AS149" s="24">
        <f>VLOOKUP(B149,'[2]Sheet1 (2)'!$B$2:$C$404,2,0)</f>
        <v>10.82</v>
      </c>
      <c r="AT149" s="24">
        <v>58.29</v>
      </c>
      <c r="AU149" s="24">
        <v>23.01</v>
      </c>
      <c r="AV149" s="24">
        <v>10.29</v>
      </c>
      <c r="AW149" s="20">
        <v>62.62</v>
      </c>
      <c r="AX149" s="20">
        <v>94.96</v>
      </c>
      <c r="AY149" s="83">
        <v>46.27</v>
      </c>
      <c r="AZ149" s="83">
        <v>79.540000000000006</v>
      </c>
      <c r="BA149" s="83">
        <v>15.51</v>
      </c>
      <c r="BB149" s="8">
        <f t="shared" si="138"/>
        <v>474.94999999999993</v>
      </c>
      <c r="BC149" s="24">
        <v>112.8</v>
      </c>
      <c r="BD149" s="24">
        <v>29.76</v>
      </c>
      <c r="BE149" s="24">
        <v>4.7300000000000004</v>
      </c>
      <c r="BF149" s="24">
        <v>0</v>
      </c>
      <c r="BG149" s="24">
        <v>5.09</v>
      </c>
      <c r="BH149" s="24">
        <v>8.75</v>
      </c>
      <c r="BI149" s="24">
        <v>0</v>
      </c>
      <c r="BN149" s="83"/>
      <c r="BO149" s="8">
        <f t="shared" si="139"/>
        <v>161.13</v>
      </c>
    </row>
    <row r="150" spans="2:67" x14ac:dyDescent="0.2">
      <c r="B150" s="3" t="s">
        <v>323</v>
      </c>
      <c r="C150" s="23">
        <v>3243.68</v>
      </c>
      <c r="D150" s="24">
        <v>0</v>
      </c>
      <c r="E150" s="24">
        <v>4582.21</v>
      </c>
      <c r="F150" s="24">
        <v>125.43</v>
      </c>
      <c r="G150" s="24">
        <v>1439.82</v>
      </c>
      <c r="H150" s="24">
        <v>1378.99</v>
      </c>
      <c r="I150" s="24">
        <v>1401.57</v>
      </c>
      <c r="J150" s="24">
        <v>824.04</v>
      </c>
      <c r="K150" s="24">
        <v>5841.23</v>
      </c>
      <c r="L150" s="24">
        <v>635.91999999999996</v>
      </c>
      <c r="M150" s="24">
        <v>6416.82</v>
      </c>
      <c r="N150" s="24">
        <v>2863.03</v>
      </c>
      <c r="O150" s="24">
        <f t="shared" si="140"/>
        <v>28752.739999999994</v>
      </c>
      <c r="P150" s="24">
        <v>5148.5200000000004</v>
      </c>
      <c r="Q150" s="24">
        <v>8539.2099999999991</v>
      </c>
      <c r="R150" s="24">
        <v>3390.51</v>
      </c>
      <c r="S150" s="24">
        <v>3462.36</v>
      </c>
      <c r="T150" s="24">
        <v>8686.83</v>
      </c>
      <c r="U150" s="24">
        <v>-965.22</v>
      </c>
      <c r="V150" s="24">
        <v>3060.48</v>
      </c>
      <c r="W150" s="20">
        <v>1004.39</v>
      </c>
      <c r="X150" s="20">
        <v>3211.62</v>
      </c>
      <c r="Y150" s="83">
        <v>3860.46</v>
      </c>
      <c r="Z150" s="83">
        <v>2854.11</v>
      </c>
      <c r="AA150" s="83">
        <v>4059.29</v>
      </c>
      <c r="AB150" s="8">
        <f t="shared" si="136"/>
        <v>46312.56</v>
      </c>
      <c r="AC150" s="24">
        <v>1994.32</v>
      </c>
      <c r="AD150" s="24">
        <v>2305.48</v>
      </c>
      <c r="AE150" s="24">
        <v>0</v>
      </c>
      <c r="AF150" s="24">
        <v>3149.15</v>
      </c>
      <c r="AG150" s="24">
        <v>1179.8599999999999</v>
      </c>
      <c r="AH150" s="24">
        <v>0</v>
      </c>
      <c r="AI150" s="24">
        <v>2026.73</v>
      </c>
      <c r="AJ150" s="20">
        <v>6824.16</v>
      </c>
      <c r="AK150" s="20">
        <v>1916.32</v>
      </c>
      <c r="AL150" s="83">
        <v>7668.7</v>
      </c>
      <c r="AM150" s="83">
        <v>3187.93</v>
      </c>
      <c r="AN150" s="83">
        <v>1755.97</v>
      </c>
      <c r="AO150" s="8">
        <f t="shared" si="137"/>
        <v>32008.620000000003</v>
      </c>
      <c r="AP150" s="24">
        <v>3284.47</v>
      </c>
      <c r="AQ150" s="24">
        <v>590.14</v>
      </c>
      <c r="AR150" s="24">
        <f>VLOOKUP(B150,'[1]Sheet1 (2)'!$B$2:$C$397,2,0)</f>
        <v>4533.29</v>
      </c>
      <c r="AS150" s="24">
        <f>VLOOKUP(B150,'[2]Sheet1 (2)'!$B$2:$C$404,2,0)</f>
        <v>-1148.04</v>
      </c>
      <c r="AT150" s="24">
        <v>3602.81</v>
      </c>
      <c r="AU150" s="24">
        <v>466.65</v>
      </c>
      <c r="AV150" s="24">
        <v>556.73</v>
      </c>
      <c r="AW150" s="20">
        <v>976.72</v>
      </c>
      <c r="AX150" s="20">
        <v>2403.9699999999998</v>
      </c>
      <c r="AY150" s="83">
        <v>3640.09</v>
      </c>
      <c r="AZ150" s="83">
        <v>4041.68</v>
      </c>
      <c r="BA150" s="83">
        <v>131.72999999999999</v>
      </c>
      <c r="BB150" s="8">
        <f t="shared" si="138"/>
        <v>23080.239999999998</v>
      </c>
      <c r="BC150" s="24">
        <v>0</v>
      </c>
      <c r="BD150" s="24">
        <v>15.66</v>
      </c>
      <c r="BE150" s="24">
        <v>3904.22</v>
      </c>
      <c r="BF150" s="24">
        <v>1210.79</v>
      </c>
      <c r="BG150" s="24">
        <v>2908</v>
      </c>
      <c r="BH150" s="24">
        <v>414.32</v>
      </c>
      <c r="BI150" s="24">
        <v>1053.44</v>
      </c>
      <c r="BN150" s="83"/>
      <c r="BO150" s="8">
        <f t="shared" si="139"/>
        <v>9506.43</v>
      </c>
    </row>
    <row r="151" spans="2:67" x14ac:dyDescent="0.2">
      <c r="B151" s="3" t="s">
        <v>324</v>
      </c>
      <c r="C151" s="23">
        <v>33298</v>
      </c>
      <c r="D151" s="24">
        <v>18372.78</v>
      </c>
      <c r="E151" s="24">
        <v>37022.519999999997</v>
      </c>
      <c r="F151" s="24">
        <v>30117.8</v>
      </c>
      <c r="G151" s="24">
        <v>26349.07</v>
      </c>
      <c r="H151" s="24">
        <v>61554.76</v>
      </c>
      <c r="I151" s="24">
        <v>20081.86</v>
      </c>
      <c r="J151" s="24">
        <v>25745.27</v>
      </c>
      <c r="K151" s="24">
        <v>39811.379999999997</v>
      </c>
      <c r="L151" s="24">
        <v>21304.06</v>
      </c>
      <c r="M151" s="24">
        <v>39374.589999999997</v>
      </c>
      <c r="N151" s="24">
        <v>42318.720000000001</v>
      </c>
      <c r="O151" s="24">
        <f t="shared" si="140"/>
        <v>395350.80999999994</v>
      </c>
      <c r="P151" s="24">
        <v>11902.58</v>
      </c>
      <c r="Q151" s="24">
        <v>36995.089999999997</v>
      </c>
      <c r="R151" s="24">
        <v>38337.839999999997</v>
      </c>
      <c r="S151" s="24">
        <v>33461.730000000003</v>
      </c>
      <c r="T151" s="24">
        <v>36597.51</v>
      </c>
      <c r="U151" s="24">
        <v>21914.67</v>
      </c>
      <c r="V151" s="24">
        <v>34026.300000000003</v>
      </c>
      <c r="W151" s="20">
        <v>43686.65</v>
      </c>
      <c r="X151" s="20">
        <v>44080.4</v>
      </c>
      <c r="Y151" s="83">
        <v>37166.769999999997</v>
      </c>
      <c r="Z151" s="83">
        <v>32069</v>
      </c>
      <c r="AA151" s="83">
        <v>63895.040000000001</v>
      </c>
      <c r="AB151" s="8">
        <f t="shared" si="136"/>
        <v>434133.57999999996</v>
      </c>
      <c r="AC151" s="24">
        <v>51196.38</v>
      </c>
      <c r="AD151" s="24">
        <v>-5809.57</v>
      </c>
      <c r="AE151" s="24">
        <v>28171.32</v>
      </c>
      <c r="AF151" s="24">
        <v>26159.11</v>
      </c>
      <c r="AG151" s="24">
        <v>12448.09</v>
      </c>
      <c r="AH151" s="24">
        <v>27687.82</v>
      </c>
      <c r="AI151" s="24">
        <v>24397.83</v>
      </c>
      <c r="AJ151" s="20">
        <v>19729.86</v>
      </c>
      <c r="AK151" s="20">
        <v>30709.58</v>
      </c>
      <c r="AL151" s="83">
        <v>21598.51</v>
      </c>
      <c r="AM151" s="83">
        <v>25908.99</v>
      </c>
      <c r="AN151" s="83">
        <v>35062.480000000003</v>
      </c>
      <c r="AO151" s="8">
        <f t="shared" si="137"/>
        <v>297260.39999999997</v>
      </c>
      <c r="AP151" s="24">
        <v>16963.849999999999</v>
      </c>
      <c r="AQ151" s="24">
        <v>40786.33</v>
      </c>
      <c r="AR151" s="24">
        <f>VLOOKUP(B151,'[1]Sheet1 (2)'!$B$2:$C$397,2,0)</f>
        <v>18171.759999999998</v>
      </c>
      <c r="AS151" s="24">
        <f>VLOOKUP(B151,'[2]Sheet1 (2)'!$B$2:$C$404,2,0)</f>
        <v>21769.26</v>
      </c>
      <c r="AT151" s="24">
        <v>12281.98</v>
      </c>
      <c r="AU151" s="24">
        <v>14136.32</v>
      </c>
      <c r="AV151" s="24">
        <v>21241.59</v>
      </c>
      <c r="AW151" s="20">
        <v>15301.9</v>
      </c>
      <c r="AX151" s="20">
        <v>20098.09</v>
      </c>
      <c r="AY151" s="83">
        <v>31100.54</v>
      </c>
      <c r="AZ151" s="83">
        <v>30365.61</v>
      </c>
      <c r="BA151" s="83">
        <v>49654.98</v>
      </c>
      <c r="BB151" s="8">
        <f t="shared" si="138"/>
        <v>291872.20999999996</v>
      </c>
      <c r="BC151" s="24">
        <v>11724.05</v>
      </c>
      <c r="BD151" s="24">
        <v>14262.66</v>
      </c>
      <c r="BE151" s="24">
        <v>23111.27</v>
      </c>
      <c r="BF151" s="24">
        <v>11036.96</v>
      </c>
      <c r="BG151" s="24">
        <v>33026.07</v>
      </c>
      <c r="BH151" s="24">
        <v>14983.02</v>
      </c>
      <c r="BI151" s="24">
        <v>11318.23</v>
      </c>
      <c r="BN151" s="83"/>
      <c r="BO151" s="8">
        <f t="shared" si="139"/>
        <v>119462.26</v>
      </c>
    </row>
    <row r="152" spans="2:67" x14ac:dyDescent="0.2">
      <c r="B152" s="3" t="s">
        <v>913</v>
      </c>
      <c r="C152" s="23">
        <v>0</v>
      </c>
      <c r="D152" s="24">
        <v>118.21</v>
      </c>
      <c r="E152" s="24">
        <v>0</v>
      </c>
      <c r="F152" s="24">
        <v>0</v>
      </c>
      <c r="G152" s="24">
        <v>0</v>
      </c>
      <c r="H152" s="24">
        <v>0</v>
      </c>
      <c r="I152" s="24">
        <v>211.05</v>
      </c>
      <c r="J152" s="24">
        <v>0</v>
      </c>
      <c r="K152" s="24">
        <v>0</v>
      </c>
      <c r="L152" s="24">
        <v>0</v>
      </c>
      <c r="M152" s="24">
        <v>0</v>
      </c>
      <c r="N152" s="24">
        <v>1844.25</v>
      </c>
      <c r="O152" s="24">
        <f t="shared" si="140"/>
        <v>2173.5100000000002</v>
      </c>
      <c r="P152" s="24">
        <v>0</v>
      </c>
      <c r="Q152" s="24">
        <v>0</v>
      </c>
      <c r="R152" s="24">
        <v>0</v>
      </c>
      <c r="S152" s="24">
        <v>0</v>
      </c>
      <c r="T152" s="24">
        <v>0</v>
      </c>
      <c r="U152" s="24">
        <v>99.45</v>
      </c>
      <c r="V152" s="24">
        <v>0</v>
      </c>
      <c r="W152" s="20">
        <v>0</v>
      </c>
      <c r="X152" s="20">
        <v>0</v>
      </c>
      <c r="Y152" s="83">
        <v>0</v>
      </c>
      <c r="Z152" s="83">
        <v>0</v>
      </c>
      <c r="AA152" s="83">
        <v>324.92</v>
      </c>
      <c r="AB152" s="8">
        <f t="shared" si="136"/>
        <v>424.37</v>
      </c>
      <c r="AC152" s="24">
        <v>0</v>
      </c>
      <c r="AD152" s="24">
        <v>0</v>
      </c>
      <c r="AE152" s="24">
        <v>0</v>
      </c>
      <c r="AF152" s="24">
        <v>0</v>
      </c>
      <c r="AG152" s="24">
        <v>0</v>
      </c>
      <c r="AH152" s="24">
        <v>0</v>
      </c>
      <c r="AI152" s="24">
        <v>0</v>
      </c>
      <c r="AJ152" s="20">
        <v>0</v>
      </c>
      <c r="AK152" s="20">
        <v>0</v>
      </c>
      <c r="AL152" s="83">
        <v>0</v>
      </c>
      <c r="AM152" s="83">
        <v>0</v>
      </c>
      <c r="AN152" s="83">
        <v>77.83</v>
      </c>
      <c r="AO152" s="8">
        <f t="shared" si="137"/>
        <v>77.83</v>
      </c>
      <c r="AP152" s="24">
        <v>0</v>
      </c>
      <c r="AQ152" s="24">
        <v>77.349999999999994</v>
      </c>
      <c r="AR152" s="24">
        <f>VLOOKUP(B152,'[1]Sheet1 (2)'!$B$2:$C$397,2,0)</f>
        <v>442.74</v>
      </c>
      <c r="AS152" s="24">
        <f>VLOOKUP(B152,'[2]Sheet1 (2)'!$B$2:$C$404,2,0)</f>
        <v>0</v>
      </c>
      <c r="AT152" s="24">
        <v>0</v>
      </c>
      <c r="AU152" s="24">
        <v>134.44</v>
      </c>
      <c r="AV152" s="24">
        <v>0</v>
      </c>
      <c r="AW152" s="20">
        <v>54.78</v>
      </c>
      <c r="AX152" s="20">
        <v>0</v>
      </c>
      <c r="AY152" s="83">
        <v>0</v>
      </c>
      <c r="AZ152" s="83">
        <v>0</v>
      </c>
      <c r="BA152" s="83">
        <v>0</v>
      </c>
      <c r="BB152" s="8">
        <f t="shared" si="138"/>
        <v>709.31</v>
      </c>
      <c r="BC152" s="24">
        <v>107.11</v>
      </c>
      <c r="BD152" s="24">
        <v>0</v>
      </c>
      <c r="BE152" s="24">
        <v>0</v>
      </c>
      <c r="BF152" s="24">
        <v>0</v>
      </c>
      <c r="BG152" s="24">
        <v>0</v>
      </c>
      <c r="BH152" s="24">
        <v>52.36</v>
      </c>
      <c r="BI152" s="24">
        <v>128.47999999999999</v>
      </c>
      <c r="BN152" s="83"/>
      <c r="BO152" s="8">
        <f t="shared" si="139"/>
        <v>287.95</v>
      </c>
    </row>
    <row r="153" spans="2:67" x14ac:dyDescent="0.2">
      <c r="B153" s="3" t="s">
        <v>561</v>
      </c>
      <c r="C153" s="23">
        <v>0</v>
      </c>
      <c r="D153" s="24">
        <v>89.1</v>
      </c>
      <c r="E153" s="24">
        <v>313.31</v>
      </c>
      <c r="F153" s="24">
        <v>59.04</v>
      </c>
      <c r="G153" s="24">
        <v>137.88999999999999</v>
      </c>
      <c r="H153" s="24">
        <v>188.36</v>
      </c>
      <c r="I153" s="24">
        <v>167.89</v>
      </c>
      <c r="J153" s="24">
        <v>332.06</v>
      </c>
      <c r="K153" s="24">
        <v>0</v>
      </c>
      <c r="L153" s="24">
        <v>103.65</v>
      </c>
      <c r="M153" s="24">
        <v>102.26</v>
      </c>
      <c r="N153" s="24">
        <v>682.76</v>
      </c>
      <c r="O153" s="24">
        <f t="shared" si="140"/>
        <v>2176.3199999999997</v>
      </c>
      <c r="P153" s="24">
        <v>0</v>
      </c>
      <c r="Q153" s="24">
        <v>675.71</v>
      </c>
      <c r="R153" s="24">
        <v>681.71</v>
      </c>
      <c r="S153" s="24">
        <v>80.84</v>
      </c>
      <c r="T153" s="24">
        <v>198.87</v>
      </c>
      <c r="U153" s="24">
        <v>0</v>
      </c>
      <c r="V153" s="24">
        <v>369.99</v>
      </c>
      <c r="W153" s="20">
        <v>846.99</v>
      </c>
      <c r="X153" s="20">
        <v>0</v>
      </c>
      <c r="Y153" s="83">
        <v>0</v>
      </c>
      <c r="Z153" s="83">
        <v>664.63</v>
      </c>
      <c r="AA153" s="83">
        <v>614.20000000000005</v>
      </c>
      <c r="AB153" s="8">
        <f t="shared" si="136"/>
        <v>4132.9400000000005</v>
      </c>
      <c r="AC153" s="24">
        <v>5.66</v>
      </c>
      <c r="AD153" s="24">
        <v>0</v>
      </c>
      <c r="AE153" s="24">
        <v>695.48</v>
      </c>
      <c r="AF153" s="24">
        <v>11.04</v>
      </c>
      <c r="AG153" s="24">
        <v>0</v>
      </c>
      <c r="AH153" s="24">
        <v>0</v>
      </c>
      <c r="AI153" s="24">
        <v>0</v>
      </c>
      <c r="AJ153" s="20">
        <v>0</v>
      </c>
      <c r="AK153" s="20">
        <v>24.33</v>
      </c>
      <c r="AL153" s="83">
        <v>0</v>
      </c>
      <c r="AM153" s="83">
        <v>0</v>
      </c>
      <c r="AN153" s="83">
        <v>1559.73</v>
      </c>
      <c r="AO153" s="8">
        <f t="shared" si="137"/>
        <v>2296.2399999999998</v>
      </c>
      <c r="AP153" s="24">
        <v>0</v>
      </c>
      <c r="AQ153" s="24">
        <v>0</v>
      </c>
      <c r="AR153" s="24">
        <v>0</v>
      </c>
      <c r="AS153" s="24">
        <v>0</v>
      </c>
      <c r="AT153" s="24">
        <v>0</v>
      </c>
      <c r="AU153" s="24">
        <v>0</v>
      </c>
      <c r="AV153" s="24">
        <v>0</v>
      </c>
      <c r="AW153" s="20">
        <v>0</v>
      </c>
      <c r="AX153" s="20">
        <v>0</v>
      </c>
      <c r="AY153" s="83">
        <v>0</v>
      </c>
      <c r="AZ153" s="83">
        <v>0</v>
      </c>
      <c r="BA153" s="83">
        <v>0</v>
      </c>
      <c r="BB153" s="8">
        <f t="shared" si="138"/>
        <v>0</v>
      </c>
      <c r="BC153" s="24">
        <v>0</v>
      </c>
      <c r="BD153" s="24">
        <v>0</v>
      </c>
      <c r="BE153" s="24">
        <v>0</v>
      </c>
      <c r="BF153" s="24">
        <v>0</v>
      </c>
      <c r="BG153" s="24">
        <v>0</v>
      </c>
      <c r="BH153" s="24">
        <v>0</v>
      </c>
      <c r="BI153" s="24">
        <v>0</v>
      </c>
      <c r="BN153" s="83"/>
      <c r="BO153" s="8">
        <f t="shared" si="139"/>
        <v>0</v>
      </c>
    </row>
    <row r="154" spans="2:67" x14ac:dyDescent="0.2">
      <c r="B154" s="3" t="s">
        <v>325</v>
      </c>
      <c r="C154" s="23"/>
      <c r="L154" s="24">
        <v>33580</v>
      </c>
      <c r="M154" s="24">
        <v>3128</v>
      </c>
      <c r="N154" s="24">
        <v>3128</v>
      </c>
      <c r="O154" s="24">
        <f t="shared" si="140"/>
        <v>39836</v>
      </c>
      <c r="P154" s="24">
        <v>3128</v>
      </c>
      <c r="Q154" s="24">
        <v>3312</v>
      </c>
      <c r="R154" s="24">
        <v>3312</v>
      </c>
      <c r="S154" s="24">
        <v>3312</v>
      </c>
      <c r="T154" s="24">
        <v>3312</v>
      </c>
      <c r="U154" s="24">
        <v>1863</v>
      </c>
      <c r="V154" s="24">
        <v>1863</v>
      </c>
      <c r="W154" s="20">
        <v>0</v>
      </c>
      <c r="X154" s="20">
        <v>3726</v>
      </c>
      <c r="Y154" s="83">
        <v>1863</v>
      </c>
      <c r="Z154" s="83">
        <v>1863</v>
      </c>
      <c r="AA154" s="83">
        <v>1863</v>
      </c>
      <c r="AB154" s="8">
        <f t="shared" si="136"/>
        <v>29417</v>
      </c>
      <c r="AC154" s="24">
        <v>1863</v>
      </c>
      <c r="AD154" s="24">
        <v>0</v>
      </c>
      <c r="AE154" s="24">
        <v>3933</v>
      </c>
      <c r="AF154" s="24">
        <v>1966.5</v>
      </c>
      <c r="AG154" s="24">
        <v>0</v>
      </c>
      <c r="AH154" s="24">
        <v>0</v>
      </c>
      <c r="AI154" s="24">
        <v>0</v>
      </c>
      <c r="AJ154" s="20">
        <v>0</v>
      </c>
      <c r="AK154" s="20">
        <v>0</v>
      </c>
      <c r="AL154" s="83">
        <v>0</v>
      </c>
      <c r="AM154" s="83">
        <v>9500</v>
      </c>
      <c r="AN154" s="83">
        <v>5700</v>
      </c>
      <c r="AO154" s="8">
        <f t="shared" si="137"/>
        <v>22962.5</v>
      </c>
      <c r="AP154" s="24">
        <v>0</v>
      </c>
      <c r="AQ154" s="24">
        <v>2057.52</v>
      </c>
      <c r="AR154" s="24">
        <f>VLOOKUP(B154,'[1]Sheet1 (2)'!$B$2:$C$397,2,0)</f>
        <v>1000</v>
      </c>
      <c r="AS154" s="24">
        <f>VLOOKUP(B154,'[2]Sheet1 (2)'!$B$2:$C$404,2,0)</f>
        <v>0</v>
      </c>
      <c r="AT154" s="24">
        <v>1068.19</v>
      </c>
      <c r="AU154" s="24">
        <v>0</v>
      </c>
      <c r="AV154" s="24">
        <v>981.82</v>
      </c>
      <c r="AW154" s="20">
        <v>490.91</v>
      </c>
      <c r="AX154" s="20">
        <v>818.19</v>
      </c>
      <c r="AY154" s="83">
        <v>0</v>
      </c>
      <c r="AZ154" s="83">
        <v>937.97</v>
      </c>
      <c r="BA154" s="83">
        <v>1542.86</v>
      </c>
      <c r="BB154" s="8">
        <f t="shared" si="138"/>
        <v>8897.4599999999991</v>
      </c>
      <c r="BC154" s="24">
        <v>746.57</v>
      </c>
      <c r="BD154" s="24">
        <v>0</v>
      </c>
      <c r="BE154" s="24">
        <v>1514.42</v>
      </c>
      <c r="BF154" s="24">
        <v>787.5</v>
      </c>
      <c r="BG154" s="24">
        <v>831.08</v>
      </c>
      <c r="BH154" s="24">
        <v>699.45</v>
      </c>
      <c r="BI154" s="24">
        <v>725.47</v>
      </c>
      <c r="BN154" s="83"/>
      <c r="BO154" s="8">
        <f t="shared" si="139"/>
        <v>5304.4900000000007</v>
      </c>
    </row>
    <row r="155" spans="2:67" x14ac:dyDescent="0.2">
      <c r="B155" s="3" t="s">
        <v>654</v>
      </c>
      <c r="C155" s="23">
        <v>36.44</v>
      </c>
      <c r="D155" s="24">
        <v>832.38</v>
      </c>
      <c r="E155" s="24">
        <v>0</v>
      </c>
      <c r="F155" s="24">
        <v>217.94</v>
      </c>
      <c r="G155" s="24">
        <v>0</v>
      </c>
      <c r="H155" s="24">
        <v>0</v>
      </c>
      <c r="I155" s="24">
        <v>13793.45</v>
      </c>
      <c r="J155" s="24">
        <v>141.54</v>
      </c>
      <c r="K155" s="24">
        <v>837.08</v>
      </c>
      <c r="L155" s="24">
        <v>34.81</v>
      </c>
      <c r="M155" s="24">
        <v>238</v>
      </c>
      <c r="N155" s="24">
        <v>5857.59</v>
      </c>
      <c r="O155" s="24">
        <f t="shared" si="140"/>
        <v>21989.230000000003</v>
      </c>
      <c r="P155" s="24">
        <v>0</v>
      </c>
      <c r="Q155" s="24">
        <v>0</v>
      </c>
      <c r="R155" s="24">
        <v>762.89</v>
      </c>
      <c r="S155" s="24">
        <v>997.96</v>
      </c>
      <c r="T155" s="24">
        <v>999.44</v>
      </c>
      <c r="U155" s="24">
        <v>169.22</v>
      </c>
      <c r="V155" s="24">
        <v>4802.82</v>
      </c>
      <c r="W155" s="20">
        <v>615.70000000000005</v>
      </c>
      <c r="X155" s="20">
        <v>1830.17</v>
      </c>
      <c r="Y155" s="83">
        <v>2051.13</v>
      </c>
      <c r="Z155" s="83">
        <v>520.88</v>
      </c>
      <c r="AA155" s="83">
        <v>39.700000000000003</v>
      </c>
      <c r="AB155" s="8">
        <f t="shared" si="136"/>
        <v>12789.910000000002</v>
      </c>
      <c r="AC155" s="24">
        <v>87.49</v>
      </c>
      <c r="AD155" s="24">
        <v>0</v>
      </c>
      <c r="AE155" s="24">
        <v>0</v>
      </c>
      <c r="AF155" s="24">
        <v>513.29999999999995</v>
      </c>
      <c r="AG155" s="24">
        <v>0</v>
      </c>
      <c r="AH155" s="24">
        <v>586.46</v>
      </c>
      <c r="AI155" s="24">
        <v>1486.22</v>
      </c>
      <c r="AJ155" s="20">
        <v>0</v>
      </c>
      <c r="AK155" s="20">
        <v>150.57</v>
      </c>
      <c r="AL155" s="83">
        <v>0</v>
      </c>
      <c r="AM155" s="83">
        <v>0</v>
      </c>
      <c r="AN155" s="83">
        <v>0</v>
      </c>
      <c r="AO155" s="8">
        <f t="shared" si="137"/>
        <v>2824.0400000000004</v>
      </c>
      <c r="AP155" s="24">
        <v>0</v>
      </c>
      <c r="AQ155" s="24">
        <v>0</v>
      </c>
      <c r="AR155" s="24">
        <f>VLOOKUP(B155,'[1]Sheet1 (2)'!$B$2:$C$397,2,0)</f>
        <v>887.14</v>
      </c>
      <c r="AS155" s="24">
        <f>VLOOKUP(B155,'[2]Sheet1 (2)'!$B$2:$C$404,2,0)</f>
        <v>0</v>
      </c>
      <c r="AT155" s="24">
        <v>0</v>
      </c>
      <c r="AU155" s="24">
        <v>0.22</v>
      </c>
      <c r="AV155" s="24">
        <v>0</v>
      </c>
      <c r="AW155" s="20">
        <v>22998.23</v>
      </c>
      <c r="AX155" s="20">
        <v>0</v>
      </c>
      <c r="AY155" s="83">
        <v>0</v>
      </c>
      <c r="AZ155" s="83">
        <v>-22998.23</v>
      </c>
      <c r="BA155" s="83">
        <v>0</v>
      </c>
      <c r="BB155" s="8">
        <f t="shared" si="138"/>
        <v>887.36000000000058</v>
      </c>
      <c r="BC155" s="24">
        <v>0</v>
      </c>
      <c r="BD155" s="24">
        <v>0</v>
      </c>
      <c r="BE155" s="24">
        <v>0</v>
      </c>
      <c r="BF155" s="24">
        <v>0</v>
      </c>
      <c r="BG155" s="24">
        <v>0</v>
      </c>
      <c r="BH155" s="24">
        <v>0</v>
      </c>
      <c r="BI155" s="24">
        <v>0</v>
      </c>
      <c r="BN155" s="83"/>
      <c r="BO155" s="8">
        <f t="shared" si="139"/>
        <v>0</v>
      </c>
    </row>
    <row r="156" spans="2:67" x14ac:dyDescent="0.2">
      <c r="B156" s="3" t="s">
        <v>991</v>
      </c>
      <c r="C156" s="23">
        <v>-28825.55</v>
      </c>
      <c r="D156" s="24">
        <v>30010.19</v>
      </c>
      <c r="E156" s="24">
        <v>38772.32</v>
      </c>
      <c r="F156" s="24">
        <v>-28377.11</v>
      </c>
      <c r="G156" s="24">
        <v>71200.649999999994</v>
      </c>
      <c r="H156" s="24">
        <v>-82311.289999999994</v>
      </c>
      <c r="I156" s="24">
        <v>0</v>
      </c>
      <c r="J156" s="24">
        <v>0</v>
      </c>
      <c r="K156" s="24">
        <v>0</v>
      </c>
      <c r="L156" s="24">
        <v>0</v>
      </c>
      <c r="M156" s="24">
        <v>0</v>
      </c>
      <c r="N156" s="24">
        <v>0</v>
      </c>
      <c r="O156" s="24">
        <f t="shared" si="140"/>
        <v>469.2100000000064</v>
      </c>
      <c r="P156" s="24">
        <v>0</v>
      </c>
      <c r="Q156" s="24">
        <v>0</v>
      </c>
      <c r="R156" s="24">
        <v>0</v>
      </c>
      <c r="S156" s="24">
        <v>0</v>
      </c>
      <c r="T156" s="24">
        <v>0</v>
      </c>
      <c r="U156" s="24">
        <v>0</v>
      </c>
      <c r="V156" s="24">
        <v>0</v>
      </c>
      <c r="W156" s="20">
        <v>0</v>
      </c>
      <c r="X156" s="20">
        <v>0</v>
      </c>
      <c r="Y156" s="83">
        <v>0</v>
      </c>
      <c r="Z156" s="83">
        <v>0</v>
      </c>
      <c r="AA156" s="83">
        <v>0</v>
      </c>
      <c r="AB156" s="8">
        <f t="shared" si="136"/>
        <v>0</v>
      </c>
      <c r="AC156" s="24">
        <v>0</v>
      </c>
      <c r="AD156" s="24">
        <v>0</v>
      </c>
      <c r="AE156" s="24">
        <v>0</v>
      </c>
      <c r="AF156" s="24">
        <v>0</v>
      </c>
      <c r="AG156" s="24">
        <v>0</v>
      </c>
      <c r="AH156" s="24">
        <v>0</v>
      </c>
      <c r="AI156" s="24">
        <v>0</v>
      </c>
      <c r="AJ156" s="20">
        <v>0</v>
      </c>
      <c r="AK156" s="20">
        <v>0</v>
      </c>
      <c r="AL156" s="83">
        <v>0</v>
      </c>
      <c r="AM156" s="83">
        <v>0</v>
      </c>
      <c r="AN156" s="83">
        <v>0</v>
      </c>
      <c r="AO156" s="8">
        <f t="shared" si="137"/>
        <v>0</v>
      </c>
      <c r="AP156" s="24">
        <v>0</v>
      </c>
      <c r="AQ156" s="24">
        <v>0</v>
      </c>
      <c r="AR156" s="24">
        <v>0</v>
      </c>
      <c r="AS156" s="24">
        <v>0</v>
      </c>
      <c r="AT156" s="24">
        <v>0</v>
      </c>
      <c r="AU156" s="24">
        <v>0</v>
      </c>
      <c r="AV156" s="24">
        <v>0</v>
      </c>
      <c r="AW156" s="20">
        <v>0</v>
      </c>
      <c r="AX156" s="20">
        <v>0</v>
      </c>
      <c r="AY156" s="83">
        <v>0</v>
      </c>
      <c r="AZ156" s="83">
        <v>0</v>
      </c>
      <c r="BA156" s="83">
        <v>0</v>
      </c>
      <c r="BB156" s="8">
        <f t="shared" si="138"/>
        <v>0</v>
      </c>
      <c r="BC156" s="24">
        <v>0</v>
      </c>
      <c r="BD156" s="24">
        <v>0</v>
      </c>
      <c r="BE156" s="24">
        <v>0</v>
      </c>
      <c r="BF156" s="24">
        <v>0</v>
      </c>
      <c r="BG156" s="24">
        <v>0</v>
      </c>
      <c r="BH156" s="24">
        <v>0</v>
      </c>
      <c r="BI156" s="24">
        <v>0</v>
      </c>
      <c r="BN156" s="83"/>
      <c r="BO156" s="8">
        <f t="shared" si="139"/>
        <v>0</v>
      </c>
    </row>
    <row r="157" spans="2:67" x14ac:dyDescent="0.2">
      <c r="B157" s="3" t="s">
        <v>326</v>
      </c>
      <c r="C157" s="23">
        <v>-435.68</v>
      </c>
      <c r="D157" s="24">
        <v>10827.01</v>
      </c>
      <c r="E157" s="24">
        <v>6464.12</v>
      </c>
      <c r="F157" s="24">
        <v>-2226.3200000000002</v>
      </c>
      <c r="G157" s="24">
        <v>546.87</v>
      </c>
      <c r="H157" s="24">
        <v>41451.760000000002</v>
      </c>
      <c r="I157" s="24">
        <v>-27575.360000000001</v>
      </c>
      <c r="J157" s="24">
        <v>-689.75</v>
      </c>
      <c r="K157" s="24">
        <v>26392.26</v>
      </c>
      <c r="L157" s="24">
        <v>28231.9</v>
      </c>
      <c r="M157" s="24">
        <v>11220.07</v>
      </c>
      <c r="N157" s="24">
        <v>76212.58</v>
      </c>
      <c r="O157" s="24">
        <f t="shared" si="140"/>
        <v>170419.46000000002</v>
      </c>
      <c r="P157" s="24">
        <v>9853.35</v>
      </c>
      <c r="Q157" s="24">
        <v>28175.1</v>
      </c>
      <c r="R157" s="24">
        <v>16159.32</v>
      </c>
      <c r="S157" s="24">
        <v>36930.35</v>
      </c>
      <c r="T157" s="24">
        <v>-37177.949999999997</v>
      </c>
      <c r="U157" s="24">
        <v>15878.76</v>
      </c>
      <c r="V157" s="24">
        <v>34245.879999999997</v>
      </c>
      <c r="W157" s="20">
        <v>30334.06</v>
      </c>
      <c r="X157" s="20">
        <v>3384.84</v>
      </c>
      <c r="Y157" s="83">
        <v>3200.78</v>
      </c>
      <c r="Z157" s="83">
        <v>18011.11</v>
      </c>
      <c r="AA157" s="83">
        <v>-40393.11</v>
      </c>
      <c r="AB157" s="8">
        <f t="shared" si="136"/>
        <v>118602.48999999998</v>
      </c>
      <c r="AC157" s="24">
        <v>9657.1</v>
      </c>
      <c r="AD157" s="24">
        <v>-205.5</v>
      </c>
      <c r="AE157" s="24">
        <v>5185.5</v>
      </c>
      <c r="AF157" s="24">
        <v>8324.32</v>
      </c>
      <c r="AG157" s="24">
        <v>15662.88</v>
      </c>
      <c r="AH157" s="24">
        <v>-2194.09</v>
      </c>
      <c r="AI157" s="24">
        <v>3550.27</v>
      </c>
      <c r="AJ157" s="20">
        <v>10075.299999999999</v>
      </c>
      <c r="AK157" s="20">
        <v>-1421.91</v>
      </c>
      <c r="AL157" s="83">
        <v>1123.8900000000001</v>
      </c>
      <c r="AM157" s="83">
        <v>766</v>
      </c>
      <c r="AN157" s="83">
        <v>7920.98</v>
      </c>
      <c r="AO157" s="8">
        <f t="shared" si="137"/>
        <v>58444.739999999976</v>
      </c>
      <c r="AP157" s="24">
        <v>3984.24</v>
      </c>
      <c r="AQ157" s="24">
        <v>5317.13</v>
      </c>
      <c r="AR157" s="24">
        <f>VLOOKUP(B157,'[1]Sheet1 (2)'!$B$2:$C$397,2,0)</f>
        <v>7539.05</v>
      </c>
      <c r="AS157" s="24">
        <f>VLOOKUP(B157,'[2]Sheet1 (2)'!$B$2:$C$404,2,0)</f>
        <v>3137.08</v>
      </c>
      <c r="AT157" s="24">
        <v>1243.71</v>
      </c>
      <c r="AU157" s="24">
        <v>10093.67</v>
      </c>
      <c r="AV157" s="24">
        <v>7923.54</v>
      </c>
      <c r="AW157" s="20">
        <v>7809.34</v>
      </c>
      <c r="AX157" s="20">
        <v>1768.66</v>
      </c>
      <c r="AY157" s="83">
        <v>337.15</v>
      </c>
      <c r="AZ157" s="83">
        <v>-350.34</v>
      </c>
      <c r="BA157" s="83">
        <v>5054.28</v>
      </c>
      <c r="BB157" s="8">
        <f t="shared" si="138"/>
        <v>53857.51</v>
      </c>
      <c r="BC157" s="24">
        <v>0.43</v>
      </c>
      <c r="BD157" s="24">
        <v>1474.1</v>
      </c>
      <c r="BE157" s="24">
        <v>101.2</v>
      </c>
      <c r="BF157" s="24">
        <v>-25581.3</v>
      </c>
      <c r="BG157" s="24">
        <v>1304.2</v>
      </c>
      <c r="BH157" s="24">
        <v>10606.51</v>
      </c>
      <c r="BI157" s="24">
        <v>200.82</v>
      </c>
      <c r="BN157" s="83"/>
      <c r="BO157" s="8">
        <f t="shared" si="139"/>
        <v>-11894.039999999999</v>
      </c>
    </row>
    <row r="158" spans="2:67" s="22" customFormat="1" x14ac:dyDescent="0.2">
      <c r="B158" s="22" t="s">
        <v>1910</v>
      </c>
      <c r="C158" s="184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0"/>
      <c r="X158" s="130"/>
      <c r="Y158" s="122"/>
      <c r="Z158" s="122"/>
      <c r="AA158" s="122"/>
      <c r="AB158" s="185"/>
      <c r="AC158" s="131"/>
      <c r="AD158" s="131"/>
      <c r="AE158" s="131"/>
      <c r="AF158" s="131"/>
      <c r="AG158" s="131"/>
      <c r="AH158" s="131"/>
      <c r="AI158" s="131"/>
      <c r="AJ158" s="130"/>
      <c r="AK158" s="130"/>
      <c r="AL158" s="122"/>
      <c r="AM158" s="122"/>
      <c r="AN158" s="122"/>
      <c r="AO158" s="185"/>
      <c r="AP158" s="131"/>
      <c r="AQ158" s="131"/>
      <c r="AR158" s="131"/>
      <c r="AS158" s="131"/>
      <c r="AT158" s="131"/>
      <c r="AU158" s="131"/>
      <c r="AV158" s="131"/>
      <c r="AW158" s="130"/>
      <c r="AX158" s="130"/>
      <c r="AY158" s="122"/>
      <c r="AZ158" s="122"/>
      <c r="BA158" s="122"/>
      <c r="BB158" s="185"/>
      <c r="BC158" s="131">
        <v>0</v>
      </c>
      <c r="BD158" s="24">
        <v>326.8</v>
      </c>
      <c r="BE158" s="24">
        <v>0</v>
      </c>
      <c r="BF158" s="24">
        <v>0</v>
      </c>
      <c r="BG158" s="24">
        <v>0</v>
      </c>
      <c r="BH158" s="24">
        <v>0</v>
      </c>
      <c r="BI158" s="24">
        <v>0</v>
      </c>
      <c r="BJ158" s="130"/>
      <c r="BK158" s="130"/>
      <c r="BL158" s="122"/>
      <c r="BM158" s="122"/>
      <c r="BN158" s="122"/>
      <c r="BO158" s="185">
        <f t="shared" si="139"/>
        <v>326.8</v>
      </c>
    </row>
    <row r="159" spans="2:67" x14ac:dyDescent="0.2">
      <c r="B159" s="3" t="s">
        <v>1254</v>
      </c>
      <c r="C159" s="23"/>
      <c r="E159" s="24">
        <v>124.19</v>
      </c>
      <c r="F159" s="24">
        <v>0</v>
      </c>
      <c r="G159" s="24">
        <v>0</v>
      </c>
      <c r="H159" s="24">
        <v>0</v>
      </c>
      <c r="I159" s="24">
        <v>0</v>
      </c>
      <c r="J159" s="24">
        <v>0</v>
      </c>
      <c r="K159" s="24">
        <v>0</v>
      </c>
      <c r="L159" s="24">
        <v>0</v>
      </c>
      <c r="M159" s="24">
        <v>0</v>
      </c>
      <c r="N159" s="24">
        <v>0</v>
      </c>
      <c r="O159" s="24">
        <f t="shared" si="140"/>
        <v>124.19</v>
      </c>
      <c r="P159" s="24">
        <v>0</v>
      </c>
      <c r="Q159" s="24">
        <v>0</v>
      </c>
      <c r="R159" s="24">
        <v>0</v>
      </c>
      <c r="S159" s="24">
        <v>0</v>
      </c>
      <c r="T159" s="24">
        <v>0</v>
      </c>
      <c r="U159" s="24">
        <v>0</v>
      </c>
      <c r="V159" s="24">
        <v>0</v>
      </c>
      <c r="W159" s="20">
        <v>0</v>
      </c>
      <c r="X159" s="20">
        <v>0</v>
      </c>
      <c r="Y159" s="83">
        <v>0</v>
      </c>
      <c r="Z159" s="83">
        <v>0</v>
      </c>
      <c r="AA159" s="83">
        <v>0</v>
      </c>
      <c r="AB159" s="8">
        <f t="shared" si="136"/>
        <v>0</v>
      </c>
      <c r="AC159" s="24">
        <v>0</v>
      </c>
      <c r="AD159" s="24">
        <v>0</v>
      </c>
      <c r="AE159" s="24">
        <v>0</v>
      </c>
      <c r="AF159" s="24">
        <v>0</v>
      </c>
      <c r="AG159" s="24">
        <v>0</v>
      </c>
      <c r="AH159" s="24">
        <v>0</v>
      </c>
      <c r="AI159" s="24">
        <v>0</v>
      </c>
      <c r="AJ159" s="20">
        <v>0</v>
      </c>
      <c r="AK159" s="20">
        <v>0</v>
      </c>
      <c r="AL159" s="83">
        <v>0</v>
      </c>
      <c r="AM159" s="83">
        <v>0</v>
      </c>
      <c r="AN159" s="83">
        <v>0</v>
      </c>
      <c r="AO159" s="8">
        <f t="shared" si="137"/>
        <v>0</v>
      </c>
      <c r="AP159" s="24">
        <v>0</v>
      </c>
      <c r="AQ159" s="24">
        <v>0</v>
      </c>
      <c r="AR159" s="24">
        <v>0</v>
      </c>
      <c r="AS159" s="24">
        <v>0</v>
      </c>
      <c r="AT159" s="24">
        <v>0</v>
      </c>
      <c r="AU159" s="24">
        <v>0</v>
      </c>
      <c r="AV159" s="24">
        <v>0</v>
      </c>
      <c r="AW159" s="20">
        <v>0</v>
      </c>
      <c r="AX159" s="20">
        <v>0</v>
      </c>
      <c r="AY159" s="83">
        <v>0</v>
      </c>
      <c r="AZ159" s="83">
        <v>0</v>
      </c>
      <c r="BA159" s="83">
        <v>0</v>
      </c>
      <c r="BB159" s="8">
        <f t="shared" si="138"/>
        <v>0</v>
      </c>
      <c r="BC159" s="24">
        <v>0</v>
      </c>
      <c r="BD159" s="24">
        <v>0</v>
      </c>
      <c r="BE159" s="24">
        <v>0</v>
      </c>
      <c r="BF159" s="24">
        <v>0</v>
      </c>
      <c r="BG159" s="24">
        <v>0</v>
      </c>
      <c r="BH159" s="24">
        <v>0</v>
      </c>
      <c r="BI159" s="24">
        <v>0</v>
      </c>
      <c r="BN159" s="83"/>
      <c r="BO159" s="8">
        <f t="shared" si="139"/>
        <v>0</v>
      </c>
    </row>
    <row r="160" spans="2:67" x14ac:dyDescent="0.2">
      <c r="B160" s="3" t="s">
        <v>327</v>
      </c>
      <c r="C160" s="23">
        <v>286.14</v>
      </c>
      <c r="D160" s="24">
        <v>0</v>
      </c>
      <c r="E160" s="24">
        <v>0</v>
      </c>
      <c r="F160" s="24">
        <v>143.16</v>
      </c>
      <c r="G160" s="24">
        <v>0</v>
      </c>
      <c r="H160" s="24">
        <v>0</v>
      </c>
      <c r="I160" s="24">
        <v>0</v>
      </c>
      <c r="J160" s="24">
        <v>0</v>
      </c>
      <c r="K160" s="24">
        <v>0</v>
      </c>
      <c r="L160" s="24">
        <v>282.86</v>
      </c>
      <c r="M160" s="24">
        <v>0</v>
      </c>
      <c r="N160" s="24">
        <v>0</v>
      </c>
      <c r="O160" s="24">
        <f t="shared" si="140"/>
        <v>712.16</v>
      </c>
      <c r="P160" s="24">
        <v>608.09</v>
      </c>
      <c r="Q160" s="24">
        <v>0</v>
      </c>
      <c r="R160" s="24">
        <v>0</v>
      </c>
      <c r="S160" s="24">
        <v>675.97</v>
      </c>
      <c r="T160" s="24">
        <v>0</v>
      </c>
      <c r="U160" s="24">
        <v>0</v>
      </c>
      <c r="V160" s="24">
        <v>385.78</v>
      </c>
      <c r="W160" s="20">
        <v>0</v>
      </c>
      <c r="X160" s="20">
        <v>0</v>
      </c>
      <c r="Y160" s="83">
        <v>283.94</v>
      </c>
      <c r="Z160" s="83">
        <v>0</v>
      </c>
      <c r="AA160" s="83">
        <v>0</v>
      </c>
      <c r="AB160" s="8">
        <f t="shared" si="136"/>
        <v>1953.78</v>
      </c>
      <c r="AC160" s="24">
        <v>310.17</v>
      </c>
      <c r="AD160" s="24">
        <v>0</v>
      </c>
      <c r="AE160" s="24">
        <v>0</v>
      </c>
      <c r="AF160" s="24">
        <v>0</v>
      </c>
      <c r="AG160" s="24">
        <v>37.520000000000003</v>
      </c>
      <c r="AH160" s="24">
        <v>0</v>
      </c>
      <c r="AI160" s="24">
        <v>0</v>
      </c>
      <c r="AJ160" s="20">
        <v>117.35</v>
      </c>
      <c r="AK160" s="20">
        <v>0</v>
      </c>
      <c r="AL160" s="83">
        <v>0</v>
      </c>
      <c r="AM160" s="83">
        <v>0</v>
      </c>
      <c r="AN160" s="83">
        <v>0</v>
      </c>
      <c r="AO160" s="8">
        <f t="shared" si="137"/>
        <v>465.03999999999996</v>
      </c>
      <c r="AP160" s="24">
        <v>0</v>
      </c>
      <c r="AQ160" s="24">
        <v>228.38</v>
      </c>
      <c r="AR160" s="24">
        <f>VLOOKUP(B160,'[1]Sheet1 (2)'!$B$2:$C$397,2,0)</f>
        <v>0</v>
      </c>
      <c r="AS160" s="24">
        <f>VLOOKUP(B160,'[2]Sheet1 (2)'!$B$2:$C$404,2,0)</f>
        <v>0</v>
      </c>
      <c r="AT160" s="24">
        <v>0</v>
      </c>
      <c r="AU160" s="24">
        <v>0</v>
      </c>
      <c r="AV160" s="24">
        <v>0</v>
      </c>
      <c r="AW160" s="20">
        <v>0</v>
      </c>
      <c r="AX160" s="20">
        <v>0</v>
      </c>
      <c r="AY160" s="83">
        <v>0</v>
      </c>
      <c r="AZ160" s="83">
        <v>0</v>
      </c>
      <c r="BA160" s="83">
        <v>0</v>
      </c>
      <c r="BB160" s="8">
        <f t="shared" si="138"/>
        <v>228.38</v>
      </c>
      <c r="BC160" s="24">
        <v>0</v>
      </c>
      <c r="BD160" s="24">
        <v>0</v>
      </c>
      <c r="BE160" s="24">
        <v>0</v>
      </c>
      <c r="BF160" s="24">
        <v>0</v>
      </c>
      <c r="BG160" s="24">
        <v>0</v>
      </c>
      <c r="BH160" s="24">
        <v>0</v>
      </c>
      <c r="BI160" s="24">
        <v>0</v>
      </c>
      <c r="BN160" s="83"/>
      <c r="BO160" s="8">
        <f t="shared" si="139"/>
        <v>0</v>
      </c>
    </row>
    <row r="161" spans="2:67" x14ac:dyDescent="0.2">
      <c r="B161" s="3" t="s">
        <v>328</v>
      </c>
      <c r="C161" s="23">
        <v>-756.63</v>
      </c>
      <c r="D161" s="24">
        <v>-1096.1500000000001</v>
      </c>
      <c r="E161" s="24">
        <v>190.01</v>
      </c>
      <c r="F161" s="24">
        <v>0</v>
      </c>
      <c r="G161" s="24">
        <v>0</v>
      </c>
      <c r="H161" s="24">
        <v>-83.65</v>
      </c>
      <c r="I161" s="24">
        <v>322.56</v>
      </c>
      <c r="J161" s="24">
        <v>0</v>
      </c>
      <c r="K161" s="24">
        <v>0</v>
      </c>
      <c r="L161" s="24">
        <v>0</v>
      </c>
      <c r="M161" s="24">
        <v>433.38</v>
      </c>
      <c r="N161" s="24">
        <v>422.1</v>
      </c>
      <c r="O161" s="24">
        <f t="shared" si="140"/>
        <v>-568.38000000000034</v>
      </c>
      <c r="P161" s="24">
        <v>-70.97</v>
      </c>
      <c r="Q161" s="24">
        <v>0</v>
      </c>
      <c r="R161" s="24">
        <v>1431.6</v>
      </c>
      <c r="S161" s="24">
        <v>-262.2</v>
      </c>
      <c r="T161" s="24">
        <v>4180.47</v>
      </c>
      <c r="U161" s="24">
        <v>823.05</v>
      </c>
      <c r="V161" s="24">
        <v>0</v>
      </c>
      <c r="W161" s="20">
        <v>1160.3699999999999</v>
      </c>
      <c r="X161" s="20">
        <v>4780.8100000000004</v>
      </c>
      <c r="Y161" s="83">
        <v>1799.67</v>
      </c>
      <c r="Z161" s="83">
        <v>0</v>
      </c>
      <c r="AA161" s="83">
        <v>2337.13</v>
      </c>
      <c r="AB161" s="8">
        <f t="shared" si="136"/>
        <v>16179.93</v>
      </c>
      <c r="AC161" s="24">
        <v>-179.12</v>
      </c>
      <c r="AD161" s="24">
        <v>3881.03</v>
      </c>
      <c r="AE161" s="24">
        <v>0</v>
      </c>
      <c r="AF161" s="24">
        <v>5389.2</v>
      </c>
      <c r="AG161" s="24">
        <v>10961.87</v>
      </c>
      <c r="AH161" s="24">
        <v>-451.71</v>
      </c>
      <c r="AI161" s="24">
        <v>4270.8</v>
      </c>
      <c r="AJ161" s="20">
        <v>7163.4</v>
      </c>
      <c r="AK161" s="20">
        <v>3365.18</v>
      </c>
      <c r="AL161" s="83">
        <v>-1655.49</v>
      </c>
      <c r="AM161" s="83">
        <v>-4760.33</v>
      </c>
      <c r="AN161" s="83">
        <v>12076.81</v>
      </c>
      <c r="AO161" s="8">
        <f t="shared" si="137"/>
        <v>40061.64</v>
      </c>
      <c r="AP161" s="24">
        <v>4200.6499999999996</v>
      </c>
      <c r="AQ161" s="24">
        <v>-494.54</v>
      </c>
      <c r="AR161" s="24">
        <f>VLOOKUP(B161,'[1]Sheet1 (2)'!$B$2:$C$397,2,0)</f>
        <v>3913.23</v>
      </c>
      <c r="AS161" s="24">
        <f>VLOOKUP(B161,'[2]Sheet1 (2)'!$B$2:$C$404,2,0)</f>
        <v>10774.72</v>
      </c>
      <c r="AT161" s="24">
        <v>1344.86</v>
      </c>
      <c r="AU161" s="24">
        <v>9124.7099999999991</v>
      </c>
      <c r="AV161" s="24">
        <v>9133.6200000000008</v>
      </c>
      <c r="AW161" s="20">
        <v>607.41</v>
      </c>
      <c r="AX161" s="20">
        <v>3367.93</v>
      </c>
      <c r="AY161" s="83">
        <v>5103.62</v>
      </c>
      <c r="AZ161" s="83">
        <v>-7482.36</v>
      </c>
      <c r="BA161" s="83">
        <v>5183.6099999999997</v>
      </c>
      <c r="BB161" s="8">
        <f t="shared" si="138"/>
        <v>44777.460000000006</v>
      </c>
      <c r="BC161" s="24">
        <v>525.62</v>
      </c>
      <c r="BD161" s="24">
        <v>8177.13</v>
      </c>
      <c r="BE161" s="24">
        <v>7718.18</v>
      </c>
      <c r="BF161" s="24">
        <v>9494.4699999999993</v>
      </c>
      <c r="BG161" s="24">
        <v>-9901.93</v>
      </c>
      <c r="BH161" s="24">
        <v>3618.6</v>
      </c>
      <c r="BI161" s="24">
        <v>8833.8799999999992</v>
      </c>
      <c r="BN161" s="83"/>
      <c r="BO161" s="8">
        <f t="shared" si="139"/>
        <v>28465.949999999997</v>
      </c>
    </row>
    <row r="162" spans="2:67" x14ac:dyDescent="0.2">
      <c r="B162" s="3" t="s">
        <v>1433</v>
      </c>
      <c r="C162" s="23"/>
      <c r="H162" s="24">
        <v>388.35</v>
      </c>
      <c r="I162" s="24">
        <v>-1682.58</v>
      </c>
      <c r="J162" s="24">
        <v>-1874.48</v>
      </c>
      <c r="K162" s="24">
        <v>0</v>
      </c>
      <c r="L162" s="24">
        <v>0</v>
      </c>
      <c r="M162" s="24">
        <v>0</v>
      </c>
      <c r="N162" s="24">
        <v>0</v>
      </c>
      <c r="O162" s="24">
        <f t="shared" si="140"/>
        <v>-3168.71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0">
        <v>0</v>
      </c>
      <c r="X162" s="20">
        <v>0</v>
      </c>
      <c r="Y162" s="83">
        <v>0</v>
      </c>
      <c r="Z162" s="83">
        <v>0</v>
      </c>
      <c r="AA162" s="83">
        <v>0</v>
      </c>
      <c r="AB162" s="8">
        <f t="shared" si="136"/>
        <v>0</v>
      </c>
      <c r="AC162" s="24">
        <v>0</v>
      </c>
      <c r="AD162" s="24">
        <v>0</v>
      </c>
      <c r="AE162" s="24">
        <v>0</v>
      </c>
      <c r="AF162" s="24">
        <v>0</v>
      </c>
      <c r="AG162" s="24">
        <v>0</v>
      </c>
      <c r="AH162" s="24">
        <v>0</v>
      </c>
      <c r="AI162" s="24">
        <v>0</v>
      </c>
      <c r="AJ162" s="20">
        <v>0</v>
      </c>
      <c r="AK162" s="20">
        <v>0</v>
      </c>
      <c r="AL162" s="83">
        <v>0</v>
      </c>
      <c r="AM162" s="83">
        <v>0</v>
      </c>
      <c r="AN162" s="83">
        <v>0</v>
      </c>
      <c r="AO162" s="8">
        <f t="shared" si="137"/>
        <v>0</v>
      </c>
      <c r="AP162" s="24">
        <v>0</v>
      </c>
      <c r="AQ162" s="24">
        <v>0</v>
      </c>
      <c r="AR162" s="24">
        <v>0</v>
      </c>
      <c r="AS162" s="24">
        <v>0</v>
      </c>
      <c r="AT162" s="24">
        <v>0</v>
      </c>
      <c r="AU162" s="24">
        <v>0</v>
      </c>
      <c r="AV162" s="24">
        <v>0</v>
      </c>
      <c r="AW162" s="20">
        <v>0</v>
      </c>
      <c r="AX162" s="20">
        <v>0</v>
      </c>
      <c r="AY162" s="83">
        <v>0</v>
      </c>
      <c r="AZ162" s="83">
        <v>0</v>
      </c>
      <c r="BA162" s="83">
        <v>0</v>
      </c>
      <c r="BB162" s="8">
        <f t="shared" si="138"/>
        <v>0</v>
      </c>
      <c r="BC162" s="24">
        <v>0</v>
      </c>
      <c r="BD162" s="24">
        <v>0</v>
      </c>
      <c r="BE162" s="24">
        <v>0</v>
      </c>
      <c r="BF162" s="24">
        <v>0</v>
      </c>
      <c r="BG162" s="24">
        <v>0</v>
      </c>
      <c r="BH162" s="24">
        <v>0</v>
      </c>
      <c r="BI162" s="24">
        <v>0</v>
      </c>
      <c r="BN162" s="83"/>
      <c r="BO162" s="8">
        <f t="shared" si="139"/>
        <v>0</v>
      </c>
    </row>
    <row r="163" spans="2:67" x14ac:dyDescent="0.2">
      <c r="B163" s="3" t="s">
        <v>656</v>
      </c>
      <c r="C163" s="23">
        <v>0</v>
      </c>
      <c r="D163" s="24">
        <v>2619.3000000000002</v>
      </c>
      <c r="E163" s="24">
        <v>18824.46</v>
      </c>
      <c r="F163" s="24">
        <v>-2932.76</v>
      </c>
      <c r="G163" s="24">
        <v>7871.56</v>
      </c>
      <c r="H163" s="24">
        <v>4687.08</v>
      </c>
      <c r="I163" s="24">
        <v>13788.3</v>
      </c>
      <c r="J163" s="24">
        <v>10585.96</v>
      </c>
      <c r="K163" s="24">
        <v>6843.43</v>
      </c>
      <c r="L163" s="24">
        <v>5222.17</v>
      </c>
      <c r="M163" s="24">
        <v>7543.74</v>
      </c>
      <c r="N163" s="24">
        <v>19576.41</v>
      </c>
      <c r="O163" s="24">
        <f t="shared" si="140"/>
        <v>94629.650000000009</v>
      </c>
      <c r="P163" s="24">
        <v>0</v>
      </c>
      <c r="Q163" s="24">
        <v>0</v>
      </c>
      <c r="R163" s="24">
        <v>15065.39</v>
      </c>
      <c r="S163" s="24">
        <v>6108.66</v>
      </c>
      <c r="T163" s="24">
        <v>0</v>
      </c>
      <c r="U163" s="24">
        <v>0</v>
      </c>
      <c r="V163" s="24">
        <v>2291.34</v>
      </c>
      <c r="W163" s="20">
        <v>0</v>
      </c>
      <c r="X163" s="20">
        <v>1367.45</v>
      </c>
      <c r="Y163" s="83">
        <v>1337.41</v>
      </c>
      <c r="Z163" s="83">
        <v>1349.68</v>
      </c>
      <c r="AA163" s="83">
        <v>4846.6000000000004</v>
      </c>
      <c r="AB163" s="8">
        <f t="shared" si="136"/>
        <v>32366.53</v>
      </c>
      <c r="AC163" s="24">
        <v>4812.2</v>
      </c>
      <c r="AD163" s="24">
        <v>0</v>
      </c>
      <c r="AE163" s="24">
        <v>-1346.59</v>
      </c>
      <c r="AF163" s="24">
        <v>1217.78</v>
      </c>
      <c r="AG163" s="24">
        <v>1232.79</v>
      </c>
      <c r="AH163" s="24">
        <v>3665.06</v>
      </c>
      <c r="AI163" s="24">
        <v>-3639.74</v>
      </c>
      <c r="AJ163" s="20">
        <v>15381.51</v>
      </c>
      <c r="AK163" s="20">
        <v>1310.57</v>
      </c>
      <c r="AL163" s="83">
        <v>6434.41</v>
      </c>
      <c r="AM163" s="83">
        <v>2554.65</v>
      </c>
      <c r="AN163" s="83">
        <v>5964.38</v>
      </c>
      <c r="AO163" s="8">
        <f t="shared" si="137"/>
        <v>37587.020000000004</v>
      </c>
      <c r="AP163" s="24">
        <v>1234.57</v>
      </c>
      <c r="AQ163" s="24">
        <v>-34.54</v>
      </c>
      <c r="AR163" s="24">
        <f>VLOOKUP(B163,'[1]Sheet1 (2)'!$B$2:$C$397,2,0)</f>
        <v>-3515.34</v>
      </c>
      <c r="AS163" s="24">
        <f>VLOOKUP(B163,'[2]Sheet1 (2)'!$B$2:$C$404,2,0)</f>
        <v>3493.48</v>
      </c>
      <c r="AT163" s="24">
        <v>2475.02</v>
      </c>
      <c r="AU163" s="24">
        <v>4846.49</v>
      </c>
      <c r="AV163" s="24">
        <v>1185.81</v>
      </c>
      <c r="AW163" s="20">
        <v>7171.96</v>
      </c>
      <c r="AX163" s="20">
        <v>7169.7</v>
      </c>
      <c r="AY163" s="83">
        <v>-71.930000000000007</v>
      </c>
      <c r="AZ163" s="83">
        <v>5051.0600000000004</v>
      </c>
      <c r="BA163" s="83">
        <v>737.29</v>
      </c>
      <c r="BB163" s="8">
        <f t="shared" si="138"/>
        <v>29743.570000000003</v>
      </c>
      <c r="BC163" s="24">
        <v>3448.36</v>
      </c>
      <c r="BD163" s="24">
        <v>0</v>
      </c>
      <c r="BE163" s="24">
        <v>3049.79</v>
      </c>
      <c r="BF163" s="24">
        <v>6809.82</v>
      </c>
      <c r="BG163" s="24">
        <v>0</v>
      </c>
      <c r="BH163" s="24">
        <v>0</v>
      </c>
      <c r="BI163" s="24">
        <v>0</v>
      </c>
      <c r="BN163" s="83"/>
      <c r="BO163" s="8">
        <f t="shared" si="139"/>
        <v>13307.97</v>
      </c>
    </row>
    <row r="164" spans="2:67" x14ac:dyDescent="0.2">
      <c r="B164" s="3" t="s">
        <v>329</v>
      </c>
      <c r="C164" s="23">
        <v>6174.84</v>
      </c>
      <c r="D164" s="24">
        <v>2504.6999999999998</v>
      </c>
      <c r="E164" s="24">
        <v>5451.09</v>
      </c>
      <c r="F164" s="24">
        <v>5233.93</v>
      </c>
      <c r="G164" s="24">
        <v>7369.7</v>
      </c>
      <c r="H164" s="24">
        <v>4843.74</v>
      </c>
      <c r="I164" s="24">
        <v>6069.54</v>
      </c>
      <c r="J164" s="24">
        <v>4947.1899999999996</v>
      </c>
      <c r="K164" s="24">
        <v>8169.98</v>
      </c>
      <c r="L164" s="24">
        <v>5273.49</v>
      </c>
      <c r="M164" s="24">
        <v>4477.49</v>
      </c>
      <c r="N164" s="24">
        <v>5961.75</v>
      </c>
      <c r="O164" s="24">
        <f t="shared" si="140"/>
        <v>66477.440000000002</v>
      </c>
      <c r="P164" s="24">
        <v>3221.71</v>
      </c>
      <c r="Q164" s="24">
        <v>2956.72</v>
      </c>
      <c r="R164" s="24">
        <v>11584.29</v>
      </c>
      <c r="S164" s="24">
        <v>5547.13</v>
      </c>
      <c r="T164" s="24">
        <v>3050.14</v>
      </c>
      <c r="U164" s="24">
        <v>3453.77</v>
      </c>
      <c r="V164" s="24">
        <v>5768.59</v>
      </c>
      <c r="W164" s="20">
        <v>1998.4</v>
      </c>
      <c r="X164" s="20">
        <v>7732.81</v>
      </c>
      <c r="Y164" s="83">
        <v>4583.8</v>
      </c>
      <c r="Z164" s="83">
        <v>2830.16</v>
      </c>
      <c r="AA164" s="83">
        <v>13791.91</v>
      </c>
      <c r="AB164" s="8">
        <f t="shared" si="136"/>
        <v>66519.430000000008</v>
      </c>
      <c r="AC164" s="24">
        <v>8027.13</v>
      </c>
      <c r="AD164" s="24">
        <v>-4012.98</v>
      </c>
      <c r="AE164" s="24">
        <v>4210.3</v>
      </c>
      <c r="AF164" s="24">
        <v>2831.89</v>
      </c>
      <c r="AG164" s="24">
        <v>10938.5</v>
      </c>
      <c r="AH164" s="24">
        <v>1807.16</v>
      </c>
      <c r="AI164" s="24">
        <v>7136.73</v>
      </c>
      <c r="AJ164" s="20">
        <v>4974.2</v>
      </c>
      <c r="AK164" s="20">
        <v>4608.26</v>
      </c>
      <c r="AL164" s="83">
        <v>3522.28</v>
      </c>
      <c r="AM164" s="83">
        <v>3840.5</v>
      </c>
      <c r="AN164" s="83">
        <v>5789.17</v>
      </c>
      <c r="AO164" s="8">
        <f t="shared" si="137"/>
        <v>53673.14</v>
      </c>
      <c r="AP164" s="24">
        <v>1517.63</v>
      </c>
      <c r="AQ164" s="24">
        <v>853.53</v>
      </c>
      <c r="AR164" s="24">
        <f>VLOOKUP(B164,'[1]Sheet1 (2)'!$B$2:$C$397,2,0)</f>
        <v>2122.1</v>
      </c>
      <c r="AS164" s="24">
        <f>VLOOKUP(B164,'[2]Sheet1 (2)'!$B$2:$C$404,2,0)</f>
        <v>446.73</v>
      </c>
      <c r="AT164" s="24">
        <v>1423.52</v>
      </c>
      <c r="AU164" s="24">
        <v>6458.29</v>
      </c>
      <c r="AV164" s="24">
        <v>9952.08</v>
      </c>
      <c r="AW164" s="20">
        <v>1166.03</v>
      </c>
      <c r="AX164" s="20">
        <v>6801.65</v>
      </c>
      <c r="AY164" s="83">
        <v>-11123.07</v>
      </c>
      <c r="AZ164" s="83">
        <v>2377.73</v>
      </c>
      <c r="BA164" s="83">
        <v>-106.12</v>
      </c>
      <c r="BB164" s="8">
        <f t="shared" si="138"/>
        <v>21890.1</v>
      </c>
      <c r="BC164" s="24">
        <v>1107.92</v>
      </c>
      <c r="BD164" s="24">
        <v>2004.17</v>
      </c>
      <c r="BE164" s="24">
        <v>2674.54</v>
      </c>
      <c r="BF164" s="24">
        <v>2631.24</v>
      </c>
      <c r="BG164" s="24">
        <v>2790.66</v>
      </c>
      <c r="BH164" s="24">
        <v>2748.13</v>
      </c>
      <c r="BI164" s="24">
        <v>910.86</v>
      </c>
      <c r="BN164" s="83"/>
      <c r="BO164" s="8">
        <f t="shared" si="139"/>
        <v>14867.52</v>
      </c>
    </row>
    <row r="165" spans="2:67" x14ac:dyDescent="0.2">
      <c r="B165" s="3" t="s">
        <v>330</v>
      </c>
      <c r="C165" s="23">
        <v>890.78</v>
      </c>
      <c r="D165" s="24">
        <v>1585.23</v>
      </c>
      <c r="E165" s="24">
        <v>1406.94</v>
      </c>
      <c r="F165" s="24">
        <v>1596.38</v>
      </c>
      <c r="G165" s="24">
        <v>0</v>
      </c>
      <c r="H165" s="24">
        <v>219.88</v>
      </c>
      <c r="I165" s="24">
        <v>391.15</v>
      </c>
      <c r="J165" s="24">
        <v>0</v>
      </c>
      <c r="K165" s="24">
        <v>0</v>
      </c>
      <c r="L165" s="24">
        <v>0</v>
      </c>
      <c r="M165" s="24">
        <v>0</v>
      </c>
      <c r="N165" s="24">
        <v>1535.09</v>
      </c>
      <c r="O165" s="24">
        <f t="shared" si="140"/>
        <v>7625.45</v>
      </c>
      <c r="P165" s="24">
        <v>844.53</v>
      </c>
      <c r="Q165" s="24">
        <v>887.52</v>
      </c>
      <c r="R165" s="24">
        <v>0</v>
      </c>
      <c r="S165" s="24">
        <v>0</v>
      </c>
      <c r="T165" s="24">
        <v>0</v>
      </c>
      <c r="U165" s="24">
        <v>3581.5</v>
      </c>
      <c r="V165" s="24">
        <v>371.06</v>
      </c>
      <c r="W165" s="20">
        <v>522.24</v>
      </c>
      <c r="X165" s="20">
        <v>194.88</v>
      </c>
      <c r="Y165" s="83">
        <v>649.57000000000005</v>
      </c>
      <c r="Z165" s="83">
        <v>0</v>
      </c>
      <c r="AA165" s="83">
        <v>486.57</v>
      </c>
      <c r="AB165" s="8">
        <f t="shared" si="136"/>
        <v>7537.87</v>
      </c>
      <c r="AC165" s="24">
        <v>223.88</v>
      </c>
      <c r="AD165" s="24">
        <v>-244.42</v>
      </c>
      <c r="AE165" s="24">
        <v>1663.22</v>
      </c>
      <c r="AF165" s="24">
        <v>0.97</v>
      </c>
      <c r="AG165" s="24">
        <v>0.57999999999999996</v>
      </c>
      <c r="AH165" s="24">
        <v>0.42</v>
      </c>
      <c r="AI165" s="24">
        <v>0.32</v>
      </c>
      <c r="AJ165" s="20">
        <v>0.22</v>
      </c>
      <c r="AK165" s="20">
        <v>0.17</v>
      </c>
      <c r="AL165" s="83">
        <v>160.6</v>
      </c>
      <c r="AM165" s="83">
        <v>0.1</v>
      </c>
      <c r="AN165" s="83">
        <v>864.43</v>
      </c>
      <c r="AO165" s="8">
        <f t="shared" si="137"/>
        <v>2670.49</v>
      </c>
      <c r="AP165" s="24">
        <v>0</v>
      </c>
      <c r="AQ165" s="24">
        <v>123.4</v>
      </c>
      <c r="AR165" s="24">
        <f>VLOOKUP(B165,'[1]Sheet1 (2)'!$B$2:$C$397,2,0)</f>
        <v>537.46</v>
      </c>
      <c r="AS165" s="24">
        <f>VLOOKUP(B165,'[2]Sheet1 (2)'!$B$2:$C$404,2,0)</f>
        <v>0</v>
      </c>
      <c r="AT165" s="24">
        <v>0</v>
      </c>
      <c r="AU165" s="24">
        <v>0</v>
      </c>
      <c r="AV165" s="24">
        <v>0</v>
      </c>
      <c r="AW165" s="20">
        <v>0</v>
      </c>
      <c r="AX165" s="20">
        <v>0</v>
      </c>
      <c r="AY165" s="83">
        <v>180.48</v>
      </c>
      <c r="AZ165" s="83">
        <v>310.16000000000003</v>
      </c>
      <c r="BA165" s="83">
        <v>67.709999999999994</v>
      </c>
      <c r="BB165" s="8">
        <f t="shared" si="138"/>
        <v>1219.21</v>
      </c>
      <c r="BC165" s="24">
        <v>0</v>
      </c>
      <c r="BD165" s="24">
        <v>338.94</v>
      </c>
      <c r="BE165" s="24">
        <v>1687.9</v>
      </c>
      <c r="BF165" s="24">
        <v>0</v>
      </c>
      <c r="BG165" s="24">
        <v>0</v>
      </c>
      <c r="BH165" s="24">
        <v>0</v>
      </c>
      <c r="BI165" s="24">
        <v>83.43</v>
      </c>
      <c r="BN165" s="83"/>
      <c r="BO165" s="8">
        <f t="shared" si="139"/>
        <v>2110.27</v>
      </c>
    </row>
    <row r="166" spans="2:67" x14ac:dyDescent="0.2">
      <c r="B166" s="3" t="s">
        <v>331</v>
      </c>
      <c r="C166" s="23">
        <v>-3008.88</v>
      </c>
      <c r="D166" s="24">
        <v>5440.71</v>
      </c>
      <c r="E166" s="24">
        <v>9344.99</v>
      </c>
      <c r="F166" s="24">
        <v>7260.7</v>
      </c>
      <c r="G166" s="24">
        <v>13828.31</v>
      </c>
      <c r="H166" s="24">
        <v>12664.57</v>
      </c>
      <c r="I166" s="24">
        <v>10498.87</v>
      </c>
      <c r="J166" s="24">
        <v>10531.67</v>
      </c>
      <c r="K166" s="24">
        <v>10181</v>
      </c>
      <c r="L166" s="24">
        <v>12651.51</v>
      </c>
      <c r="M166" s="24">
        <v>7346.34</v>
      </c>
      <c r="N166" s="24">
        <v>40141.99</v>
      </c>
      <c r="O166" s="24">
        <f t="shared" si="140"/>
        <v>136881.78</v>
      </c>
      <c r="P166" s="24">
        <v>9977.83</v>
      </c>
      <c r="Q166" s="24">
        <v>0</v>
      </c>
      <c r="R166" s="24">
        <v>14897.92</v>
      </c>
      <c r="S166" s="24">
        <v>0</v>
      </c>
      <c r="T166" s="24">
        <v>27366</v>
      </c>
      <c r="U166" s="24">
        <v>13304.99</v>
      </c>
      <c r="V166" s="24">
        <v>13686.95</v>
      </c>
      <c r="W166" s="20">
        <v>17831.439999999999</v>
      </c>
      <c r="X166" s="20">
        <v>13058.72</v>
      </c>
      <c r="Y166" s="83">
        <v>14456.22</v>
      </c>
      <c r="Z166" s="83">
        <v>14821.19</v>
      </c>
      <c r="AA166" s="83">
        <v>43798.44</v>
      </c>
      <c r="AB166" s="8">
        <f t="shared" si="136"/>
        <v>183199.7</v>
      </c>
      <c r="AC166" s="24">
        <v>0</v>
      </c>
      <c r="AD166" s="24">
        <v>-2560.87</v>
      </c>
      <c r="AE166" s="24">
        <v>-0.28000000000000003</v>
      </c>
      <c r="AF166" s="24">
        <v>26177.200000000001</v>
      </c>
      <c r="AG166" s="24">
        <v>-34.01</v>
      </c>
      <c r="AH166" s="24">
        <v>36926.449999999997</v>
      </c>
      <c r="AI166" s="24">
        <v>12694.62</v>
      </c>
      <c r="AJ166" s="20">
        <v>13826.59</v>
      </c>
      <c r="AK166" s="20">
        <v>11705.48</v>
      </c>
      <c r="AL166" s="83">
        <v>10474.76</v>
      </c>
      <c r="AM166" s="83">
        <v>13934.16</v>
      </c>
      <c r="AN166" s="83">
        <v>22920.41</v>
      </c>
      <c r="AO166" s="8">
        <f t="shared" si="137"/>
        <v>146064.50999999998</v>
      </c>
      <c r="AP166" s="24">
        <v>-262.27</v>
      </c>
      <c r="AQ166" s="24">
        <v>12440.07</v>
      </c>
      <c r="AR166" s="24">
        <f>VLOOKUP(B166,'[1]Sheet1 (2)'!$B$2:$C$397,2,0)</f>
        <v>10892.03</v>
      </c>
      <c r="AS166" s="24">
        <f>VLOOKUP(B166,'[2]Sheet1 (2)'!$B$2:$C$404,2,0)</f>
        <v>4591.97</v>
      </c>
      <c r="AT166" s="24">
        <v>5680.55</v>
      </c>
      <c r="AU166" s="24">
        <v>4735.8100000000004</v>
      </c>
      <c r="AV166" s="24">
        <v>4289.66</v>
      </c>
      <c r="AW166" s="20">
        <v>4319.78</v>
      </c>
      <c r="AX166" s="20">
        <v>4858.1000000000004</v>
      </c>
      <c r="AY166" s="83">
        <v>4469.1099999999997</v>
      </c>
      <c r="AZ166" s="83">
        <v>4280.01</v>
      </c>
      <c r="BA166" s="83">
        <v>8338.14</v>
      </c>
      <c r="BB166" s="8">
        <f t="shared" si="138"/>
        <v>68632.960000000006</v>
      </c>
      <c r="BC166" s="24">
        <v>431.02</v>
      </c>
      <c r="BD166" s="24">
        <v>3951.91</v>
      </c>
      <c r="BE166" s="24">
        <v>3192.21</v>
      </c>
      <c r="BF166" s="24">
        <v>4957.17</v>
      </c>
      <c r="BG166" s="24">
        <v>5976.97</v>
      </c>
      <c r="BH166" s="24">
        <v>6403.84</v>
      </c>
      <c r="BI166" s="24">
        <v>6766.4</v>
      </c>
      <c r="BN166" s="83"/>
      <c r="BO166" s="8">
        <f t="shared" si="139"/>
        <v>31679.520000000004</v>
      </c>
    </row>
    <row r="167" spans="2:67" x14ac:dyDescent="0.2">
      <c r="B167" s="3" t="s">
        <v>332</v>
      </c>
      <c r="C167" s="23">
        <v>24.68</v>
      </c>
      <c r="D167" s="24">
        <v>72.28</v>
      </c>
      <c r="E167" s="24">
        <v>89.46</v>
      </c>
      <c r="F167" s="24">
        <v>0</v>
      </c>
      <c r="G167" s="24">
        <v>23.8</v>
      </c>
      <c r="H167" s="24">
        <v>36.119999999999997</v>
      </c>
      <c r="I167" s="24">
        <v>45.02</v>
      </c>
      <c r="J167" s="24">
        <v>226.87</v>
      </c>
      <c r="K167" s="24">
        <v>346.63</v>
      </c>
      <c r="L167" s="24">
        <v>24.66</v>
      </c>
      <c r="M167" s="24">
        <v>0</v>
      </c>
      <c r="N167" s="24">
        <v>0</v>
      </c>
      <c r="O167" s="24">
        <f t="shared" si="140"/>
        <v>889.52</v>
      </c>
      <c r="P167" s="24">
        <v>83.84</v>
      </c>
      <c r="Q167" s="24">
        <v>223.93</v>
      </c>
      <c r="R167" s="24">
        <v>28.31</v>
      </c>
      <c r="S167" s="24">
        <v>0</v>
      </c>
      <c r="T167" s="24">
        <v>25.82</v>
      </c>
      <c r="U167" s="24">
        <v>42.38</v>
      </c>
      <c r="V167" s="24">
        <v>13.97</v>
      </c>
      <c r="W167" s="20">
        <v>6.6</v>
      </c>
      <c r="X167" s="20">
        <v>0</v>
      </c>
      <c r="Y167" s="83">
        <v>32.03</v>
      </c>
      <c r="Z167" s="83">
        <v>0</v>
      </c>
      <c r="AA167" s="83">
        <v>0</v>
      </c>
      <c r="AB167" s="8">
        <f t="shared" si="136"/>
        <v>456.88</v>
      </c>
      <c r="AC167" s="24">
        <v>0</v>
      </c>
      <c r="AD167" s="24">
        <v>0</v>
      </c>
      <c r="AE167" s="24">
        <v>0</v>
      </c>
      <c r="AF167" s="24">
        <v>0</v>
      </c>
      <c r="AG167" s="24">
        <v>354.36</v>
      </c>
      <c r="AH167" s="24">
        <v>0</v>
      </c>
      <c r="AI167" s="24">
        <v>298.64999999999998</v>
      </c>
      <c r="AJ167" s="20">
        <v>0</v>
      </c>
      <c r="AK167" s="20">
        <v>321.31</v>
      </c>
      <c r="AL167" s="83">
        <v>0</v>
      </c>
      <c r="AM167" s="83">
        <v>0</v>
      </c>
      <c r="AN167" s="83">
        <v>0</v>
      </c>
      <c r="AO167" s="8">
        <f t="shared" si="137"/>
        <v>974.31999999999994</v>
      </c>
      <c r="AP167" s="24">
        <v>0</v>
      </c>
      <c r="AQ167" s="24">
        <v>0</v>
      </c>
      <c r="AR167" s="24">
        <v>0</v>
      </c>
      <c r="AS167" s="24">
        <f>VLOOKUP(B167,'[2]Sheet1 (2)'!$B$2:$C$404,2,0)</f>
        <v>300.37</v>
      </c>
      <c r="AT167" s="24">
        <v>0</v>
      </c>
      <c r="AU167" s="24">
        <v>0</v>
      </c>
      <c r="AV167" s="24">
        <v>0</v>
      </c>
      <c r="AW167" s="20">
        <v>171.84</v>
      </c>
      <c r="AX167" s="20">
        <v>0</v>
      </c>
      <c r="AY167" s="83">
        <v>109.35</v>
      </c>
      <c r="AZ167" s="83">
        <v>0</v>
      </c>
      <c r="BA167" s="83">
        <v>111.83</v>
      </c>
      <c r="BB167" s="8">
        <f t="shared" si="138"/>
        <v>693.3900000000001</v>
      </c>
      <c r="BC167" s="24">
        <v>312.91000000000003</v>
      </c>
      <c r="BD167" s="24">
        <v>0</v>
      </c>
      <c r="BE167" s="24">
        <v>0</v>
      </c>
      <c r="BF167" s="24">
        <v>0</v>
      </c>
      <c r="BG167" s="24">
        <v>0</v>
      </c>
      <c r="BH167" s="24">
        <v>0</v>
      </c>
      <c r="BI167" s="24">
        <v>526.80999999999995</v>
      </c>
      <c r="BN167" s="83"/>
      <c r="BO167" s="8">
        <f t="shared" si="139"/>
        <v>839.72</v>
      </c>
    </row>
    <row r="168" spans="2:67" x14ac:dyDescent="0.2">
      <c r="B168" s="3" t="s">
        <v>657</v>
      </c>
      <c r="C168" s="23"/>
      <c r="E168" s="24">
        <v>66385.83</v>
      </c>
      <c r="F168" s="24">
        <v>46400.92</v>
      </c>
      <c r="G168" s="24">
        <v>164089.41</v>
      </c>
      <c r="H168" s="24">
        <v>-276343.86</v>
      </c>
      <c r="I168" s="24">
        <v>14445.71</v>
      </c>
      <c r="J168" s="24">
        <v>-13854.7</v>
      </c>
      <c r="K168" s="24">
        <v>0</v>
      </c>
      <c r="L168" s="24">
        <v>1436.17</v>
      </c>
      <c r="M168" s="24">
        <v>0</v>
      </c>
      <c r="N168" s="24">
        <v>18002.439999999999</v>
      </c>
      <c r="O168" s="24">
        <f t="shared" si="140"/>
        <v>20561.920000000042</v>
      </c>
      <c r="P168" s="24">
        <v>0</v>
      </c>
      <c r="Q168" s="24">
        <v>0</v>
      </c>
      <c r="R168" s="24">
        <v>-513.19000000000005</v>
      </c>
      <c r="S168" s="24">
        <v>0</v>
      </c>
      <c r="T168" s="24">
        <v>0</v>
      </c>
      <c r="U168" s="24">
        <v>0</v>
      </c>
      <c r="V168" s="24">
        <v>0</v>
      </c>
      <c r="W168" s="20">
        <v>0</v>
      </c>
      <c r="X168" s="20">
        <v>0</v>
      </c>
      <c r="Y168" s="83">
        <v>0</v>
      </c>
      <c r="Z168" s="83">
        <v>0</v>
      </c>
      <c r="AA168" s="83">
        <v>0</v>
      </c>
      <c r="AB168" s="8">
        <f t="shared" si="136"/>
        <v>-513.19000000000005</v>
      </c>
      <c r="AC168" s="24">
        <v>0</v>
      </c>
      <c r="AD168" s="24">
        <v>0</v>
      </c>
      <c r="AE168" s="24">
        <v>0</v>
      </c>
      <c r="AF168" s="24">
        <v>0</v>
      </c>
      <c r="AG168" s="24">
        <v>0</v>
      </c>
      <c r="AH168" s="24">
        <v>0</v>
      </c>
      <c r="AI168" s="24">
        <v>0</v>
      </c>
      <c r="AJ168" s="20">
        <v>0</v>
      </c>
      <c r="AK168" s="20">
        <v>0</v>
      </c>
      <c r="AL168" s="83">
        <v>0</v>
      </c>
      <c r="AM168" s="83">
        <v>0</v>
      </c>
      <c r="AN168" s="83">
        <v>0</v>
      </c>
      <c r="AO168" s="8">
        <f t="shared" si="137"/>
        <v>0</v>
      </c>
      <c r="AP168" s="24">
        <v>0</v>
      </c>
      <c r="AQ168" s="24">
        <v>0</v>
      </c>
      <c r="AR168" s="24">
        <v>0</v>
      </c>
      <c r="AS168" s="24">
        <v>0</v>
      </c>
      <c r="AT168" s="24">
        <v>0</v>
      </c>
      <c r="AU168" s="24">
        <v>0</v>
      </c>
      <c r="AV168" s="24">
        <v>0</v>
      </c>
      <c r="AW168" s="20">
        <v>0</v>
      </c>
      <c r="AX168" s="20">
        <v>0</v>
      </c>
      <c r="AY168" s="83">
        <v>0</v>
      </c>
      <c r="AZ168" s="83">
        <v>717.62</v>
      </c>
      <c r="BA168" s="83">
        <v>0</v>
      </c>
      <c r="BB168" s="8">
        <f t="shared" si="138"/>
        <v>717.62</v>
      </c>
      <c r="BC168" s="24">
        <v>0</v>
      </c>
      <c r="BD168" s="24">
        <v>0</v>
      </c>
      <c r="BE168" s="24">
        <v>0</v>
      </c>
      <c r="BF168" s="24">
        <v>0</v>
      </c>
      <c r="BG168" s="24">
        <v>0</v>
      </c>
      <c r="BH168" s="24">
        <v>0</v>
      </c>
      <c r="BI168" s="24">
        <v>0</v>
      </c>
      <c r="BN168" s="83"/>
      <c r="BO168" s="8">
        <f t="shared" si="139"/>
        <v>0</v>
      </c>
    </row>
    <row r="169" spans="2:67" x14ac:dyDescent="0.2">
      <c r="B169" s="3" t="s">
        <v>1828</v>
      </c>
      <c r="C169" s="23"/>
      <c r="AA169" s="83"/>
      <c r="AB169" s="8"/>
      <c r="AC169" s="24">
        <v>0</v>
      </c>
      <c r="AD169" s="24">
        <v>0</v>
      </c>
      <c r="AE169" s="24">
        <v>0</v>
      </c>
      <c r="AF169" s="24">
        <v>0</v>
      </c>
      <c r="AG169" s="24">
        <v>0</v>
      </c>
      <c r="AH169" s="24">
        <v>0</v>
      </c>
      <c r="AI169" s="24">
        <v>65</v>
      </c>
      <c r="AJ169" s="20">
        <v>0</v>
      </c>
      <c r="AK169" s="20">
        <v>0</v>
      </c>
      <c r="AL169" s="83">
        <v>0</v>
      </c>
      <c r="AM169" s="83">
        <v>0</v>
      </c>
      <c r="AN169" s="83">
        <v>0</v>
      </c>
      <c r="AO169" s="8">
        <f t="shared" si="137"/>
        <v>65</v>
      </c>
      <c r="AP169" s="24">
        <v>0</v>
      </c>
      <c r="AQ169" s="24">
        <v>0</v>
      </c>
      <c r="AR169" s="24">
        <f>VLOOKUP(B169,'[1]Sheet1 (2)'!$B$2:$C$397,2,0)</f>
        <v>716.81</v>
      </c>
      <c r="AS169" s="24">
        <f>VLOOKUP(B169,'[2]Sheet1 (2)'!$B$2:$C$404,2,0)</f>
        <v>905.48</v>
      </c>
      <c r="AT169" s="24">
        <v>0</v>
      </c>
      <c r="AU169" s="24">
        <v>458.04</v>
      </c>
      <c r="AV169" s="24">
        <v>727.56</v>
      </c>
      <c r="AW169" s="20">
        <v>0</v>
      </c>
      <c r="AX169" s="20">
        <v>0</v>
      </c>
      <c r="AY169" s="83">
        <v>778.46</v>
      </c>
      <c r="AZ169" s="83">
        <v>594.11</v>
      </c>
      <c r="BA169" s="83">
        <v>0</v>
      </c>
      <c r="BB169" s="8">
        <f t="shared" si="138"/>
        <v>4180.46</v>
      </c>
      <c r="BC169" s="24">
        <v>0</v>
      </c>
      <c r="BD169" s="24">
        <v>0</v>
      </c>
      <c r="BE169" s="24">
        <v>872.07</v>
      </c>
      <c r="BF169" s="24">
        <v>2891.21</v>
      </c>
      <c r="BG169" s="24">
        <v>0</v>
      </c>
      <c r="BH169" s="24">
        <v>0</v>
      </c>
      <c r="BI169" s="24">
        <v>167.78</v>
      </c>
      <c r="BN169" s="83"/>
      <c r="BO169" s="8">
        <f t="shared" si="139"/>
        <v>3931.0600000000004</v>
      </c>
    </row>
    <row r="170" spans="2:67" x14ac:dyDescent="0.2">
      <c r="B170" s="3" t="s">
        <v>1829</v>
      </c>
      <c r="C170" s="23"/>
      <c r="AA170" s="83"/>
      <c r="AB170" s="8"/>
      <c r="AC170" s="24">
        <v>0</v>
      </c>
      <c r="AD170" s="24">
        <v>0</v>
      </c>
      <c r="AE170" s="24">
        <v>0</v>
      </c>
      <c r="AF170" s="24">
        <v>0</v>
      </c>
      <c r="AG170" s="24">
        <v>0</v>
      </c>
      <c r="AH170" s="24">
        <v>0</v>
      </c>
      <c r="AI170" s="24">
        <v>-58.88</v>
      </c>
      <c r="AJ170" s="20">
        <v>0</v>
      </c>
      <c r="AK170" s="20">
        <v>0</v>
      </c>
      <c r="AL170" s="83">
        <v>0</v>
      </c>
      <c r="AM170" s="83">
        <v>0</v>
      </c>
      <c r="AN170" s="83">
        <v>0</v>
      </c>
      <c r="AO170" s="8">
        <f t="shared" si="137"/>
        <v>-58.88</v>
      </c>
      <c r="AP170" s="24">
        <v>0</v>
      </c>
      <c r="AQ170" s="24">
        <v>0</v>
      </c>
      <c r="AR170" s="24">
        <f>VLOOKUP(B170,'[1]Sheet1 (2)'!$B$2:$C$397,2,0)</f>
        <v>-654.54</v>
      </c>
      <c r="AS170" s="24">
        <f>VLOOKUP(B170,'[2]Sheet1 (2)'!$B$2:$C$404,2,0)</f>
        <v>-825.11</v>
      </c>
      <c r="AT170" s="24">
        <v>0</v>
      </c>
      <c r="AU170" s="24">
        <v>-417.86</v>
      </c>
      <c r="AV170" s="24">
        <v>-664.85</v>
      </c>
      <c r="AW170" s="20">
        <v>0</v>
      </c>
      <c r="AX170" s="20">
        <v>0</v>
      </c>
      <c r="AY170" s="83">
        <v>-712.37</v>
      </c>
      <c r="AZ170" s="83">
        <v>-546.35</v>
      </c>
      <c r="BA170" s="83">
        <v>0</v>
      </c>
      <c r="BB170" s="8">
        <f t="shared" si="138"/>
        <v>-3821.08</v>
      </c>
      <c r="BC170" s="24">
        <v>0</v>
      </c>
      <c r="BD170" s="24">
        <v>0</v>
      </c>
      <c r="BE170" s="24">
        <v>-787.64</v>
      </c>
      <c r="BF170" s="24">
        <v>-2632.98</v>
      </c>
      <c r="BG170" s="24">
        <v>0</v>
      </c>
      <c r="BH170" s="24">
        <v>0</v>
      </c>
      <c r="BI170" s="24">
        <v>-156.61000000000001</v>
      </c>
      <c r="BN170" s="83"/>
      <c r="BO170" s="8">
        <f t="shared" si="139"/>
        <v>-3577.23</v>
      </c>
    </row>
    <row r="171" spans="2:67" x14ac:dyDescent="0.2">
      <c r="B171" s="3" t="s">
        <v>333</v>
      </c>
      <c r="C171" s="23">
        <v>3308.5</v>
      </c>
      <c r="D171" s="24">
        <v>914.58</v>
      </c>
      <c r="E171" s="24">
        <v>3501.28</v>
      </c>
      <c r="F171" s="24">
        <v>1799.32</v>
      </c>
      <c r="G171" s="24">
        <v>1423.36</v>
      </c>
      <c r="H171" s="24">
        <v>3317.88</v>
      </c>
      <c r="I171" s="24">
        <v>2139.42</v>
      </c>
      <c r="J171" s="24">
        <v>1719.45</v>
      </c>
      <c r="K171" s="24">
        <v>2355.19</v>
      </c>
      <c r="L171" s="24">
        <v>4281.04</v>
      </c>
      <c r="M171" s="24">
        <v>1579.18</v>
      </c>
      <c r="N171" s="24">
        <v>7717.65</v>
      </c>
      <c r="O171" s="24">
        <f>SUBTOTAL(9,C171:N171)</f>
        <v>34056.850000000006</v>
      </c>
      <c r="P171" s="24">
        <v>4593.04</v>
      </c>
      <c r="Q171" s="24">
        <v>4986.3900000000003</v>
      </c>
      <c r="R171" s="24">
        <v>4414.46</v>
      </c>
      <c r="S171" s="24">
        <v>9554.58</v>
      </c>
      <c r="T171" s="24">
        <v>8091.11</v>
      </c>
      <c r="U171" s="24">
        <v>7789.69</v>
      </c>
      <c r="V171" s="24">
        <v>4122.4799999999996</v>
      </c>
      <c r="W171" s="20">
        <v>1494.27</v>
      </c>
      <c r="X171" s="20">
        <v>1373.34</v>
      </c>
      <c r="Y171" s="83">
        <v>-9000.6</v>
      </c>
      <c r="Z171" s="83">
        <v>-10711.12</v>
      </c>
      <c r="AA171" s="83">
        <v>3845.18</v>
      </c>
      <c r="AB171" s="8">
        <f>SUM(P171:AA171)</f>
        <v>30552.819999999992</v>
      </c>
      <c r="AC171" s="24">
        <v>2150.16</v>
      </c>
      <c r="AD171" s="24">
        <v>3270.1</v>
      </c>
      <c r="AE171" s="24">
        <v>1659.8</v>
      </c>
      <c r="AF171" s="24">
        <v>1742.06</v>
      </c>
      <c r="AG171" s="24">
        <v>2141.58</v>
      </c>
      <c r="AH171" s="24">
        <v>2055.58</v>
      </c>
      <c r="AI171" s="24">
        <v>3797.15</v>
      </c>
      <c r="AJ171" s="20">
        <v>298.88</v>
      </c>
      <c r="AK171" s="20">
        <v>6531.52</v>
      </c>
      <c r="AL171" s="83">
        <v>3834.26</v>
      </c>
      <c r="AM171" s="83">
        <v>4673.28</v>
      </c>
      <c r="AN171" s="83">
        <v>512.88</v>
      </c>
      <c r="AO171" s="8">
        <f t="shared" si="137"/>
        <v>32667.250000000004</v>
      </c>
      <c r="AP171" s="24">
        <v>3318.14</v>
      </c>
      <c r="AQ171" s="24">
        <v>5926.05</v>
      </c>
      <c r="AR171" s="24">
        <f>VLOOKUP(B171,'[1]Sheet1 (2)'!$B$2:$C$397,2,0)</f>
        <v>3650.98</v>
      </c>
      <c r="AS171" s="24">
        <f>VLOOKUP(B171,'[2]Sheet1 (2)'!$B$2:$C$404,2,0)</f>
        <v>2074.21</v>
      </c>
      <c r="AT171" s="24">
        <v>2118.46</v>
      </c>
      <c r="AU171" s="24">
        <v>1723.68</v>
      </c>
      <c r="AV171" s="24">
        <v>2565.4</v>
      </c>
      <c r="AW171" s="20">
        <v>4900.45</v>
      </c>
      <c r="AX171" s="20">
        <v>-2151.02</v>
      </c>
      <c r="AY171" s="83">
        <v>1358.97</v>
      </c>
      <c r="AZ171" s="83">
        <v>938.11</v>
      </c>
      <c r="BA171" s="83">
        <v>3391.51</v>
      </c>
      <c r="BB171" s="8">
        <f t="shared" si="138"/>
        <v>29814.940000000002</v>
      </c>
      <c r="BC171" s="24">
        <v>696.73</v>
      </c>
      <c r="BD171" s="24">
        <v>4801.7700000000004</v>
      </c>
      <c r="BE171" s="24">
        <v>4565.84</v>
      </c>
      <c r="BF171" s="24">
        <v>3949.26</v>
      </c>
      <c r="BG171" s="24">
        <v>4364.82</v>
      </c>
      <c r="BH171" s="24">
        <v>7371.67</v>
      </c>
      <c r="BI171" s="24">
        <v>9660.15</v>
      </c>
      <c r="BN171" s="83"/>
      <c r="BO171" s="8">
        <f t="shared" si="139"/>
        <v>35410.239999999998</v>
      </c>
    </row>
    <row r="172" spans="2:67" x14ac:dyDescent="0.2">
      <c r="B172" s="3" t="s">
        <v>658</v>
      </c>
      <c r="C172" s="23">
        <v>2303.5500000000002</v>
      </c>
      <c r="D172" s="24">
        <v>0</v>
      </c>
      <c r="E172" s="24">
        <v>-2303.5500000000002</v>
      </c>
      <c r="F172" s="24">
        <v>0</v>
      </c>
      <c r="G172" s="24">
        <v>0</v>
      </c>
      <c r="H172" s="24">
        <v>0</v>
      </c>
      <c r="I172" s="24">
        <v>3390.97</v>
      </c>
      <c r="J172" s="24">
        <v>0.87</v>
      </c>
      <c r="K172" s="24">
        <v>0</v>
      </c>
      <c r="L172" s="24">
        <v>0</v>
      </c>
      <c r="M172" s="24">
        <v>-88.36</v>
      </c>
      <c r="N172" s="24">
        <v>557.27</v>
      </c>
      <c r="O172" s="24">
        <f>SUBTOTAL(9,C172:N172)</f>
        <v>3860.7499999999995</v>
      </c>
      <c r="P172" s="24">
        <v>0</v>
      </c>
      <c r="Q172" s="24">
        <v>0</v>
      </c>
      <c r="R172" s="24">
        <v>298.85000000000002</v>
      </c>
      <c r="S172" s="24">
        <v>0</v>
      </c>
      <c r="T172" s="24">
        <v>0</v>
      </c>
      <c r="U172" s="24">
        <v>0</v>
      </c>
      <c r="V172" s="24">
        <v>0</v>
      </c>
      <c r="W172" s="20">
        <v>0</v>
      </c>
      <c r="X172" s="20">
        <v>73.89</v>
      </c>
      <c r="Y172" s="83">
        <v>0</v>
      </c>
      <c r="Z172" s="83">
        <v>19.059999999999999</v>
      </c>
      <c r="AA172" s="83">
        <v>13.93</v>
      </c>
      <c r="AB172" s="8">
        <f>SUM(P172:AA172)</f>
        <v>405.73</v>
      </c>
      <c r="AC172" s="24">
        <v>0</v>
      </c>
      <c r="AD172" s="24">
        <v>0</v>
      </c>
      <c r="AE172" s="24">
        <v>0</v>
      </c>
      <c r="AF172" s="24">
        <v>0</v>
      </c>
      <c r="AG172" s="24">
        <v>0</v>
      </c>
      <c r="AH172" s="24">
        <v>0</v>
      </c>
      <c r="AI172" s="24">
        <v>0</v>
      </c>
      <c r="AJ172" s="20">
        <v>0</v>
      </c>
      <c r="AK172" s="20">
        <v>0</v>
      </c>
      <c r="AL172" s="83">
        <v>0</v>
      </c>
      <c r="AM172" s="83">
        <v>0</v>
      </c>
      <c r="AN172" s="83">
        <v>0</v>
      </c>
      <c r="AO172" s="8">
        <f t="shared" si="137"/>
        <v>0</v>
      </c>
      <c r="AP172" s="24">
        <v>0</v>
      </c>
      <c r="AQ172" s="24">
        <v>0</v>
      </c>
      <c r="AR172" s="24">
        <v>0</v>
      </c>
      <c r="AS172" s="24">
        <v>0</v>
      </c>
      <c r="AT172" s="24">
        <v>0</v>
      </c>
      <c r="AU172" s="24">
        <v>0</v>
      </c>
      <c r="AV172" s="24">
        <v>0</v>
      </c>
      <c r="AW172" s="20">
        <v>0</v>
      </c>
      <c r="AX172" s="20">
        <v>0</v>
      </c>
      <c r="AY172" s="83">
        <v>0</v>
      </c>
      <c r="AZ172" s="83">
        <v>304.29000000000002</v>
      </c>
      <c r="BA172" s="83">
        <v>15.37</v>
      </c>
      <c r="BB172" s="8">
        <f t="shared" si="138"/>
        <v>319.66000000000003</v>
      </c>
      <c r="BC172" s="24">
        <v>0</v>
      </c>
      <c r="BD172" s="24">
        <v>0</v>
      </c>
      <c r="BE172" s="24">
        <v>319.44</v>
      </c>
      <c r="BF172" s="24">
        <v>0.74</v>
      </c>
      <c r="BG172" s="24">
        <v>0</v>
      </c>
      <c r="BH172" s="24">
        <v>0</v>
      </c>
      <c r="BI172" s="24">
        <v>-304.29000000000002</v>
      </c>
      <c r="BN172" s="83"/>
      <c r="BO172" s="8">
        <f t="shared" si="139"/>
        <v>15.889999999999986</v>
      </c>
    </row>
    <row r="173" spans="2:67" x14ac:dyDescent="0.2">
      <c r="B173" s="3" t="s">
        <v>1518</v>
      </c>
      <c r="C173" s="23"/>
      <c r="K173" s="24">
        <v>534.74</v>
      </c>
      <c r="L173" s="24">
        <v>-534.74</v>
      </c>
      <c r="M173" s="24">
        <v>0</v>
      </c>
      <c r="N173" s="24">
        <v>0</v>
      </c>
      <c r="O173" s="24">
        <f>SUBTOTAL(9,C173:N173)</f>
        <v>0</v>
      </c>
      <c r="P173" s="24">
        <v>0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24">
        <v>0</v>
      </c>
      <c r="W173" s="20">
        <v>0</v>
      </c>
      <c r="X173" s="20">
        <v>0</v>
      </c>
      <c r="Y173" s="83">
        <v>0</v>
      </c>
      <c r="Z173" s="83">
        <v>0</v>
      </c>
      <c r="AA173" s="83">
        <v>0</v>
      </c>
      <c r="AB173" s="8">
        <f>SUM(P173:AA173)</f>
        <v>0</v>
      </c>
      <c r="AC173" s="24">
        <v>0</v>
      </c>
      <c r="AD173" s="24">
        <v>0</v>
      </c>
      <c r="AE173" s="24">
        <v>0</v>
      </c>
      <c r="AF173" s="24">
        <v>0</v>
      </c>
      <c r="AG173" s="24">
        <v>0</v>
      </c>
      <c r="AH173" s="24">
        <v>0</v>
      </c>
      <c r="AI173" s="24">
        <v>0</v>
      </c>
      <c r="AJ173" s="20">
        <v>0</v>
      </c>
      <c r="AK173" s="20">
        <v>0</v>
      </c>
      <c r="AL173" s="83">
        <v>0</v>
      </c>
      <c r="AM173" s="83">
        <v>0</v>
      </c>
      <c r="AN173" s="83">
        <v>0</v>
      </c>
      <c r="AO173" s="8">
        <f t="shared" si="137"/>
        <v>0</v>
      </c>
      <c r="AP173" s="24">
        <v>0</v>
      </c>
      <c r="AQ173" s="24">
        <v>0</v>
      </c>
      <c r="AR173" s="24">
        <f>VLOOKUP(B173,'[1]Sheet1 (2)'!$B$2:$C$397,2,0)</f>
        <v>177.34</v>
      </c>
      <c r="AS173" s="24">
        <f>VLOOKUP(B173,'[2]Sheet1 (2)'!$B$2:$C$404,2,0)</f>
        <v>185.92</v>
      </c>
      <c r="AT173" s="24">
        <v>0</v>
      </c>
      <c r="AU173" s="24">
        <v>0</v>
      </c>
      <c r="AV173" s="24">
        <v>51.84</v>
      </c>
      <c r="AW173" s="20">
        <v>0</v>
      </c>
      <c r="AX173" s="20">
        <v>193.07</v>
      </c>
      <c r="AY173" s="83">
        <v>552.49</v>
      </c>
      <c r="AZ173" s="83">
        <v>-1.1399999999999999</v>
      </c>
      <c r="BA173" s="83">
        <v>-193.07</v>
      </c>
      <c r="BB173" s="8">
        <f t="shared" si="138"/>
        <v>966.45</v>
      </c>
      <c r="BC173" s="24">
        <v>0</v>
      </c>
      <c r="BD173" s="24">
        <v>0</v>
      </c>
      <c r="BE173" s="24">
        <v>0</v>
      </c>
      <c r="BF173" s="24">
        <v>0</v>
      </c>
      <c r="BG173" s="24">
        <v>0</v>
      </c>
      <c r="BH173" s="24">
        <v>0</v>
      </c>
      <c r="BI173" s="24">
        <v>0</v>
      </c>
      <c r="BN173" s="83"/>
      <c r="BO173" s="8">
        <f t="shared" si="139"/>
        <v>0</v>
      </c>
    </row>
    <row r="174" spans="2:67" x14ac:dyDescent="0.2">
      <c r="B174" s="3" t="s">
        <v>843</v>
      </c>
      <c r="C174" s="23"/>
      <c r="M174" s="24">
        <v>43.34</v>
      </c>
      <c r="N174" s="24">
        <v>0</v>
      </c>
      <c r="O174" s="24">
        <f>SUBTOTAL(9,C174:N174)</f>
        <v>43.34</v>
      </c>
      <c r="P174" s="24">
        <v>0</v>
      </c>
      <c r="Q174" s="24">
        <v>0</v>
      </c>
      <c r="R174" s="24">
        <v>0</v>
      </c>
      <c r="S174" s="24">
        <v>0</v>
      </c>
      <c r="T174" s="24">
        <v>545.17999999999995</v>
      </c>
      <c r="U174" s="24">
        <v>1508.98</v>
      </c>
      <c r="V174" s="24">
        <v>-1141.67</v>
      </c>
      <c r="W174" s="20">
        <v>0</v>
      </c>
      <c r="X174" s="20">
        <v>0</v>
      </c>
      <c r="Y174" s="83">
        <v>311.20999999999998</v>
      </c>
      <c r="Z174" s="83">
        <v>0</v>
      </c>
      <c r="AA174" s="83">
        <v>401.18</v>
      </c>
      <c r="AB174" s="8">
        <f>SUM(P174:AA174)</f>
        <v>1624.8799999999999</v>
      </c>
      <c r="AC174" s="24">
        <v>3537.56</v>
      </c>
      <c r="AD174" s="24">
        <v>0</v>
      </c>
      <c r="AE174" s="24">
        <v>364.59</v>
      </c>
      <c r="AF174" s="24">
        <v>2415.33</v>
      </c>
      <c r="AG174" s="24">
        <v>-4.3</v>
      </c>
      <c r="AH174" s="24">
        <v>571.04</v>
      </c>
      <c r="AI174" s="24">
        <v>0</v>
      </c>
      <c r="AJ174" s="20">
        <v>0</v>
      </c>
      <c r="AK174" s="20">
        <v>0</v>
      </c>
      <c r="AL174" s="83">
        <v>160.18</v>
      </c>
      <c r="AM174" s="83">
        <v>1587.17</v>
      </c>
      <c r="AN174" s="83">
        <v>0</v>
      </c>
      <c r="AO174" s="8">
        <f t="shared" si="137"/>
        <v>8631.57</v>
      </c>
      <c r="AP174" s="24">
        <v>0</v>
      </c>
      <c r="AQ174" s="24">
        <v>0</v>
      </c>
      <c r="AR174" s="24">
        <v>0</v>
      </c>
      <c r="AS174" s="24">
        <v>0</v>
      </c>
      <c r="AT174" s="24">
        <v>0</v>
      </c>
      <c r="AU174" s="24">
        <v>0</v>
      </c>
      <c r="AV174" s="24">
        <v>0</v>
      </c>
      <c r="AW174" s="20">
        <v>0</v>
      </c>
      <c r="AX174" s="20">
        <v>0</v>
      </c>
      <c r="AY174" s="83">
        <v>0</v>
      </c>
      <c r="AZ174" s="83">
        <v>0</v>
      </c>
      <c r="BA174" s="83">
        <v>0</v>
      </c>
      <c r="BB174" s="8">
        <f t="shared" si="138"/>
        <v>0</v>
      </c>
      <c r="BC174" s="24">
        <v>0</v>
      </c>
      <c r="BD174" s="24">
        <v>0</v>
      </c>
      <c r="BE174" s="24">
        <v>0</v>
      </c>
      <c r="BF174" s="24">
        <v>0</v>
      </c>
      <c r="BG174" s="24">
        <v>0</v>
      </c>
      <c r="BH174" s="24">
        <v>0</v>
      </c>
      <c r="BI174" s="24">
        <v>0</v>
      </c>
      <c r="BN174" s="83"/>
      <c r="BO174" s="8">
        <f t="shared" si="139"/>
        <v>0</v>
      </c>
    </row>
    <row r="175" spans="2:67" s="22" customFormat="1" x14ac:dyDescent="0.2">
      <c r="B175" s="22" t="s">
        <v>1911</v>
      </c>
      <c r="C175" s="184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0"/>
      <c r="X175" s="130"/>
      <c r="Y175" s="122"/>
      <c r="Z175" s="122"/>
      <c r="AA175" s="122"/>
      <c r="AB175" s="185"/>
      <c r="AC175" s="131"/>
      <c r="AD175" s="131"/>
      <c r="AE175" s="131"/>
      <c r="AF175" s="131"/>
      <c r="AG175" s="131"/>
      <c r="AH175" s="131"/>
      <c r="AI175" s="131"/>
      <c r="AJ175" s="130"/>
      <c r="AK175" s="130"/>
      <c r="AL175" s="122"/>
      <c r="AM175" s="122"/>
      <c r="AN175" s="122"/>
      <c r="AO175" s="185"/>
      <c r="AP175" s="131"/>
      <c r="AQ175" s="131"/>
      <c r="AR175" s="131"/>
      <c r="AS175" s="131"/>
      <c r="AT175" s="131"/>
      <c r="AU175" s="131"/>
      <c r="AV175" s="131"/>
      <c r="AW175" s="130"/>
      <c r="AX175" s="130"/>
      <c r="AY175" s="122"/>
      <c r="AZ175" s="122"/>
      <c r="BA175" s="122"/>
      <c r="BB175" s="185"/>
      <c r="BC175" s="131">
        <v>0</v>
      </c>
      <c r="BD175" s="24">
        <v>606.27</v>
      </c>
      <c r="BE175" s="24">
        <v>0</v>
      </c>
      <c r="BF175" s="24">
        <v>0</v>
      </c>
      <c r="BG175" s="24">
        <v>0</v>
      </c>
      <c r="BH175" s="24">
        <v>0</v>
      </c>
      <c r="BI175" s="24">
        <v>0</v>
      </c>
      <c r="BJ175" s="130"/>
      <c r="BK175" s="130"/>
      <c r="BL175" s="122"/>
      <c r="BM175" s="122"/>
      <c r="BN175" s="122"/>
      <c r="BO175" s="185">
        <f t="shared" si="139"/>
        <v>606.27</v>
      </c>
    </row>
    <row r="176" spans="2:67" x14ac:dyDescent="0.2">
      <c r="B176" s="3" t="s">
        <v>1831</v>
      </c>
      <c r="C176" s="23"/>
      <c r="AA176" s="83"/>
      <c r="AB176" s="8"/>
      <c r="AC176" s="24">
        <v>0</v>
      </c>
      <c r="AD176" s="24">
        <v>0</v>
      </c>
      <c r="AE176" s="24">
        <v>0</v>
      </c>
      <c r="AF176" s="24">
        <v>0</v>
      </c>
      <c r="AG176" s="24">
        <v>0</v>
      </c>
      <c r="AH176" s="24">
        <v>0</v>
      </c>
      <c r="AI176" s="24">
        <v>0</v>
      </c>
      <c r="AJ176" s="20">
        <v>1231.3</v>
      </c>
      <c r="AK176" s="20">
        <v>16188.23</v>
      </c>
      <c r="AL176" s="83">
        <v>0</v>
      </c>
      <c r="AM176" s="83">
        <v>-13156.53</v>
      </c>
      <c r="AN176" s="83">
        <v>0</v>
      </c>
      <c r="AO176" s="8">
        <f t="shared" si="137"/>
        <v>4262.9999999999982</v>
      </c>
      <c r="AP176" s="24">
        <v>1989.11</v>
      </c>
      <c r="AQ176" s="24">
        <v>0</v>
      </c>
      <c r="AR176" s="24">
        <f>VLOOKUP(B176,'[1]Sheet1 (2)'!$B$2:$C$397,2,0)</f>
        <v>0</v>
      </c>
      <c r="AS176" s="24">
        <f>VLOOKUP(B176,'[2]Sheet1 (2)'!$B$2:$C$404,2,0)</f>
        <v>0</v>
      </c>
      <c r="AT176" s="24">
        <v>0</v>
      </c>
      <c r="AU176" s="24">
        <v>4843.7299999999996</v>
      </c>
      <c r="AV176" s="24">
        <v>348.18</v>
      </c>
      <c r="AW176" s="20">
        <v>0</v>
      </c>
      <c r="AX176" s="20">
        <v>0</v>
      </c>
      <c r="AY176" s="83">
        <v>5388.91</v>
      </c>
      <c r="AZ176" s="83">
        <v>2834.34</v>
      </c>
      <c r="BA176" s="83">
        <v>6898.83</v>
      </c>
      <c r="BB176" s="8">
        <f t="shared" si="138"/>
        <v>22303.1</v>
      </c>
      <c r="BC176" s="24">
        <v>0</v>
      </c>
      <c r="BD176" s="24">
        <v>632.21</v>
      </c>
      <c r="BE176" s="24">
        <v>1512.19</v>
      </c>
      <c r="BF176" s="24">
        <v>0</v>
      </c>
      <c r="BG176" s="24">
        <v>0</v>
      </c>
      <c r="BH176" s="24">
        <v>0</v>
      </c>
      <c r="BI176" s="24">
        <v>0</v>
      </c>
      <c r="BN176" s="83"/>
      <c r="BO176" s="8">
        <f t="shared" si="139"/>
        <v>2144.4</v>
      </c>
    </row>
    <row r="177" spans="2:67" x14ac:dyDescent="0.2">
      <c r="B177" s="3" t="s">
        <v>1877</v>
      </c>
      <c r="C177" s="23"/>
      <c r="AA177" s="83"/>
      <c r="AB177" s="8"/>
      <c r="AN177" s="83"/>
      <c r="AO177" s="8"/>
      <c r="AP177" s="24">
        <v>0</v>
      </c>
      <c r="AQ177" s="24">
        <v>0</v>
      </c>
      <c r="AR177" s="24">
        <f>VLOOKUP(B177,'[1]Sheet1 (2)'!$B$2:$C$397,2,0)</f>
        <v>346.47</v>
      </c>
      <c r="AS177" s="24">
        <f>VLOOKUP(B177,'[2]Sheet1 (2)'!$B$2:$C$404,2,0)</f>
        <v>0</v>
      </c>
      <c r="AT177" s="24">
        <v>0</v>
      </c>
      <c r="AU177" s="24">
        <v>0</v>
      </c>
      <c r="AV177" s="24">
        <v>2016.63</v>
      </c>
      <c r="AW177" s="20">
        <v>412.32</v>
      </c>
      <c r="AX177" s="20">
        <v>0</v>
      </c>
      <c r="AY177" s="83">
        <v>0</v>
      </c>
      <c r="AZ177" s="83">
        <v>0</v>
      </c>
      <c r="BA177" s="83">
        <v>0</v>
      </c>
      <c r="BB177" s="8">
        <f t="shared" si="138"/>
        <v>2775.4200000000005</v>
      </c>
      <c r="BC177" s="24">
        <v>0</v>
      </c>
      <c r="BD177" s="24">
        <v>0</v>
      </c>
      <c r="BE177" s="24">
        <v>0</v>
      </c>
      <c r="BF177" s="24">
        <v>91.63</v>
      </c>
      <c r="BG177" s="24">
        <v>531.63</v>
      </c>
      <c r="BH177" s="24">
        <v>0</v>
      </c>
      <c r="BI177" s="24">
        <v>0</v>
      </c>
      <c r="BN177" s="83"/>
      <c r="BO177" s="8">
        <f t="shared" si="139"/>
        <v>623.26</v>
      </c>
    </row>
    <row r="178" spans="2:67" x14ac:dyDescent="0.2">
      <c r="B178" s="3" t="s">
        <v>1434</v>
      </c>
      <c r="C178" s="23"/>
      <c r="H178" s="24">
        <v>111.08</v>
      </c>
      <c r="I178" s="24">
        <v>0</v>
      </c>
      <c r="J178" s="24">
        <v>0</v>
      </c>
      <c r="K178" s="24">
        <v>0</v>
      </c>
      <c r="L178" s="24">
        <v>0</v>
      </c>
      <c r="M178" s="24">
        <v>0</v>
      </c>
      <c r="N178" s="24">
        <v>0</v>
      </c>
      <c r="O178" s="24">
        <f>SUBTOTAL(9,C178:N178)</f>
        <v>111.08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0">
        <v>0</v>
      </c>
      <c r="X178" s="20">
        <v>0</v>
      </c>
      <c r="Y178" s="83">
        <v>86.71</v>
      </c>
      <c r="Z178" s="83">
        <v>59.06</v>
      </c>
      <c r="AA178" s="83">
        <v>0</v>
      </c>
      <c r="AB178" s="8">
        <f>SUM(P178:AA178)</f>
        <v>145.76999999999998</v>
      </c>
      <c r="AC178" s="24">
        <v>0</v>
      </c>
      <c r="AD178" s="24">
        <v>84.92</v>
      </c>
      <c r="AE178" s="24">
        <v>0</v>
      </c>
      <c r="AF178" s="24">
        <v>0</v>
      </c>
      <c r="AG178" s="24">
        <v>0</v>
      </c>
      <c r="AH178" s="24">
        <v>0</v>
      </c>
      <c r="AI178" s="24">
        <v>0</v>
      </c>
      <c r="AJ178" s="20">
        <v>0</v>
      </c>
      <c r="AK178" s="20">
        <v>0</v>
      </c>
      <c r="AL178" s="83">
        <v>0</v>
      </c>
      <c r="AM178" s="83">
        <v>0</v>
      </c>
      <c r="AN178" s="83">
        <v>0</v>
      </c>
      <c r="AO178" s="8">
        <f>SUM(AC178:AN178)</f>
        <v>84.92</v>
      </c>
      <c r="AP178" s="24">
        <v>0</v>
      </c>
      <c r="AQ178" s="24">
        <v>0</v>
      </c>
      <c r="AR178" s="24">
        <v>0</v>
      </c>
      <c r="AS178" s="24">
        <v>0</v>
      </c>
      <c r="AT178" s="24">
        <v>0</v>
      </c>
      <c r="AU178" s="24">
        <v>0</v>
      </c>
      <c r="AV178" s="24">
        <v>0</v>
      </c>
      <c r="AW178" s="20">
        <v>0</v>
      </c>
      <c r="AX178" s="20">
        <v>0</v>
      </c>
      <c r="AY178" s="83">
        <v>0</v>
      </c>
      <c r="AZ178" s="83">
        <v>0</v>
      </c>
      <c r="BA178" s="83">
        <v>0</v>
      </c>
      <c r="BB178" s="8">
        <f t="shared" si="138"/>
        <v>0</v>
      </c>
      <c r="BC178" s="24">
        <v>0</v>
      </c>
      <c r="BD178" s="24">
        <v>0</v>
      </c>
      <c r="BE178" s="24">
        <v>0</v>
      </c>
      <c r="BF178" s="24">
        <v>0</v>
      </c>
      <c r="BG178" s="24">
        <v>0</v>
      </c>
      <c r="BH178" s="24">
        <v>0</v>
      </c>
      <c r="BI178" s="24">
        <v>0</v>
      </c>
      <c r="BN178" s="83"/>
      <c r="BO178" s="8">
        <f t="shared" si="139"/>
        <v>0</v>
      </c>
    </row>
    <row r="179" spans="2:67" s="9" customFormat="1" ht="12.75" x14ac:dyDescent="0.2">
      <c r="B179" s="13" t="s">
        <v>1550</v>
      </c>
      <c r="C179" s="14">
        <f t="shared" ref="C179:N179" si="141">SUM(C132:C178)</f>
        <v>-3129.2299999999841</v>
      </c>
      <c r="D179" s="14">
        <f t="shared" si="141"/>
        <v>113959.64000000001</v>
      </c>
      <c r="E179" s="14">
        <f t="shared" si="141"/>
        <v>215049.17999999996</v>
      </c>
      <c r="F179" s="14">
        <f t="shared" si="141"/>
        <v>78681.59</v>
      </c>
      <c r="G179" s="14">
        <f t="shared" si="141"/>
        <v>319452.12</v>
      </c>
      <c r="H179" s="14">
        <f t="shared" si="141"/>
        <v>-187214.24</v>
      </c>
      <c r="I179" s="14">
        <f t="shared" si="141"/>
        <v>121821.15999999996</v>
      </c>
      <c r="J179" s="14">
        <f t="shared" si="141"/>
        <v>46213.239999999969</v>
      </c>
      <c r="K179" s="14">
        <f t="shared" si="141"/>
        <v>118612.55999999997</v>
      </c>
      <c r="L179" s="14">
        <f t="shared" si="141"/>
        <v>147869.44000000006</v>
      </c>
      <c r="M179" s="14">
        <f t="shared" si="141"/>
        <v>88193.969999999987</v>
      </c>
      <c r="N179" s="14">
        <f t="shared" si="141"/>
        <v>281525.92</v>
      </c>
      <c r="O179" s="14">
        <f>SUM(C179:N179)</f>
        <v>1341035.3499999999</v>
      </c>
      <c r="P179" s="14">
        <f t="shared" ref="P179:BB179" si="142">SUM(P132:P178)</f>
        <v>46205.020000000004</v>
      </c>
      <c r="Q179" s="14">
        <f t="shared" si="142"/>
        <v>90547.789999999979</v>
      </c>
      <c r="R179" s="14">
        <f t="shared" si="142"/>
        <v>119019.37</v>
      </c>
      <c r="S179" s="14">
        <f t="shared" si="142"/>
        <v>178804.43999999994</v>
      </c>
      <c r="T179" s="14">
        <f t="shared" si="142"/>
        <v>21393.320000000003</v>
      </c>
      <c r="U179" s="14">
        <f t="shared" si="142"/>
        <v>105873.32999999997</v>
      </c>
      <c r="V179" s="14">
        <f t="shared" si="142"/>
        <v>118831.51</v>
      </c>
      <c r="W179" s="41">
        <f t="shared" si="142"/>
        <v>115625.29000000002</v>
      </c>
      <c r="X179" s="41">
        <f t="shared" si="142"/>
        <v>64905.500000000007</v>
      </c>
      <c r="Y179" s="41">
        <f t="shared" si="142"/>
        <v>76370.780000000013</v>
      </c>
      <c r="Z179" s="41">
        <f t="shared" si="142"/>
        <v>86393.46</v>
      </c>
      <c r="AA179" s="41">
        <f t="shared" si="142"/>
        <v>116408.46999999999</v>
      </c>
      <c r="AB179" s="41">
        <f t="shared" si="142"/>
        <v>1140378.2799999998</v>
      </c>
      <c r="AC179" s="41">
        <f t="shared" si="142"/>
        <v>70724.259999999951</v>
      </c>
      <c r="AD179" s="41">
        <f t="shared" si="142"/>
        <v>27165.819999999982</v>
      </c>
      <c r="AE179" s="41">
        <f t="shared" si="142"/>
        <v>67020.78</v>
      </c>
      <c r="AF179" s="41">
        <f t="shared" si="142"/>
        <v>148860.07999999996</v>
      </c>
      <c r="AG179" s="41">
        <f t="shared" si="142"/>
        <v>15276.250000000031</v>
      </c>
      <c r="AH179" s="41">
        <f t="shared" si="142"/>
        <v>203078.86000000004</v>
      </c>
      <c r="AI179" s="41">
        <f t="shared" si="142"/>
        <v>61013.740000000013</v>
      </c>
      <c r="AJ179" s="41">
        <f t="shared" si="142"/>
        <v>58171.519999999997</v>
      </c>
      <c r="AK179" s="41">
        <f t="shared" si="142"/>
        <v>88644.959999999992</v>
      </c>
      <c r="AL179" s="41">
        <f t="shared" si="142"/>
        <v>71185.699999999953</v>
      </c>
      <c r="AM179" s="41">
        <f t="shared" si="142"/>
        <v>69250.289999999979</v>
      </c>
      <c r="AN179" s="41">
        <f t="shared" si="142"/>
        <v>205067.96</v>
      </c>
      <c r="AO179" s="41">
        <f t="shared" si="142"/>
        <v>1085460.22</v>
      </c>
      <c r="AP179" s="41">
        <f t="shared" si="142"/>
        <v>64236.740000000013</v>
      </c>
      <c r="AQ179" s="41">
        <f t="shared" si="142"/>
        <v>129920.98</v>
      </c>
      <c r="AR179" s="41">
        <f t="shared" si="142"/>
        <v>109159.75</v>
      </c>
      <c r="AS179" s="41">
        <f t="shared" si="142"/>
        <v>138122.28000000003</v>
      </c>
      <c r="AT179" s="41">
        <f t="shared" si="142"/>
        <v>64438.64999999998</v>
      </c>
      <c r="AU179" s="41">
        <f t="shared" si="142"/>
        <v>124019.23999999998</v>
      </c>
      <c r="AV179" s="41">
        <f t="shared" si="142"/>
        <v>100644.26999999997</v>
      </c>
      <c r="AW179" s="41">
        <f t="shared" si="142"/>
        <v>99930.150000000009</v>
      </c>
      <c r="AX179" s="41">
        <f t="shared" si="142"/>
        <v>58586.270000000033</v>
      </c>
      <c r="AY179" s="41">
        <f t="shared" si="142"/>
        <v>114768.93000000005</v>
      </c>
      <c r="AZ179" s="41">
        <f t="shared" si="142"/>
        <v>54789.880000000019</v>
      </c>
      <c r="BA179" s="41">
        <f t="shared" si="142"/>
        <v>95123.429999999978</v>
      </c>
      <c r="BB179" s="41">
        <f t="shared" si="142"/>
        <v>1153740.5699999996</v>
      </c>
      <c r="BC179" s="41">
        <f t="shared" ref="BC179" si="143">SUM(BC132:BC178)</f>
        <v>29322.239999999994</v>
      </c>
      <c r="BD179" s="41">
        <f t="shared" ref="BD179" si="144">SUM(BD132:BD178)</f>
        <v>90177.420000000027</v>
      </c>
      <c r="BE179" s="41">
        <f t="shared" ref="BE179" si="145">SUM(BE132:BE178)</f>
        <v>161892.64999999997</v>
      </c>
      <c r="BF179" s="41">
        <f t="shared" ref="BF179:BN179" si="146">SUM(BF132:BF178)</f>
        <v>51087.019999999968</v>
      </c>
      <c r="BG179" s="41">
        <f t="shared" si="146"/>
        <v>55599.940000000031</v>
      </c>
      <c r="BH179" s="41">
        <f t="shared" si="146"/>
        <v>90127.98000000001</v>
      </c>
      <c r="BI179" s="41">
        <f t="shared" si="146"/>
        <v>51569.859999999986</v>
      </c>
      <c r="BJ179" s="41">
        <f t="shared" si="146"/>
        <v>0</v>
      </c>
      <c r="BK179" s="41">
        <f t="shared" si="146"/>
        <v>0</v>
      </c>
      <c r="BL179" s="41">
        <f t="shared" si="146"/>
        <v>0</v>
      </c>
      <c r="BM179" s="41">
        <f t="shared" si="146"/>
        <v>0</v>
      </c>
      <c r="BN179" s="41">
        <f t="shared" si="146"/>
        <v>0</v>
      </c>
      <c r="BO179" s="41">
        <f t="shared" ref="BO179" si="147">SUM(BO132:BO178)</f>
        <v>529777.1100000001</v>
      </c>
    </row>
    <row r="180" spans="2:67" x14ac:dyDescent="0.2">
      <c r="B180" s="3" t="s">
        <v>335</v>
      </c>
      <c r="C180" s="23">
        <v>55035.39</v>
      </c>
      <c r="D180" s="24">
        <v>93687.82</v>
      </c>
      <c r="E180" s="24">
        <v>75010.259999999995</v>
      </c>
      <c r="F180" s="24">
        <v>74684.509999999995</v>
      </c>
      <c r="G180" s="24">
        <v>73224.17</v>
      </c>
      <c r="H180" s="24">
        <v>72270.5</v>
      </c>
      <c r="I180" s="24">
        <v>73456.2</v>
      </c>
      <c r="J180" s="24">
        <v>74238.41</v>
      </c>
      <c r="K180" s="24">
        <v>73841.490000000005</v>
      </c>
      <c r="L180" s="24">
        <v>70832.97</v>
      </c>
      <c r="M180" s="24">
        <v>69967.87</v>
      </c>
      <c r="N180" s="24">
        <v>70486.67</v>
      </c>
      <c r="O180" s="24">
        <f t="shared" ref="O180:O187" si="148">SUBTOTAL(9,C180:N180)</f>
        <v>876736.26</v>
      </c>
      <c r="P180" s="24">
        <v>71787.48</v>
      </c>
      <c r="Q180" s="24">
        <v>87117.66</v>
      </c>
      <c r="R180" s="24">
        <v>77643.33</v>
      </c>
      <c r="S180" s="24">
        <v>82000.179999999993</v>
      </c>
      <c r="T180" s="24">
        <v>86269.83</v>
      </c>
      <c r="U180" s="24">
        <v>84315.51</v>
      </c>
      <c r="V180" s="24">
        <v>88987.86</v>
      </c>
      <c r="W180" s="20">
        <v>87406.61</v>
      </c>
      <c r="X180" s="20">
        <v>86913.48</v>
      </c>
      <c r="Y180" s="83">
        <v>83260.600000000006</v>
      </c>
      <c r="Z180" s="83">
        <v>85469.92</v>
      </c>
      <c r="AA180" s="83">
        <v>85924.73</v>
      </c>
      <c r="AB180" s="8">
        <f t="shared" ref="AB180:AB193" si="149">SUM(P180:AA180)</f>
        <v>1007097.1900000001</v>
      </c>
      <c r="AC180" s="24">
        <v>84943.45</v>
      </c>
      <c r="AD180" s="24">
        <v>99563.44</v>
      </c>
      <c r="AE180" s="24">
        <v>90749.1</v>
      </c>
      <c r="AF180" s="24">
        <v>88185.05</v>
      </c>
      <c r="AG180" s="24">
        <v>89868.33</v>
      </c>
      <c r="AH180" s="24">
        <v>87689.51</v>
      </c>
      <c r="AI180" s="24">
        <v>89269.61</v>
      </c>
      <c r="AJ180" s="20">
        <v>89990.62</v>
      </c>
      <c r="AK180" s="20">
        <v>94242.41</v>
      </c>
      <c r="AL180" s="83">
        <v>90183.47</v>
      </c>
      <c r="AM180" s="83">
        <v>89159.92</v>
      </c>
      <c r="AN180" s="83">
        <v>87437.45</v>
      </c>
      <c r="AO180" s="8">
        <f t="shared" ref="AO180:AO193" si="150">SUM(AC180:AN180)</f>
        <v>1081282.3600000001</v>
      </c>
      <c r="AP180" s="24">
        <v>85991.11</v>
      </c>
      <c r="AQ180" s="24">
        <v>94546.48</v>
      </c>
      <c r="AR180" s="24">
        <f>VLOOKUP(B180,'[1]Sheet1 (2)'!$B$2:$C$397,2,0)</f>
        <v>88914.98</v>
      </c>
      <c r="AS180" s="24">
        <f>VLOOKUP(B180,'[2]Sheet1 (2)'!$B$2:$C$404,2,0)</f>
        <v>86083.27</v>
      </c>
      <c r="AT180" s="24">
        <v>88281.95</v>
      </c>
      <c r="AU180" s="24">
        <v>88700.9</v>
      </c>
      <c r="AV180" s="24">
        <v>85436.92</v>
      </c>
      <c r="AW180" s="20">
        <v>85174.27</v>
      </c>
      <c r="AX180" s="20">
        <v>83581.95</v>
      </c>
      <c r="AY180" s="83">
        <v>83861.710000000006</v>
      </c>
      <c r="AZ180" s="83">
        <v>81548.28</v>
      </c>
      <c r="BA180" s="83">
        <v>81502.14</v>
      </c>
      <c r="BB180" s="8">
        <f t="shared" ref="BB180:BB211" si="151">SUM(AP180:BA180)</f>
        <v>1033623.9600000001</v>
      </c>
      <c r="BC180" s="24">
        <v>79993.13</v>
      </c>
      <c r="BD180" s="24">
        <v>89642.59</v>
      </c>
      <c r="BE180" s="24">
        <v>83612.92</v>
      </c>
      <c r="BF180" s="24">
        <v>82023.679999999993</v>
      </c>
      <c r="BG180" s="24">
        <v>79638.28</v>
      </c>
      <c r="BH180" s="24">
        <v>77416.149999999994</v>
      </c>
      <c r="BI180" s="24">
        <v>77173.289999999994</v>
      </c>
      <c r="BN180" s="83"/>
      <c r="BO180" s="8">
        <f t="shared" ref="BO180:BO233" si="152">SUM(BC180:BN180)</f>
        <v>569500.04</v>
      </c>
    </row>
    <row r="181" spans="2:67" x14ac:dyDescent="0.2">
      <c r="B181" s="3" t="s">
        <v>562</v>
      </c>
      <c r="C181" s="23">
        <v>0</v>
      </c>
      <c r="D181" s="23">
        <v>850.38</v>
      </c>
      <c r="E181" s="24">
        <v>0</v>
      </c>
      <c r="F181" s="24">
        <v>65540.12</v>
      </c>
      <c r="G181" s="24">
        <v>0</v>
      </c>
      <c r="H181" s="24">
        <v>0</v>
      </c>
      <c r="I181" s="24">
        <v>0</v>
      </c>
      <c r="J181" s="24">
        <v>0</v>
      </c>
      <c r="K181" s="24">
        <v>0</v>
      </c>
      <c r="L181" s="24">
        <v>0</v>
      </c>
      <c r="M181" s="24">
        <v>6800.7</v>
      </c>
      <c r="N181" s="24">
        <v>0</v>
      </c>
      <c r="O181" s="24">
        <f t="shared" si="148"/>
        <v>73191.199999999997</v>
      </c>
      <c r="P181" s="24">
        <v>0</v>
      </c>
      <c r="Q181" s="24">
        <v>949.34</v>
      </c>
      <c r="R181" s="24">
        <v>67818.539999999994</v>
      </c>
      <c r="S181" s="24">
        <v>0</v>
      </c>
      <c r="T181" s="24">
        <v>0</v>
      </c>
      <c r="U181" s="24">
        <v>0</v>
      </c>
      <c r="V181" s="24">
        <v>0</v>
      </c>
      <c r="W181" s="20">
        <v>0</v>
      </c>
      <c r="X181" s="20">
        <v>0</v>
      </c>
      <c r="Y181" s="83">
        <v>0</v>
      </c>
      <c r="Z181" s="83">
        <v>7425.82</v>
      </c>
      <c r="AA181" s="83">
        <v>0</v>
      </c>
      <c r="AB181" s="8">
        <f t="shared" si="149"/>
        <v>76193.699999999983</v>
      </c>
      <c r="AC181" s="24">
        <v>0</v>
      </c>
      <c r="AD181" s="24">
        <v>1039.8599999999999</v>
      </c>
      <c r="AE181" s="24">
        <v>80926.55</v>
      </c>
      <c r="AF181" s="24">
        <v>0</v>
      </c>
      <c r="AG181" s="24">
        <v>0</v>
      </c>
      <c r="AH181" s="24">
        <v>0</v>
      </c>
      <c r="AI181" s="24">
        <v>0</v>
      </c>
      <c r="AJ181" s="20">
        <v>0</v>
      </c>
      <c r="AK181" s="20">
        <v>0</v>
      </c>
      <c r="AL181" s="83">
        <v>0</v>
      </c>
      <c r="AM181" s="83">
        <v>7939.11</v>
      </c>
      <c r="AN181" s="83">
        <v>0</v>
      </c>
      <c r="AO181" s="8">
        <f t="shared" si="150"/>
        <v>89905.52</v>
      </c>
      <c r="AP181" s="24">
        <v>0</v>
      </c>
      <c r="AQ181" s="24">
        <v>1224.1400000000001</v>
      </c>
      <c r="AR181" s="24">
        <f>VLOOKUP(B181,'[1]Sheet1 (2)'!$B$2:$C$397,2,0)</f>
        <v>79723.64</v>
      </c>
      <c r="AS181" s="24">
        <f>VLOOKUP(B181,'[2]Sheet1 (2)'!$B$2:$C$404,2,0)</f>
        <v>0</v>
      </c>
      <c r="AT181" s="24">
        <v>0</v>
      </c>
      <c r="AU181" s="24">
        <v>0</v>
      </c>
      <c r="AV181" s="24">
        <v>0</v>
      </c>
      <c r="AW181" s="20">
        <v>0</v>
      </c>
      <c r="AX181" s="20">
        <v>0</v>
      </c>
      <c r="AY181" s="83">
        <v>0</v>
      </c>
      <c r="AZ181" s="83">
        <v>6984.27</v>
      </c>
      <c r="BA181" s="83">
        <v>0</v>
      </c>
      <c r="BB181" s="8">
        <f t="shared" si="151"/>
        <v>87932.05</v>
      </c>
      <c r="BC181" s="24">
        <v>0</v>
      </c>
      <c r="BD181" s="24">
        <v>879.38</v>
      </c>
      <c r="BE181" s="24">
        <v>76638.75</v>
      </c>
      <c r="BF181" s="24">
        <v>0</v>
      </c>
      <c r="BG181" s="24">
        <v>0</v>
      </c>
      <c r="BH181" s="24">
        <v>0</v>
      </c>
      <c r="BI181" s="24">
        <v>0</v>
      </c>
      <c r="BN181" s="83"/>
      <c r="BO181" s="8">
        <f t="shared" si="152"/>
        <v>77518.13</v>
      </c>
    </row>
    <row r="182" spans="2:67" x14ac:dyDescent="0.2">
      <c r="B182" s="3" t="s">
        <v>336</v>
      </c>
      <c r="C182" s="23">
        <v>5279.69</v>
      </c>
      <c r="D182" s="24">
        <v>6265.6</v>
      </c>
      <c r="E182" s="24">
        <v>6250.86</v>
      </c>
      <c r="F182" s="24">
        <v>-59316.44</v>
      </c>
      <c r="G182" s="24">
        <v>6112.57</v>
      </c>
      <c r="H182" s="24">
        <v>6022.54</v>
      </c>
      <c r="I182" s="24">
        <v>6121.34</v>
      </c>
      <c r="J182" s="24">
        <v>6186.54</v>
      </c>
      <c r="K182" s="24">
        <v>6203.63</v>
      </c>
      <c r="L182" s="24">
        <v>5911.99</v>
      </c>
      <c r="M182" s="24">
        <v>-965.53</v>
      </c>
      <c r="N182" s="24">
        <v>5899.61</v>
      </c>
      <c r="O182" s="24">
        <f t="shared" si="148"/>
        <v>-27.599999999998545</v>
      </c>
      <c r="P182" s="24">
        <v>6025.24</v>
      </c>
      <c r="Q182" s="24">
        <v>6320.56</v>
      </c>
      <c r="R182" s="24">
        <v>-61314.47</v>
      </c>
      <c r="S182" s="24">
        <v>6843.69</v>
      </c>
      <c r="T182" s="24">
        <v>7231.56</v>
      </c>
      <c r="U182" s="24">
        <v>7047.3</v>
      </c>
      <c r="V182" s="24">
        <v>7436</v>
      </c>
      <c r="W182" s="20">
        <v>7286.95</v>
      </c>
      <c r="X182" s="20">
        <v>7243.4</v>
      </c>
      <c r="Y182" s="83">
        <v>6975.09</v>
      </c>
      <c r="Z182" s="83">
        <v>-287.95</v>
      </c>
      <c r="AA182" s="83">
        <v>7175.1</v>
      </c>
      <c r="AB182" s="8">
        <f t="shared" si="149"/>
        <v>7982.4700000000021</v>
      </c>
      <c r="AC182" s="24">
        <v>7097.36</v>
      </c>
      <c r="AD182" s="24">
        <v>7264.17</v>
      </c>
      <c r="AE182" s="24">
        <v>-73363.5</v>
      </c>
      <c r="AF182" s="24">
        <v>7349.95</v>
      </c>
      <c r="AG182" s="24">
        <v>7492.14</v>
      </c>
      <c r="AH182" s="24">
        <v>7309.1</v>
      </c>
      <c r="AI182" s="24">
        <v>7439.14</v>
      </c>
      <c r="AJ182" s="20">
        <v>7509.1</v>
      </c>
      <c r="AK182" s="20">
        <v>7856.07</v>
      </c>
      <c r="AL182" s="83">
        <v>7520.28</v>
      </c>
      <c r="AM182" s="83">
        <v>-498.7</v>
      </c>
      <c r="AN182" s="83">
        <v>7294.14</v>
      </c>
      <c r="AO182" s="8">
        <f t="shared" si="150"/>
        <v>269.24999999999181</v>
      </c>
      <c r="AP182" s="24">
        <v>7188.01</v>
      </c>
      <c r="AQ182" s="24">
        <v>6654.73</v>
      </c>
      <c r="AR182" s="24">
        <f>VLOOKUP(B182,'[1]Sheet1 (2)'!$B$2:$C$397,2,0)</f>
        <v>-72308.03</v>
      </c>
      <c r="AS182" s="24">
        <f>VLOOKUP(B182,'[2]Sheet1 (2)'!$B$2:$C$404,2,0)</f>
        <v>7181.31</v>
      </c>
      <c r="AT182" s="24">
        <v>7365.8</v>
      </c>
      <c r="AU182" s="24">
        <v>7399.7</v>
      </c>
      <c r="AV182" s="24">
        <v>7132.88</v>
      </c>
      <c r="AW182" s="20">
        <v>7114.55</v>
      </c>
      <c r="AX182" s="20">
        <v>6987.97</v>
      </c>
      <c r="AY182" s="83">
        <v>7004.07</v>
      </c>
      <c r="AZ182" s="83">
        <v>-167.27</v>
      </c>
      <c r="BA182" s="83">
        <v>6795.06</v>
      </c>
      <c r="BB182" s="8">
        <f t="shared" si="151"/>
        <v>-1651.2200000000021</v>
      </c>
      <c r="BC182" s="24">
        <v>6691.56</v>
      </c>
      <c r="BD182" s="24">
        <v>6615.34</v>
      </c>
      <c r="BE182" s="24">
        <v>-69659.320000000007</v>
      </c>
      <c r="BF182" s="24">
        <v>6835.29</v>
      </c>
      <c r="BG182" s="24">
        <v>6636.51</v>
      </c>
      <c r="BH182" s="24">
        <v>6454.46</v>
      </c>
      <c r="BI182" s="24">
        <v>6433.36</v>
      </c>
      <c r="BN182" s="83"/>
      <c r="BO182" s="8">
        <f t="shared" si="152"/>
        <v>-29992.800000000003</v>
      </c>
    </row>
    <row r="183" spans="2:67" x14ac:dyDescent="0.2">
      <c r="B183" s="3" t="s">
        <v>337</v>
      </c>
      <c r="C183" s="23">
        <v>2800.93</v>
      </c>
      <c r="D183" s="24">
        <v>1804.41</v>
      </c>
      <c r="E183" s="24">
        <v>2007.17</v>
      </c>
      <c r="F183" s="24">
        <v>6828.82</v>
      </c>
      <c r="G183" s="24">
        <v>1603.94</v>
      </c>
      <c r="H183" s="24">
        <v>6167.57</v>
      </c>
      <c r="I183" s="24">
        <v>2482.6799999999998</v>
      </c>
      <c r="J183" s="24">
        <v>4238.3900000000003</v>
      </c>
      <c r="K183" s="24">
        <v>2396.75</v>
      </c>
      <c r="L183" s="24">
        <v>3728.93</v>
      </c>
      <c r="M183" s="24">
        <v>1530.71</v>
      </c>
      <c r="N183" s="24">
        <v>1701.12</v>
      </c>
      <c r="O183" s="24">
        <f t="shared" si="148"/>
        <v>37291.42</v>
      </c>
      <c r="P183" s="24">
        <v>1548</v>
      </c>
      <c r="Q183" s="24">
        <v>5056.84</v>
      </c>
      <c r="R183" s="24">
        <v>5217.5200000000004</v>
      </c>
      <c r="S183" s="24">
        <v>3402.37</v>
      </c>
      <c r="T183" s="24">
        <v>4337.6899999999996</v>
      </c>
      <c r="U183" s="24">
        <v>2641.92</v>
      </c>
      <c r="V183" s="24">
        <v>3016.17</v>
      </c>
      <c r="W183" s="20">
        <v>3435.52</v>
      </c>
      <c r="X183" s="20">
        <v>8183.72</v>
      </c>
      <c r="Y183" s="83">
        <v>2148.69</v>
      </c>
      <c r="Z183" s="83">
        <v>2674.94</v>
      </c>
      <c r="AA183" s="83">
        <v>-890.59</v>
      </c>
      <c r="AB183" s="8">
        <f t="shared" si="149"/>
        <v>40772.79</v>
      </c>
      <c r="AC183" s="24">
        <v>3514.69</v>
      </c>
      <c r="AD183" s="24">
        <v>4697.83</v>
      </c>
      <c r="AE183" s="24">
        <v>5952.51</v>
      </c>
      <c r="AF183" s="24">
        <v>4067.86</v>
      </c>
      <c r="AG183" s="24">
        <v>3749.55</v>
      </c>
      <c r="AH183" s="24">
        <v>-7711.42</v>
      </c>
      <c r="AI183" s="24">
        <v>2.79</v>
      </c>
      <c r="AJ183" s="20">
        <v>333.92</v>
      </c>
      <c r="AK183" s="20">
        <v>5.51</v>
      </c>
      <c r="AL183" s="83">
        <v>7.0000000000000007E-2</v>
      </c>
      <c r="AM183" s="83">
        <v>0.73</v>
      </c>
      <c r="AN183" s="83">
        <v>-1706.62</v>
      </c>
      <c r="AO183" s="8">
        <f t="shared" si="150"/>
        <v>12907.419999999998</v>
      </c>
      <c r="AP183" s="24">
        <v>0</v>
      </c>
      <c r="AQ183" s="24">
        <v>97.79</v>
      </c>
      <c r="AR183" s="24">
        <f>VLOOKUP(B183,'[1]Sheet1 (2)'!$B$2:$C$397,2,0)</f>
        <v>-45.94</v>
      </c>
      <c r="AS183" s="24">
        <f>VLOOKUP(B183,'[2]Sheet1 (2)'!$B$2:$C$404,2,0)</f>
        <v>0</v>
      </c>
      <c r="AT183" s="24">
        <v>326.05</v>
      </c>
      <c r="AU183" s="24">
        <v>-4.21</v>
      </c>
      <c r="AV183" s="24">
        <v>-18.27</v>
      </c>
      <c r="AW183" s="20">
        <v>296.73</v>
      </c>
      <c r="AX183" s="20">
        <v>-0.75</v>
      </c>
      <c r="AY183" s="83">
        <v>3.48</v>
      </c>
      <c r="AZ183" s="83">
        <v>-2.1</v>
      </c>
      <c r="BA183" s="83">
        <v>450.87</v>
      </c>
      <c r="BB183" s="8">
        <f t="shared" si="151"/>
        <v>1103.6500000000001</v>
      </c>
      <c r="BC183" s="24">
        <v>21.13</v>
      </c>
      <c r="BD183" s="24">
        <v>316.76</v>
      </c>
      <c r="BE183" s="24">
        <v>-0.34</v>
      </c>
      <c r="BF183" s="24">
        <v>561.32000000000005</v>
      </c>
      <c r="BG183" s="24">
        <v>20</v>
      </c>
      <c r="BH183" s="24">
        <v>133.01</v>
      </c>
      <c r="BI183" s="24">
        <v>25.47</v>
      </c>
      <c r="BN183" s="83"/>
      <c r="BO183" s="8">
        <f t="shared" si="152"/>
        <v>1077.3500000000001</v>
      </c>
    </row>
    <row r="184" spans="2:67" x14ac:dyDescent="0.2">
      <c r="B184" s="3" t="s">
        <v>338</v>
      </c>
      <c r="C184" s="23">
        <v>17648.05</v>
      </c>
      <c r="D184" s="24">
        <v>2480.2800000000002</v>
      </c>
      <c r="E184" s="24">
        <v>55253.18</v>
      </c>
      <c r="F184" s="24">
        <v>10256.08</v>
      </c>
      <c r="G184" s="24">
        <v>10711.06</v>
      </c>
      <c r="H184" s="24">
        <v>53382.52</v>
      </c>
      <c r="I184" s="24">
        <v>10254.94</v>
      </c>
      <c r="J184" s="24">
        <v>10215.69</v>
      </c>
      <c r="K184" s="24">
        <v>54119.19</v>
      </c>
      <c r="L184" s="24">
        <v>10409.219999999999</v>
      </c>
      <c r="M184" s="24">
        <v>10328.030000000001</v>
      </c>
      <c r="N184" s="24">
        <v>52118.67</v>
      </c>
      <c r="O184" s="24">
        <f t="shared" si="148"/>
        <v>297176.90999999997</v>
      </c>
      <c r="P184" s="24">
        <v>9496.4699999999993</v>
      </c>
      <c r="Q184" s="24">
        <v>10500.04</v>
      </c>
      <c r="R184" s="24">
        <v>53482.33</v>
      </c>
      <c r="S184" s="24">
        <v>10670.97</v>
      </c>
      <c r="T184" s="24">
        <v>10764.91</v>
      </c>
      <c r="U184" s="24">
        <v>57518.27</v>
      </c>
      <c r="V184" s="24">
        <v>12724.28</v>
      </c>
      <c r="W184" s="20">
        <v>12263.81</v>
      </c>
      <c r="X184" s="20">
        <v>58062.16</v>
      </c>
      <c r="Y184" s="83">
        <v>12245.52</v>
      </c>
      <c r="Z184" s="83">
        <v>12505.82</v>
      </c>
      <c r="AA184" s="83">
        <v>58260.67</v>
      </c>
      <c r="AB184" s="8">
        <f t="shared" si="149"/>
        <v>318495.25</v>
      </c>
      <c r="AC184" s="24">
        <v>11263.75</v>
      </c>
      <c r="AD184" s="24">
        <v>12652.51</v>
      </c>
      <c r="AE184" s="24">
        <v>60123.93</v>
      </c>
      <c r="AF184" s="24">
        <v>12270.99</v>
      </c>
      <c r="AG184" s="24">
        <v>11725.52</v>
      </c>
      <c r="AH184" s="24">
        <v>57683.94</v>
      </c>
      <c r="AI184" s="24">
        <v>11331.04</v>
      </c>
      <c r="AJ184" s="20">
        <v>11580</v>
      </c>
      <c r="AK184" s="20">
        <v>62610.61</v>
      </c>
      <c r="AL184" s="83">
        <v>11871.96</v>
      </c>
      <c r="AM184" s="83">
        <v>12884.84</v>
      </c>
      <c r="AN184" s="83">
        <v>56819.29</v>
      </c>
      <c r="AO184" s="8">
        <f t="shared" si="150"/>
        <v>332818.38000000006</v>
      </c>
      <c r="AP184" s="24">
        <v>10084.19</v>
      </c>
      <c r="AQ184" s="24">
        <v>12097.7</v>
      </c>
      <c r="AR184" s="24">
        <f>VLOOKUP(B184,'[1]Sheet1 (2)'!$B$2:$C$397,2,0)</f>
        <v>56243.3</v>
      </c>
      <c r="AS184" s="24">
        <f>VLOOKUP(B184,'[2]Sheet1 (2)'!$B$2:$C$404,2,0)</f>
        <v>11201.82</v>
      </c>
      <c r="AT184" s="24">
        <v>11205.17</v>
      </c>
      <c r="AU184" s="24">
        <v>56475.57</v>
      </c>
      <c r="AV184" s="24">
        <v>11113.64</v>
      </c>
      <c r="AW184" s="20">
        <v>11035.8</v>
      </c>
      <c r="AX184" s="20">
        <v>53721.15</v>
      </c>
      <c r="AY184" s="83">
        <v>11318.54</v>
      </c>
      <c r="AZ184" s="83">
        <v>11747.71</v>
      </c>
      <c r="BA184" s="83">
        <v>52026.48</v>
      </c>
      <c r="BB184" s="8">
        <f t="shared" si="151"/>
        <v>308271.07</v>
      </c>
      <c r="BC184" s="24">
        <v>9719.85</v>
      </c>
      <c r="BD184" s="24">
        <v>10617.65</v>
      </c>
      <c r="BE184" s="24">
        <v>51261.06</v>
      </c>
      <c r="BF184" s="24">
        <v>9733.57</v>
      </c>
      <c r="BG184" s="24">
        <v>10188.530000000001</v>
      </c>
      <c r="BH184" s="24">
        <v>47555.74</v>
      </c>
      <c r="BI184" s="24">
        <v>9872.86</v>
      </c>
      <c r="BN184" s="83"/>
      <c r="BO184" s="8">
        <f t="shared" si="152"/>
        <v>148949.26</v>
      </c>
    </row>
    <row r="185" spans="2:67" x14ac:dyDescent="0.2">
      <c r="B185" s="3" t="s">
        <v>563</v>
      </c>
      <c r="C185" s="23">
        <v>0</v>
      </c>
      <c r="D185" s="23">
        <v>165.75</v>
      </c>
      <c r="E185" s="24">
        <v>0</v>
      </c>
      <c r="F185" s="24">
        <v>0</v>
      </c>
      <c r="G185" s="24">
        <v>0</v>
      </c>
      <c r="H185" s="24">
        <v>0</v>
      </c>
      <c r="I185" s="24">
        <v>0</v>
      </c>
      <c r="J185" s="24">
        <v>0</v>
      </c>
      <c r="K185" s="24">
        <v>0</v>
      </c>
      <c r="L185" s="24">
        <v>0</v>
      </c>
      <c r="M185" s="24">
        <v>0</v>
      </c>
      <c r="N185" s="24">
        <v>0</v>
      </c>
      <c r="O185" s="24">
        <f t="shared" si="148"/>
        <v>165.75</v>
      </c>
      <c r="P185" s="24">
        <v>0</v>
      </c>
      <c r="Q185" s="24">
        <v>24.71</v>
      </c>
      <c r="R185" s="24">
        <v>0</v>
      </c>
      <c r="S185" s="24">
        <v>0</v>
      </c>
      <c r="T185" s="24">
        <v>0</v>
      </c>
      <c r="U185" s="24">
        <v>0</v>
      </c>
      <c r="V185" s="24">
        <v>0</v>
      </c>
      <c r="W185" s="20">
        <v>0</v>
      </c>
      <c r="X185" s="20">
        <v>0</v>
      </c>
      <c r="Y185" s="83">
        <v>0</v>
      </c>
      <c r="Z185" s="83">
        <v>0</v>
      </c>
      <c r="AA185" s="83">
        <v>0</v>
      </c>
      <c r="AB185" s="8">
        <f t="shared" si="149"/>
        <v>24.71</v>
      </c>
      <c r="AC185" s="24">
        <v>0</v>
      </c>
      <c r="AD185" s="24">
        <v>0</v>
      </c>
      <c r="AE185" s="24">
        <v>0</v>
      </c>
      <c r="AF185" s="24">
        <v>0</v>
      </c>
      <c r="AG185" s="24">
        <v>0</v>
      </c>
      <c r="AH185" s="24">
        <v>0</v>
      </c>
      <c r="AI185" s="24">
        <v>0</v>
      </c>
      <c r="AJ185" s="20">
        <v>0</v>
      </c>
      <c r="AK185" s="20">
        <v>0</v>
      </c>
      <c r="AL185" s="83">
        <v>0</v>
      </c>
      <c r="AM185" s="83">
        <v>0</v>
      </c>
      <c r="AN185" s="83">
        <v>0</v>
      </c>
      <c r="AO185" s="8">
        <f t="shared" si="150"/>
        <v>0</v>
      </c>
      <c r="AP185" s="24">
        <v>0</v>
      </c>
      <c r="AQ185" s="24">
        <v>61.02</v>
      </c>
      <c r="AR185" s="24">
        <f>VLOOKUP(B185,'[1]Sheet1 (2)'!$B$2:$C$397,2,0)</f>
        <v>0</v>
      </c>
      <c r="AS185" s="24">
        <f>VLOOKUP(B185,'[2]Sheet1 (2)'!$B$2:$C$404,2,0)</f>
        <v>0</v>
      </c>
      <c r="AT185" s="24">
        <v>0</v>
      </c>
      <c r="AU185" s="24">
        <v>0</v>
      </c>
      <c r="AV185" s="24">
        <v>29.14</v>
      </c>
      <c r="AW185" s="20">
        <v>0</v>
      </c>
      <c r="AX185" s="20">
        <v>0</v>
      </c>
      <c r="AY185" s="83">
        <v>0</v>
      </c>
      <c r="AZ185" s="83">
        <v>0</v>
      </c>
      <c r="BA185" s="83">
        <v>0</v>
      </c>
      <c r="BB185" s="8">
        <f t="shared" si="151"/>
        <v>90.16</v>
      </c>
      <c r="BC185" s="24">
        <v>0</v>
      </c>
      <c r="BD185" s="24">
        <v>0</v>
      </c>
      <c r="BE185" s="24">
        <v>0</v>
      </c>
      <c r="BF185" s="24">
        <v>0</v>
      </c>
      <c r="BG185" s="24">
        <v>0</v>
      </c>
      <c r="BH185" s="24">
        <v>0</v>
      </c>
      <c r="BI185" s="24">
        <v>0</v>
      </c>
      <c r="BN185" s="83"/>
      <c r="BO185" s="8">
        <f t="shared" si="152"/>
        <v>0</v>
      </c>
    </row>
    <row r="186" spans="2:67" x14ac:dyDescent="0.2">
      <c r="B186" s="3" t="s">
        <v>339</v>
      </c>
      <c r="C186" s="23">
        <v>4180.01</v>
      </c>
      <c r="D186" s="24">
        <v>2442.6</v>
      </c>
      <c r="E186" s="24">
        <v>2768.49</v>
      </c>
      <c r="F186" s="24">
        <v>1968.5</v>
      </c>
      <c r="G186" s="24">
        <v>3325.14</v>
      </c>
      <c r="H186" s="24">
        <v>3191.71</v>
      </c>
      <c r="I186" s="24">
        <v>2269.08</v>
      </c>
      <c r="J186" s="24">
        <v>1679.88</v>
      </c>
      <c r="K186" s="24">
        <v>868.11</v>
      </c>
      <c r="L186" s="24">
        <v>1283.77</v>
      </c>
      <c r="M186" s="24">
        <v>1892.98</v>
      </c>
      <c r="N186" s="24">
        <v>2623.17</v>
      </c>
      <c r="O186" s="24">
        <f t="shared" si="148"/>
        <v>28493.440000000002</v>
      </c>
      <c r="P186" s="24">
        <v>2497.85</v>
      </c>
      <c r="Q186" s="24">
        <v>2684.62</v>
      </c>
      <c r="R186" s="24">
        <v>910.75</v>
      </c>
      <c r="S186" s="24">
        <v>3160.5</v>
      </c>
      <c r="T186" s="24">
        <v>2013.82</v>
      </c>
      <c r="U186" s="24">
        <v>2460.11</v>
      </c>
      <c r="V186" s="24">
        <v>3776.79</v>
      </c>
      <c r="W186" s="20">
        <v>1647.53</v>
      </c>
      <c r="X186" s="20">
        <v>1006.76</v>
      </c>
      <c r="Y186" s="83">
        <v>1497.85</v>
      </c>
      <c r="Z186" s="83">
        <v>2073.08</v>
      </c>
      <c r="AA186" s="83">
        <v>2530.17</v>
      </c>
      <c r="AB186" s="8">
        <f t="shared" si="149"/>
        <v>26259.829999999994</v>
      </c>
      <c r="AC186" s="24">
        <v>2640.13</v>
      </c>
      <c r="AD186" s="24">
        <v>1860.29</v>
      </c>
      <c r="AE186" s="24">
        <v>443.8</v>
      </c>
      <c r="AF186" s="24">
        <v>1831.44</v>
      </c>
      <c r="AG186" s="24">
        <v>3338.73</v>
      </c>
      <c r="AH186" s="24">
        <v>2769.16</v>
      </c>
      <c r="AI186" s="24">
        <v>3004.81</v>
      </c>
      <c r="AJ186" s="20">
        <v>2134.2800000000002</v>
      </c>
      <c r="AK186" s="20">
        <v>1125.83</v>
      </c>
      <c r="AL186" s="83">
        <v>1392.44</v>
      </c>
      <c r="AM186" s="83">
        <v>2134.33</v>
      </c>
      <c r="AN186" s="83">
        <v>3272.9</v>
      </c>
      <c r="AO186" s="8">
        <f t="shared" si="150"/>
        <v>25948.14</v>
      </c>
      <c r="AP186" s="24">
        <v>1362.44</v>
      </c>
      <c r="AQ186" s="24">
        <v>2425.6999999999998</v>
      </c>
      <c r="AR186" s="24">
        <f>VLOOKUP(B186,'[1]Sheet1 (2)'!$B$2:$C$397,2,0)</f>
        <v>1247.8800000000001</v>
      </c>
      <c r="AS186" s="24">
        <f>VLOOKUP(B186,'[2]Sheet1 (2)'!$B$2:$C$404,2,0)</f>
        <v>1470.68</v>
      </c>
      <c r="AT186" s="24">
        <v>1992.27</v>
      </c>
      <c r="AU186" s="24">
        <v>3253.14</v>
      </c>
      <c r="AV186" s="24">
        <v>1948.09</v>
      </c>
      <c r="AW186" s="20">
        <v>3105.87</v>
      </c>
      <c r="AX186" s="20">
        <v>1788.28</v>
      </c>
      <c r="AY186" s="83">
        <v>2286.8200000000002</v>
      </c>
      <c r="AZ186" s="83">
        <v>1764.47</v>
      </c>
      <c r="BA186" s="83">
        <v>1699.15</v>
      </c>
      <c r="BB186" s="8">
        <f t="shared" si="151"/>
        <v>24344.79</v>
      </c>
      <c r="BC186" s="24">
        <v>1168.5</v>
      </c>
      <c r="BD186" s="24">
        <v>2153.89</v>
      </c>
      <c r="BE186" s="24">
        <v>1133.82</v>
      </c>
      <c r="BF186" s="24">
        <v>1253.8399999999999</v>
      </c>
      <c r="BG186" s="24">
        <v>3381.62</v>
      </c>
      <c r="BH186" s="24">
        <v>3210.35</v>
      </c>
      <c r="BI186" s="24">
        <v>4873.97</v>
      </c>
      <c r="BN186" s="83"/>
      <c r="BO186" s="8">
        <f t="shared" si="152"/>
        <v>17175.990000000002</v>
      </c>
    </row>
    <row r="187" spans="2:67" x14ac:dyDescent="0.2">
      <c r="B187" s="3" t="s">
        <v>768</v>
      </c>
      <c r="C187" s="23"/>
      <c r="F187" s="24">
        <v>96267.16</v>
      </c>
      <c r="G187" s="24">
        <v>0</v>
      </c>
      <c r="H187" s="24">
        <v>0</v>
      </c>
      <c r="I187" s="24">
        <v>0</v>
      </c>
      <c r="J187" s="24">
        <v>0</v>
      </c>
      <c r="K187" s="24">
        <v>0</v>
      </c>
      <c r="L187" s="24">
        <v>0</v>
      </c>
      <c r="M187" s="24">
        <v>0</v>
      </c>
      <c r="N187" s="24">
        <v>0</v>
      </c>
      <c r="O187" s="24">
        <f t="shared" si="148"/>
        <v>96267.16</v>
      </c>
      <c r="P187" s="24">
        <v>0</v>
      </c>
      <c r="Q187" s="24">
        <v>0</v>
      </c>
      <c r="R187" s="24">
        <v>0</v>
      </c>
      <c r="S187" s="24">
        <v>245267.72</v>
      </c>
      <c r="T187" s="24">
        <v>0</v>
      </c>
      <c r="U187" s="24">
        <v>0</v>
      </c>
      <c r="V187" s="24">
        <v>0</v>
      </c>
      <c r="W187" s="20">
        <v>0</v>
      </c>
      <c r="X187" s="20">
        <v>0</v>
      </c>
      <c r="Y187" s="83">
        <v>0</v>
      </c>
      <c r="Z187" s="83">
        <v>0</v>
      </c>
      <c r="AA187" s="83">
        <v>0</v>
      </c>
      <c r="AB187" s="8">
        <f t="shared" si="149"/>
        <v>245267.72</v>
      </c>
      <c r="AC187" s="24">
        <v>0</v>
      </c>
      <c r="AD187" s="24">
        <v>0</v>
      </c>
      <c r="AE187" s="24">
        <v>0</v>
      </c>
      <c r="AF187" s="24">
        <v>307670.53000000003</v>
      </c>
      <c r="AG187" s="24">
        <v>0</v>
      </c>
      <c r="AH187" s="24">
        <v>0</v>
      </c>
      <c r="AI187" s="24">
        <v>0</v>
      </c>
      <c r="AJ187" s="20">
        <v>0</v>
      </c>
      <c r="AK187" s="20">
        <v>0</v>
      </c>
      <c r="AL187" s="83">
        <v>0</v>
      </c>
      <c r="AM187" s="83">
        <v>0</v>
      </c>
      <c r="AN187" s="83">
        <v>0</v>
      </c>
      <c r="AO187" s="8">
        <f t="shared" si="150"/>
        <v>307670.53000000003</v>
      </c>
      <c r="AP187" s="24">
        <v>0</v>
      </c>
      <c r="AQ187" s="24">
        <v>0</v>
      </c>
      <c r="AR187" s="24">
        <v>0</v>
      </c>
      <c r="AS187" s="24">
        <f>VLOOKUP(B187,'[2]Sheet1 (2)'!$B$2:$C$404,2,0)</f>
        <v>162888.48000000001</v>
      </c>
      <c r="AT187" s="24">
        <v>509.96</v>
      </c>
      <c r="AU187" s="24">
        <v>0</v>
      </c>
      <c r="AV187" s="24">
        <v>0</v>
      </c>
      <c r="AW187" s="20">
        <v>0</v>
      </c>
      <c r="AX187" s="20">
        <v>0</v>
      </c>
      <c r="AY187" s="83">
        <v>0</v>
      </c>
      <c r="AZ187" s="83">
        <v>0</v>
      </c>
      <c r="BA187" s="83">
        <v>0</v>
      </c>
      <c r="BB187" s="8">
        <f t="shared" si="151"/>
        <v>163398.44</v>
      </c>
      <c r="BC187" s="24">
        <v>0</v>
      </c>
      <c r="BD187" s="24">
        <v>0</v>
      </c>
      <c r="BE187" s="24">
        <v>0</v>
      </c>
      <c r="BF187" s="24">
        <v>0</v>
      </c>
      <c r="BG187" s="131">
        <v>67561.84</v>
      </c>
      <c r="BH187" s="24">
        <v>0</v>
      </c>
      <c r="BI187" s="24">
        <v>0</v>
      </c>
      <c r="BN187" s="83"/>
      <c r="BO187" s="8">
        <f t="shared" si="152"/>
        <v>67561.84</v>
      </c>
    </row>
    <row r="188" spans="2:67" x14ac:dyDescent="0.2">
      <c r="B188" s="3" t="s">
        <v>565</v>
      </c>
      <c r="C188" s="23"/>
      <c r="Q188" s="24">
        <v>32.94</v>
      </c>
      <c r="R188" s="24">
        <v>32.53</v>
      </c>
      <c r="S188" s="24">
        <v>33.799999999999997</v>
      </c>
      <c r="T188" s="24">
        <v>83.91</v>
      </c>
      <c r="U188" s="24">
        <v>83.11</v>
      </c>
      <c r="V188" s="24">
        <v>83.19</v>
      </c>
      <c r="W188" s="20">
        <v>32.619999999999997</v>
      </c>
      <c r="X188" s="20">
        <v>227.33</v>
      </c>
      <c r="Y188" s="83">
        <v>126.14</v>
      </c>
      <c r="Z188" s="83">
        <v>129.57</v>
      </c>
      <c r="AA188" s="83">
        <v>129.75</v>
      </c>
      <c r="AB188" s="8">
        <f t="shared" si="149"/>
        <v>994.8900000000001</v>
      </c>
      <c r="AC188" s="24">
        <v>127.23</v>
      </c>
      <c r="AD188" s="24">
        <v>32.07</v>
      </c>
      <c r="AE188" s="24">
        <v>31.7</v>
      </c>
      <c r="AF188" s="24">
        <v>30.78</v>
      </c>
      <c r="AG188" s="24">
        <v>78.010000000000005</v>
      </c>
      <c r="AH188" s="24">
        <v>76.08</v>
      </c>
      <c r="AI188" s="24">
        <v>77.05</v>
      </c>
      <c r="AJ188" s="20">
        <v>128.38</v>
      </c>
      <c r="AK188" s="20">
        <v>0</v>
      </c>
      <c r="AL188" s="83">
        <v>0</v>
      </c>
      <c r="AM188" s="83">
        <v>0</v>
      </c>
      <c r="AN188" s="83">
        <v>0</v>
      </c>
      <c r="AO188" s="8">
        <f t="shared" si="150"/>
        <v>581.29999999999995</v>
      </c>
      <c r="AP188" s="24">
        <v>0</v>
      </c>
      <c r="AQ188" s="24">
        <v>61.02</v>
      </c>
      <c r="AR188" s="24">
        <f>VLOOKUP(B188,'[1]Sheet1 (2)'!$B$2:$C$397,2,0)</f>
        <v>60.87</v>
      </c>
      <c r="AS188" s="24">
        <f>VLOOKUP(B188,'[2]Sheet1 (2)'!$B$2:$C$404,2,0)</f>
        <v>59.42</v>
      </c>
      <c r="AT188" s="24">
        <v>153.25</v>
      </c>
      <c r="AU188" s="24">
        <v>153.44999999999999</v>
      </c>
      <c r="AV188" s="24">
        <v>153.38999999999999</v>
      </c>
      <c r="AW188" s="20">
        <v>306</v>
      </c>
      <c r="AX188" s="20">
        <v>300.55</v>
      </c>
      <c r="AY188" s="83">
        <v>300.89999999999998</v>
      </c>
      <c r="AZ188" s="83">
        <v>508.4</v>
      </c>
      <c r="BA188" s="83">
        <v>506.77</v>
      </c>
      <c r="BB188" s="8">
        <f t="shared" si="151"/>
        <v>2564.02</v>
      </c>
      <c r="BC188" s="24">
        <v>502.9</v>
      </c>
      <c r="BD188" s="24">
        <v>356.51</v>
      </c>
      <c r="BE188" s="24">
        <v>354.32</v>
      </c>
      <c r="BF188" s="24">
        <v>348.29</v>
      </c>
      <c r="BG188" s="24">
        <v>225.44</v>
      </c>
      <c r="BH188" s="24">
        <v>222.94</v>
      </c>
      <c r="BI188" s="24">
        <v>222.56</v>
      </c>
      <c r="BN188" s="83"/>
      <c r="BO188" s="8">
        <f t="shared" si="152"/>
        <v>2232.96</v>
      </c>
    </row>
    <row r="189" spans="2:67" x14ac:dyDescent="0.2">
      <c r="B189" s="3" t="s">
        <v>340</v>
      </c>
      <c r="C189" s="23">
        <v>10559.39</v>
      </c>
      <c r="D189" s="24">
        <v>14231.96</v>
      </c>
      <c r="E189" s="24">
        <v>12501.71</v>
      </c>
      <c r="F189" s="24">
        <v>-83819.740000000005</v>
      </c>
      <c r="G189" s="24">
        <v>12225.15</v>
      </c>
      <c r="H189" s="24">
        <v>12045.07</v>
      </c>
      <c r="I189" s="24">
        <v>12242.7</v>
      </c>
      <c r="J189" s="24">
        <v>12373.08</v>
      </c>
      <c r="K189" s="24">
        <v>12407.25</v>
      </c>
      <c r="L189" s="24">
        <v>11823.94</v>
      </c>
      <c r="M189" s="24">
        <v>11670.33</v>
      </c>
      <c r="N189" s="24">
        <v>11799.23</v>
      </c>
      <c r="O189" s="24">
        <f>SUBTOTAL(9,C189:N189)</f>
        <v>50060.069999999992</v>
      </c>
      <c r="P189" s="24">
        <v>12050.5</v>
      </c>
      <c r="Q189" s="24">
        <v>14539.82</v>
      </c>
      <c r="R189" s="24">
        <v>13008.14</v>
      </c>
      <c r="S189" s="24">
        <v>-231580.37</v>
      </c>
      <c r="T189" s="24">
        <v>14463.14</v>
      </c>
      <c r="U189" s="24">
        <v>14094.6</v>
      </c>
      <c r="V189" s="24">
        <v>14872</v>
      </c>
      <c r="W189" s="20">
        <v>14573.91</v>
      </c>
      <c r="X189" s="20">
        <v>14486.8</v>
      </c>
      <c r="Y189" s="83">
        <v>13950.16</v>
      </c>
      <c r="Z189" s="83">
        <v>14275.75</v>
      </c>
      <c r="AA189" s="83">
        <v>14350.2</v>
      </c>
      <c r="AB189" s="8">
        <f t="shared" si="149"/>
        <v>-76915.350000000006</v>
      </c>
      <c r="AC189" s="24">
        <v>14194.77</v>
      </c>
      <c r="AD189" s="24">
        <v>16608.060000000001</v>
      </c>
      <c r="AE189" s="24">
        <v>15126.16</v>
      </c>
      <c r="AF189" s="24">
        <v>-143222.82</v>
      </c>
      <c r="AG189" s="24">
        <v>14984.3</v>
      </c>
      <c r="AH189" s="24">
        <v>14618.2</v>
      </c>
      <c r="AI189" s="24">
        <v>14878.28</v>
      </c>
      <c r="AJ189" s="20">
        <v>15018.17</v>
      </c>
      <c r="AK189" s="20">
        <v>15712.13</v>
      </c>
      <c r="AL189" s="83">
        <v>15040.57</v>
      </c>
      <c r="AM189" s="83">
        <v>14880.84</v>
      </c>
      <c r="AN189" s="83">
        <v>14588.31</v>
      </c>
      <c r="AO189" s="8">
        <f t="shared" si="150"/>
        <v>22426.969999999994</v>
      </c>
      <c r="AP189" s="24">
        <v>14376.05</v>
      </c>
      <c r="AQ189" s="24">
        <v>15757.75</v>
      </c>
      <c r="AR189" s="24">
        <f>VLOOKUP(B189,'[1]Sheet1 (2)'!$B$2:$C$397,2,0)</f>
        <v>14831.18</v>
      </c>
      <c r="AS189" s="24">
        <f>VLOOKUP(B189,'[2]Sheet1 (2)'!$B$2:$C$404,2,0)</f>
        <v>-148525.84</v>
      </c>
      <c r="AT189" s="24">
        <v>14221.64</v>
      </c>
      <c r="AU189" s="24">
        <v>14799.4</v>
      </c>
      <c r="AV189" s="24">
        <v>14265.76</v>
      </c>
      <c r="AW189" s="20">
        <v>14229.08</v>
      </c>
      <c r="AX189" s="20">
        <v>13975.91</v>
      </c>
      <c r="AY189" s="83">
        <v>14008.13</v>
      </c>
      <c r="AZ189" s="83">
        <v>13633.99</v>
      </c>
      <c r="BA189" s="83">
        <v>13590.1</v>
      </c>
      <c r="BB189" s="8">
        <f t="shared" si="151"/>
        <v>9163.1499999999978</v>
      </c>
      <c r="BC189" s="24">
        <v>13383.12</v>
      </c>
      <c r="BD189" s="24">
        <v>14989.46</v>
      </c>
      <c r="BE189" s="24">
        <v>13958.82</v>
      </c>
      <c r="BF189" s="24">
        <v>13670.62</v>
      </c>
      <c r="BG189" s="24">
        <v>-53919.66</v>
      </c>
      <c r="BH189" s="24">
        <v>12908.93</v>
      </c>
      <c r="BI189" s="24">
        <v>12866.72</v>
      </c>
      <c r="BN189" s="83"/>
      <c r="BO189" s="8">
        <f t="shared" si="152"/>
        <v>27858.010000000002</v>
      </c>
    </row>
    <row r="190" spans="2:67" x14ac:dyDescent="0.2">
      <c r="B190" s="3" t="s">
        <v>341</v>
      </c>
      <c r="C190" s="23">
        <v>18487.189999999999</v>
      </c>
      <c r="D190" s="24">
        <v>17775.46</v>
      </c>
      <c r="E190" s="24">
        <v>15766.92</v>
      </c>
      <c r="F190" s="24">
        <v>9139.6299999999992</v>
      </c>
      <c r="G190" s="24">
        <v>22377.74</v>
      </c>
      <c r="H190" s="24">
        <v>27640.639999999999</v>
      </c>
      <c r="I190" s="24">
        <v>25564.68</v>
      </c>
      <c r="J190" s="24">
        <v>29675.65</v>
      </c>
      <c r="K190" s="24">
        <v>20598.330000000002</v>
      </c>
      <c r="L190" s="24">
        <v>11985.35</v>
      </c>
      <c r="M190" s="24">
        <v>7876.06</v>
      </c>
      <c r="N190" s="24">
        <v>7088.3</v>
      </c>
      <c r="O190" s="24">
        <f>SUBTOTAL(9,C190:N190)</f>
        <v>213975.94999999998</v>
      </c>
      <c r="P190" s="24">
        <v>21916.880000000001</v>
      </c>
      <c r="Q190" s="24">
        <v>12602.57</v>
      </c>
      <c r="R190" s="24">
        <v>7728.66</v>
      </c>
      <c r="S190" s="24">
        <v>11228.7</v>
      </c>
      <c r="T190" s="24">
        <v>24189.1</v>
      </c>
      <c r="U190" s="24">
        <v>34345.410000000003</v>
      </c>
      <c r="V190" s="24">
        <v>27945.55</v>
      </c>
      <c r="W190" s="20">
        <v>26910.09</v>
      </c>
      <c r="X190" s="20">
        <v>18887.37</v>
      </c>
      <c r="Y190" s="83">
        <v>13961.9</v>
      </c>
      <c r="Z190" s="83">
        <v>8565.0499999999993</v>
      </c>
      <c r="AA190" s="83">
        <v>6947.26</v>
      </c>
      <c r="AB190" s="8">
        <f t="shared" si="149"/>
        <v>215228.53999999998</v>
      </c>
      <c r="AC190" s="24">
        <v>32002.67</v>
      </c>
      <c r="AD190" s="24">
        <v>16693.18</v>
      </c>
      <c r="AE190" s="24">
        <v>10266.9</v>
      </c>
      <c r="AF190" s="24">
        <v>10944.35</v>
      </c>
      <c r="AG190" s="24">
        <v>40756.370000000003</v>
      </c>
      <c r="AH190" s="24">
        <v>34772.68</v>
      </c>
      <c r="AI190" s="24">
        <v>28272.33</v>
      </c>
      <c r="AJ190" s="20">
        <v>38763.72</v>
      </c>
      <c r="AK190" s="20">
        <v>31200</v>
      </c>
      <c r="AL190" s="83">
        <v>11358.52</v>
      </c>
      <c r="AM190" s="83">
        <v>7952.92</v>
      </c>
      <c r="AN190" s="83">
        <v>8220.66</v>
      </c>
      <c r="AO190" s="8">
        <f t="shared" si="150"/>
        <v>271204.29999999993</v>
      </c>
      <c r="AP190" s="24">
        <v>34454.720000000001</v>
      </c>
      <c r="AQ190" s="24">
        <v>18882.03</v>
      </c>
      <c r="AR190" s="24">
        <f>VLOOKUP(B190,'[1]Sheet1 (2)'!$B$2:$C$397,2,0)</f>
        <v>9612.59</v>
      </c>
      <c r="AS190" s="24">
        <f>VLOOKUP(B190,'[2]Sheet1 (2)'!$B$2:$C$404,2,0)</f>
        <v>9939.99</v>
      </c>
      <c r="AT190" s="24">
        <v>35238.78</v>
      </c>
      <c r="AU190" s="24">
        <v>22119.439999999999</v>
      </c>
      <c r="AV190" s="24">
        <v>34617.949999999997</v>
      </c>
      <c r="AW190" s="20">
        <v>37294.370000000003</v>
      </c>
      <c r="AX190" s="20">
        <v>29682.62</v>
      </c>
      <c r="AY190" s="83">
        <v>11326.95</v>
      </c>
      <c r="AZ190" s="83">
        <v>9663.7099999999991</v>
      </c>
      <c r="BA190" s="83">
        <v>7018.43</v>
      </c>
      <c r="BB190" s="8">
        <f t="shared" si="151"/>
        <v>259851.58</v>
      </c>
      <c r="BC190" s="131">
        <v>34352.15</v>
      </c>
      <c r="BD190" s="131">
        <v>13496.14</v>
      </c>
      <c r="BE190" s="131">
        <v>95751.54</v>
      </c>
      <c r="BF190" s="24">
        <v>0</v>
      </c>
      <c r="BG190" s="24">
        <v>0</v>
      </c>
      <c r="BH190" s="24">
        <v>397.11</v>
      </c>
      <c r="BI190" s="24">
        <v>339.4</v>
      </c>
      <c r="BN190" s="83"/>
      <c r="BO190" s="8">
        <f t="shared" si="152"/>
        <v>144336.33999999997</v>
      </c>
    </row>
    <row r="191" spans="2:67" x14ac:dyDescent="0.2">
      <c r="B191" s="3" t="s">
        <v>1533</v>
      </c>
      <c r="C191" s="23"/>
      <c r="M191" s="24">
        <v>44.81</v>
      </c>
      <c r="N191" s="24">
        <v>0</v>
      </c>
      <c r="O191" s="24">
        <f>SUBTOTAL(9,C191:N191)</f>
        <v>44.81</v>
      </c>
      <c r="P191" s="24">
        <v>0</v>
      </c>
      <c r="Q191" s="24">
        <v>0</v>
      </c>
      <c r="R191" s="24">
        <v>0</v>
      </c>
      <c r="S191" s="24">
        <v>0</v>
      </c>
      <c r="T191" s="24">
        <v>0</v>
      </c>
      <c r="U191" s="24">
        <v>0</v>
      </c>
      <c r="V191" s="24">
        <v>0</v>
      </c>
      <c r="W191" s="20">
        <v>0</v>
      </c>
      <c r="X191" s="20">
        <v>0</v>
      </c>
      <c r="Y191" s="83">
        <v>0</v>
      </c>
      <c r="Z191" s="83">
        <v>0</v>
      </c>
      <c r="AA191" s="83">
        <v>0</v>
      </c>
      <c r="AB191" s="8">
        <f t="shared" si="149"/>
        <v>0</v>
      </c>
      <c r="AC191" s="24">
        <v>0</v>
      </c>
      <c r="AD191" s="24">
        <v>0</v>
      </c>
      <c r="AE191" s="24">
        <v>0</v>
      </c>
      <c r="AF191" s="24">
        <v>0</v>
      </c>
      <c r="AG191" s="24">
        <v>0</v>
      </c>
      <c r="AH191" s="24">
        <v>0</v>
      </c>
      <c r="AI191" s="24">
        <v>0</v>
      </c>
      <c r="AJ191" s="20">
        <v>0</v>
      </c>
      <c r="AK191" s="20">
        <v>0</v>
      </c>
      <c r="AL191" s="83">
        <v>0</v>
      </c>
      <c r="AM191" s="83">
        <v>0</v>
      </c>
      <c r="AN191" s="83">
        <v>0</v>
      </c>
      <c r="AO191" s="8">
        <f t="shared" si="150"/>
        <v>0</v>
      </c>
      <c r="AP191" s="24">
        <v>0</v>
      </c>
      <c r="AQ191" s="24">
        <v>0</v>
      </c>
      <c r="AR191" s="24">
        <v>0</v>
      </c>
      <c r="AS191" s="24">
        <v>0</v>
      </c>
      <c r="AT191" s="24">
        <v>0</v>
      </c>
      <c r="AU191" s="24">
        <v>0</v>
      </c>
      <c r="AV191" s="24">
        <v>0</v>
      </c>
      <c r="AW191" s="20">
        <v>0</v>
      </c>
      <c r="AX191" s="20">
        <v>0</v>
      </c>
      <c r="AY191" s="83">
        <v>0</v>
      </c>
      <c r="AZ191" s="83">
        <v>0</v>
      </c>
      <c r="BA191" s="83">
        <v>0</v>
      </c>
      <c r="BB191" s="8">
        <f t="shared" si="151"/>
        <v>0</v>
      </c>
      <c r="BC191" s="24">
        <v>0</v>
      </c>
      <c r="BD191" s="24">
        <v>0</v>
      </c>
      <c r="BE191" s="24">
        <v>0</v>
      </c>
      <c r="BF191" s="24">
        <v>0</v>
      </c>
      <c r="BG191" s="24">
        <v>0</v>
      </c>
      <c r="BH191" s="24">
        <v>0</v>
      </c>
      <c r="BI191" s="24">
        <v>0</v>
      </c>
      <c r="BN191" s="83"/>
      <c r="BO191" s="8">
        <f t="shared" si="152"/>
        <v>0</v>
      </c>
    </row>
    <row r="192" spans="2:67" x14ac:dyDescent="0.2">
      <c r="B192" s="3" t="s">
        <v>342</v>
      </c>
      <c r="C192" s="23">
        <v>2577.34</v>
      </c>
      <c r="D192" s="24">
        <v>846.19</v>
      </c>
      <c r="E192" s="24">
        <v>398.74</v>
      </c>
      <c r="F192" s="24">
        <v>0</v>
      </c>
      <c r="G192" s="24">
        <v>0</v>
      </c>
      <c r="H192" s="24">
        <v>1123.3499999999999</v>
      </c>
      <c r="I192" s="24">
        <v>1492.79</v>
      </c>
      <c r="J192" s="24">
        <v>1189.96</v>
      </c>
      <c r="K192" s="24">
        <v>0</v>
      </c>
      <c r="L192" s="24">
        <v>1293.0899999999999</v>
      </c>
      <c r="M192" s="24">
        <v>0</v>
      </c>
      <c r="N192" s="24">
        <v>0</v>
      </c>
      <c r="O192" s="24">
        <f>SUBTOTAL(9,C192:N192)</f>
        <v>8921.4600000000009</v>
      </c>
      <c r="P192" s="24">
        <v>440.68</v>
      </c>
      <c r="Q192" s="24">
        <v>456.55</v>
      </c>
      <c r="R192" s="24">
        <v>0</v>
      </c>
      <c r="S192" s="24">
        <v>512.78</v>
      </c>
      <c r="T192" s="24">
        <v>3857.82</v>
      </c>
      <c r="U192" s="24">
        <v>752.33</v>
      </c>
      <c r="V192" s="24">
        <v>0</v>
      </c>
      <c r="W192" s="20">
        <v>347.12</v>
      </c>
      <c r="X192" s="20">
        <v>1276.6300000000001</v>
      </c>
      <c r="Y192" s="83">
        <v>1731.84</v>
      </c>
      <c r="Z192" s="83">
        <v>857.09</v>
      </c>
      <c r="AA192" s="83">
        <v>0</v>
      </c>
      <c r="AB192" s="8">
        <f t="shared" si="149"/>
        <v>10232.84</v>
      </c>
      <c r="AC192" s="24">
        <v>1241.8699999999999</v>
      </c>
      <c r="AD192" s="24">
        <v>204.95</v>
      </c>
      <c r="AE192" s="24">
        <v>0</v>
      </c>
      <c r="AF192" s="24">
        <v>430.93</v>
      </c>
      <c r="AG192" s="24">
        <v>668.99</v>
      </c>
      <c r="AH192" s="24">
        <v>2459.37</v>
      </c>
      <c r="AI192" s="24">
        <v>655.82</v>
      </c>
      <c r="AJ192" s="20">
        <v>573.85</v>
      </c>
      <c r="AK192" s="20">
        <v>1148.3399999999999</v>
      </c>
      <c r="AL192" s="83">
        <v>0</v>
      </c>
      <c r="AM192" s="83">
        <v>0</v>
      </c>
      <c r="AN192" s="83">
        <v>1709.89</v>
      </c>
      <c r="AO192" s="8">
        <f t="shared" si="150"/>
        <v>9094.01</v>
      </c>
      <c r="AP192" s="24">
        <v>0</v>
      </c>
      <c r="AQ192" s="24">
        <v>360.65</v>
      </c>
      <c r="AR192" s="24">
        <f>VLOOKUP(B192,'[1]Sheet1 (2)'!$B$2:$C$397,2,0)</f>
        <v>365.84</v>
      </c>
      <c r="AS192" s="24">
        <f>VLOOKUP(B192,'[2]Sheet1 (2)'!$B$2:$C$404,2,0)</f>
        <v>328.01</v>
      </c>
      <c r="AT192" s="24">
        <v>0</v>
      </c>
      <c r="AU192" s="24">
        <v>3064.07</v>
      </c>
      <c r="AV192" s="24">
        <v>1234.5</v>
      </c>
      <c r="AW192" s="20">
        <v>1662.79</v>
      </c>
      <c r="AX192" s="20">
        <v>0</v>
      </c>
      <c r="AY192" s="83">
        <v>0</v>
      </c>
      <c r="AZ192" s="83">
        <v>664.51</v>
      </c>
      <c r="BA192" s="83">
        <v>0</v>
      </c>
      <c r="BB192" s="8">
        <f t="shared" si="151"/>
        <v>7680.37</v>
      </c>
      <c r="BC192" s="24">
        <v>0</v>
      </c>
      <c r="BD192" s="24">
        <v>0</v>
      </c>
      <c r="BE192" s="24">
        <v>0</v>
      </c>
      <c r="BF192" s="24">
        <v>0</v>
      </c>
      <c r="BG192" s="24">
        <v>0</v>
      </c>
      <c r="BH192" s="24">
        <v>317.69</v>
      </c>
      <c r="BI192" s="24">
        <v>954.21</v>
      </c>
      <c r="BN192" s="83"/>
      <c r="BO192" s="8">
        <f t="shared" si="152"/>
        <v>1271.9000000000001</v>
      </c>
    </row>
    <row r="193" spans="2:67" x14ac:dyDescent="0.2">
      <c r="B193" s="3" t="s">
        <v>566</v>
      </c>
      <c r="C193" s="23"/>
      <c r="E193" s="24">
        <v>244.29</v>
      </c>
      <c r="F193" s="24">
        <v>0</v>
      </c>
      <c r="G193" s="24">
        <v>695.52</v>
      </c>
      <c r="H193" s="24">
        <v>0</v>
      </c>
      <c r="I193" s="24">
        <v>15656.97</v>
      </c>
      <c r="J193" s="24">
        <v>0</v>
      </c>
      <c r="K193" s="24">
        <v>0</v>
      </c>
      <c r="L193" s="24">
        <v>0</v>
      </c>
      <c r="M193" s="24">
        <v>0</v>
      </c>
      <c r="N193" s="24">
        <v>0</v>
      </c>
      <c r="O193" s="24">
        <f>SUBTOTAL(9,C193:N193)</f>
        <v>16596.78</v>
      </c>
      <c r="P193" s="24">
        <v>0</v>
      </c>
      <c r="Q193" s="24">
        <v>5108.26</v>
      </c>
      <c r="R193" s="24">
        <v>103.24</v>
      </c>
      <c r="S193" s="24">
        <v>0</v>
      </c>
      <c r="T193" s="24">
        <v>9815.7000000000007</v>
      </c>
      <c r="U193" s="24">
        <v>-6350.9</v>
      </c>
      <c r="V193" s="24">
        <v>114.1</v>
      </c>
      <c r="W193" s="20">
        <v>0</v>
      </c>
      <c r="X193" s="20">
        <v>0</v>
      </c>
      <c r="Y193" s="83">
        <v>351.07</v>
      </c>
      <c r="Z193" s="83">
        <v>0</v>
      </c>
      <c r="AA193" s="83">
        <v>0</v>
      </c>
      <c r="AB193" s="8">
        <f t="shared" si="149"/>
        <v>9141.4700000000012</v>
      </c>
      <c r="AC193" s="24">
        <v>0</v>
      </c>
      <c r="AD193" s="24">
        <v>0</v>
      </c>
      <c r="AE193" s="24">
        <v>0</v>
      </c>
      <c r="AF193" s="24">
        <v>3749.43</v>
      </c>
      <c r="AG193" s="24">
        <v>371</v>
      </c>
      <c r="AH193" s="24">
        <v>0</v>
      </c>
      <c r="AI193" s="24">
        <v>20102.310000000001</v>
      </c>
      <c r="AJ193" s="20">
        <v>0</v>
      </c>
      <c r="AK193" s="20">
        <v>0</v>
      </c>
      <c r="AL193" s="83">
        <v>0</v>
      </c>
      <c r="AM193" s="83">
        <v>0</v>
      </c>
      <c r="AN193" s="83">
        <v>0</v>
      </c>
      <c r="AO193" s="8">
        <f t="shared" si="150"/>
        <v>24222.74</v>
      </c>
      <c r="AP193" s="24">
        <v>0</v>
      </c>
      <c r="AQ193" s="24">
        <v>18239.46</v>
      </c>
      <c r="AR193" s="24">
        <f>VLOOKUP(B193,'[1]Sheet1 (2)'!$B$2:$C$397,2,0)</f>
        <v>640.62</v>
      </c>
      <c r="AS193" s="24">
        <f>VLOOKUP(B193,'[2]Sheet1 (2)'!$B$2:$C$404,2,0)</f>
        <v>10112.58</v>
      </c>
      <c r="AT193" s="24">
        <v>0</v>
      </c>
      <c r="AU193" s="24">
        <v>0</v>
      </c>
      <c r="AV193" s="24">
        <v>0</v>
      </c>
      <c r="AW193" s="20">
        <v>37.159999999999997</v>
      </c>
      <c r="AX193" s="20">
        <v>487.96</v>
      </c>
      <c r="AY193" s="83">
        <v>0</v>
      </c>
      <c r="AZ193" s="83">
        <v>0</v>
      </c>
      <c r="BA193" s="83">
        <v>10577.5</v>
      </c>
      <c r="BB193" s="8">
        <f t="shared" si="151"/>
        <v>40095.279999999999</v>
      </c>
      <c r="BC193" s="24">
        <v>0</v>
      </c>
      <c r="BD193" s="24">
        <v>0</v>
      </c>
      <c r="BE193" s="24">
        <v>0</v>
      </c>
      <c r="BF193" s="24">
        <v>78.75</v>
      </c>
      <c r="BG193" s="24">
        <v>6049.21</v>
      </c>
      <c r="BH193" s="24">
        <v>0</v>
      </c>
      <c r="BI193" s="24">
        <v>0</v>
      </c>
      <c r="BN193" s="83"/>
      <c r="BO193" s="8">
        <f t="shared" si="152"/>
        <v>6127.96</v>
      </c>
    </row>
    <row r="194" spans="2:67" x14ac:dyDescent="0.2">
      <c r="B194" s="3" t="s">
        <v>1882</v>
      </c>
      <c r="C194" s="23"/>
      <c r="AA194" s="83"/>
      <c r="AB194" s="8"/>
      <c r="AN194" s="83"/>
      <c r="AO194" s="8"/>
      <c r="AP194" s="24">
        <v>0</v>
      </c>
      <c r="AQ194" s="24">
        <v>0</v>
      </c>
      <c r="AR194" s="24">
        <v>0</v>
      </c>
      <c r="AS194" s="24">
        <v>0</v>
      </c>
      <c r="AT194" s="24">
        <v>0</v>
      </c>
      <c r="AU194" s="24">
        <v>429.66</v>
      </c>
      <c r="AV194" s="24">
        <v>-429.5</v>
      </c>
      <c r="AW194" s="20">
        <v>0</v>
      </c>
      <c r="AX194" s="20">
        <v>0</v>
      </c>
      <c r="AY194" s="83">
        <v>0</v>
      </c>
      <c r="AZ194" s="83">
        <v>0</v>
      </c>
      <c r="BA194" s="83">
        <v>0</v>
      </c>
      <c r="BB194" s="8">
        <f t="shared" si="151"/>
        <v>0.16000000000002501</v>
      </c>
      <c r="BC194" s="24">
        <v>0</v>
      </c>
      <c r="BD194" s="24">
        <v>0</v>
      </c>
      <c r="BE194" s="24">
        <v>0</v>
      </c>
      <c r="BF194" s="24">
        <v>0</v>
      </c>
      <c r="BG194" s="24">
        <v>0</v>
      </c>
      <c r="BH194" s="24">
        <v>0</v>
      </c>
      <c r="BI194" s="24">
        <v>0</v>
      </c>
      <c r="BN194" s="83"/>
      <c r="BO194" s="8">
        <f t="shared" si="152"/>
        <v>0</v>
      </c>
    </row>
    <row r="195" spans="2:67" x14ac:dyDescent="0.2">
      <c r="B195" s="3" t="s">
        <v>343</v>
      </c>
      <c r="C195" s="23">
        <v>-203.37</v>
      </c>
      <c r="D195" s="24">
        <v>2799.89</v>
      </c>
      <c r="E195" s="24">
        <v>2607.3000000000002</v>
      </c>
      <c r="F195" s="24">
        <v>2841.61</v>
      </c>
      <c r="G195" s="24">
        <v>3620.74</v>
      </c>
      <c r="H195" s="24">
        <v>3777.87</v>
      </c>
      <c r="I195" s="24">
        <v>2576.98</v>
      </c>
      <c r="J195" s="24">
        <v>2880.8</v>
      </c>
      <c r="K195" s="24">
        <v>2827.87</v>
      </c>
      <c r="L195" s="24">
        <v>2703.59</v>
      </c>
      <c r="M195" s="24">
        <v>2556.4</v>
      </c>
      <c r="N195" s="24">
        <v>6978.9</v>
      </c>
      <c r="O195" s="24">
        <f>SUBTOTAL(9,C195:N195)</f>
        <v>35968.58</v>
      </c>
      <c r="P195" s="24">
        <v>-39110.519999999997</v>
      </c>
      <c r="Q195" s="24">
        <v>806.22</v>
      </c>
      <c r="R195" s="24">
        <v>2739.36</v>
      </c>
      <c r="S195" s="24">
        <v>831.34</v>
      </c>
      <c r="T195" s="24">
        <v>4466.24</v>
      </c>
      <c r="U195" s="24">
        <v>3298.57</v>
      </c>
      <c r="V195" s="24">
        <v>2959.48</v>
      </c>
      <c r="W195" s="20">
        <v>2962.55</v>
      </c>
      <c r="X195" s="20">
        <v>3435.96</v>
      </c>
      <c r="Y195" s="83">
        <v>3290.89</v>
      </c>
      <c r="Z195" s="83">
        <v>2967.3</v>
      </c>
      <c r="AA195" s="83">
        <v>6421.53</v>
      </c>
      <c r="AB195" s="8">
        <f t="shared" ref="AB195:AB214" si="153">SUM(P195:AA195)</f>
        <v>-4931.0800000000045</v>
      </c>
      <c r="AC195" s="24">
        <v>974.94</v>
      </c>
      <c r="AD195" s="24">
        <v>837.39</v>
      </c>
      <c r="AE195" s="24">
        <v>990.3</v>
      </c>
      <c r="AF195" s="24">
        <v>4160.72</v>
      </c>
      <c r="AG195" s="24">
        <v>855.67</v>
      </c>
      <c r="AH195" s="24">
        <v>5264.79</v>
      </c>
      <c r="AI195" s="24">
        <v>2494.73</v>
      </c>
      <c r="AJ195" s="20">
        <v>1982.46</v>
      </c>
      <c r="AK195" s="20">
        <v>2367.36</v>
      </c>
      <c r="AL195" s="83">
        <v>2011.05</v>
      </c>
      <c r="AM195" s="83">
        <v>2486.6999999999998</v>
      </c>
      <c r="AN195" s="83">
        <v>4986.6000000000004</v>
      </c>
      <c r="AO195" s="8">
        <f t="shared" ref="AO195:AO233" si="154">SUM(AC195:AN195)</f>
        <v>29412.71</v>
      </c>
      <c r="AP195" s="24">
        <v>447.14</v>
      </c>
      <c r="AQ195" s="24">
        <v>1835.15</v>
      </c>
      <c r="AR195" s="24">
        <f>VLOOKUP(B195,'[1]Sheet1 (2)'!$B$2:$C$397,2,0)</f>
        <v>1856.34</v>
      </c>
      <c r="AS195" s="24">
        <f>VLOOKUP(B195,'[2]Sheet1 (2)'!$B$2:$C$404,2,0)</f>
        <v>1912.67</v>
      </c>
      <c r="AT195" s="24">
        <v>2234.4</v>
      </c>
      <c r="AU195" s="24">
        <v>1963.19</v>
      </c>
      <c r="AV195" s="24">
        <v>2101.12</v>
      </c>
      <c r="AW195" s="20">
        <v>2053.63</v>
      </c>
      <c r="AX195" s="20">
        <v>2108.73</v>
      </c>
      <c r="AY195" s="83">
        <v>2039.59</v>
      </c>
      <c r="AZ195" s="83">
        <v>2085.5500000000002</v>
      </c>
      <c r="BA195" s="83">
        <v>3408.49</v>
      </c>
      <c r="BB195" s="8">
        <f t="shared" si="151"/>
        <v>24046</v>
      </c>
      <c r="BC195" s="24">
        <v>461.16</v>
      </c>
      <c r="BD195" s="24">
        <v>2056.5500000000002</v>
      </c>
      <c r="BE195" s="24">
        <v>2050.0500000000002</v>
      </c>
      <c r="BF195" s="24">
        <v>1802.82</v>
      </c>
      <c r="BG195" s="24">
        <v>2258.8000000000002</v>
      </c>
      <c r="BH195" s="24">
        <v>2457.7800000000002</v>
      </c>
      <c r="BI195" s="24">
        <v>2302.02</v>
      </c>
      <c r="BN195" s="83"/>
      <c r="BO195" s="8">
        <f t="shared" si="152"/>
        <v>13389.180000000002</v>
      </c>
    </row>
    <row r="196" spans="2:67" x14ac:dyDescent="0.2">
      <c r="B196" s="3" t="s">
        <v>992</v>
      </c>
      <c r="C196" s="23">
        <v>733.43</v>
      </c>
      <c r="D196" s="24">
        <v>0</v>
      </c>
      <c r="E196" s="24">
        <v>0</v>
      </c>
      <c r="F196" s="24">
        <v>0</v>
      </c>
      <c r="G196" s="24">
        <v>0</v>
      </c>
      <c r="H196" s="24">
        <v>0</v>
      </c>
      <c r="I196" s="24">
        <v>0</v>
      </c>
      <c r="J196" s="24">
        <v>0</v>
      </c>
      <c r="K196" s="24">
        <v>0</v>
      </c>
      <c r="L196" s="24">
        <v>0</v>
      </c>
      <c r="M196" s="24">
        <v>0</v>
      </c>
      <c r="N196" s="24">
        <v>0</v>
      </c>
      <c r="O196" s="24">
        <f>SUBTOTAL(9,C196:N196)</f>
        <v>733.43</v>
      </c>
      <c r="P196" s="24">
        <v>0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0</v>
      </c>
      <c r="W196" s="20">
        <v>974.81</v>
      </c>
      <c r="X196" s="20">
        <v>661.53</v>
      </c>
      <c r="Y196" s="83">
        <v>757.14</v>
      </c>
      <c r="Z196" s="83">
        <v>0</v>
      </c>
      <c r="AA196" s="83">
        <v>0</v>
      </c>
      <c r="AB196" s="8">
        <f t="shared" si="153"/>
        <v>2393.48</v>
      </c>
      <c r="AC196" s="24">
        <v>0</v>
      </c>
      <c r="AD196" s="24">
        <v>0</v>
      </c>
      <c r="AE196" s="24">
        <v>0</v>
      </c>
      <c r="AF196" s="24">
        <v>0</v>
      </c>
      <c r="AG196" s="24">
        <v>0</v>
      </c>
      <c r="AH196" s="24">
        <v>0</v>
      </c>
      <c r="AI196" s="24">
        <v>0</v>
      </c>
      <c r="AJ196" s="20">
        <v>0</v>
      </c>
      <c r="AK196" s="20">
        <v>0</v>
      </c>
      <c r="AL196" s="83">
        <v>0</v>
      </c>
      <c r="AM196" s="83">
        <v>0</v>
      </c>
      <c r="AN196" s="83">
        <v>0</v>
      </c>
      <c r="AO196" s="8">
        <f t="shared" si="154"/>
        <v>0</v>
      </c>
      <c r="AP196" s="24">
        <v>0</v>
      </c>
      <c r="AQ196" s="24">
        <v>0</v>
      </c>
      <c r="AR196" s="24">
        <v>0</v>
      </c>
      <c r="AS196" s="24">
        <v>0</v>
      </c>
      <c r="AT196" s="24">
        <v>0</v>
      </c>
      <c r="AU196" s="24">
        <v>0</v>
      </c>
      <c r="AV196" s="24">
        <v>0</v>
      </c>
      <c r="AW196" s="20">
        <v>0</v>
      </c>
      <c r="AX196" s="20">
        <v>0</v>
      </c>
      <c r="AY196" s="83">
        <v>0</v>
      </c>
      <c r="AZ196" s="83">
        <v>0</v>
      </c>
      <c r="BA196" s="83">
        <v>0</v>
      </c>
      <c r="BB196" s="8">
        <f t="shared" si="151"/>
        <v>0</v>
      </c>
      <c r="BC196" s="24">
        <v>0</v>
      </c>
      <c r="BD196" s="24">
        <v>0</v>
      </c>
      <c r="BE196" s="24">
        <v>0</v>
      </c>
      <c r="BF196" s="24">
        <v>0</v>
      </c>
      <c r="BG196" s="24">
        <v>0</v>
      </c>
      <c r="BH196" s="24">
        <v>0</v>
      </c>
      <c r="BI196" s="24">
        <v>0</v>
      </c>
      <c r="BN196" s="83"/>
      <c r="BO196" s="8">
        <f t="shared" si="152"/>
        <v>0</v>
      </c>
    </row>
    <row r="197" spans="2:67" x14ac:dyDescent="0.2">
      <c r="B197" s="3" t="s">
        <v>344</v>
      </c>
      <c r="C197" s="23"/>
      <c r="I197" s="24">
        <v>6.87</v>
      </c>
      <c r="J197" s="24">
        <v>265.14999999999998</v>
      </c>
      <c r="K197" s="24">
        <v>88.39</v>
      </c>
      <c r="L197" s="24">
        <v>96.01</v>
      </c>
      <c r="M197" s="24">
        <v>88.39</v>
      </c>
      <c r="N197" s="24">
        <v>117.43</v>
      </c>
      <c r="O197" s="24">
        <f>SUBTOTAL(9,C197:N197)</f>
        <v>662.24</v>
      </c>
      <c r="P197" s="24">
        <v>88.39</v>
      </c>
      <c r="Q197" s="24">
        <v>104.82</v>
      </c>
      <c r="R197" s="24">
        <v>84.6</v>
      </c>
      <c r="S197" s="24">
        <v>100.64</v>
      </c>
      <c r="T197" s="24">
        <v>91.68</v>
      </c>
      <c r="U197" s="24">
        <v>1.44</v>
      </c>
      <c r="V197" s="24">
        <v>5.03</v>
      </c>
      <c r="W197" s="20">
        <v>1623.61</v>
      </c>
      <c r="X197" s="20">
        <v>0</v>
      </c>
      <c r="Y197" s="83">
        <v>-11.14</v>
      </c>
      <c r="Z197" s="83">
        <v>0</v>
      </c>
      <c r="AA197" s="83">
        <v>11.51</v>
      </c>
      <c r="AB197" s="8">
        <f t="shared" si="153"/>
        <v>2100.5800000000004</v>
      </c>
      <c r="AC197" s="24">
        <v>0</v>
      </c>
      <c r="AD197" s="24">
        <v>-0.72</v>
      </c>
      <c r="AE197" s="24">
        <v>0</v>
      </c>
      <c r="AF197" s="24">
        <v>14.87</v>
      </c>
      <c r="AG197" s="24">
        <v>-2.2599999999999998</v>
      </c>
      <c r="AH197" s="24">
        <v>0</v>
      </c>
      <c r="AI197" s="24">
        <v>1568.12</v>
      </c>
      <c r="AJ197" s="20">
        <v>0</v>
      </c>
      <c r="AK197" s="20">
        <v>0</v>
      </c>
      <c r="AL197" s="83">
        <v>0</v>
      </c>
      <c r="AM197" s="83">
        <v>0</v>
      </c>
      <c r="AN197" s="83">
        <v>0</v>
      </c>
      <c r="AO197" s="8">
        <f t="shared" si="154"/>
        <v>1580.01</v>
      </c>
      <c r="AP197" s="24">
        <v>0</v>
      </c>
      <c r="AQ197" s="24">
        <v>-5.4</v>
      </c>
      <c r="AR197" s="24">
        <f>VLOOKUP(B197,'[1]Sheet1 (2)'!$B$2:$C$397,2,0)</f>
        <v>0</v>
      </c>
      <c r="AS197" s="24">
        <f>VLOOKUP(B197,'[2]Sheet1 (2)'!$B$2:$C$404,2,0)</f>
        <v>0</v>
      </c>
      <c r="AT197" s="24">
        <v>0</v>
      </c>
      <c r="AU197" s="24">
        <v>0</v>
      </c>
      <c r="AV197" s="24">
        <v>0</v>
      </c>
      <c r="AW197" s="20">
        <v>817.86</v>
      </c>
      <c r="AX197" s="20">
        <v>254.88</v>
      </c>
      <c r="AY197" s="83">
        <v>287.92</v>
      </c>
      <c r="AZ197" s="83">
        <v>271.39999999999998</v>
      </c>
      <c r="BA197" s="83">
        <v>271.39999999999998</v>
      </c>
      <c r="BB197" s="8">
        <f t="shared" si="151"/>
        <v>1898.0600000000004</v>
      </c>
      <c r="BC197" s="24">
        <v>271.39999999999998</v>
      </c>
      <c r="BD197" s="24">
        <v>271.39999999999998</v>
      </c>
      <c r="BE197" s="24">
        <v>0</v>
      </c>
      <c r="BF197" s="24">
        <v>508.3</v>
      </c>
      <c r="BG197" s="24">
        <v>246.95</v>
      </c>
      <c r="BH197" s="24">
        <v>254.77</v>
      </c>
      <c r="BI197" s="24">
        <v>254.77</v>
      </c>
      <c r="BN197" s="83"/>
      <c r="BO197" s="8">
        <f t="shared" si="152"/>
        <v>1807.59</v>
      </c>
    </row>
    <row r="198" spans="2:67" x14ac:dyDescent="0.2">
      <c r="B198" s="3" t="s">
        <v>345</v>
      </c>
      <c r="C198" s="23">
        <v>11989.03</v>
      </c>
      <c r="D198" s="24">
        <v>15509.61</v>
      </c>
      <c r="E198" s="24">
        <v>12702.79</v>
      </c>
      <c r="F198" s="24">
        <v>14495.09</v>
      </c>
      <c r="G198" s="24">
        <v>11759.13</v>
      </c>
      <c r="H198" s="24">
        <v>14967.42</v>
      </c>
      <c r="I198" s="24">
        <v>14598.06</v>
      </c>
      <c r="J198" s="24">
        <v>13064.8</v>
      </c>
      <c r="K198" s="24">
        <v>14513.71</v>
      </c>
      <c r="L198" s="24">
        <v>12269.49</v>
      </c>
      <c r="M198" s="24">
        <v>13857.64</v>
      </c>
      <c r="N198" s="24">
        <v>12580.98</v>
      </c>
      <c r="O198" s="24">
        <f>SUBTOTAL(9,C198:N198)</f>
        <v>162307.75000000003</v>
      </c>
      <c r="P198" s="24">
        <v>15273.8</v>
      </c>
      <c r="Q198" s="24">
        <v>16244.7</v>
      </c>
      <c r="R198" s="24">
        <v>13728.52</v>
      </c>
      <c r="S198" s="24">
        <v>15922.39</v>
      </c>
      <c r="T198" s="24">
        <v>14067.03</v>
      </c>
      <c r="U198" s="24">
        <v>23231.35</v>
      </c>
      <c r="V198" s="24">
        <v>23382.62</v>
      </c>
      <c r="W198" s="20">
        <v>19464.82</v>
      </c>
      <c r="X198" s="20">
        <v>19831.61</v>
      </c>
      <c r="Y198" s="83">
        <v>19831.54</v>
      </c>
      <c r="Z198" s="83">
        <v>17913.849999999999</v>
      </c>
      <c r="AA198" s="83">
        <v>18133.73</v>
      </c>
      <c r="AB198" s="8">
        <f t="shared" si="153"/>
        <v>217025.96000000005</v>
      </c>
      <c r="AC198" s="24">
        <v>22442.27</v>
      </c>
      <c r="AD198" s="24">
        <v>18923.77</v>
      </c>
      <c r="AE198" s="24">
        <v>19516.650000000001</v>
      </c>
      <c r="AF198" s="24">
        <v>18253.97</v>
      </c>
      <c r="AG198" s="24">
        <v>13935.81</v>
      </c>
      <c r="AH198" s="24">
        <v>21612.55</v>
      </c>
      <c r="AI198" s="24">
        <v>16286.32</v>
      </c>
      <c r="AJ198" s="20">
        <v>15637.52</v>
      </c>
      <c r="AK198" s="20">
        <v>17417.669999999998</v>
      </c>
      <c r="AL198" s="83">
        <v>16885.02</v>
      </c>
      <c r="AM198" s="83">
        <v>15344.79</v>
      </c>
      <c r="AN198" s="83">
        <v>16136.8</v>
      </c>
      <c r="AO198" s="8">
        <f t="shared" si="154"/>
        <v>212393.13999999996</v>
      </c>
      <c r="AP198" s="24">
        <v>20649.939999999999</v>
      </c>
      <c r="AQ198" s="24">
        <v>21625.32</v>
      </c>
      <c r="AR198" s="24">
        <f>VLOOKUP(B198,'[1]Sheet1 (2)'!$B$2:$C$397,2,0)</f>
        <v>15284.82</v>
      </c>
      <c r="AS198" s="24">
        <f>VLOOKUP(B198,'[2]Sheet1 (2)'!$B$2:$C$404,2,0)</f>
        <v>12732.37</v>
      </c>
      <c r="AT198" s="24">
        <v>12454.5</v>
      </c>
      <c r="AU198" s="24">
        <v>15149.38</v>
      </c>
      <c r="AV198" s="24">
        <v>13080.33</v>
      </c>
      <c r="AW198" s="20">
        <v>11894.77</v>
      </c>
      <c r="AX198" s="20">
        <v>12261.2</v>
      </c>
      <c r="AY198" s="83">
        <v>13951.75</v>
      </c>
      <c r="AZ198" s="83">
        <v>13285.21</v>
      </c>
      <c r="BA198" s="83">
        <v>12481.2</v>
      </c>
      <c r="BB198" s="8">
        <f t="shared" si="151"/>
        <v>174850.79</v>
      </c>
      <c r="BC198" s="24">
        <v>18715.47</v>
      </c>
      <c r="BD198" s="24">
        <v>16369.75</v>
      </c>
      <c r="BE198" s="24">
        <v>12814.72</v>
      </c>
      <c r="BF198" s="24">
        <v>12228.21</v>
      </c>
      <c r="BG198" s="24">
        <v>12724.49</v>
      </c>
      <c r="BH198" s="24">
        <v>15120.88</v>
      </c>
      <c r="BI198" s="24">
        <v>10677</v>
      </c>
      <c r="BN198" s="83"/>
      <c r="BO198" s="8">
        <f t="shared" si="152"/>
        <v>98650.52</v>
      </c>
    </row>
    <row r="199" spans="2:67" x14ac:dyDescent="0.2">
      <c r="B199" s="3" t="s">
        <v>1535</v>
      </c>
      <c r="C199" s="23"/>
      <c r="N199" s="24">
        <v>18.649999999999999</v>
      </c>
      <c r="O199" s="24">
        <f>SUBTOTAL(9,C199:N199)</f>
        <v>18.649999999999999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0">
        <v>0</v>
      </c>
      <c r="X199" s="20">
        <v>0</v>
      </c>
      <c r="Y199" s="83">
        <v>0</v>
      </c>
      <c r="Z199" s="83">
        <v>0</v>
      </c>
      <c r="AA199" s="83">
        <v>0</v>
      </c>
      <c r="AB199" s="8">
        <f t="shared" si="153"/>
        <v>0</v>
      </c>
      <c r="AC199" s="24">
        <v>0</v>
      </c>
      <c r="AD199" s="24">
        <v>0</v>
      </c>
      <c r="AE199" s="24">
        <v>0</v>
      </c>
      <c r="AF199" s="24">
        <v>0</v>
      </c>
      <c r="AG199" s="24">
        <v>0</v>
      </c>
      <c r="AH199" s="24">
        <v>0</v>
      </c>
      <c r="AI199" s="24">
        <v>0</v>
      </c>
      <c r="AJ199" s="20">
        <v>0</v>
      </c>
      <c r="AK199" s="20">
        <v>0</v>
      </c>
      <c r="AL199" s="83">
        <v>0</v>
      </c>
      <c r="AM199" s="83">
        <v>0</v>
      </c>
      <c r="AN199" s="83">
        <v>0</v>
      </c>
      <c r="AO199" s="8">
        <f t="shared" si="154"/>
        <v>0</v>
      </c>
      <c r="AP199" s="24">
        <v>0</v>
      </c>
      <c r="AQ199" s="24">
        <v>0</v>
      </c>
      <c r="AR199" s="24">
        <v>0</v>
      </c>
      <c r="AS199" s="24">
        <v>0</v>
      </c>
      <c r="AT199" s="24">
        <v>0</v>
      </c>
      <c r="AU199" s="24">
        <v>0</v>
      </c>
      <c r="AV199" s="24">
        <v>0</v>
      </c>
      <c r="AW199" s="20">
        <v>0</v>
      </c>
      <c r="AX199" s="20">
        <v>0</v>
      </c>
      <c r="AY199" s="83">
        <v>0</v>
      </c>
      <c r="AZ199" s="83">
        <v>0</v>
      </c>
      <c r="BA199" s="83">
        <v>0</v>
      </c>
      <c r="BB199" s="8">
        <f t="shared" si="151"/>
        <v>0</v>
      </c>
      <c r="BC199" s="24">
        <v>0</v>
      </c>
      <c r="BD199" s="24">
        <v>0</v>
      </c>
      <c r="BE199" s="24">
        <v>0</v>
      </c>
      <c r="BF199" s="24">
        <v>0</v>
      </c>
      <c r="BG199" s="24">
        <v>0</v>
      </c>
      <c r="BH199" s="24">
        <v>0</v>
      </c>
      <c r="BI199" s="24">
        <v>0</v>
      </c>
      <c r="BN199" s="83"/>
      <c r="BO199" s="8">
        <f t="shared" si="152"/>
        <v>0</v>
      </c>
    </row>
    <row r="200" spans="2:67" x14ac:dyDescent="0.2">
      <c r="B200" s="3" t="s">
        <v>666</v>
      </c>
      <c r="C200" s="23"/>
      <c r="R200" s="24">
        <v>16854.89</v>
      </c>
      <c r="S200" s="24">
        <v>6140.87</v>
      </c>
      <c r="T200" s="24">
        <v>5322.76</v>
      </c>
      <c r="U200" s="24">
        <v>5543.85</v>
      </c>
      <c r="V200" s="24">
        <v>5704.28</v>
      </c>
      <c r="W200" s="20">
        <v>4882.09</v>
      </c>
      <c r="X200" s="20">
        <v>4709.0200000000004</v>
      </c>
      <c r="Y200" s="83">
        <v>4040.04</v>
      </c>
      <c r="Z200" s="83">
        <v>7179.47</v>
      </c>
      <c r="AA200" s="83">
        <v>-21915.02</v>
      </c>
      <c r="AB200" s="8">
        <f t="shared" si="153"/>
        <v>38462.25</v>
      </c>
      <c r="AC200" s="24">
        <v>3074.14</v>
      </c>
      <c r="AD200" s="24">
        <v>3140.9</v>
      </c>
      <c r="AE200" s="24">
        <v>2991.11</v>
      </c>
      <c r="AF200" s="24">
        <v>2789.49</v>
      </c>
      <c r="AG200" s="24">
        <v>3056.43</v>
      </c>
      <c r="AH200" s="24">
        <v>2723.34</v>
      </c>
      <c r="AI200" s="24">
        <v>3134.45</v>
      </c>
      <c r="AJ200" s="20">
        <v>4347.2299999999996</v>
      </c>
      <c r="AK200" s="20">
        <v>3602.88</v>
      </c>
      <c r="AL200" s="83">
        <v>2008.23</v>
      </c>
      <c r="AM200" s="83">
        <v>2864.24</v>
      </c>
      <c r="AN200" s="83">
        <v>0</v>
      </c>
      <c r="AO200" s="8">
        <f t="shared" si="154"/>
        <v>33732.44</v>
      </c>
      <c r="AP200" s="24">
        <v>10513.79</v>
      </c>
      <c r="AQ200" s="24">
        <v>10273.82</v>
      </c>
      <c r="AR200" s="24">
        <f>VLOOKUP(B200,'[1]Sheet1 (2)'!$B$2:$C$397,2,0)</f>
        <v>10015.99</v>
      </c>
      <c r="AS200" s="24">
        <f>VLOOKUP(B200,'[2]Sheet1 (2)'!$B$2:$C$404,2,0)</f>
        <v>9600.44</v>
      </c>
      <c r="AT200" s="24">
        <v>11986.99</v>
      </c>
      <c r="AU200" s="24">
        <v>10335.43</v>
      </c>
      <c r="AV200" s="24">
        <v>9976.93</v>
      </c>
      <c r="AW200" s="20">
        <v>10604.64</v>
      </c>
      <c r="AX200" s="20">
        <v>8072.55</v>
      </c>
      <c r="AY200" s="83">
        <v>11032.52</v>
      </c>
      <c r="AZ200" s="83">
        <v>10153.35</v>
      </c>
      <c r="BA200" s="83">
        <v>9179.99</v>
      </c>
      <c r="BB200" s="8">
        <f t="shared" si="151"/>
        <v>121746.44000000002</v>
      </c>
      <c r="BC200" s="24">
        <v>4067.31</v>
      </c>
      <c r="BD200" s="24">
        <v>3898.54</v>
      </c>
      <c r="BE200" s="24">
        <v>3842.68</v>
      </c>
      <c r="BF200" s="24">
        <v>3673.22</v>
      </c>
      <c r="BG200" s="24">
        <v>3278.64</v>
      </c>
      <c r="BH200" s="24">
        <v>3535.26</v>
      </c>
      <c r="BI200" s="24">
        <v>3536.18</v>
      </c>
      <c r="BN200" s="83"/>
      <c r="BO200" s="8">
        <f t="shared" si="152"/>
        <v>25831.83</v>
      </c>
    </row>
    <row r="201" spans="2:67" x14ac:dyDescent="0.2">
      <c r="B201" s="3" t="s">
        <v>346</v>
      </c>
      <c r="C201" s="23">
        <v>4420.24</v>
      </c>
      <c r="D201" s="24">
        <v>5127.74</v>
      </c>
      <c r="E201" s="24">
        <v>4916.79</v>
      </c>
      <c r="F201" s="24">
        <v>5023</v>
      </c>
      <c r="G201" s="24">
        <v>4928.43</v>
      </c>
      <c r="H201" s="24">
        <v>4886.78</v>
      </c>
      <c r="I201" s="24">
        <v>4911.9399999999996</v>
      </c>
      <c r="J201" s="24">
        <v>5001.6899999999996</v>
      </c>
      <c r="K201" s="24">
        <v>5089.93</v>
      </c>
      <c r="L201" s="24">
        <v>4903.62</v>
      </c>
      <c r="M201" s="24">
        <v>5007.8599999999997</v>
      </c>
      <c r="N201" s="24">
        <v>5044.1400000000003</v>
      </c>
      <c r="O201" s="24">
        <f>SUBTOTAL(9,C201:N201)</f>
        <v>59262.16</v>
      </c>
      <c r="P201" s="24">
        <v>5182.8500000000004</v>
      </c>
      <c r="Q201" s="24">
        <v>5828.02</v>
      </c>
      <c r="R201" s="24">
        <v>5426.33</v>
      </c>
      <c r="S201" s="24">
        <v>5686.13</v>
      </c>
      <c r="T201" s="24">
        <v>5893.07</v>
      </c>
      <c r="U201" s="24">
        <v>5770.43</v>
      </c>
      <c r="V201" s="24">
        <v>5944.37</v>
      </c>
      <c r="W201" s="20">
        <v>5801.69</v>
      </c>
      <c r="X201" s="20">
        <v>5818.5</v>
      </c>
      <c r="Y201" s="83">
        <v>5711.36</v>
      </c>
      <c r="Z201" s="83">
        <v>5867.22</v>
      </c>
      <c r="AA201" s="83">
        <v>5887.63</v>
      </c>
      <c r="AB201" s="8">
        <f t="shared" si="153"/>
        <v>68817.600000000006</v>
      </c>
      <c r="AC201" s="24">
        <v>5784.93</v>
      </c>
      <c r="AD201" s="24">
        <v>6423.62</v>
      </c>
      <c r="AE201" s="24">
        <v>6029.18</v>
      </c>
      <c r="AF201" s="24">
        <v>5858.68</v>
      </c>
      <c r="AG201" s="24">
        <v>5953.74</v>
      </c>
      <c r="AH201" s="24">
        <v>5807.39</v>
      </c>
      <c r="AI201" s="24">
        <v>5899.84</v>
      </c>
      <c r="AJ201" s="20">
        <v>5847.86</v>
      </c>
      <c r="AK201" s="20">
        <v>6130.38</v>
      </c>
      <c r="AL201" s="83">
        <v>5825.19</v>
      </c>
      <c r="AM201" s="83">
        <v>5787.17</v>
      </c>
      <c r="AN201" s="83">
        <v>5755.88</v>
      </c>
      <c r="AO201" s="8">
        <f t="shared" si="154"/>
        <v>71103.86</v>
      </c>
      <c r="AP201" s="24">
        <v>5657.24</v>
      </c>
      <c r="AQ201" s="24">
        <v>5861.54</v>
      </c>
      <c r="AR201" s="24">
        <f>VLOOKUP(B201,'[1]Sheet1 (2)'!$B$2:$C$397,2,0)</f>
        <v>5720.65</v>
      </c>
      <c r="AS201" s="24">
        <f>VLOOKUP(B201,'[2]Sheet1 (2)'!$B$2:$C$404,2,0)</f>
        <v>5524.21</v>
      </c>
      <c r="AT201" s="24">
        <v>5648.18</v>
      </c>
      <c r="AU201" s="24">
        <v>5578.01</v>
      </c>
      <c r="AV201" s="24">
        <v>5264.98</v>
      </c>
      <c r="AW201" s="20">
        <v>5287.54</v>
      </c>
      <c r="AX201" s="20">
        <v>5303.12</v>
      </c>
      <c r="AY201" s="83">
        <v>5336.78</v>
      </c>
      <c r="AZ201" s="83">
        <v>5282.53</v>
      </c>
      <c r="BA201" s="83">
        <v>5308.78</v>
      </c>
      <c r="BB201" s="8">
        <f t="shared" si="151"/>
        <v>65773.56</v>
      </c>
      <c r="BC201" s="24">
        <v>5202.3100000000004</v>
      </c>
      <c r="BD201" s="24">
        <v>5711.3</v>
      </c>
      <c r="BE201" s="24">
        <v>5379.74</v>
      </c>
      <c r="BF201" s="24">
        <v>5276.98</v>
      </c>
      <c r="BG201" s="24">
        <v>5109.92</v>
      </c>
      <c r="BH201" s="24">
        <v>4839.09</v>
      </c>
      <c r="BI201" s="24">
        <v>5004.29</v>
      </c>
      <c r="BN201" s="83"/>
      <c r="BO201" s="8">
        <f t="shared" si="152"/>
        <v>36523.629999999997</v>
      </c>
    </row>
    <row r="202" spans="2:67" x14ac:dyDescent="0.2">
      <c r="B202" s="3" t="s">
        <v>347</v>
      </c>
      <c r="C202" s="23">
        <v>2182.88</v>
      </c>
      <c r="D202" s="24">
        <v>2404.7399999999998</v>
      </c>
      <c r="E202" s="24">
        <v>2392.2199999999998</v>
      </c>
      <c r="F202" s="24">
        <v>2449.5300000000002</v>
      </c>
      <c r="G202" s="24">
        <v>2404.0100000000002</v>
      </c>
      <c r="H202" s="24">
        <v>2384.0300000000002</v>
      </c>
      <c r="I202" s="24">
        <v>2379.36</v>
      </c>
      <c r="J202" s="24">
        <v>2425.58</v>
      </c>
      <c r="K202" s="24">
        <v>2475.42</v>
      </c>
      <c r="L202" s="24">
        <v>2385.4</v>
      </c>
      <c r="M202" s="24">
        <v>2444.0500000000002</v>
      </c>
      <c r="N202" s="24">
        <v>2462.19</v>
      </c>
      <c r="O202" s="24">
        <f>SUBTOTAL(9,C202:N202)</f>
        <v>28789.409999999996</v>
      </c>
      <c r="P202" s="24">
        <v>2541.04</v>
      </c>
      <c r="Q202" s="24">
        <v>2699.77</v>
      </c>
      <c r="R202" s="24">
        <v>2627.69</v>
      </c>
      <c r="S202" s="24">
        <v>2747.61</v>
      </c>
      <c r="T202" s="24">
        <v>2861.76</v>
      </c>
      <c r="U202" s="24">
        <v>2818.22</v>
      </c>
      <c r="V202" s="24">
        <v>2848.3</v>
      </c>
      <c r="W202" s="20">
        <v>2778.36</v>
      </c>
      <c r="X202" s="20">
        <v>2789.04</v>
      </c>
      <c r="Y202" s="83">
        <v>2741.45</v>
      </c>
      <c r="Z202" s="83">
        <v>2816.32</v>
      </c>
      <c r="AA202" s="83">
        <v>2826.82</v>
      </c>
      <c r="AB202" s="8">
        <f t="shared" si="153"/>
        <v>33096.380000000005</v>
      </c>
      <c r="AC202" s="24">
        <v>2778.22</v>
      </c>
      <c r="AD202" s="24">
        <v>2962.54</v>
      </c>
      <c r="AE202" s="24">
        <v>2863.23</v>
      </c>
      <c r="AF202" s="24">
        <v>2782.54</v>
      </c>
      <c r="AG202" s="24">
        <v>2828.65</v>
      </c>
      <c r="AH202" s="24">
        <v>2759.18</v>
      </c>
      <c r="AI202" s="24">
        <v>2800.08</v>
      </c>
      <c r="AJ202" s="20">
        <v>2762.37</v>
      </c>
      <c r="AK202" s="20">
        <v>2902.45</v>
      </c>
      <c r="AL202" s="83">
        <v>2756.15</v>
      </c>
      <c r="AM202" s="83">
        <v>2743.23</v>
      </c>
      <c r="AN202" s="83">
        <v>2734.35</v>
      </c>
      <c r="AO202" s="8">
        <f t="shared" si="154"/>
        <v>33672.99</v>
      </c>
      <c r="AP202" s="24">
        <v>2689.69</v>
      </c>
      <c r="AQ202" s="24">
        <v>2658.23</v>
      </c>
      <c r="AR202" s="24">
        <f>VLOOKUP(B202,'[1]Sheet1 (2)'!$B$2:$C$397,2,0)</f>
        <v>2727.56</v>
      </c>
      <c r="AS202" s="24">
        <f>VLOOKUP(B202,'[2]Sheet1 (2)'!$B$2:$C$404,2,0)</f>
        <v>2656.1</v>
      </c>
      <c r="AT202" s="24">
        <v>2689.26</v>
      </c>
      <c r="AU202" s="24">
        <v>2674.39</v>
      </c>
      <c r="AV202" s="24">
        <v>2520.89</v>
      </c>
      <c r="AW202" s="20">
        <v>2533.64</v>
      </c>
      <c r="AX202" s="20">
        <v>2548.08</v>
      </c>
      <c r="AY202" s="83">
        <v>2565.91</v>
      </c>
      <c r="AZ202" s="83">
        <v>2546.48</v>
      </c>
      <c r="BA202" s="83">
        <v>2562.1799999999998</v>
      </c>
      <c r="BB202" s="8">
        <f t="shared" si="151"/>
        <v>31372.409999999996</v>
      </c>
      <c r="BC202" s="24">
        <v>2516.2800000000002</v>
      </c>
      <c r="BD202" s="24">
        <v>2701.79</v>
      </c>
      <c r="BE202" s="24">
        <v>2597.73</v>
      </c>
      <c r="BF202" s="24">
        <v>2547.46</v>
      </c>
      <c r="BG202" s="24">
        <v>2466.04</v>
      </c>
      <c r="BH202" s="24">
        <v>2329.62</v>
      </c>
      <c r="BI202" s="24">
        <v>2420.65</v>
      </c>
      <c r="BN202" s="83"/>
      <c r="BO202" s="8">
        <f t="shared" si="152"/>
        <v>17579.57</v>
      </c>
    </row>
    <row r="203" spans="2:67" x14ac:dyDescent="0.2">
      <c r="B203" s="3" t="s">
        <v>348</v>
      </c>
      <c r="C203" s="23">
        <v>5823.94</v>
      </c>
      <c r="D203" s="24">
        <v>7270</v>
      </c>
      <c r="E203" s="24">
        <v>6720.95</v>
      </c>
      <c r="F203" s="24">
        <v>6719.39</v>
      </c>
      <c r="G203" s="24">
        <v>6614.28</v>
      </c>
      <c r="H203" s="24">
        <v>6465.27</v>
      </c>
      <c r="I203" s="24">
        <v>6940.24</v>
      </c>
      <c r="J203" s="24">
        <v>6970.26</v>
      </c>
      <c r="K203" s="24">
        <v>6904.08</v>
      </c>
      <c r="L203" s="24">
        <v>6698.54</v>
      </c>
      <c r="M203" s="24">
        <v>6598.28</v>
      </c>
      <c r="N203" s="24">
        <v>6623.84</v>
      </c>
      <c r="O203" s="24">
        <f>SUBTOTAL(9,C203:N203)</f>
        <v>80349.069999999992</v>
      </c>
      <c r="P203" s="24">
        <v>3780.73</v>
      </c>
      <c r="Q203" s="24">
        <v>4083.19</v>
      </c>
      <c r="R203" s="24">
        <v>27406.44</v>
      </c>
      <c r="S203" s="24">
        <v>11816.04</v>
      </c>
      <c r="T203" s="24">
        <v>11639.29</v>
      </c>
      <c r="U203" s="24">
        <v>11506.91</v>
      </c>
      <c r="V203" s="24">
        <v>13826.01</v>
      </c>
      <c r="W203" s="20">
        <v>13441.33</v>
      </c>
      <c r="X203" s="20">
        <v>13119.37</v>
      </c>
      <c r="Y203" s="83">
        <v>12861.87</v>
      </c>
      <c r="Z203" s="83">
        <v>13301.08</v>
      </c>
      <c r="AA203" s="83">
        <v>13378.65</v>
      </c>
      <c r="AB203" s="8">
        <f t="shared" si="153"/>
        <v>150160.90999999997</v>
      </c>
      <c r="AC203" s="24">
        <v>13266.76</v>
      </c>
      <c r="AD203" s="24">
        <v>13628.3</v>
      </c>
      <c r="AE203" s="24">
        <v>13217.28</v>
      </c>
      <c r="AF203" s="24">
        <v>12940.33</v>
      </c>
      <c r="AG203" s="24">
        <v>13092.6</v>
      </c>
      <c r="AH203" s="24">
        <v>25245.43</v>
      </c>
      <c r="AI203" s="24">
        <v>31564.06</v>
      </c>
      <c r="AJ203" s="20">
        <v>27680</v>
      </c>
      <c r="AK203" s="20">
        <v>29097.19</v>
      </c>
      <c r="AL203" s="83">
        <v>27437.599999999999</v>
      </c>
      <c r="AM203" s="83">
        <v>27417.97</v>
      </c>
      <c r="AN203" s="83">
        <v>27058.51</v>
      </c>
      <c r="AO203" s="8">
        <f t="shared" si="154"/>
        <v>261646.03000000003</v>
      </c>
      <c r="AP203" s="24">
        <v>25105.67</v>
      </c>
      <c r="AQ203" s="24">
        <v>22983.26</v>
      </c>
      <c r="AR203" s="24">
        <f>VLOOKUP(B203,'[1]Sheet1 (2)'!$B$2:$C$397,2,0)</f>
        <v>22580.69</v>
      </c>
      <c r="AS203" s="24">
        <f>VLOOKUP(B203,'[2]Sheet1 (2)'!$B$2:$C$404,2,0)</f>
        <v>22049.24</v>
      </c>
      <c r="AT203" s="24">
        <v>25643.8</v>
      </c>
      <c r="AU203" s="24">
        <v>25574.81</v>
      </c>
      <c r="AV203" s="24">
        <v>24394.86</v>
      </c>
      <c r="AW203" s="20">
        <v>24896.34</v>
      </c>
      <c r="AX203" s="20">
        <v>24677.91</v>
      </c>
      <c r="AY203" s="83">
        <v>25271.49</v>
      </c>
      <c r="AZ203" s="83">
        <v>2665.6</v>
      </c>
      <c r="BA203" s="83">
        <v>2657.01</v>
      </c>
      <c r="BB203" s="8">
        <f t="shared" si="151"/>
        <v>248500.68000000002</v>
      </c>
      <c r="BC203" s="24">
        <v>2636.75</v>
      </c>
      <c r="BD203" s="24">
        <v>0</v>
      </c>
      <c r="BE203" s="24">
        <v>0</v>
      </c>
      <c r="BF203" s="24">
        <v>0</v>
      </c>
      <c r="BG203" s="24">
        <v>0</v>
      </c>
      <c r="BH203" s="24">
        <v>0</v>
      </c>
      <c r="BI203" s="24">
        <v>0</v>
      </c>
      <c r="BN203" s="83"/>
      <c r="BO203" s="8">
        <f t="shared" si="152"/>
        <v>2636.75</v>
      </c>
    </row>
    <row r="204" spans="2:67" x14ac:dyDescent="0.2">
      <c r="B204" s="3" t="s">
        <v>349</v>
      </c>
      <c r="C204" s="23">
        <v>3750.29</v>
      </c>
      <c r="D204" s="24">
        <v>5857.88</v>
      </c>
      <c r="E204" s="24">
        <v>4793.34</v>
      </c>
      <c r="F204" s="24">
        <v>4767.07</v>
      </c>
      <c r="G204" s="24">
        <v>4666.28</v>
      </c>
      <c r="H204" s="24">
        <v>4621.21</v>
      </c>
      <c r="I204" s="24">
        <v>4388.1400000000003</v>
      </c>
      <c r="J204" s="24">
        <v>4383.76</v>
      </c>
      <c r="K204" s="24">
        <v>4339.97</v>
      </c>
      <c r="L204" s="24">
        <v>4104.62</v>
      </c>
      <c r="M204" s="24">
        <v>4068.85</v>
      </c>
      <c r="N204" s="24">
        <v>4063.67</v>
      </c>
      <c r="O204" s="24">
        <f>SUBTOTAL(9,C204:N204)</f>
        <v>53805.08</v>
      </c>
      <c r="P204" s="24">
        <v>4090.32</v>
      </c>
      <c r="Q204" s="24">
        <v>4568.2700000000004</v>
      </c>
      <c r="R204" s="24">
        <v>4220.62</v>
      </c>
      <c r="S204" s="24">
        <v>4394.6400000000003</v>
      </c>
      <c r="T204" s="24">
        <v>4328.67</v>
      </c>
      <c r="U204" s="24">
        <v>4287.5200000000004</v>
      </c>
      <c r="V204" s="24">
        <v>4397.46</v>
      </c>
      <c r="W204" s="20">
        <v>4317.58</v>
      </c>
      <c r="X204" s="20">
        <v>4261.95</v>
      </c>
      <c r="Y204" s="83">
        <v>4138.3100000000004</v>
      </c>
      <c r="Z204" s="83">
        <v>4250.9399999999996</v>
      </c>
      <c r="AA204" s="83">
        <v>4257</v>
      </c>
      <c r="AB204" s="8">
        <f t="shared" si="153"/>
        <v>51513.279999999992</v>
      </c>
      <c r="AC204" s="24">
        <v>4177.55</v>
      </c>
      <c r="AD204" s="24">
        <v>4705.3100000000004</v>
      </c>
      <c r="AE204" s="24">
        <v>4349.57</v>
      </c>
      <c r="AF204" s="24">
        <v>4223.45</v>
      </c>
      <c r="AG204" s="24">
        <v>4281.4399999999996</v>
      </c>
      <c r="AH204" s="24">
        <v>4175.3900000000003</v>
      </c>
      <c r="AI204" s="24">
        <v>4169.66</v>
      </c>
      <c r="AJ204" s="20">
        <v>4204.05</v>
      </c>
      <c r="AK204" s="20">
        <v>4425.74</v>
      </c>
      <c r="AL204" s="83">
        <v>4247.59</v>
      </c>
      <c r="AM204" s="83">
        <v>4180.21</v>
      </c>
      <c r="AN204" s="83">
        <v>4127.26</v>
      </c>
      <c r="AO204" s="8">
        <f t="shared" si="154"/>
        <v>51267.22</v>
      </c>
      <c r="AP204" s="24">
        <v>4246.87</v>
      </c>
      <c r="AQ204" s="24">
        <v>4678.0200000000004</v>
      </c>
      <c r="AR204" s="24">
        <f>VLOOKUP(B204,'[1]Sheet1 (2)'!$B$2:$C$397,2,0)</f>
        <v>4477.1899999999996</v>
      </c>
      <c r="AS204" s="24">
        <f>VLOOKUP(B204,'[2]Sheet1 (2)'!$B$2:$C$404,2,0)</f>
        <v>4363.08</v>
      </c>
      <c r="AT204" s="24">
        <v>4463.3599999999997</v>
      </c>
      <c r="AU204" s="24">
        <v>4363.67</v>
      </c>
      <c r="AV204" s="24">
        <v>4192.2700000000004</v>
      </c>
      <c r="AW204" s="20">
        <v>4147.22</v>
      </c>
      <c r="AX204" s="20">
        <v>4105.37</v>
      </c>
      <c r="AY204" s="83">
        <v>4110.07</v>
      </c>
      <c r="AZ204" s="83">
        <v>4084.98</v>
      </c>
      <c r="BA204" s="83">
        <v>4071.84</v>
      </c>
      <c r="BB204" s="8">
        <f t="shared" si="151"/>
        <v>51303.94</v>
      </c>
      <c r="BC204" s="24">
        <v>4072.99</v>
      </c>
      <c r="BD204" s="24">
        <v>7283.79</v>
      </c>
      <c r="BE204" s="24">
        <v>6949.47</v>
      </c>
      <c r="BF204" s="24">
        <v>6776.76</v>
      </c>
      <c r="BG204" s="24">
        <v>6543.25</v>
      </c>
      <c r="BH204" s="24">
        <v>6222.05</v>
      </c>
      <c r="BI204" s="24">
        <v>6315.14</v>
      </c>
      <c r="BN204" s="83"/>
      <c r="BO204" s="8">
        <f t="shared" si="152"/>
        <v>44163.450000000004</v>
      </c>
    </row>
    <row r="205" spans="2:67" x14ac:dyDescent="0.2">
      <c r="B205" s="3" t="s">
        <v>770</v>
      </c>
      <c r="C205" s="23"/>
      <c r="P205" s="24">
        <v>0</v>
      </c>
      <c r="Q205" s="24">
        <v>0</v>
      </c>
      <c r="R205" s="24">
        <v>0</v>
      </c>
      <c r="S205" s="24">
        <v>11149.32</v>
      </c>
      <c r="T205" s="24">
        <v>-11149.32</v>
      </c>
      <c r="U205" s="24">
        <v>0</v>
      </c>
      <c r="V205" s="24">
        <v>0</v>
      </c>
      <c r="W205" s="20">
        <v>0</v>
      </c>
      <c r="X205" s="20">
        <v>12700.7</v>
      </c>
      <c r="Y205" s="83">
        <v>-12700.7</v>
      </c>
      <c r="Z205" s="83">
        <v>2962.21</v>
      </c>
      <c r="AA205" s="83">
        <v>9874.4</v>
      </c>
      <c r="AB205" s="8">
        <f t="shared" si="153"/>
        <v>12836.61</v>
      </c>
      <c r="AC205" s="24">
        <v>-12836.61</v>
      </c>
      <c r="AD205" s="24">
        <v>0</v>
      </c>
      <c r="AE205" s="24">
        <v>0</v>
      </c>
      <c r="AF205" s="24">
        <v>0</v>
      </c>
      <c r="AG205" s="24">
        <v>0</v>
      </c>
      <c r="AH205" s="24">
        <v>0</v>
      </c>
      <c r="AI205" s="24">
        <v>0</v>
      </c>
      <c r="AJ205" s="20">
        <v>0</v>
      </c>
      <c r="AK205" s="20">
        <v>0</v>
      </c>
      <c r="AL205" s="83">
        <v>0</v>
      </c>
      <c r="AM205" s="83">
        <v>0</v>
      </c>
      <c r="AN205" s="83">
        <v>0</v>
      </c>
      <c r="AO205" s="8">
        <f t="shared" si="154"/>
        <v>-12836.61</v>
      </c>
      <c r="AP205" s="24">
        <v>0</v>
      </c>
      <c r="AQ205" s="24">
        <v>0</v>
      </c>
      <c r="AR205" s="24">
        <v>0</v>
      </c>
      <c r="AS205" s="24">
        <v>0</v>
      </c>
      <c r="AT205" s="24">
        <v>0</v>
      </c>
      <c r="AU205" s="24">
        <v>0</v>
      </c>
      <c r="AV205" s="24">
        <v>0</v>
      </c>
      <c r="AW205" s="20">
        <v>0</v>
      </c>
      <c r="AX205" s="20">
        <v>0</v>
      </c>
      <c r="AY205" s="83">
        <v>0</v>
      </c>
      <c r="AZ205" s="83">
        <v>0</v>
      </c>
      <c r="BA205" s="83">
        <v>0</v>
      </c>
      <c r="BB205" s="8">
        <f t="shared" si="151"/>
        <v>0</v>
      </c>
      <c r="BC205" s="24">
        <v>0</v>
      </c>
      <c r="BD205" s="24">
        <v>0</v>
      </c>
      <c r="BE205" s="24">
        <v>0</v>
      </c>
      <c r="BF205" s="24">
        <v>0</v>
      </c>
      <c r="BG205" s="24">
        <v>0</v>
      </c>
      <c r="BH205" s="24">
        <v>0</v>
      </c>
      <c r="BI205" s="24">
        <v>0</v>
      </c>
      <c r="BN205" s="83"/>
      <c r="BO205" s="8">
        <f t="shared" si="152"/>
        <v>0</v>
      </c>
    </row>
    <row r="206" spans="2:67" x14ac:dyDescent="0.2">
      <c r="B206" s="3" t="s">
        <v>350</v>
      </c>
      <c r="C206" s="23">
        <v>5549.93</v>
      </c>
      <c r="D206" s="24">
        <v>4153.47</v>
      </c>
      <c r="E206" s="24">
        <v>3173.31</v>
      </c>
      <c r="F206" s="24">
        <v>2967.54</v>
      </c>
      <c r="G206" s="24">
        <v>2933.53</v>
      </c>
      <c r="H206" s="24">
        <v>3818.94</v>
      </c>
      <c r="I206" s="24">
        <v>4318.12</v>
      </c>
      <c r="J206" s="24">
        <v>5122.54</v>
      </c>
      <c r="K206" s="24">
        <v>5252.1</v>
      </c>
      <c r="L206" s="24">
        <v>5376.63</v>
      </c>
      <c r="M206" s="24">
        <v>4290.66</v>
      </c>
      <c r="N206" s="24">
        <v>4307.82</v>
      </c>
      <c r="O206" s="24">
        <f t="shared" ref="O206:O214" si="155">SUBTOTAL(9,C206:N206)</f>
        <v>51264.589999999989</v>
      </c>
      <c r="P206" s="24">
        <v>3991.21</v>
      </c>
      <c r="Q206" s="24">
        <v>4039.86</v>
      </c>
      <c r="R206" s="24">
        <v>6709.59</v>
      </c>
      <c r="S206" s="24">
        <v>5118.6099999999997</v>
      </c>
      <c r="T206" s="24">
        <v>5985.74</v>
      </c>
      <c r="U206" s="24">
        <v>4658.3500000000004</v>
      </c>
      <c r="V206" s="24">
        <v>4979.54</v>
      </c>
      <c r="W206" s="20">
        <v>5352.32</v>
      </c>
      <c r="X206" s="20">
        <v>5187.6400000000003</v>
      </c>
      <c r="Y206" s="83">
        <v>4480.5</v>
      </c>
      <c r="Z206" s="83">
        <v>5479.91</v>
      </c>
      <c r="AA206" s="83">
        <v>3210.28</v>
      </c>
      <c r="AB206" s="8">
        <f t="shared" si="153"/>
        <v>59193.55</v>
      </c>
      <c r="AC206" s="24">
        <v>6690.29</v>
      </c>
      <c r="AD206" s="24">
        <v>5650.26</v>
      </c>
      <c r="AE206" s="24">
        <v>5623.26</v>
      </c>
      <c r="AF206" s="24">
        <v>4749.01</v>
      </c>
      <c r="AG206" s="24">
        <v>4130.87</v>
      </c>
      <c r="AH206" s="103">
        <v>-10854.19</v>
      </c>
      <c r="AI206" s="24">
        <v>0</v>
      </c>
      <c r="AJ206" s="20">
        <v>28.89</v>
      </c>
      <c r="AK206" s="20">
        <v>0</v>
      </c>
      <c r="AL206" s="83">
        <v>0</v>
      </c>
      <c r="AM206" s="83">
        <v>0</v>
      </c>
      <c r="AN206" s="83">
        <v>0</v>
      </c>
      <c r="AO206" s="8">
        <f t="shared" si="154"/>
        <v>16018.389999999998</v>
      </c>
      <c r="AP206" s="24">
        <v>0</v>
      </c>
      <c r="AQ206" s="24">
        <v>9.15</v>
      </c>
      <c r="AR206" s="24">
        <f>VLOOKUP(B206,'[1]Sheet1 (2)'!$B$2:$C$397,2,0)</f>
        <v>0</v>
      </c>
      <c r="AS206" s="24">
        <f>VLOOKUP(B206,'[2]Sheet1 (2)'!$B$2:$C$404,2,0)</f>
        <v>0</v>
      </c>
      <c r="AT206" s="24">
        <v>0</v>
      </c>
      <c r="AU206" s="24">
        <v>0</v>
      </c>
      <c r="AV206" s="24">
        <v>0</v>
      </c>
      <c r="AW206" s="20">
        <v>0</v>
      </c>
      <c r="AX206" s="20">
        <v>0</v>
      </c>
      <c r="AY206" s="83">
        <v>0</v>
      </c>
      <c r="AZ206" s="83">
        <v>0</v>
      </c>
      <c r="BA206" s="83">
        <v>148.57</v>
      </c>
      <c r="BB206" s="8">
        <f t="shared" si="151"/>
        <v>157.72</v>
      </c>
      <c r="BC206" s="24">
        <v>0</v>
      </c>
      <c r="BD206" s="24">
        <v>0</v>
      </c>
      <c r="BE206" s="24">
        <v>0</v>
      </c>
      <c r="BF206" s="24">
        <v>23.22</v>
      </c>
      <c r="BG206" s="24">
        <v>0</v>
      </c>
      <c r="BH206" s="24">
        <v>122.86</v>
      </c>
      <c r="BI206" s="24">
        <v>59.56</v>
      </c>
      <c r="BN206" s="83"/>
      <c r="BO206" s="8">
        <f t="shared" si="152"/>
        <v>205.64</v>
      </c>
    </row>
    <row r="207" spans="2:67" x14ac:dyDescent="0.2">
      <c r="B207" s="3" t="s">
        <v>351</v>
      </c>
      <c r="C207" s="23">
        <v>4678.2299999999996</v>
      </c>
      <c r="D207" s="24">
        <v>3596.29</v>
      </c>
      <c r="E207" s="24">
        <v>3728.66</v>
      </c>
      <c r="F207" s="24">
        <v>14404.53</v>
      </c>
      <c r="G207" s="24">
        <v>5246.37</v>
      </c>
      <c r="H207" s="24">
        <v>13093.8</v>
      </c>
      <c r="I207" s="24">
        <v>4511.82</v>
      </c>
      <c r="J207" s="24">
        <v>14380.24</v>
      </c>
      <c r="K207" s="24">
        <v>3114.6</v>
      </c>
      <c r="L207" s="24">
        <v>9130.69</v>
      </c>
      <c r="M207" s="24">
        <v>3999.14</v>
      </c>
      <c r="N207" s="24">
        <v>12051.18</v>
      </c>
      <c r="O207" s="24">
        <f t="shared" si="155"/>
        <v>91935.549999999988</v>
      </c>
      <c r="P207" s="24">
        <v>4799.33</v>
      </c>
      <c r="Q207" s="24">
        <v>13234.96</v>
      </c>
      <c r="R207" s="24">
        <v>14744.85</v>
      </c>
      <c r="S207" s="24">
        <v>5343.67</v>
      </c>
      <c r="T207" s="24">
        <v>11922.98</v>
      </c>
      <c r="U207" s="24">
        <v>5402.07</v>
      </c>
      <c r="V207" s="24">
        <v>8606.08</v>
      </c>
      <c r="W207" s="20">
        <v>9006.9500000000007</v>
      </c>
      <c r="X207" s="20">
        <v>21445.73</v>
      </c>
      <c r="Y207" s="83">
        <v>3745.16</v>
      </c>
      <c r="Z207" s="83">
        <v>8646.75</v>
      </c>
      <c r="AA207" s="83">
        <v>11840.4</v>
      </c>
      <c r="AB207" s="8">
        <f t="shared" si="153"/>
        <v>118738.93</v>
      </c>
      <c r="AC207" s="24">
        <v>9281.8799999999992</v>
      </c>
      <c r="AD207" s="24">
        <v>7578.29</v>
      </c>
      <c r="AE207" s="24">
        <v>12084.34</v>
      </c>
      <c r="AF207" s="24">
        <v>7390.51</v>
      </c>
      <c r="AG207" s="24">
        <v>9148.73</v>
      </c>
      <c r="AH207" s="103">
        <v>-18417.43</v>
      </c>
      <c r="AI207" s="24">
        <v>0</v>
      </c>
      <c r="AJ207" s="20">
        <v>0</v>
      </c>
      <c r="AK207" s="20">
        <v>0</v>
      </c>
      <c r="AL207" s="83">
        <v>0</v>
      </c>
      <c r="AM207" s="83">
        <v>0</v>
      </c>
      <c r="AN207" s="83">
        <v>592.41999999999996</v>
      </c>
      <c r="AO207" s="8">
        <f t="shared" si="154"/>
        <v>27658.739999999998</v>
      </c>
      <c r="AP207" s="24">
        <v>0</v>
      </c>
      <c r="AQ207" s="24">
        <v>50.27</v>
      </c>
      <c r="AR207" s="24">
        <f>VLOOKUP(B207,'[1]Sheet1 (2)'!$B$2:$C$397,2,0)</f>
        <v>0</v>
      </c>
      <c r="AS207" s="24">
        <f>VLOOKUP(B207,'[2]Sheet1 (2)'!$B$2:$C$404,2,0)</f>
        <v>0</v>
      </c>
      <c r="AT207" s="24">
        <v>425.89</v>
      </c>
      <c r="AU207" s="24">
        <v>0</v>
      </c>
      <c r="AV207" s="24">
        <v>157.26</v>
      </c>
      <c r="AW207" s="20">
        <v>0</v>
      </c>
      <c r="AX207" s="20">
        <v>0</v>
      </c>
      <c r="AY207" s="83">
        <v>0</v>
      </c>
      <c r="AZ207" s="83">
        <v>2377.0500000000002</v>
      </c>
      <c r="BA207" s="83">
        <v>788.54</v>
      </c>
      <c r="BB207" s="8">
        <f t="shared" si="151"/>
        <v>3799.01</v>
      </c>
      <c r="BC207" s="24">
        <v>0</v>
      </c>
      <c r="BD207" s="24">
        <v>926.92</v>
      </c>
      <c r="BE207" s="24">
        <v>0</v>
      </c>
      <c r="BF207" s="24">
        <v>0</v>
      </c>
      <c r="BG207" s="24">
        <v>0</v>
      </c>
      <c r="BH207" s="24">
        <v>8830.91</v>
      </c>
      <c r="BI207" s="24">
        <v>314.82</v>
      </c>
      <c r="BN207" s="83"/>
      <c r="BO207" s="8">
        <f t="shared" si="152"/>
        <v>10072.65</v>
      </c>
    </row>
    <row r="208" spans="2:67" x14ac:dyDescent="0.2">
      <c r="B208" s="3" t="s">
        <v>352</v>
      </c>
      <c r="C208" s="23">
        <v>1184.21</v>
      </c>
      <c r="D208" s="24">
        <v>237.28</v>
      </c>
      <c r="E208" s="24">
        <v>306.45</v>
      </c>
      <c r="F208" s="24">
        <v>289.87</v>
      </c>
      <c r="G208" s="24">
        <v>326.02999999999997</v>
      </c>
      <c r="H208" s="24">
        <v>1271.76</v>
      </c>
      <c r="I208" s="24">
        <v>293.64999999999998</v>
      </c>
      <c r="J208" s="24">
        <v>167.99</v>
      </c>
      <c r="K208" s="24">
        <v>380.64</v>
      </c>
      <c r="L208" s="24">
        <v>32.090000000000003</v>
      </c>
      <c r="M208" s="24">
        <v>318.14999999999998</v>
      </c>
      <c r="N208" s="24">
        <v>231.09</v>
      </c>
      <c r="O208" s="24">
        <f t="shared" si="155"/>
        <v>5039.2100000000009</v>
      </c>
      <c r="P208" s="24">
        <v>244.82</v>
      </c>
      <c r="Q208" s="24">
        <v>283.27999999999997</v>
      </c>
      <c r="R208" s="24">
        <v>647.27</v>
      </c>
      <c r="S208" s="24">
        <v>539.13</v>
      </c>
      <c r="T208" s="24">
        <v>788.07</v>
      </c>
      <c r="U208" s="24">
        <v>378.99</v>
      </c>
      <c r="V208" s="24">
        <v>499.13</v>
      </c>
      <c r="W208" s="20">
        <v>495.88</v>
      </c>
      <c r="X208" s="20">
        <v>441.38</v>
      </c>
      <c r="Y208" s="83">
        <v>538.72</v>
      </c>
      <c r="Z208" s="83">
        <v>535.11</v>
      </c>
      <c r="AA208" s="83">
        <v>795.37</v>
      </c>
      <c r="AB208" s="8">
        <f t="shared" si="153"/>
        <v>6187.1500000000005</v>
      </c>
      <c r="AC208" s="24">
        <v>830.13</v>
      </c>
      <c r="AD208" s="24">
        <v>681.25</v>
      </c>
      <c r="AE208" s="24">
        <v>646.67999999999995</v>
      </c>
      <c r="AF208" s="24">
        <v>400.46</v>
      </c>
      <c r="AG208" s="24">
        <v>430.6</v>
      </c>
      <c r="AH208" s="103">
        <v>-1211.46</v>
      </c>
      <c r="AI208" s="24">
        <v>0</v>
      </c>
      <c r="AJ208" s="20">
        <v>0</v>
      </c>
      <c r="AK208" s="20">
        <v>0</v>
      </c>
      <c r="AL208" s="83">
        <v>0</v>
      </c>
      <c r="AM208" s="83">
        <v>0</v>
      </c>
      <c r="AN208" s="83">
        <v>0</v>
      </c>
      <c r="AO208" s="8">
        <f t="shared" si="154"/>
        <v>1777.6599999999999</v>
      </c>
      <c r="AP208" s="24">
        <v>0</v>
      </c>
      <c r="AQ208" s="24">
        <v>0</v>
      </c>
      <c r="AR208" s="24">
        <v>0</v>
      </c>
      <c r="AS208" s="24">
        <v>0</v>
      </c>
      <c r="AT208" s="24">
        <v>0</v>
      </c>
      <c r="AU208" s="24">
        <v>0</v>
      </c>
      <c r="AV208" s="24">
        <v>0</v>
      </c>
      <c r="AW208" s="20">
        <v>0</v>
      </c>
      <c r="AX208" s="20">
        <v>0</v>
      </c>
      <c r="AY208" s="83">
        <v>0</v>
      </c>
      <c r="AZ208" s="83">
        <v>0</v>
      </c>
      <c r="BA208" s="83">
        <v>0</v>
      </c>
      <c r="BB208" s="8">
        <f t="shared" si="151"/>
        <v>0</v>
      </c>
      <c r="BC208" s="24">
        <v>0</v>
      </c>
      <c r="BD208" s="24">
        <v>0</v>
      </c>
      <c r="BE208" s="24">
        <v>0</v>
      </c>
      <c r="BF208" s="24">
        <v>0</v>
      </c>
      <c r="BG208" s="24">
        <v>0</v>
      </c>
      <c r="BH208" s="24">
        <v>0</v>
      </c>
      <c r="BI208" s="24">
        <v>0</v>
      </c>
      <c r="BN208" s="83"/>
      <c r="BO208" s="8">
        <f t="shared" si="152"/>
        <v>0</v>
      </c>
    </row>
    <row r="209" spans="2:67" x14ac:dyDescent="0.2">
      <c r="B209" s="3" t="s">
        <v>569</v>
      </c>
      <c r="C209" s="23">
        <v>1388.56</v>
      </c>
      <c r="D209" s="24">
        <v>0</v>
      </c>
      <c r="E209" s="24">
        <v>221.48</v>
      </c>
      <c r="F209" s="24">
        <v>0</v>
      </c>
      <c r="G209" s="24">
        <v>0</v>
      </c>
      <c r="H209" s="24">
        <v>0</v>
      </c>
      <c r="I209" s="24">
        <v>533.9</v>
      </c>
      <c r="J209" s="24">
        <v>0</v>
      </c>
      <c r="K209" s="24">
        <v>1001.67</v>
      </c>
      <c r="L209" s="24">
        <v>2009.37</v>
      </c>
      <c r="M209" s="24">
        <v>0</v>
      </c>
      <c r="N209" s="24">
        <v>1334.72</v>
      </c>
      <c r="O209" s="24">
        <f t="shared" si="155"/>
        <v>6489.7</v>
      </c>
      <c r="P209" s="24">
        <v>0</v>
      </c>
      <c r="Q209" s="24">
        <v>1105.05</v>
      </c>
      <c r="R209" s="24">
        <v>0</v>
      </c>
      <c r="S209" s="24">
        <v>505.99</v>
      </c>
      <c r="T209" s="24">
        <v>2981.67</v>
      </c>
      <c r="U209" s="24">
        <v>0</v>
      </c>
      <c r="V209" s="24">
        <v>0</v>
      </c>
      <c r="W209" s="20">
        <v>293.27</v>
      </c>
      <c r="X209" s="20">
        <v>2175.89</v>
      </c>
      <c r="Y209" s="83">
        <v>579.91999999999996</v>
      </c>
      <c r="Z209" s="83">
        <v>518.27</v>
      </c>
      <c r="AA209" s="83">
        <v>2173.35</v>
      </c>
      <c r="AB209" s="8">
        <f t="shared" si="153"/>
        <v>10333.41</v>
      </c>
      <c r="AC209" s="24">
        <v>0</v>
      </c>
      <c r="AD209" s="24">
        <v>2886.65</v>
      </c>
      <c r="AE209" s="24">
        <v>950.99</v>
      </c>
      <c r="AF209" s="24">
        <v>1138.8800000000001</v>
      </c>
      <c r="AG209" s="24">
        <v>1622.85</v>
      </c>
      <c r="AH209" s="103">
        <v>-3621.48</v>
      </c>
      <c r="AI209" s="24">
        <v>0</v>
      </c>
      <c r="AJ209" s="20">
        <v>0</v>
      </c>
      <c r="AK209" s="20">
        <v>0</v>
      </c>
      <c r="AL209" s="83">
        <v>0</v>
      </c>
      <c r="AM209" s="83">
        <v>0</v>
      </c>
      <c r="AN209" s="83">
        <v>0</v>
      </c>
      <c r="AO209" s="8">
        <f t="shared" si="154"/>
        <v>2977.8900000000008</v>
      </c>
      <c r="AP209" s="24">
        <v>0</v>
      </c>
      <c r="AQ209" s="24">
        <v>0</v>
      </c>
      <c r="AR209" s="24">
        <v>0</v>
      </c>
      <c r="AS209" s="24">
        <v>0</v>
      </c>
      <c r="AT209" s="24">
        <v>0</v>
      </c>
      <c r="AU209" s="24">
        <v>0</v>
      </c>
      <c r="AV209" s="24">
        <v>0</v>
      </c>
      <c r="AW209" s="20">
        <v>0</v>
      </c>
      <c r="AX209" s="20">
        <v>0</v>
      </c>
      <c r="AY209" s="83">
        <v>0</v>
      </c>
      <c r="AZ209" s="83">
        <v>0</v>
      </c>
      <c r="BA209" s="83">
        <v>0</v>
      </c>
      <c r="BB209" s="8">
        <f t="shared" si="151"/>
        <v>0</v>
      </c>
      <c r="BC209" s="24">
        <v>0</v>
      </c>
      <c r="BD209" s="24">
        <v>0</v>
      </c>
      <c r="BE209" s="24">
        <v>0</v>
      </c>
      <c r="BF209" s="24">
        <v>0</v>
      </c>
      <c r="BG209" s="24">
        <v>0</v>
      </c>
      <c r="BH209" s="24">
        <v>434.94</v>
      </c>
      <c r="BI209" s="24">
        <v>0</v>
      </c>
      <c r="BN209" s="83"/>
      <c r="BO209" s="8">
        <f t="shared" si="152"/>
        <v>434.94</v>
      </c>
    </row>
    <row r="210" spans="2:67" x14ac:dyDescent="0.2">
      <c r="B210" s="3" t="s">
        <v>667</v>
      </c>
      <c r="C210" s="23"/>
      <c r="E210" s="24">
        <v>545.04</v>
      </c>
      <c r="F210" s="24">
        <v>543.64</v>
      </c>
      <c r="G210" s="24">
        <v>0</v>
      </c>
      <c r="H210" s="24">
        <v>561.54</v>
      </c>
      <c r="I210" s="24">
        <v>300.04000000000002</v>
      </c>
      <c r="J210" s="24">
        <v>549.01</v>
      </c>
      <c r="K210" s="24">
        <v>0</v>
      </c>
      <c r="L210" s="24">
        <v>390.96</v>
      </c>
      <c r="M210" s="24">
        <v>0</v>
      </c>
      <c r="N210" s="24">
        <v>0</v>
      </c>
      <c r="O210" s="24">
        <f t="shared" si="155"/>
        <v>2890.2299999999996</v>
      </c>
      <c r="P210" s="24">
        <v>0</v>
      </c>
      <c r="Q210" s="24">
        <v>0</v>
      </c>
      <c r="R210" s="24">
        <v>240.7</v>
      </c>
      <c r="S210" s="24">
        <v>0</v>
      </c>
      <c r="T210" s="24">
        <v>0</v>
      </c>
      <c r="U210" s="24">
        <v>215.02</v>
      </c>
      <c r="V210" s="24">
        <v>627.30999999999995</v>
      </c>
      <c r="W210" s="20">
        <v>0</v>
      </c>
      <c r="X210" s="20">
        <v>482.36</v>
      </c>
      <c r="Y210" s="83">
        <v>233.62</v>
      </c>
      <c r="Z210" s="83">
        <v>152.24</v>
      </c>
      <c r="AA210" s="83">
        <v>0</v>
      </c>
      <c r="AB210" s="8">
        <f t="shared" si="153"/>
        <v>1951.2499999999998</v>
      </c>
      <c r="AC210" s="24">
        <v>19.03</v>
      </c>
      <c r="AD210" s="24">
        <v>0</v>
      </c>
      <c r="AE210" s="24">
        <v>0</v>
      </c>
      <c r="AF210" s="24">
        <v>0</v>
      </c>
      <c r="AG210" s="24">
        <v>0</v>
      </c>
      <c r="AH210" s="24">
        <v>0</v>
      </c>
      <c r="AI210" s="24">
        <v>0</v>
      </c>
      <c r="AJ210" s="20">
        <v>575.16999999999996</v>
      </c>
      <c r="AK210" s="20">
        <v>0</v>
      </c>
      <c r="AL210" s="83">
        <v>0</v>
      </c>
      <c r="AM210" s="83">
        <v>240.39</v>
      </c>
      <c r="AN210" s="83">
        <v>0</v>
      </c>
      <c r="AO210" s="8">
        <f t="shared" si="154"/>
        <v>834.58999999999992</v>
      </c>
      <c r="AP210" s="24">
        <v>95.24</v>
      </c>
      <c r="AQ210" s="24">
        <v>250.55</v>
      </c>
      <c r="AR210" s="24">
        <f>VLOOKUP(B210,'[1]Sheet1 (2)'!$B$2:$C$397,2,0)</f>
        <v>154.54</v>
      </c>
      <c r="AS210" s="24">
        <f>VLOOKUP(B210,'[2]Sheet1 (2)'!$B$2:$C$404,2,0)</f>
        <v>0</v>
      </c>
      <c r="AT210" s="24">
        <v>417.95</v>
      </c>
      <c r="AU210" s="24">
        <v>0</v>
      </c>
      <c r="AV210" s="24">
        <v>661.44</v>
      </c>
      <c r="AW210" s="20">
        <v>0</v>
      </c>
      <c r="AX210" s="20">
        <v>0</v>
      </c>
      <c r="AY210" s="83">
        <v>222.48</v>
      </c>
      <c r="AZ210" s="83">
        <v>222.3</v>
      </c>
      <c r="BA210" s="83">
        <v>0</v>
      </c>
      <c r="BB210" s="8">
        <f t="shared" si="151"/>
        <v>2024.5</v>
      </c>
      <c r="BC210" s="24">
        <v>1008.09</v>
      </c>
      <c r="BD210" s="24">
        <v>3018.33</v>
      </c>
      <c r="BE210" s="24">
        <v>246.37</v>
      </c>
      <c r="BF210" s="24">
        <v>350.17</v>
      </c>
      <c r="BG210" s="24">
        <v>32057.02</v>
      </c>
      <c r="BH210" s="24">
        <v>400.74</v>
      </c>
      <c r="BI210" s="24">
        <v>214.08</v>
      </c>
      <c r="BN210" s="83"/>
      <c r="BO210" s="8">
        <f t="shared" si="152"/>
        <v>37294.800000000003</v>
      </c>
    </row>
    <row r="211" spans="2:67" x14ac:dyDescent="0.2">
      <c r="B211" s="3" t="s">
        <v>353</v>
      </c>
      <c r="C211" s="23">
        <v>1304.8699999999999</v>
      </c>
      <c r="D211" s="24">
        <v>333.26</v>
      </c>
      <c r="E211" s="24">
        <v>3839.85</v>
      </c>
      <c r="F211" s="24">
        <v>2222.08</v>
      </c>
      <c r="G211" s="24">
        <v>1327.43</v>
      </c>
      <c r="H211" s="24">
        <v>1301.24</v>
      </c>
      <c r="I211" s="24">
        <v>1334.36</v>
      </c>
      <c r="J211" s="24">
        <v>3045.1</v>
      </c>
      <c r="K211" s="24">
        <v>2195.2600000000002</v>
      </c>
      <c r="L211" s="24">
        <v>2427.94</v>
      </c>
      <c r="M211" s="24">
        <v>370.56</v>
      </c>
      <c r="N211" s="24">
        <v>2911.7</v>
      </c>
      <c r="O211" s="24">
        <f t="shared" si="155"/>
        <v>22613.65</v>
      </c>
      <c r="P211" s="24">
        <v>1421</v>
      </c>
      <c r="Q211" s="24">
        <v>2096.2600000000002</v>
      </c>
      <c r="R211" s="24">
        <v>5741.73</v>
      </c>
      <c r="S211" s="24">
        <v>2099.2199999999998</v>
      </c>
      <c r="T211" s="24">
        <v>3649.23</v>
      </c>
      <c r="U211" s="24">
        <v>4374.7</v>
      </c>
      <c r="V211" s="24">
        <v>1518.4</v>
      </c>
      <c r="W211" s="20">
        <v>3810.99</v>
      </c>
      <c r="X211" s="20">
        <v>1794.51</v>
      </c>
      <c r="Y211" s="83">
        <v>1926.16</v>
      </c>
      <c r="Z211" s="83">
        <v>2854.34</v>
      </c>
      <c r="AA211" s="83">
        <v>1892.02</v>
      </c>
      <c r="AB211" s="8">
        <f t="shared" si="153"/>
        <v>33178.559999999998</v>
      </c>
      <c r="AC211" s="24">
        <v>1707.94</v>
      </c>
      <c r="AD211" s="24">
        <v>3558.95</v>
      </c>
      <c r="AE211" s="24">
        <v>677.32</v>
      </c>
      <c r="AF211" s="24">
        <v>1575.74</v>
      </c>
      <c r="AG211" s="24">
        <v>1332.25</v>
      </c>
      <c r="AH211" s="103">
        <v>-3362.99</v>
      </c>
      <c r="AI211" s="24">
        <v>0</v>
      </c>
      <c r="AJ211" s="20">
        <v>394.99</v>
      </c>
      <c r="AK211" s="20">
        <v>0</v>
      </c>
      <c r="AL211" s="83">
        <v>0</v>
      </c>
      <c r="AM211" s="83">
        <v>0</v>
      </c>
      <c r="AN211" s="83">
        <v>0</v>
      </c>
      <c r="AO211" s="8">
        <f t="shared" si="154"/>
        <v>5884.1999999999989</v>
      </c>
      <c r="AP211" s="24">
        <v>0</v>
      </c>
      <c r="AQ211" s="24">
        <v>286.14</v>
      </c>
      <c r="AR211" s="24">
        <f>VLOOKUP(B211,'[1]Sheet1 (2)'!$B$2:$C$397,2,0)</f>
        <v>0</v>
      </c>
      <c r="AS211" s="24">
        <f>VLOOKUP(B211,'[2]Sheet1 (2)'!$B$2:$C$404,2,0)</f>
        <v>0</v>
      </c>
      <c r="AT211" s="24">
        <v>0</v>
      </c>
      <c r="AU211" s="24">
        <v>0</v>
      </c>
      <c r="AV211" s="24">
        <v>72.09</v>
      </c>
      <c r="AW211" s="20">
        <v>0</v>
      </c>
      <c r="AX211" s="20">
        <v>0</v>
      </c>
      <c r="AY211" s="83">
        <v>0</v>
      </c>
      <c r="AZ211" s="83">
        <v>0</v>
      </c>
      <c r="BA211" s="83">
        <v>64.47</v>
      </c>
      <c r="BB211" s="8">
        <f t="shared" si="151"/>
        <v>422.70000000000005</v>
      </c>
      <c r="BC211" s="24">
        <v>303.45999999999998</v>
      </c>
      <c r="BD211" s="24">
        <v>42.36</v>
      </c>
      <c r="BE211" s="24">
        <v>0</v>
      </c>
      <c r="BF211" s="24">
        <v>0</v>
      </c>
      <c r="BG211" s="24">
        <v>88.32</v>
      </c>
      <c r="BH211" s="24">
        <v>222.94</v>
      </c>
      <c r="BI211" s="24">
        <v>104.75</v>
      </c>
      <c r="BN211" s="83"/>
      <c r="BO211" s="8">
        <f t="shared" si="152"/>
        <v>761.82999999999993</v>
      </c>
    </row>
    <row r="212" spans="2:67" x14ac:dyDescent="0.2">
      <c r="B212" s="3" t="s">
        <v>772</v>
      </c>
      <c r="C212" s="23"/>
      <c r="F212" s="24">
        <v>582.23</v>
      </c>
      <c r="G212" s="24">
        <v>145.49</v>
      </c>
      <c r="H212" s="24">
        <v>145.49</v>
      </c>
      <c r="I212" s="24">
        <v>145.49</v>
      </c>
      <c r="J212" s="24">
        <v>145.49</v>
      </c>
      <c r="K212" s="24">
        <v>145.49</v>
      </c>
      <c r="L212" s="24">
        <v>145.49</v>
      </c>
      <c r="M212" s="24">
        <v>145.49</v>
      </c>
      <c r="N212" s="24">
        <v>145.47999999999999</v>
      </c>
      <c r="O212" s="24">
        <f t="shared" si="155"/>
        <v>1746.14</v>
      </c>
      <c r="P212" s="24">
        <v>0</v>
      </c>
      <c r="Q212" s="24">
        <v>0</v>
      </c>
      <c r="R212" s="24">
        <v>0</v>
      </c>
      <c r="S212" s="24">
        <v>4774.72</v>
      </c>
      <c r="T212" s="24">
        <v>0</v>
      </c>
      <c r="U212" s="24">
        <v>0</v>
      </c>
      <c r="V212" s="24">
        <v>0</v>
      </c>
      <c r="W212" s="20">
        <v>0</v>
      </c>
      <c r="X212" s="20">
        <v>0</v>
      </c>
      <c r="Y212" s="83">
        <v>0</v>
      </c>
      <c r="Z212" s="83">
        <v>0</v>
      </c>
      <c r="AA212" s="83">
        <v>0</v>
      </c>
      <c r="AB212" s="8">
        <f t="shared" si="153"/>
        <v>4774.72</v>
      </c>
      <c r="AC212" s="24">
        <v>0</v>
      </c>
      <c r="AD212" s="24">
        <v>0</v>
      </c>
      <c r="AE212" s="24">
        <v>0</v>
      </c>
      <c r="AF212" s="24">
        <v>0</v>
      </c>
      <c r="AG212" s="24">
        <v>0</v>
      </c>
      <c r="AH212" s="24">
        <v>0</v>
      </c>
      <c r="AI212" s="24">
        <v>0</v>
      </c>
      <c r="AJ212" s="20">
        <v>0</v>
      </c>
      <c r="AK212" s="20">
        <v>0</v>
      </c>
      <c r="AL212" s="83">
        <v>0</v>
      </c>
      <c r="AM212" s="83">
        <v>0</v>
      </c>
      <c r="AN212" s="83">
        <v>0</v>
      </c>
      <c r="AO212" s="8">
        <f t="shared" si="154"/>
        <v>0</v>
      </c>
      <c r="AP212" s="24">
        <v>0</v>
      </c>
      <c r="AQ212" s="24">
        <v>0</v>
      </c>
      <c r="AR212" s="24">
        <v>0</v>
      </c>
      <c r="AS212" s="24">
        <v>0</v>
      </c>
      <c r="AT212" s="24">
        <v>2185</v>
      </c>
      <c r="AU212" s="24">
        <v>0</v>
      </c>
      <c r="AV212" s="24">
        <v>0</v>
      </c>
      <c r="AW212" s="20">
        <v>0</v>
      </c>
      <c r="AX212" s="20">
        <v>0</v>
      </c>
      <c r="AY212" s="83">
        <v>0</v>
      </c>
      <c r="AZ212" s="83">
        <v>0</v>
      </c>
      <c r="BA212" s="83">
        <v>0</v>
      </c>
      <c r="BB212" s="8">
        <f t="shared" ref="BB212:BB233" si="156">SUM(AP212:BA212)</f>
        <v>2185</v>
      </c>
      <c r="BC212" s="24">
        <v>0</v>
      </c>
      <c r="BD212" s="24">
        <v>0</v>
      </c>
      <c r="BE212" s="24">
        <v>1700.38</v>
      </c>
      <c r="BF212" s="24">
        <v>0</v>
      </c>
      <c r="BG212" s="24">
        <v>0</v>
      </c>
      <c r="BH212" s="24">
        <v>0</v>
      </c>
      <c r="BI212" s="24">
        <v>0</v>
      </c>
      <c r="BN212" s="83"/>
      <c r="BO212" s="8">
        <f t="shared" si="152"/>
        <v>1700.38</v>
      </c>
    </row>
    <row r="213" spans="2:67" x14ac:dyDescent="0.2">
      <c r="B213" s="3" t="s">
        <v>354</v>
      </c>
      <c r="C213" s="23">
        <v>645.12</v>
      </c>
      <c r="D213" s="24">
        <v>748.38</v>
      </c>
      <c r="E213" s="24">
        <v>717.58</v>
      </c>
      <c r="F213" s="24">
        <v>733.08</v>
      </c>
      <c r="G213" s="24">
        <v>719.28</v>
      </c>
      <c r="H213" s="24">
        <v>713.22</v>
      </c>
      <c r="I213" s="24">
        <v>716.88</v>
      </c>
      <c r="J213" s="24">
        <v>729.99</v>
      </c>
      <c r="K213" s="24">
        <v>742.87</v>
      </c>
      <c r="L213" s="24">
        <v>715.67</v>
      </c>
      <c r="M213" s="24">
        <v>730.87</v>
      </c>
      <c r="N213" s="24">
        <v>736.18</v>
      </c>
      <c r="O213" s="24">
        <f t="shared" si="155"/>
        <v>8649.119999999999</v>
      </c>
      <c r="P213" s="24">
        <v>756.42</v>
      </c>
      <c r="Q213" s="24">
        <v>850.58</v>
      </c>
      <c r="R213" s="24">
        <v>791.96</v>
      </c>
      <c r="S213" s="24">
        <v>829.87</v>
      </c>
      <c r="T213" s="24">
        <v>860.07</v>
      </c>
      <c r="U213" s="24">
        <v>842.16</v>
      </c>
      <c r="V213" s="24">
        <v>867.55</v>
      </c>
      <c r="W213" s="20">
        <v>846.75</v>
      </c>
      <c r="X213" s="20">
        <v>849.19</v>
      </c>
      <c r="Y213" s="83">
        <v>833.55</v>
      </c>
      <c r="Z213" s="83">
        <v>856.3</v>
      </c>
      <c r="AA213" s="83">
        <v>859.28</v>
      </c>
      <c r="AB213" s="8">
        <f t="shared" si="153"/>
        <v>10043.68</v>
      </c>
      <c r="AC213" s="24">
        <v>844.29</v>
      </c>
      <c r="AD213" s="24">
        <v>937.5</v>
      </c>
      <c r="AE213" s="24">
        <v>879.93</v>
      </c>
      <c r="AF213" s="24">
        <v>855.05</v>
      </c>
      <c r="AG213" s="24">
        <v>868.93</v>
      </c>
      <c r="AH213" s="24">
        <v>847.57</v>
      </c>
      <c r="AI213" s="24">
        <v>861.05</v>
      </c>
      <c r="AJ213" s="20">
        <v>853.48</v>
      </c>
      <c r="AK213" s="20">
        <v>894.69</v>
      </c>
      <c r="AL213" s="83">
        <v>850.18</v>
      </c>
      <c r="AM213" s="83">
        <v>844.61</v>
      </c>
      <c r="AN213" s="83">
        <v>840.03</v>
      </c>
      <c r="AO213" s="8">
        <f t="shared" si="154"/>
        <v>10377.310000000001</v>
      </c>
      <c r="AP213" s="24">
        <v>825.64</v>
      </c>
      <c r="AQ213" s="24">
        <v>855.47</v>
      </c>
      <c r="AR213" s="24">
        <f>VLOOKUP(B213,'[1]Sheet1 (2)'!$B$2:$C$397,2,0)</f>
        <v>834.91</v>
      </c>
      <c r="AS213" s="24">
        <f>VLOOKUP(B213,'[2]Sheet1 (2)'!$B$2:$C$404,2,0)</f>
        <v>806.24</v>
      </c>
      <c r="AT213" s="24">
        <v>824.34</v>
      </c>
      <c r="AU213" s="24">
        <v>814.09</v>
      </c>
      <c r="AV213" s="24">
        <v>768.41</v>
      </c>
      <c r="AW213" s="20">
        <v>771.69</v>
      </c>
      <c r="AX213" s="20">
        <v>773.97</v>
      </c>
      <c r="AY213" s="83">
        <v>778.89</v>
      </c>
      <c r="AZ213" s="83">
        <v>770.96</v>
      </c>
      <c r="BA213" s="83">
        <v>774.79</v>
      </c>
      <c r="BB213" s="8">
        <f t="shared" si="156"/>
        <v>9599.4000000000015</v>
      </c>
      <c r="BC213" s="24">
        <v>759.26</v>
      </c>
      <c r="BD213" s="24">
        <v>833.54</v>
      </c>
      <c r="BE213" s="24">
        <v>785.18</v>
      </c>
      <c r="BF213" s="24">
        <v>770.14</v>
      </c>
      <c r="BG213" s="24">
        <v>745.78</v>
      </c>
      <c r="BH213" s="24">
        <v>706.25</v>
      </c>
      <c r="BI213" s="24">
        <v>730.35</v>
      </c>
      <c r="BN213" s="83"/>
      <c r="BO213" s="8">
        <f t="shared" si="152"/>
        <v>5330.5</v>
      </c>
    </row>
    <row r="214" spans="2:67" x14ac:dyDescent="0.2">
      <c r="B214" s="3" t="s">
        <v>355</v>
      </c>
      <c r="C214" s="23">
        <v>4654.41</v>
      </c>
      <c r="D214" s="24">
        <v>4652.74</v>
      </c>
      <c r="E214" s="24">
        <v>4935.34</v>
      </c>
      <c r="F214" s="24">
        <v>5064.21</v>
      </c>
      <c r="G214" s="24">
        <v>5134.4399999999996</v>
      </c>
      <c r="H214" s="24">
        <v>5095.07</v>
      </c>
      <c r="I214" s="24">
        <v>5046.2299999999996</v>
      </c>
      <c r="J214" s="24">
        <v>5107.3100000000004</v>
      </c>
      <c r="K214" s="24">
        <v>5148.5200000000004</v>
      </c>
      <c r="L214" s="24">
        <v>5087.3</v>
      </c>
      <c r="M214" s="24">
        <v>5089.91</v>
      </c>
      <c r="N214" s="24">
        <v>5306.2</v>
      </c>
      <c r="O214" s="24">
        <f t="shared" si="155"/>
        <v>60321.680000000008</v>
      </c>
      <c r="P214" s="24">
        <v>5556.9</v>
      </c>
      <c r="Q214" s="24">
        <v>5545.37</v>
      </c>
      <c r="R214" s="24">
        <v>5576.81</v>
      </c>
      <c r="S214" s="24">
        <v>5862.55</v>
      </c>
      <c r="T214" s="24">
        <v>5799.62</v>
      </c>
      <c r="U214" s="24">
        <v>6113.44</v>
      </c>
      <c r="V214" s="24">
        <v>6172.91</v>
      </c>
      <c r="W214" s="20">
        <v>6030.01</v>
      </c>
      <c r="X214" s="20">
        <v>5996.01</v>
      </c>
      <c r="Y214" s="83">
        <v>5858.22</v>
      </c>
      <c r="Z214" s="83">
        <v>6055.48</v>
      </c>
      <c r="AA214" s="83">
        <v>6089.54</v>
      </c>
      <c r="AB214" s="8">
        <f t="shared" si="153"/>
        <v>70656.86</v>
      </c>
      <c r="AC214" s="24">
        <v>6076.83</v>
      </c>
      <c r="AD214" s="24">
        <v>6129.55</v>
      </c>
      <c r="AE214" s="24">
        <v>6160.55</v>
      </c>
      <c r="AF214" s="24">
        <v>5996.19</v>
      </c>
      <c r="AG214" s="24">
        <v>6042.17</v>
      </c>
      <c r="AH214" s="24">
        <v>5904.83</v>
      </c>
      <c r="AI214" s="24">
        <v>5981.19</v>
      </c>
      <c r="AJ214" s="20">
        <v>5905.43</v>
      </c>
      <c r="AK214" s="20">
        <v>6211.16</v>
      </c>
      <c r="AL214" s="83">
        <v>5889.04</v>
      </c>
      <c r="AM214" s="83">
        <v>5859.91</v>
      </c>
      <c r="AN214" s="83">
        <v>5840.35</v>
      </c>
      <c r="AO214" s="8">
        <f t="shared" si="154"/>
        <v>71997.200000000012</v>
      </c>
      <c r="AP214" s="24">
        <v>5892.8</v>
      </c>
      <c r="AQ214" s="24">
        <v>5736.2</v>
      </c>
      <c r="AR214" s="24">
        <f>VLOOKUP(B214,'[1]Sheet1 (2)'!$B$2:$C$397,2,0)</f>
        <v>5840.14</v>
      </c>
      <c r="AS214" s="24">
        <f>VLOOKUP(B214,'[2]Sheet1 (2)'!$B$2:$C$404,2,0)</f>
        <v>5633.26</v>
      </c>
      <c r="AT214" s="24">
        <v>5749.53</v>
      </c>
      <c r="AU214" s="24">
        <v>5673.65</v>
      </c>
      <c r="AV214" s="24">
        <v>5380.72</v>
      </c>
      <c r="AW214" s="20">
        <v>5410.66</v>
      </c>
      <c r="AX214" s="20">
        <v>5447.14</v>
      </c>
      <c r="AY214" s="83">
        <v>5481.69</v>
      </c>
      <c r="AZ214" s="83">
        <v>5442</v>
      </c>
      <c r="BA214" s="83">
        <v>5475.96</v>
      </c>
      <c r="BB214" s="8">
        <f t="shared" si="156"/>
        <v>67163.750000000015</v>
      </c>
      <c r="BC214" s="24">
        <v>5518.91</v>
      </c>
      <c r="BD214" s="24">
        <v>5514.32</v>
      </c>
      <c r="BE214" s="24">
        <v>5545.86</v>
      </c>
      <c r="BF214" s="24">
        <v>5438.19</v>
      </c>
      <c r="BG214" s="24">
        <v>5265.39</v>
      </c>
      <c r="BH214" s="24">
        <v>4955.6000000000004</v>
      </c>
      <c r="BI214" s="24">
        <v>5155.16</v>
      </c>
      <c r="BN214" s="83"/>
      <c r="BO214" s="8">
        <f t="shared" si="152"/>
        <v>37393.429999999993</v>
      </c>
    </row>
    <row r="215" spans="2:67" x14ac:dyDescent="0.2">
      <c r="B215" s="3" t="s">
        <v>1832</v>
      </c>
      <c r="C215" s="23"/>
      <c r="AA215" s="83"/>
      <c r="AB215" s="8"/>
      <c r="AC215" s="24">
        <v>0</v>
      </c>
      <c r="AD215" s="24">
        <v>0</v>
      </c>
      <c r="AE215" s="24">
        <v>0</v>
      </c>
      <c r="AF215" s="24">
        <v>0</v>
      </c>
      <c r="AG215" s="24">
        <v>0</v>
      </c>
      <c r="AH215" s="24">
        <v>0</v>
      </c>
      <c r="AI215" s="24">
        <v>0</v>
      </c>
      <c r="AJ215" s="20">
        <v>124.69</v>
      </c>
      <c r="AK215" s="20">
        <v>0</v>
      </c>
      <c r="AL215" s="83">
        <v>42.03</v>
      </c>
      <c r="AM215" s="83">
        <v>0</v>
      </c>
      <c r="AN215" s="83">
        <v>0</v>
      </c>
      <c r="AO215" s="8">
        <f t="shared" si="154"/>
        <v>166.72</v>
      </c>
      <c r="AP215" s="24">
        <v>0</v>
      </c>
      <c r="AQ215" s="24">
        <v>0</v>
      </c>
      <c r="AR215" s="24">
        <v>0</v>
      </c>
      <c r="AS215" s="24">
        <v>0</v>
      </c>
      <c r="AT215" s="24">
        <v>0</v>
      </c>
      <c r="AU215" s="24">
        <v>0</v>
      </c>
      <c r="AV215" s="24">
        <v>134.19</v>
      </c>
      <c r="AW215" s="20">
        <v>0</v>
      </c>
      <c r="AX215" s="20">
        <v>0</v>
      </c>
      <c r="AY215" s="83">
        <v>0</v>
      </c>
      <c r="AZ215" s="83">
        <v>0</v>
      </c>
      <c r="BA215" s="83">
        <v>0</v>
      </c>
      <c r="BB215" s="8">
        <f t="shared" si="156"/>
        <v>134.19</v>
      </c>
      <c r="BC215" s="24">
        <v>0</v>
      </c>
      <c r="BD215" s="24">
        <v>0</v>
      </c>
      <c r="BE215" s="24">
        <v>0</v>
      </c>
      <c r="BF215" s="24">
        <v>0</v>
      </c>
      <c r="BG215" s="24">
        <v>0</v>
      </c>
      <c r="BH215" s="24">
        <v>0</v>
      </c>
      <c r="BI215" s="24">
        <v>128.19999999999999</v>
      </c>
      <c r="BN215" s="83"/>
      <c r="BO215" s="8">
        <f t="shared" si="152"/>
        <v>128.19999999999999</v>
      </c>
    </row>
    <row r="216" spans="2:67" x14ac:dyDescent="0.2">
      <c r="B216" s="3" t="s">
        <v>356</v>
      </c>
      <c r="C216" s="23">
        <v>164.53</v>
      </c>
      <c r="D216" s="24">
        <v>164.9</v>
      </c>
      <c r="E216" s="24">
        <v>155.87</v>
      </c>
      <c r="F216" s="24">
        <v>-315.62</v>
      </c>
      <c r="G216" s="24">
        <v>0</v>
      </c>
      <c r="H216" s="24">
        <v>-169.68</v>
      </c>
      <c r="I216" s="24">
        <v>34.130000000000003</v>
      </c>
      <c r="J216" s="24">
        <v>-34.130000000000003</v>
      </c>
      <c r="K216" s="24">
        <v>0</v>
      </c>
      <c r="L216" s="24">
        <v>0</v>
      </c>
      <c r="M216" s="24">
        <v>-32.54</v>
      </c>
      <c r="N216" s="24">
        <v>33.090000000000003</v>
      </c>
      <c r="O216" s="24">
        <f>SUBTOTAL(9,C216:N216)</f>
        <v>0.55000000000000426</v>
      </c>
      <c r="P216" s="24">
        <v>32.700000000000003</v>
      </c>
      <c r="Q216" s="24">
        <v>34.340000000000003</v>
      </c>
      <c r="R216" s="24">
        <v>33.36</v>
      </c>
      <c r="S216" s="24">
        <v>34.24</v>
      </c>
      <c r="T216" s="24">
        <v>-134.63999999999999</v>
      </c>
      <c r="U216" s="24">
        <v>0</v>
      </c>
      <c r="V216" s="24">
        <v>0</v>
      </c>
      <c r="W216" s="20">
        <v>0</v>
      </c>
      <c r="X216" s="20">
        <v>0</v>
      </c>
      <c r="Y216" s="83">
        <v>0</v>
      </c>
      <c r="Z216" s="83">
        <v>0</v>
      </c>
      <c r="AA216" s="83">
        <v>0</v>
      </c>
      <c r="AB216" s="8">
        <f>SUM(P216:AA216)</f>
        <v>2.8421709430404007E-14</v>
      </c>
      <c r="AC216" s="24">
        <v>0</v>
      </c>
      <c r="AD216" s="24">
        <v>0</v>
      </c>
      <c r="AE216" s="24">
        <v>0</v>
      </c>
      <c r="AF216" s="24">
        <v>0</v>
      </c>
      <c r="AG216" s="24">
        <v>0</v>
      </c>
      <c r="AH216" s="24">
        <v>0</v>
      </c>
      <c r="AI216" s="24">
        <v>0</v>
      </c>
      <c r="AJ216" s="20">
        <v>0</v>
      </c>
      <c r="AK216" s="20">
        <v>0</v>
      </c>
      <c r="AL216" s="83">
        <v>0</v>
      </c>
      <c r="AM216" s="83">
        <v>0</v>
      </c>
      <c r="AN216" s="83">
        <v>0</v>
      </c>
      <c r="AO216" s="8">
        <f t="shared" si="154"/>
        <v>0</v>
      </c>
      <c r="AP216" s="24">
        <v>0</v>
      </c>
      <c r="AQ216" s="24">
        <v>0</v>
      </c>
      <c r="AR216" s="24">
        <v>0</v>
      </c>
      <c r="AS216" s="24">
        <v>0</v>
      </c>
      <c r="AT216" s="24">
        <v>0</v>
      </c>
      <c r="AU216" s="24">
        <v>0</v>
      </c>
      <c r="AV216" s="24">
        <v>0</v>
      </c>
      <c r="AW216" s="20">
        <v>0</v>
      </c>
      <c r="AX216" s="20">
        <v>0</v>
      </c>
      <c r="AY216" s="83">
        <v>0</v>
      </c>
      <c r="AZ216" s="83">
        <v>0</v>
      </c>
      <c r="BA216" s="83">
        <v>0</v>
      </c>
      <c r="BB216" s="8">
        <f t="shared" si="156"/>
        <v>0</v>
      </c>
      <c r="BC216" s="24">
        <v>0</v>
      </c>
      <c r="BD216" s="24">
        <v>0</v>
      </c>
      <c r="BE216" s="24">
        <v>0</v>
      </c>
      <c r="BF216" s="24">
        <v>0</v>
      </c>
      <c r="BG216" s="24">
        <v>0</v>
      </c>
      <c r="BH216" s="24">
        <v>0</v>
      </c>
      <c r="BI216" s="24">
        <v>0</v>
      </c>
      <c r="BN216" s="83"/>
      <c r="BO216" s="8">
        <f t="shared" si="152"/>
        <v>0</v>
      </c>
    </row>
    <row r="217" spans="2:67" x14ac:dyDescent="0.2">
      <c r="B217" s="3" t="s">
        <v>1786</v>
      </c>
      <c r="C217" s="23"/>
      <c r="P217" s="24">
        <v>0</v>
      </c>
      <c r="Q217" s="24">
        <v>0</v>
      </c>
      <c r="R217" s="24">
        <v>0</v>
      </c>
      <c r="S217" s="24">
        <v>0</v>
      </c>
      <c r="T217" s="24">
        <v>0</v>
      </c>
      <c r="U217" s="24">
        <v>0</v>
      </c>
      <c r="V217" s="24">
        <v>0</v>
      </c>
      <c r="W217" s="24">
        <v>0</v>
      </c>
      <c r="X217" s="24">
        <v>0</v>
      </c>
      <c r="Y217" s="83">
        <v>199.33</v>
      </c>
      <c r="Z217" s="83">
        <v>-199.33</v>
      </c>
      <c r="AA217" s="83">
        <v>0</v>
      </c>
      <c r="AB217" s="8">
        <f>SUM(P217:AA217)</f>
        <v>0</v>
      </c>
      <c r="AC217" s="24">
        <v>0</v>
      </c>
      <c r="AD217" s="24">
        <v>0</v>
      </c>
      <c r="AE217" s="24">
        <v>0</v>
      </c>
      <c r="AF217" s="24">
        <v>0</v>
      </c>
      <c r="AG217" s="24">
        <v>0</v>
      </c>
      <c r="AH217" s="24">
        <v>0</v>
      </c>
      <c r="AI217" s="24">
        <v>0</v>
      </c>
      <c r="AJ217" s="20">
        <v>0</v>
      </c>
      <c r="AK217" s="20">
        <v>0</v>
      </c>
      <c r="AL217" s="83">
        <v>0</v>
      </c>
      <c r="AM217" s="83">
        <v>0</v>
      </c>
      <c r="AN217" s="83">
        <v>0</v>
      </c>
      <c r="AO217" s="8">
        <f t="shared" si="154"/>
        <v>0</v>
      </c>
      <c r="AP217" s="24">
        <v>0</v>
      </c>
      <c r="AQ217" s="24">
        <v>0</v>
      </c>
      <c r="AR217" s="24">
        <v>0</v>
      </c>
      <c r="AS217" s="24">
        <v>0</v>
      </c>
      <c r="AT217" s="24">
        <v>0</v>
      </c>
      <c r="AU217" s="24">
        <v>0</v>
      </c>
      <c r="AV217" s="24">
        <v>0</v>
      </c>
      <c r="AW217" s="20">
        <v>0</v>
      </c>
      <c r="AX217" s="20">
        <v>0</v>
      </c>
      <c r="AY217" s="83">
        <v>0</v>
      </c>
      <c r="AZ217" s="83">
        <v>0</v>
      </c>
      <c r="BA217" s="83">
        <v>0</v>
      </c>
      <c r="BB217" s="8">
        <f t="shared" si="156"/>
        <v>0</v>
      </c>
      <c r="BC217" s="24">
        <v>0</v>
      </c>
      <c r="BD217" s="24">
        <v>0</v>
      </c>
      <c r="BE217" s="24">
        <v>0</v>
      </c>
      <c r="BF217" s="24">
        <v>0</v>
      </c>
      <c r="BG217" s="24">
        <v>0</v>
      </c>
      <c r="BH217" s="24">
        <v>0</v>
      </c>
      <c r="BI217" s="24">
        <v>0</v>
      </c>
      <c r="BN217" s="83"/>
      <c r="BO217" s="8">
        <f t="shared" si="152"/>
        <v>0</v>
      </c>
    </row>
    <row r="218" spans="2:67" x14ac:dyDescent="0.2">
      <c r="B218" s="3" t="s">
        <v>357</v>
      </c>
      <c r="C218" s="23">
        <v>1147.27</v>
      </c>
      <c r="D218" s="24">
        <v>121.83</v>
      </c>
      <c r="E218" s="24">
        <v>5065.6499999999996</v>
      </c>
      <c r="F218" s="24">
        <v>909.68</v>
      </c>
      <c r="G218" s="24">
        <v>2397.34</v>
      </c>
      <c r="H218" s="24">
        <v>2948.47</v>
      </c>
      <c r="I218" s="24">
        <v>2906.21</v>
      </c>
      <c r="J218" s="24">
        <v>8218.2900000000009</v>
      </c>
      <c r="K218" s="24">
        <v>1750.13</v>
      </c>
      <c r="L218" s="24">
        <v>1590.23</v>
      </c>
      <c r="M218" s="24">
        <v>1788.66</v>
      </c>
      <c r="N218" s="24">
        <v>5524.06</v>
      </c>
      <c r="O218" s="24">
        <f>SUBTOTAL(9,C218:N218)</f>
        <v>34367.82</v>
      </c>
      <c r="P218" s="24">
        <v>4679.78</v>
      </c>
      <c r="Q218" s="24">
        <v>2087.23</v>
      </c>
      <c r="R218" s="24">
        <v>2277.6799999999998</v>
      </c>
      <c r="S218" s="24">
        <v>7855.73</v>
      </c>
      <c r="T218" s="24">
        <v>4387.4399999999996</v>
      </c>
      <c r="U218" s="24">
        <v>4415.25</v>
      </c>
      <c r="V218" s="24">
        <v>6956.68</v>
      </c>
      <c r="W218" s="20">
        <v>4085.7</v>
      </c>
      <c r="X218" s="20">
        <v>1590.62</v>
      </c>
      <c r="Y218" s="83">
        <v>682.16</v>
      </c>
      <c r="Z218" s="83">
        <v>2801.11</v>
      </c>
      <c r="AA218" s="83">
        <v>11835.41</v>
      </c>
      <c r="AB218" s="8">
        <f>SUM(P218:AA218)</f>
        <v>53654.790000000008</v>
      </c>
      <c r="AC218" s="24">
        <v>2802.22</v>
      </c>
      <c r="AD218" s="24">
        <v>-2234.5500000000002</v>
      </c>
      <c r="AE218" s="24">
        <v>4269.2299999999996</v>
      </c>
      <c r="AF218" s="24">
        <v>6905.05</v>
      </c>
      <c r="AG218" s="24">
        <v>5640.6</v>
      </c>
      <c r="AH218" s="24">
        <v>8517.6299999999992</v>
      </c>
      <c r="AI218" s="24">
        <v>688.25</v>
      </c>
      <c r="AJ218" s="20">
        <v>8748.2900000000009</v>
      </c>
      <c r="AK218" s="20">
        <v>406.2</v>
      </c>
      <c r="AL218" s="83">
        <v>3909.26</v>
      </c>
      <c r="AM218" s="83">
        <v>1845.69</v>
      </c>
      <c r="AN218" s="83">
        <v>5200.28</v>
      </c>
      <c r="AO218" s="8">
        <f t="shared" si="154"/>
        <v>46698.15</v>
      </c>
      <c r="AP218" s="24">
        <v>1062.6500000000001</v>
      </c>
      <c r="AQ218" s="24">
        <v>2764.75</v>
      </c>
      <c r="AR218" s="24">
        <f>VLOOKUP(B218,'[1]Sheet1 (2)'!$B$2:$C$397,2,0)</f>
        <v>3012.92</v>
      </c>
      <c r="AS218" s="24">
        <f>VLOOKUP(B218,'[2]Sheet1 (2)'!$B$2:$C$404,2,0)</f>
        <v>220.47</v>
      </c>
      <c r="AT218" s="24">
        <v>8748.7199999999993</v>
      </c>
      <c r="AU218" s="24">
        <v>313.69</v>
      </c>
      <c r="AV218" s="24">
        <v>8507.9699999999993</v>
      </c>
      <c r="AW218" s="20">
        <v>1129.42</v>
      </c>
      <c r="AX218" s="20">
        <v>1860.16</v>
      </c>
      <c r="AY218" s="83">
        <v>1245.57</v>
      </c>
      <c r="AZ218" s="83">
        <v>1332.1</v>
      </c>
      <c r="BA218" s="83">
        <v>8161.95</v>
      </c>
      <c r="BB218" s="8">
        <f t="shared" si="156"/>
        <v>38360.369999999995</v>
      </c>
      <c r="BC218" s="24">
        <v>1338.06</v>
      </c>
      <c r="BD218" s="24">
        <v>3555.62</v>
      </c>
      <c r="BE218" s="24">
        <v>5109.49</v>
      </c>
      <c r="BF218" s="24">
        <v>7935.64</v>
      </c>
      <c r="BG218" s="24">
        <v>753.53</v>
      </c>
      <c r="BH218" s="24">
        <v>7188</v>
      </c>
      <c r="BI218" s="24">
        <v>4154.63</v>
      </c>
      <c r="BN218" s="83"/>
      <c r="BO218" s="8">
        <f t="shared" si="152"/>
        <v>30034.97</v>
      </c>
    </row>
    <row r="219" spans="2:67" x14ac:dyDescent="0.2">
      <c r="B219" s="3" t="s">
        <v>920</v>
      </c>
      <c r="C219" s="23"/>
      <c r="E219" s="24">
        <v>6178.53</v>
      </c>
      <c r="F219" s="24">
        <v>0</v>
      </c>
      <c r="G219" s="24">
        <v>0</v>
      </c>
      <c r="H219" s="24">
        <v>0</v>
      </c>
      <c r="I219" s="24">
        <v>0</v>
      </c>
      <c r="J219" s="24">
        <v>0</v>
      </c>
      <c r="K219" s="24">
        <v>0</v>
      </c>
      <c r="L219" s="24">
        <v>0</v>
      </c>
      <c r="M219" s="24">
        <v>0</v>
      </c>
      <c r="N219" s="24">
        <v>0</v>
      </c>
      <c r="O219" s="24">
        <f>SUBTOTAL(9,C219:N219)</f>
        <v>6178.53</v>
      </c>
      <c r="P219" s="24">
        <v>0</v>
      </c>
      <c r="Q219" s="24">
        <v>0</v>
      </c>
      <c r="R219" s="24">
        <v>0</v>
      </c>
      <c r="S219" s="24">
        <v>0</v>
      </c>
      <c r="T219" s="24">
        <v>0</v>
      </c>
      <c r="U219" s="24">
        <v>6360.73</v>
      </c>
      <c r="V219" s="24">
        <v>0</v>
      </c>
      <c r="W219" s="20">
        <v>0</v>
      </c>
      <c r="X219" s="20">
        <v>-982.19</v>
      </c>
      <c r="Y219" s="83">
        <v>834.05</v>
      </c>
      <c r="Z219" s="83">
        <v>834.05</v>
      </c>
      <c r="AA219" s="83">
        <v>833.99</v>
      </c>
      <c r="AB219" s="8">
        <f>SUM(P219:AA219)</f>
        <v>7880.6299999999992</v>
      </c>
      <c r="AC219" s="24">
        <v>1459.88</v>
      </c>
      <c r="AD219" s="24">
        <v>821.46</v>
      </c>
      <c r="AE219" s="24">
        <v>508.06</v>
      </c>
      <c r="AF219" s="24">
        <v>508.06</v>
      </c>
      <c r="AG219" s="24">
        <v>508.06</v>
      </c>
      <c r="AH219" s="24">
        <v>508.06</v>
      </c>
      <c r="AI219" s="24">
        <v>-421.93</v>
      </c>
      <c r="AJ219" s="20">
        <v>508.06</v>
      </c>
      <c r="AK219" s="20">
        <v>508.06</v>
      </c>
      <c r="AL219" s="83">
        <v>508.06</v>
      </c>
      <c r="AM219" s="83">
        <v>508.06</v>
      </c>
      <c r="AN219" s="83">
        <v>509.17</v>
      </c>
      <c r="AO219" s="8">
        <f t="shared" si="154"/>
        <v>6433.0600000000013</v>
      </c>
      <c r="AP219" s="24">
        <v>514.13</v>
      </c>
      <c r="AQ219" s="24">
        <v>514.13</v>
      </c>
      <c r="AR219" s="24">
        <f>VLOOKUP(B219,'[1]Sheet1 (2)'!$B$2:$C$397,2,0)</f>
        <v>-5655.49</v>
      </c>
      <c r="AS219" s="24">
        <f>VLOOKUP(B219,'[2]Sheet1 (2)'!$B$2:$C$404,2,0)</f>
        <v>6498.84</v>
      </c>
      <c r="AT219" s="24">
        <v>514.13</v>
      </c>
      <c r="AU219" s="24">
        <v>514.13</v>
      </c>
      <c r="AV219" s="24">
        <v>514.13</v>
      </c>
      <c r="AW219" s="20">
        <v>514.13</v>
      </c>
      <c r="AX219" s="20">
        <v>514.13</v>
      </c>
      <c r="AY219" s="83">
        <v>514.13</v>
      </c>
      <c r="AZ219" s="83">
        <v>514.13</v>
      </c>
      <c r="BA219" s="83">
        <v>514.19000000000005</v>
      </c>
      <c r="BB219" s="8">
        <f t="shared" si="156"/>
        <v>5984.7100000000009</v>
      </c>
      <c r="BC219" s="24">
        <v>6019.66</v>
      </c>
      <c r="BD219" s="24">
        <v>-5552.96</v>
      </c>
      <c r="BE219" s="24">
        <v>501.64</v>
      </c>
      <c r="BF219" s="24">
        <v>501.64</v>
      </c>
      <c r="BG219" s="24">
        <v>501.64</v>
      </c>
      <c r="BH219" s="24">
        <v>501.64</v>
      </c>
      <c r="BI219" s="24">
        <v>501.64</v>
      </c>
      <c r="BN219" s="83"/>
      <c r="BO219" s="8">
        <f t="shared" si="152"/>
        <v>2974.8999999999996</v>
      </c>
    </row>
    <row r="220" spans="2:67" x14ac:dyDescent="0.2">
      <c r="B220" s="3" t="s">
        <v>358</v>
      </c>
      <c r="C220" s="23">
        <v>3993.12</v>
      </c>
      <c r="D220" s="24">
        <v>1286.5999999999999</v>
      </c>
      <c r="E220" s="24">
        <v>134.54</v>
      </c>
      <c r="F220" s="24">
        <v>1314.94</v>
      </c>
      <c r="G220" s="24">
        <v>0</v>
      </c>
      <c r="H220" s="24">
        <v>687.56</v>
      </c>
      <c r="I220" s="24">
        <v>0</v>
      </c>
      <c r="J220" s="24">
        <v>23.7</v>
      </c>
      <c r="K220" s="24">
        <v>175.54</v>
      </c>
      <c r="L220" s="24">
        <v>0</v>
      </c>
      <c r="M220" s="24">
        <v>0</v>
      </c>
      <c r="N220" s="24">
        <v>0</v>
      </c>
      <c r="O220" s="24">
        <f>SUBTOTAL(9,C220:N220)</f>
        <v>7615.9999999999982</v>
      </c>
      <c r="P220" s="24">
        <v>5020.42</v>
      </c>
      <c r="Q220" s="24">
        <v>4602.95</v>
      </c>
      <c r="R220" s="24">
        <v>317.27</v>
      </c>
      <c r="S220" s="24">
        <v>350.86</v>
      </c>
      <c r="T220" s="24">
        <v>0</v>
      </c>
      <c r="U220" s="24">
        <v>2197.4</v>
      </c>
      <c r="V220" s="24">
        <v>3515.51</v>
      </c>
      <c r="W220" s="20">
        <v>5008.1000000000004</v>
      </c>
      <c r="X220" s="20">
        <v>9166.67</v>
      </c>
      <c r="Y220" s="83">
        <v>135.16</v>
      </c>
      <c r="Z220" s="83">
        <v>414.39</v>
      </c>
      <c r="AA220" s="83">
        <v>136.51</v>
      </c>
      <c r="AB220" s="8">
        <f>SUM(P220:AA220)</f>
        <v>30865.239999999998</v>
      </c>
      <c r="AC220" s="24">
        <v>464.41</v>
      </c>
      <c r="AD220" s="24">
        <v>34.64</v>
      </c>
      <c r="AE220" s="24">
        <v>119.08</v>
      </c>
      <c r="AF220" s="24">
        <v>805.93</v>
      </c>
      <c r="AG220" s="24">
        <v>485.77</v>
      </c>
      <c r="AH220" s="24">
        <v>0</v>
      </c>
      <c r="AI220" s="24">
        <v>856.55</v>
      </c>
      <c r="AJ220" s="20">
        <v>0</v>
      </c>
      <c r="AK220" s="20">
        <v>2123.92</v>
      </c>
      <c r="AL220" s="83">
        <v>57.78</v>
      </c>
      <c r="AM220" s="83">
        <v>0</v>
      </c>
      <c r="AN220" s="83">
        <v>0</v>
      </c>
      <c r="AO220" s="8">
        <f t="shared" si="154"/>
        <v>4948.08</v>
      </c>
      <c r="AP220" s="24">
        <v>2724.88</v>
      </c>
      <c r="AQ220" s="24">
        <v>516.20000000000005</v>
      </c>
      <c r="AR220" s="24">
        <f>VLOOKUP(B220,'[1]Sheet1 (2)'!$B$2:$C$397,2,0)</f>
        <v>162.63999999999999</v>
      </c>
      <c r="AS220" s="24">
        <f>VLOOKUP(B220,'[2]Sheet1 (2)'!$B$2:$C$404,2,0)</f>
        <v>919.34</v>
      </c>
      <c r="AT220" s="24">
        <v>1230.95</v>
      </c>
      <c r="AU220" s="24">
        <v>0</v>
      </c>
      <c r="AV220" s="24">
        <v>1245.32</v>
      </c>
      <c r="AW220" s="20">
        <v>869.26</v>
      </c>
      <c r="AX220" s="20">
        <v>652.47</v>
      </c>
      <c r="AY220" s="83">
        <v>196.48</v>
      </c>
      <c r="AZ220" s="83">
        <v>104.64</v>
      </c>
      <c r="BA220" s="83">
        <v>0</v>
      </c>
      <c r="BB220" s="8">
        <f t="shared" si="156"/>
        <v>8622.1799999999985</v>
      </c>
      <c r="BC220" s="24">
        <v>1796.01</v>
      </c>
      <c r="BD220" s="24">
        <v>2084.5500000000002</v>
      </c>
      <c r="BE220" s="24">
        <v>333.96</v>
      </c>
      <c r="BF220" s="24">
        <v>0</v>
      </c>
      <c r="BG220" s="24">
        <v>0</v>
      </c>
      <c r="BH220" s="24">
        <v>0</v>
      </c>
      <c r="BI220" s="24">
        <v>801.41</v>
      </c>
      <c r="BN220" s="83"/>
      <c r="BO220" s="8">
        <f t="shared" si="152"/>
        <v>5015.93</v>
      </c>
    </row>
    <row r="221" spans="2:67" x14ac:dyDescent="0.2">
      <c r="B221" s="3" t="s">
        <v>1833</v>
      </c>
      <c r="C221" s="23"/>
      <c r="AA221" s="83"/>
      <c r="AB221" s="8"/>
      <c r="AC221" s="24">
        <v>0</v>
      </c>
      <c r="AD221" s="24">
        <v>0</v>
      </c>
      <c r="AE221" s="24">
        <v>0</v>
      </c>
      <c r="AF221" s="24">
        <v>0</v>
      </c>
      <c r="AG221" s="24">
        <v>0</v>
      </c>
      <c r="AH221" s="24">
        <v>0</v>
      </c>
      <c r="AI221" s="24">
        <v>0</v>
      </c>
      <c r="AJ221" s="20">
        <v>83.57</v>
      </c>
      <c r="AK221" s="20">
        <v>0</v>
      </c>
      <c r="AL221" s="83">
        <v>0</v>
      </c>
      <c r="AM221" s="83">
        <v>0</v>
      </c>
      <c r="AN221" s="83">
        <v>0</v>
      </c>
      <c r="AO221" s="8">
        <f t="shared" si="154"/>
        <v>83.57</v>
      </c>
      <c r="AP221" s="24">
        <v>0</v>
      </c>
      <c r="AQ221" s="24">
        <v>0</v>
      </c>
      <c r="AR221" s="24">
        <v>0</v>
      </c>
      <c r="AS221" s="24">
        <v>0</v>
      </c>
      <c r="AT221" s="24">
        <v>0</v>
      </c>
      <c r="AU221" s="24">
        <v>0</v>
      </c>
      <c r="AV221" s="24">
        <v>0</v>
      </c>
      <c r="AW221" s="20">
        <v>0</v>
      </c>
      <c r="AX221" s="20">
        <v>0</v>
      </c>
      <c r="AY221" s="83">
        <v>0</v>
      </c>
      <c r="AZ221" s="83">
        <v>0</v>
      </c>
      <c r="BA221" s="83">
        <v>0</v>
      </c>
      <c r="BB221" s="8">
        <f t="shared" si="156"/>
        <v>0</v>
      </c>
      <c r="BC221" s="24">
        <v>0</v>
      </c>
      <c r="BD221" s="24">
        <v>0</v>
      </c>
      <c r="BE221" s="24">
        <v>0</v>
      </c>
      <c r="BF221" s="24">
        <v>0</v>
      </c>
      <c r="BG221" s="24">
        <v>0</v>
      </c>
      <c r="BH221" s="24">
        <v>0</v>
      </c>
      <c r="BI221" s="24">
        <v>0</v>
      </c>
      <c r="BN221" s="83"/>
      <c r="BO221" s="8">
        <f t="shared" si="152"/>
        <v>0</v>
      </c>
    </row>
    <row r="222" spans="2:67" x14ac:dyDescent="0.2">
      <c r="B222" s="3" t="s">
        <v>359</v>
      </c>
      <c r="C222" s="23">
        <v>1270.6400000000001</v>
      </c>
      <c r="D222" s="24">
        <v>0</v>
      </c>
      <c r="E222" s="24">
        <v>0</v>
      </c>
      <c r="F222" s="24">
        <v>0</v>
      </c>
      <c r="G222" s="24">
        <v>0</v>
      </c>
      <c r="H222" s="24">
        <v>0</v>
      </c>
      <c r="I222" s="24">
        <v>0</v>
      </c>
      <c r="J222" s="24">
        <v>0</v>
      </c>
      <c r="K222" s="24">
        <v>0</v>
      </c>
      <c r="L222" s="24">
        <v>0</v>
      </c>
      <c r="M222" s="24">
        <v>0</v>
      </c>
      <c r="N222" s="24">
        <v>0</v>
      </c>
      <c r="O222" s="24">
        <f>SUBTOTAL(9,C222:N222)</f>
        <v>1270.6400000000001</v>
      </c>
      <c r="P222" s="24">
        <v>27.58</v>
      </c>
      <c r="Q222" s="24">
        <v>3.75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0">
        <v>83.83</v>
      </c>
      <c r="X222" s="20">
        <v>11.69</v>
      </c>
      <c r="Y222" s="83">
        <v>0</v>
      </c>
      <c r="Z222" s="83">
        <v>0</v>
      </c>
      <c r="AA222" s="83">
        <v>0</v>
      </c>
      <c r="AB222" s="8">
        <f t="shared" ref="AB222:AB233" si="157">SUM(P222:AA222)</f>
        <v>126.85</v>
      </c>
      <c r="AC222" s="24">
        <v>2290.2199999999998</v>
      </c>
      <c r="AD222" s="24">
        <v>0</v>
      </c>
      <c r="AE222" s="24">
        <v>0</v>
      </c>
      <c r="AF222" s="24">
        <v>0</v>
      </c>
      <c r="AG222" s="24">
        <v>0</v>
      </c>
      <c r="AH222" s="24">
        <v>0</v>
      </c>
      <c r="AI222" s="24">
        <v>0</v>
      </c>
      <c r="AJ222" s="20">
        <v>0</v>
      </c>
      <c r="AK222" s="20">
        <v>0</v>
      </c>
      <c r="AL222" s="83">
        <v>0</v>
      </c>
      <c r="AM222" s="83">
        <v>0</v>
      </c>
      <c r="AN222" s="83">
        <v>0</v>
      </c>
      <c r="AO222" s="8">
        <f t="shared" si="154"/>
        <v>2290.2199999999998</v>
      </c>
      <c r="AP222" s="24">
        <v>0</v>
      </c>
      <c r="AQ222" s="24">
        <v>0</v>
      </c>
      <c r="AR222" s="24">
        <v>0</v>
      </c>
      <c r="AS222" s="24">
        <v>0</v>
      </c>
      <c r="AT222" s="24">
        <v>0</v>
      </c>
      <c r="AU222" s="24">
        <v>0</v>
      </c>
      <c r="AV222" s="24">
        <v>0</v>
      </c>
      <c r="AW222" s="20">
        <v>0</v>
      </c>
      <c r="AX222" s="20">
        <v>0</v>
      </c>
      <c r="AY222" s="83">
        <v>0</v>
      </c>
      <c r="AZ222" s="83">
        <v>0</v>
      </c>
      <c r="BA222" s="83">
        <v>0</v>
      </c>
      <c r="BB222" s="8">
        <f t="shared" si="156"/>
        <v>0</v>
      </c>
      <c r="BC222" s="24">
        <v>0</v>
      </c>
      <c r="BD222" s="24">
        <v>0</v>
      </c>
      <c r="BE222" s="24">
        <v>0</v>
      </c>
      <c r="BF222" s="24">
        <v>0</v>
      </c>
      <c r="BG222" s="24">
        <v>0</v>
      </c>
      <c r="BH222" s="24">
        <v>0</v>
      </c>
      <c r="BI222" s="24">
        <v>0</v>
      </c>
      <c r="BN222" s="83"/>
      <c r="BO222" s="8">
        <f t="shared" si="152"/>
        <v>0</v>
      </c>
    </row>
    <row r="223" spans="2:67" x14ac:dyDescent="0.2">
      <c r="B223" s="3" t="s">
        <v>360</v>
      </c>
      <c r="C223" s="23">
        <v>16594.689999999999</v>
      </c>
      <c r="D223" s="24">
        <v>18071.75</v>
      </c>
      <c r="E223" s="24">
        <v>17815.849999999999</v>
      </c>
      <c r="F223" s="24">
        <v>18761.77</v>
      </c>
      <c r="G223" s="24">
        <v>18382.099999999999</v>
      </c>
      <c r="H223" s="24">
        <v>18261.97</v>
      </c>
      <c r="I223" s="24">
        <v>18042.580000000002</v>
      </c>
      <c r="J223" s="24">
        <v>18354.400000000001</v>
      </c>
      <c r="K223" s="24">
        <v>18457.439999999999</v>
      </c>
      <c r="L223" s="24">
        <v>18139.8</v>
      </c>
      <c r="M223" s="24">
        <v>36905.050000000003</v>
      </c>
      <c r="N223" s="24">
        <v>37316.06</v>
      </c>
      <c r="O223" s="24">
        <f>SUBTOTAL(9,C223:N223)</f>
        <v>255103.46000000002</v>
      </c>
      <c r="P223" s="24">
        <v>56276.06</v>
      </c>
      <c r="Q223" s="24">
        <v>47088.1</v>
      </c>
      <c r="R223" s="24">
        <v>35982.639999999999</v>
      </c>
      <c r="S223" s="24">
        <v>39185.019999999997</v>
      </c>
      <c r="T223" s="24">
        <v>37113.17</v>
      </c>
      <c r="U223" s="24">
        <v>39652.61</v>
      </c>
      <c r="V223" s="24">
        <v>36644.82</v>
      </c>
      <c r="W223" s="20">
        <v>38415.120000000003</v>
      </c>
      <c r="X223" s="20">
        <v>35447.550000000003</v>
      </c>
      <c r="Y223" s="83">
        <v>34277.25</v>
      </c>
      <c r="Z223" s="83">
        <v>35128.9</v>
      </c>
      <c r="AA223" s="83">
        <v>35179.06</v>
      </c>
      <c r="AB223" s="8">
        <f t="shared" si="157"/>
        <v>470390.3</v>
      </c>
      <c r="AC223" s="24">
        <v>50305.38</v>
      </c>
      <c r="AD223" s="24">
        <v>43219.57</v>
      </c>
      <c r="AE223" s="24">
        <v>36676.589999999997</v>
      </c>
      <c r="AF223" s="24">
        <v>36936.71</v>
      </c>
      <c r="AG223" s="24">
        <v>37303.440000000002</v>
      </c>
      <c r="AH223" s="24">
        <v>35162.19</v>
      </c>
      <c r="AI223" s="24">
        <v>35580.01</v>
      </c>
      <c r="AJ223" s="20">
        <v>35448.379999999997</v>
      </c>
      <c r="AK223" s="20">
        <v>37980.14</v>
      </c>
      <c r="AL223" s="83">
        <v>35307.300000000003</v>
      </c>
      <c r="AM223" s="83">
        <v>33647.21</v>
      </c>
      <c r="AN223" s="83">
        <v>33358.94</v>
      </c>
      <c r="AO223" s="8">
        <f t="shared" si="154"/>
        <v>450925.86000000004</v>
      </c>
      <c r="AP223" s="24">
        <v>46583.17</v>
      </c>
      <c r="AQ223" s="24">
        <v>40016.49</v>
      </c>
      <c r="AR223" s="24">
        <f>VLOOKUP(B223,'[1]Sheet1 (2)'!$B$2:$C$397,2,0)</f>
        <v>32064.15</v>
      </c>
      <c r="AS223" s="24">
        <f>VLOOKUP(B223,'[2]Sheet1 (2)'!$B$2:$C$404,2,0)</f>
        <v>32859.949999999997</v>
      </c>
      <c r="AT223" s="24">
        <v>34067.919999999998</v>
      </c>
      <c r="AU223" s="24">
        <v>31134.91</v>
      </c>
      <c r="AV223" s="24">
        <v>32381.26</v>
      </c>
      <c r="AW223" s="20">
        <v>32496.959999999999</v>
      </c>
      <c r="AX223" s="20">
        <v>30235.64</v>
      </c>
      <c r="AY223" s="83">
        <v>30691.48</v>
      </c>
      <c r="AZ223" s="83">
        <v>31775.22</v>
      </c>
      <c r="BA223" s="83">
        <v>33536.04</v>
      </c>
      <c r="BB223" s="8">
        <f t="shared" si="156"/>
        <v>407843.19</v>
      </c>
      <c r="BC223" s="24">
        <v>42642.87</v>
      </c>
      <c r="BD223" s="24">
        <v>39245.4</v>
      </c>
      <c r="BE223" s="24">
        <v>31150.36</v>
      </c>
      <c r="BF223" s="24">
        <v>30185.17</v>
      </c>
      <c r="BG223" s="24">
        <v>33830.230000000003</v>
      </c>
      <c r="BH223" s="24">
        <v>27129.06</v>
      </c>
      <c r="BI223" s="24">
        <v>29419.14</v>
      </c>
      <c r="BN223" s="83"/>
      <c r="BO223" s="8">
        <f t="shared" si="152"/>
        <v>233602.22999999998</v>
      </c>
    </row>
    <row r="224" spans="2:67" x14ac:dyDescent="0.2">
      <c r="B224" s="3" t="s">
        <v>571</v>
      </c>
      <c r="C224" s="23">
        <v>7423.55</v>
      </c>
      <c r="D224" s="24">
        <v>0</v>
      </c>
      <c r="E224" s="24">
        <v>0</v>
      </c>
      <c r="F224" s="24">
        <v>1876.13</v>
      </c>
      <c r="G224" s="24">
        <v>1616.53</v>
      </c>
      <c r="H224" s="24">
        <v>0</v>
      </c>
      <c r="I224" s="24">
        <v>0</v>
      </c>
      <c r="J224" s="24">
        <v>0</v>
      </c>
      <c r="K224" s="24">
        <v>0</v>
      </c>
      <c r="L224" s="24">
        <v>1951.96</v>
      </c>
      <c r="M224" s="24">
        <v>251.34</v>
      </c>
      <c r="N224" s="24">
        <v>2004.16</v>
      </c>
      <c r="O224" s="24">
        <f>SUBTOTAL(9,C224:N224)</f>
        <v>15123.670000000002</v>
      </c>
      <c r="P224" s="24">
        <v>0</v>
      </c>
      <c r="Q224" s="24">
        <v>1660.19</v>
      </c>
      <c r="R224" s="24">
        <v>3018.47</v>
      </c>
      <c r="S224" s="24">
        <v>3620.2</v>
      </c>
      <c r="T224" s="24">
        <v>241.66</v>
      </c>
      <c r="U224" s="24">
        <v>0</v>
      </c>
      <c r="V224" s="24">
        <v>7479.68</v>
      </c>
      <c r="W224" s="20">
        <v>2250.2600000000002</v>
      </c>
      <c r="X224" s="20">
        <v>2588.88</v>
      </c>
      <c r="Y224" s="83">
        <v>2433.36</v>
      </c>
      <c r="Z224" s="83">
        <v>4373.17</v>
      </c>
      <c r="AA224" s="83">
        <v>46.49</v>
      </c>
      <c r="AB224" s="8">
        <f t="shared" si="157"/>
        <v>27712.360000000004</v>
      </c>
      <c r="AC224" s="24">
        <v>820.67</v>
      </c>
      <c r="AD224" s="24">
        <v>0</v>
      </c>
      <c r="AE224" s="24">
        <v>2292.4299999999998</v>
      </c>
      <c r="AF224" s="24">
        <v>246.24</v>
      </c>
      <c r="AG224" s="24">
        <v>7199.2</v>
      </c>
      <c r="AH224" s="24">
        <v>219.1</v>
      </c>
      <c r="AI224" s="24">
        <v>0</v>
      </c>
      <c r="AJ224" s="20">
        <v>0</v>
      </c>
      <c r="AK224" s="20">
        <v>1423.84</v>
      </c>
      <c r="AL224" s="83">
        <v>1376.44</v>
      </c>
      <c r="AM224" s="83">
        <v>809.79</v>
      </c>
      <c r="AN224" s="83">
        <v>571.6</v>
      </c>
      <c r="AO224" s="8">
        <f t="shared" si="154"/>
        <v>14959.310000000003</v>
      </c>
      <c r="AP224" s="24">
        <v>220.44</v>
      </c>
      <c r="AQ224" s="24">
        <v>145.54</v>
      </c>
      <c r="AR224" s="24">
        <f>VLOOKUP(B224,'[1]Sheet1 (2)'!$B$2:$C$397,2,0)</f>
        <v>304.36</v>
      </c>
      <c r="AS224" s="24">
        <f>VLOOKUP(B224,'[2]Sheet1 (2)'!$B$2:$C$404,2,0)</f>
        <v>0</v>
      </c>
      <c r="AT224" s="24">
        <v>306.5</v>
      </c>
      <c r="AU224" s="24">
        <v>0</v>
      </c>
      <c r="AV224" s="24">
        <v>242.36</v>
      </c>
      <c r="AW224" s="20">
        <v>163.19999999999999</v>
      </c>
      <c r="AX224" s="20">
        <v>0</v>
      </c>
      <c r="AY224" s="83">
        <v>0</v>
      </c>
      <c r="AZ224" s="83">
        <v>0</v>
      </c>
      <c r="BA224" s="83">
        <v>0</v>
      </c>
      <c r="BB224" s="8">
        <f t="shared" si="156"/>
        <v>1382.4</v>
      </c>
      <c r="BC224" s="24">
        <v>0</v>
      </c>
      <c r="BD224" s="24">
        <v>0</v>
      </c>
      <c r="BE224" s="24">
        <v>0</v>
      </c>
      <c r="BF224" s="24">
        <v>0</v>
      </c>
      <c r="BG224" s="24">
        <v>0</v>
      </c>
      <c r="BH224" s="24">
        <v>2154.61</v>
      </c>
      <c r="BI224" s="24">
        <v>0</v>
      </c>
      <c r="BN224" s="83"/>
      <c r="BO224" s="8">
        <f t="shared" si="152"/>
        <v>2154.61</v>
      </c>
    </row>
    <row r="225" spans="2:67" x14ac:dyDescent="0.2">
      <c r="B225" s="3" t="s">
        <v>361</v>
      </c>
      <c r="C225" s="23"/>
      <c r="I225" s="24">
        <v>107.69</v>
      </c>
      <c r="J225" s="24">
        <v>75.72</v>
      </c>
      <c r="K225" s="24">
        <v>89.96</v>
      </c>
      <c r="L225" s="24">
        <v>1594.81</v>
      </c>
      <c r="M225" s="24">
        <v>2431.48</v>
      </c>
      <c r="N225" s="24">
        <v>2647.38</v>
      </c>
      <c r="O225" s="24">
        <f>SUBTOTAL(9,C225:N225)</f>
        <v>6947.04</v>
      </c>
      <c r="P225" s="24">
        <v>610.49</v>
      </c>
      <c r="Q225" s="24">
        <v>77.47</v>
      </c>
      <c r="R225" s="24">
        <v>0</v>
      </c>
      <c r="S225" s="24">
        <v>241.1</v>
      </c>
      <c r="T225" s="24">
        <v>0</v>
      </c>
      <c r="U225" s="24">
        <v>0</v>
      </c>
      <c r="V225" s="24">
        <v>0</v>
      </c>
      <c r="W225" s="20">
        <v>0</v>
      </c>
      <c r="X225" s="20">
        <v>0</v>
      </c>
      <c r="Y225" s="83">
        <v>0</v>
      </c>
      <c r="Z225" s="83">
        <v>0</v>
      </c>
      <c r="AA225" s="83">
        <v>0</v>
      </c>
      <c r="AB225" s="8">
        <f t="shared" si="157"/>
        <v>929.06000000000006</v>
      </c>
      <c r="AC225" s="24">
        <v>0</v>
      </c>
      <c r="AD225" s="24">
        <v>0</v>
      </c>
      <c r="AE225" s="24">
        <v>0</v>
      </c>
      <c r="AF225" s="24">
        <v>0</v>
      </c>
      <c r="AG225" s="24">
        <v>97.15</v>
      </c>
      <c r="AH225" s="24">
        <v>112.58</v>
      </c>
      <c r="AI225" s="24">
        <v>0</v>
      </c>
      <c r="AJ225" s="20">
        <v>0</v>
      </c>
      <c r="AK225" s="20">
        <v>0</v>
      </c>
      <c r="AL225" s="83">
        <v>0</v>
      </c>
      <c r="AM225" s="83">
        <v>0</v>
      </c>
      <c r="AN225" s="83">
        <v>0</v>
      </c>
      <c r="AO225" s="8">
        <f t="shared" si="154"/>
        <v>209.73000000000002</v>
      </c>
      <c r="AP225" s="24">
        <v>0</v>
      </c>
      <c r="AQ225" s="24">
        <v>0</v>
      </c>
      <c r="AR225" s="24">
        <v>0</v>
      </c>
      <c r="AS225" s="24">
        <v>0</v>
      </c>
      <c r="AT225" s="24">
        <v>0</v>
      </c>
      <c r="AU225" s="24">
        <v>0</v>
      </c>
      <c r="AV225" s="24">
        <v>0</v>
      </c>
      <c r="AW225" s="20">
        <v>0</v>
      </c>
      <c r="AX225" s="20">
        <v>0</v>
      </c>
      <c r="AY225" s="83">
        <v>0</v>
      </c>
      <c r="AZ225" s="83">
        <v>0</v>
      </c>
      <c r="BA225" s="83">
        <v>0</v>
      </c>
      <c r="BB225" s="8">
        <f t="shared" si="156"/>
        <v>0</v>
      </c>
      <c r="BC225" s="24">
        <v>0</v>
      </c>
      <c r="BD225" s="24">
        <v>0</v>
      </c>
      <c r="BE225" s="24">
        <v>0</v>
      </c>
      <c r="BF225" s="24">
        <v>0</v>
      </c>
      <c r="BG225" s="24">
        <v>0</v>
      </c>
      <c r="BH225" s="24">
        <v>0</v>
      </c>
      <c r="BI225" s="24">
        <v>0</v>
      </c>
      <c r="BN225" s="83"/>
      <c r="BO225" s="8">
        <f t="shared" si="152"/>
        <v>0</v>
      </c>
    </row>
    <row r="226" spans="2:67" x14ac:dyDescent="0.2">
      <c r="B226" s="3" t="s">
        <v>1789</v>
      </c>
      <c r="C226" s="23"/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83">
        <v>223.97</v>
      </c>
      <c r="AA226" s="83">
        <v>0</v>
      </c>
      <c r="AB226" s="8">
        <f t="shared" si="157"/>
        <v>223.97</v>
      </c>
      <c r="AC226" s="24">
        <v>0</v>
      </c>
      <c r="AD226" s="24">
        <v>40.54</v>
      </c>
      <c r="AE226" s="24">
        <v>40.450000000000003</v>
      </c>
      <c r="AF226" s="24">
        <v>39.06</v>
      </c>
      <c r="AG226" s="24">
        <v>0</v>
      </c>
      <c r="AH226" s="24">
        <v>0</v>
      </c>
      <c r="AI226" s="24">
        <v>39.22</v>
      </c>
      <c r="AJ226" s="20">
        <v>0</v>
      </c>
      <c r="AK226" s="20">
        <v>0</v>
      </c>
      <c r="AL226" s="83">
        <v>0</v>
      </c>
      <c r="AM226" s="83">
        <v>0</v>
      </c>
      <c r="AN226" s="83">
        <v>0</v>
      </c>
      <c r="AO226" s="8">
        <f t="shared" si="154"/>
        <v>159.27000000000001</v>
      </c>
      <c r="AP226" s="24">
        <v>0</v>
      </c>
      <c r="AQ226" s="24">
        <v>0</v>
      </c>
      <c r="AR226" s="24">
        <v>0</v>
      </c>
      <c r="AS226" s="24">
        <v>0</v>
      </c>
      <c r="AT226" s="24">
        <v>0</v>
      </c>
      <c r="AU226" s="24">
        <v>0</v>
      </c>
      <c r="AV226" s="24">
        <v>0</v>
      </c>
      <c r="AW226" s="20">
        <v>0</v>
      </c>
      <c r="AX226" s="20">
        <v>0</v>
      </c>
      <c r="AY226" s="83">
        <v>0</v>
      </c>
      <c r="AZ226" s="83">
        <v>0</v>
      </c>
      <c r="BA226" s="83">
        <v>0</v>
      </c>
      <c r="BB226" s="8">
        <f t="shared" si="156"/>
        <v>0</v>
      </c>
      <c r="BC226" s="24">
        <v>0</v>
      </c>
      <c r="BD226" s="24">
        <v>0</v>
      </c>
      <c r="BE226" s="24">
        <v>0</v>
      </c>
      <c r="BF226" s="24">
        <v>0</v>
      </c>
      <c r="BG226" s="24">
        <v>0</v>
      </c>
      <c r="BH226" s="24">
        <v>0</v>
      </c>
      <c r="BI226" s="24">
        <v>0</v>
      </c>
      <c r="BN226" s="83"/>
      <c r="BO226" s="8">
        <f t="shared" si="152"/>
        <v>0</v>
      </c>
    </row>
    <row r="227" spans="2:67" x14ac:dyDescent="0.2">
      <c r="B227" s="3" t="s">
        <v>1427</v>
      </c>
      <c r="C227" s="23"/>
      <c r="G227" s="24">
        <v>34.090000000000003</v>
      </c>
      <c r="H227" s="24">
        <v>0</v>
      </c>
      <c r="I227" s="24">
        <v>0</v>
      </c>
      <c r="J227" s="24">
        <v>0</v>
      </c>
      <c r="K227" s="24">
        <v>0</v>
      </c>
      <c r="L227" s="24">
        <v>0</v>
      </c>
      <c r="M227" s="24">
        <v>0</v>
      </c>
      <c r="N227" s="24">
        <v>0</v>
      </c>
      <c r="O227" s="24">
        <f t="shared" ref="O227:O233" si="158">SUBTOTAL(9,C227:N227)</f>
        <v>34.090000000000003</v>
      </c>
      <c r="P227" s="24">
        <v>0</v>
      </c>
      <c r="Q227" s="24">
        <v>0</v>
      </c>
      <c r="R227" s="24">
        <v>0</v>
      </c>
      <c r="S227" s="24">
        <v>0</v>
      </c>
      <c r="T227" s="24">
        <v>0</v>
      </c>
      <c r="U227" s="24">
        <v>0</v>
      </c>
      <c r="V227" s="24">
        <v>0</v>
      </c>
      <c r="W227" s="20">
        <v>0</v>
      </c>
      <c r="X227" s="20">
        <v>0</v>
      </c>
      <c r="Y227" s="83">
        <v>0</v>
      </c>
      <c r="Z227" s="83">
        <v>0</v>
      </c>
      <c r="AA227" s="83">
        <v>0</v>
      </c>
      <c r="AB227" s="8">
        <f t="shared" si="157"/>
        <v>0</v>
      </c>
      <c r="AC227" s="24">
        <v>0</v>
      </c>
      <c r="AD227" s="24">
        <v>0</v>
      </c>
      <c r="AE227" s="24">
        <v>0</v>
      </c>
      <c r="AF227" s="24">
        <v>0</v>
      </c>
      <c r="AG227" s="24">
        <v>0</v>
      </c>
      <c r="AH227" s="24">
        <v>0</v>
      </c>
      <c r="AI227" s="24">
        <v>0</v>
      </c>
      <c r="AJ227" s="20">
        <v>0</v>
      </c>
      <c r="AK227" s="20">
        <v>0</v>
      </c>
      <c r="AL227" s="83">
        <v>0</v>
      </c>
      <c r="AM227" s="83">
        <v>0</v>
      </c>
      <c r="AN227" s="83">
        <v>0</v>
      </c>
      <c r="AO227" s="8">
        <f t="shared" si="154"/>
        <v>0</v>
      </c>
      <c r="AP227" s="24">
        <v>0</v>
      </c>
      <c r="AQ227" s="24">
        <v>0</v>
      </c>
      <c r="AR227" s="24">
        <v>0</v>
      </c>
      <c r="AS227" s="24">
        <v>0</v>
      </c>
      <c r="AT227" s="24">
        <v>0</v>
      </c>
      <c r="AU227" s="24">
        <v>0</v>
      </c>
      <c r="AV227" s="24">
        <v>0</v>
      </c>
      <c r="AW227" s="20">
        <v>0</v>
      </c>
      <c r="AX227" s="20">
        <v>0</v>
      </c>
      <c r="AY227" s="83">
        <v>0</v>
      </c>
      <c r="AZ227" s="83">
        <v>0</v>
      </c>
      <c r="BA227" s="83">
        <v>0</v>
      </c>
      <c r="BB227" s="8">
        <f t="shared" si="156"/>
        <v>0</v>
      </c>
      <c r="BC227" s="24">
        <v>0</v>
      </c>
      <c r="BD227" s="24">
        <v>0</v>
      </c>
      <c r="BE227" s="24">
        <v>0</v>
      </c>
      <c r="BF227" s="24">
        <v>0</v>
      </c>
      <c r="BG227" s="24">
        <v>0</v>
      </c>
      <c r="BH227" s="24">
        <v>0</v>
      </c>
      <c r="BI227" s="24">
        <v>0</v>
      </c>
      <c r="BN227" s="83"/>
      <c r="BO227" s="8">
        <f t="shared" si="152"/>
        <v>0</v>
      </c>
    </row>
    <row r="228" spans="2:67" x14ac:dyDescent="0.2">
      <c r="B228" s="3" t="s">
        <v>1446</v>
      </c>
      <c r="C228" s="23"/>
      <c r="I228" s="24">
        <v>25.6</v>
      </c>
      <c r="J228" s="24">
        <v>0</v>
      </c>
      <c r="K228" s="24">
        <v>0</v>
      </c>
      <c r="L228" s="24">
        <v>0</v>
      </c>
      <c r="M228" s="24">
        <v>0</v>
      </c>
      <c r="N228" s="24">
        <v>0</v>
      </c>
      <c r="O228" s="24">
        <f t="shared" si="158"/>
        <v>25.6</v>
      </c>
      <c r="P228" s="24">
        <v>0</v>
      </c>
      <c r="Q228" s="24">
        <v>0</v>
      </c>
      <c r="R228" s="24">
        <v>0</v>
      </c>
      <c r="S228" s="24">
        <v>0</v>
      </c>
      <c r="T228" s="24">
        <v>0</v>
      </c>
      <c r="U228" s="24">
        <v>0</v>
      </c>
      <c r="V228" s="24">
        <v>0</v>
      </c>
      <c r="W228" s="20">
        <v>0</v>
      </c>
      <c r="X228" s="20">
        <v>0</v>
      </c>
      <c r="Y228" s="83">
        <v>0</v>
      </c>
      <c r="Z228" s="83">
        <v>0</v>
      </c>
      <c r="AA228" s="83">
        <v>0</v>
      </c>
      <c r="AB228" s="8">
        <f t="shared" si="157"/>
        <v>0</v>
      </c>
      <c r="AC228" s="24">
        <v>0</v>
      </c>
      <c r="AD228" s="24">
        <v>0</v>
      </c>
      <c r="AE228" s="24">
        <v>0</v>
      </c>
      <c r="AF228" s="24">
        <v>0</v>
      </c>
      <c r="AG228" s="24">
        <v>0</v>
      </c>
      <c r="AH228" s="24">
        <v>0</v>
      </c>
      <c r="AI228" s="24">
        <v>0</v>
      </c>
      <c r="AJ228" s="20">
        <v>0</v>
      </c>
      <c r="AK228" s="20">
        <v>0</v>
      </c>
      <c r="AL228" s="83">
        <v>0</v>
      </c>
      <c r="AM228" s="83">
        <v>0</v>
      </c>
      <c r="AN228" s="83">
        <v>0</v>
      </c>
      <c r="AO228" s="8">
        <f t="shared" si="154"/>
        <v>0</v>
      </c>
      <c r="AP228" s="24">
        <v>0</v>
      </c>
      <c r="AQ228" s="24">
        <v>0</v>
      </c>
      <c r="AR228" s="24">
        <v>0</v>
      </c>
      <c r="AS228" s="24">
        <v>0</v>
      </c>
      <c r="AT228" s="24">
        <v>0</v>
      </c>
      <c r="AU228" s="24">
        <v>0</v>
      </c>
      <c r="AV228" s="24">
        <v>0</v>
      </c>
      <c r="AW228" s="20">
        <v>0</v>
      </c>
      <c r="AX228" s="20">
        <v>0</v>
      </c>
      <c r="AY228" s="83">
        <v>0</v>
      </c>
      <c r="AZ228" s="83">
        <v>0</v>
      </c>
      <c r="BA228" s="83">
        <v>0</v>
      </c>
      <c r="BB228" s="8">
        <f t="shared" si="156"/>
        <v>0</v>
      </c>
      <c r="BC228" s="24">
        <v>0</v>
      </c>
      <c r="BD228" s="24">
        <v>0</v>
      </c>
      <c r="BE228" s="24">
        <v>0</v>
      </c>
      <c r="BF228" s="24">
        <v>0</v>
      </c>
      <c r="BG228" s="24">
        <v>0</v>
      </c>
      <c r="BH228" s="24">
        <v>0</v>
      </c>
      <c r="BI228" s="24">
        <v>0</v>
      </c>
      <c r="BN228" s="83"/>
      <c r="BO228" s="8">
        <f t="shared" si="152"/>
        <v>0</v>
      </c>
    </row>
    <row r="229" spans="2:67" x14ac:dyDescent="0.2">
      <c r="B229" s="3" t="s">
        <v>921</v>
      </c>
      <c r="C229" s="23"/>
      <c r="E229" s="24">
        <v>62</v>
      </c>
      <c r="F229" s="24">
        <v>0</v>
      </c>
      <c r="G229" s="24">
        <v>0</v>
      </c>
      <c r="H229" s="24">
        <v>0</v>
      </c>
      <c r="I229" s="24">
        <v>0</v>
      </c>
      <c r="J229" s="24">
        <v>26.71</v>
      </c>
      <c r="K229" s="24">
        <v>23.45</v>
      </c>
      <c r="L229" s="24">
        <v>9.8699999999999992</v>
      </c>
      <c r="M229" s="24">
        <v>0</v>
      </c>
      <c r="N229" s="24">
        <v>71.459999999999994</v>
      </c>
      <c r="O229" s="24">
        <f t="shared" si="158"/>
        <v>193.49</v>
      </c>
      <c r="P229" s="24">
        <v>0</v>
      </c>
      <c r="Q229" s="24">
        <v>0</v>
      </c>
      <c r="R229" s="24">
        <v>0</v>
      </c>
      <c r="S229" s="24">
        <v>0</v>
      </c>
      <c r="T229" s="24">
        <v>0</v>
      </c>
      <c r="U229" s="24">
        <v>209.64</v>
      </c>
      <c r="V229" s="24">
        <v>0</v>
      </c>
      <c r="W229" s="20">
        <v>0</v>
      </c>
      <c r="X229" s="20">
        <v>40.01</v>
      </c>
      <c r="Y229" s="83">
        <v>0</v>
      </c>
      <c r="Z229" s="83">
        <v>0</v>
      </c>
      <c r="AA229" s="83">
        <v>373.14</v>
      </c>
      <c r="AB229" s="8">
        <f t="shared" si="157"/>
        <v>622.79</v>
      </c>
      <c r="AC229" s="24">
        <v>0</v>
      </c>
      <c r="AD229" s="24">
        <v>0</v>
      </c>
      <c r="AE229" s="24">
        <v>0</v>
      </c>
      <c r="AF229" s="24">
        <v>0</v>
      </c>
      <c r="AG229" s="24">
        <v>0</v>
      </c>
      <c r="AH229" s="24">
        <v>0</v>
      </c>
      <c r="AI229" s="24">
        <v>0</v>
      </c>
      <c r="AJ229" s="20">
        <v>0</v>
      </c>
      <c r="AK229" s="20">
        <v>0</v>
      </c>
      <c r="AL229" s="83">
        <v>0</v>
      </c>
      <c r="AM229" s="83">
        <v>0</v>
      </c>
      <c r="AN229" s="83">
        <v>0</v>
      </c>
      <c r="AO229" s="8">
        <f t="shared" si="154"/>
        <v>0</v>
      </c>
      <c r="AP229" s="24">
        <v>0</v>
      </c>
      <c r="AQ229" s="24">
        <v>0</v>
      </c>
      <c r="AR229" s="24">
        <v>0</v>
      </c>
      <c r="AS229" s="24">
        <v>0</v>
      </c>
      <c r="AT229" s="24">
        <v>0</v>
      </c>
      <c r="AU229" s="24">
        <v>0</v>
      </c>
      <c r="AV229" s="24">
        <v>0</v>
      </c>
      <c r="AW229" s="20">
        <v>0</v>
      </c>
      <c r="AX229" s="20">
        <v>0</v>
      </c>
      <c r="AY229" s="83">
        <v>0</v>
      </c>
      <c r="AZ229" s="83">
        <v>0</v>
      </c>
      <c r="BA229" s="83">
        <v>0</v>
      </c>
      <c r="BB229" s="8">
        <f t="shared" si="156"/>
        <v>0</v>
      </c>
      <c r="BC229" s="24">
        <v>0</v>
      </c>
      <c r="BD229" s="24">
        <v>0</v>
      </c>
      <c r="BE229" s="24">
        <v>0</v>
      </c>
      <c r="BF229" s="24">
        <v>0</v>
      </c>
      <c r="BG229" s="24">
        <v>0</v>
      </c>
      <c r="BH229" s="24">
        <v>0</v>
      </c>
      <c r="BI229" s="24">
        <v>0</v>
      </c>
      <c r="BN229" s="83"/>
      <c r="BO229" s="8">
        <f t="shared" si="152"/>
        <v>0</v>
      </c>
    </row>
    <row r="230" spans="2:67" x14ac:dyDescent="0.2">
      <c r="B230" s="3" t="s">
        <v>362</v>
      </c>
      <c r="C230" s="23"/>
      <c r="N230" s="24">
        <v>1385.41</v>
      </c>
      <c r="O230" s="24">
        <f t="shared" si="158"/>
        <v>1385.41</v>
      </c>
      <c r="P230" s="24">
        <v>-1385.41</v>
      </c>
      <c r="Q230" s="24">
        <v>1033.9000000000001</v>
      </c>
      <c r="R230" s="24">
        <v>269.22000000000003</v>
      </c>
      <c r="S230" s="24">
        <v>-563.88</v>
      </c>
      <c r="T230" s="24">
        <v>0</v>
      </c>
      <c r="U230" s="24">
        <v>262.19</v>
      </c>
      <c r="V230" s="24">
        <v>0</v>
      </c>
      <c r="W230" s="20">
        <v>0</v>
      </c>
      <c r="X230" s="20">
        <v>845.07</v>
      </c>
      <c r="Y230" s="83">
        <v>0</v>
      </c>
      <c r="Z230" s="83">
        <v>255.42</v>
      </c>
      <c r="AA230" s="83">
        <v>295.55</v>
      </c>
      <c r="AB230" s="8">
        <f t="shared" si="157"/>
        <v>1012.0600000000002</v>
      </c>
      <c r="AC230" s="24">
        <v>0</v>
      </c>
      <c r="AD230" s="24">
        <v>0</v>
      </c>
      <c r="AE230" s="24">
        <v>572.6</v>
      </c>
      <c r="AF230" s="24">
        <v>337.44</v>
      </c>
      <c r="AG230" s="24">
        <v>0</v>
      </c>
      <c r="AH230" s="24">
        <v>0</v>
      </c>
      <c r="AI230" s="24">
        <v>0</v>
      </c>
      <c r="AJ230" s="20">
        <v>449.42</v>
      </c>
      <c r="AK230" s="20">
        <v>195.05</v>
      </c>
      <c r="AL230" s="83">
        <v>963.2</v>
      </c>
      <c r="AM230" s="83">
        <v>0</v>
      </c>
      <c r="AN230" s="83">
        <v>385.2</v>
      </c>
      <c r="AO230" s="8">
        <f t="shared" si="154"/>
        <v>2902.91</v>
      </c>
      <c r="AP230" s="24">
        <v>203.79</v>
      </c>
      <c r="AQ230" s="24">
        <v>349.06</v>
      </c>
      <c r="AR230" s="24">
        <f>VLOOKUP(B230,'[1]Sheet1 (2)'!$B$2:$C$397,2,0)</f>
        <v>107.67</v>
      </c>
      <c r="AS230" s="24">
        <f>VLOOKUP(B230,'[2]Sheet1 (2)'!$B$2:$C$404,2,0)</f>
        <v>77.900000000000006</v>
      </c>
      <c r="AT230" s="24">
        <v>0</v>
      </c>
      <c r="AU230" s="24">
        <v>0</v>
      </c>
      <c r="AV230" s="24">
        <v>0</v>
      </c>
      <c r="AW230" s="20">
        <v>107.13</v>
      </c>
      <c r="AX230" s="20">
        <v>521.6</v>
      </c>
      <c r="AY230" s="83">
        <v>0</v>
      </c>
      <c r="AZ230" s="83">
        <v>316.10000000000002</v>
      </c>
      <c r="BA230" s="83">
        <v>0</v>
      </c>
      <c r="BB230" s="8">
        <f t="shared" si="156"/>
        <v>1683.25</v>
      </c>
      <c r="BC230" s="24">
        <v>149.46</v>
      </c>
      <c r="BD230" s="24">
        <v>0</v>
      </c>
      <c r="BE230" s="24">
        <v>0</v>
      </c>
      <c r="BF230" s="24">
        <v>0</v>
      </c>
      <c r="BG230" s="24">
        <v>0</v>
      </c>
      <c r="BH230" s="24">
        <v>0</v>
      </c>
      <c r="BI230" s="24">
        <v>0</v>
      </c>
      <c r="BN230" s="83"/>
      <c r="BO230" s="8">
        <f t="shared" si="152"/>
        <v>149.46</v>
      </c>
    </row>
    <row r="231" spans="2:67" x14ac:dyDescent="0.2">
      <c r="B231" s="3" t="s">
        <v>852</v>
      </c>
      <c r="C231" s="23"/>
      <c r="F231" s="24">
        <v>1297.71</v>
      </c>
      <c r="G231" s="24">
        <v>0</v>
      </c>
      <c r="H231" s="24">
        <v>0</v>
      </c>
      <c r="I231" s="24">
        <v>-1297.71</v>
      </c>
      <c r="J231" s="24">
        <v>0</v>
      </c>
      <c r="K231" s="24">
        <v>0</v>
      </c>
      <c r="L231" s="24">
        <v>6329.54</v>
      </c>
      <c r="M231" s="24">
        <v>0</v>
      </c>
      <c r="N231" s="24">
        <v>0</v>
      </c>
      <c r="O231" s="24">
        <f t="shared" si="158"/>
        <v>6329.54</v>
      </c>
      <c r="P231" s="24">
        <v>0</v>
      </c>
      <c r="Q231" s="24">
        <v>0</v>
      </c>
      <c r="R231" s="24">
        <v>0</v>
      </c>
      <c r="S231" s="24">
        <v>0</v>
      </c>
      <c r="T231" s="24">
        <v>5411.46</v>
      </c>
      <c r="U231" s="24">
        <v>0</v>
      </c>
      <c r="V231" s="24">
        <v>0</v>
      </c>
      <c r="W231" s="20">
        <v>0</v>
      </c>
      <c r="X231" s="20">
        <v>0</v>
      </c>
      <c r="Y231" s="83">
        <v>1795.6</v>
      </c>
      <c r="Z231" s="83">
        <v>719.11</v>
      </c>
      <c r="AA231" s="83">
        <v>0</v>
      </c>
      <c r="AB231" s="8">
        <f t="shared" si="157"/>
        <v>7926.1699999999992</v>
      </c>
      <c r="AC231" s="24">
        <v>0</v>
      </c>
      <c r="AD231" s="24">
        <v>0</v>
      </c>
      <c r="AE231" s="24">
        <v>0</v>
      </c>
      <c r="AF231" s="24">
        <v>0</v>
      </c>
      <c r="AG231" s="24">
        <v>0</v>
      </c>
      <c r="AH231" s="103">
        <v>8765.42</v>
      </c>
      <c r="AI231" s="24">
        <v>0</v>
      </c>
      <c r="AJ231" s="20">
        <v>579.05999999999995</v>
      </c>
      <c r="AK231" s="20">
        <v>143.1</v>
      </c>
      <c r="AL231" s="83">
        <v>9180.8799999999992</v>
      </c>
      <c r="AM231" s="83">
        <v>90.22</v>
      </c>
      <c r="AN231" s="83">
        <v>48.41</v>
      </c>
      <c r="AO231" s="8">
        <f t="shared" si="154"/>
        <v>18807.09</v>
      </c>
      <c r="AP231" s="24">
        <v>0</v>
      </c>
      <c r="AQ231" s="24">
        <v>0</v>
      </c>
      <c r="AR231" s="24">
        <f>VLOOKUP(B231,'[1]Sheet1 (2)'!$B$2:$C$397,2,0)</f>
        <v>484.82</v>
      </c>
      <c r="AS231" s="24">
        <f>VLOOKUP(B231,'[2]Sheet1 (2)'!$B$2:$C$404,2,0)</f>
        <v>0</v>
      </c>
      <c r="AT231" s="24">
        <v>7120.34</v>
      </c>
      <c r="AU231" s="24">
        <v>-261.49</v>
      </c>
      <c r="AV231" s="24">
        <v>0</v>
      </c>
      <c r="AW231" s="20">
        <v>0</v>
      </c>
      <c r="AX231" s="20">
        <v>7102.12</v>
      </c>
      <c r="AY231" s="83">
        <v>0</v>
      </c>
      <c r="AZ231" s="83">
        <v>3428.67</v>
      </c>
      <c r="BA231" s="83">
        <v>4.74</v>
      </c>
      <c r="BB231" s="8">
        <f t="shared" si="156"/>
        <v>17879.2</v>
      </c>
      <c r="BC231" s="24">
        <v>-4480.1099999999997</v>
      </c>
      <c r="BD231" s="24">
        <v>0</v>
      </c>
      <c r="BE231" s="24">
        <v>0</v>
      </c>
      <c r="BF231" s="24">
        <v>0</v>
      </c>
      <c r="BG231" s="24">
        <v>0</v>
      </c>
      <c r="BH231" s="24">
        <v>3054.32</v>
      </c>
      <c r="BI231" s="24">
        <v>0</v>
      </c>
      <c r="BN231" s="83"/>
      <c r="BO231" s="8">
        <f t="shared" si="152"/>
        <v>-1425.7899999999995</v>
      </c>
    </row>
    <row r="232" spans="2:67" x14ac:dyDescent="0.2">
      <c r="B232" s="3" t="s">
        <v>1111</v>
      </c>
      <c r="C232" s="23">
        <v>0</v>
      </c>
      <c r="D232" s="23">
        <v>1297.71</v>
      </c>
      <c r="E232" s="24">
        <v>0</v>
      </c>
      <c r="F232" s="24">
        <v>-1297.71</v>
      </c>
      <c r="G232" s="24">
        <v>0</v>
      </c>
      <c r="H232" s="24">
        <v>0</v>
      </c>
      <c r="I232" s="24">
        <v>0</v>
      </c>
      <c r="J232" s="24">
        <v>0</v>
      </c>
      <c r="K232" s="24">
        <v>0</v>
      </c>
      <c r="L232" s="24">
        <v>0</v>
      </c>
      <c r="M232" s="24">
        <v>0</v>
      </c>
      <c r="N232" s="24">
        <v>0</v>
      </c>
      <c r="O232" s="24">
        <f t="shared" si="158"/>
        <v>0</v>
      </c>
      <c r="P232" s="24">
        <v>0</v>
      </c>
      <c r="Q232" s="24">
        <v>0</v>
      </c>
      <c r="R232" s="24">
        <v>0</v>
      </c>
      <c r="S232" s="24">
        <v>0</v>
      </c>
      <c r="T232" s="24">
        <v>0</v>
      </c>
      <c r="U232" s="24">
        <v>0</v>
      </c>
      <c r="V232" s="24">
        <v>0</v>
      </c>
      <c r="W232" s="20">
        <v>0</v>
      </c>
      <c r="X232" s="20">
        <v>0</v>
      </c>
      <c r="Y232" s="83">
        <v>0</v>
      </c>
      <c r="Z232" s="83">
        <v>0</v>
      </c>
      <c r="AA232" s="83">
        <v>0</v>
      </c>
      <c r="AB232" s="8">
        <f t="shared" si="157"/>
        <v>0</v>
      </c>
      <c r="AC232" s="24">
        <v>0</v>
      </c>
      <c r="AD232" s="24">
        <v>0</v>
      </c>
      <c r="AE232" s="24">
        <v>0</v>
      </c>
      <c r="AF232" s="24">
        <v>0</v>
      </c>
      <c r="AG232" s="24">
        <v>0</v>
      </c>
      <c r="AH232" s="24">
        <v>0</v>
      </c>
      <c r="AI232" s="24">
        <v>0</v>
      </c>
      <c r="AJ232" s="20">
        <v>0</v>
      </c>
      <c r="AK232" s="20">
        <v>0</v>
      </c>
      <c r="AL232" s="83">
        <v>0</v>
      </c>
      <c r="AM232" s="83">
        <v>0</v>
      </c>
      <c r="AN232" s="83">
        <v>0</v>
      </c>
      <c r="AO232" s="8">
        <f t="shared" si="154"/>
        <v>0</v>
      </c>
      <c r="AP232" s="24">
        <v>0</v>
      </c>
      <c r="AQ232" s="24">
        <v>0</v>
      </c>
      <c r="AR232" s="24">
        <v>0</v>
      </c>
      <c r="AS232" s="24">
        <v>0</v>
      </c>
      <c r="AT232" s="24">
        <v>0</v>
      </c>
      <c r="AU232" s="24">
        <v>0</v>
      </c>
      <c r="AV232" s="24">
        <v>0</v>
      </c>
      <c r="AW232" s="20">
        <v>0</v>
      </c>
      <c r="AX232" s="20">
        <v>0</v>
      </c>
      <c r="AY232" s="83">
        <v>0</v>
      </c>
      <c r="AZ232" s="83">
        <v>0</v>
      </c>
      <c r="BA232" s="83">
        <v>0</v>
      </c>
      <c r="BB232" s="8">
        <f t="shared" si="156"/>
        <v>0</v>
      </c>
      <c r="BC232" s="24">
        <v>0</v>
      </c>
      <c r="BD232" s="24">
        <v>0</v>
      </c>
      <c r="BE232" s="24">
        <v>0</v>
      </c>
      <c r="BF232" s="24">
        <v>0</v>
      </c>
      <c r="BG232" s="24">
        <v>0</v>
      </c>
      <c r="BH232" s="24">
        <v>0</v>
      </c>
      <c r="BI232" s="24">
        <v>0</v>
      </c>
      <c r="BN232" s="83"/>
      <c r="BO232" s="8">
        <f t="shared" si="152"/>
        <v>0</v>
      </c>
    </row>
    <row r="233" spans="2:67" x14ac:dyDescent="0.2">
      <c r="B233" s="3" t="s">
        <v>363</v>
      </c>
      <c r="C233" s="23">
        <v>1958.16</v>
      </c>
      <c r="D233" s="24">
        <v>1115.44</v>
      </c>
      <c r="E233" s="24">
        <v>3036.68</v>
      </c>
      <c r="F233" s="24">
        <v>2415.5300000000002</v>
      </c>
      <c r="G233" s="24">
        <v>1835.93</v>
      </c>
      <c r="H233" s="24">
        <v>886.88</v>
      </c>
      <c r="I233" s="24">
        <v>745.39</v>
      </c>
      <c r="J233" s="24">
        <v>146.55000000000001</v>
      </c>
      <c r="K233" s="24">
        <v>129.51</v>
      </c>
      <c r="L233" s="24">
        <v>0</v>
      </c>
      <c r="M233" s="24">
        <v>56.27</v>
      </c>
      <c r="N233" s="24">
        <v>148.75</v>
      </c>
      <c r="O233" s="24">
        <f t="shared" si="158"/>
        <v>12475.09</v>
      </c>
      <c r="P233" s="24">
        <v>14.56</v>
      </c>
      <c r="Q233" s="24">
        <v>2.96</v>
      </c>
      <c r="R233" s="24">
        <v>0</v>
      </c>
      <c r="S233" s="24">
        <v>0</v>
      </c>
      <c r="T233" s="24">
        <v>-17.52</v>
      </c>
      <c r="U233" s="24">
        <v>0</v>
      </c>
      <c r="V233" s="24">
        <v>0</v>
      </c>
      <c r="W233" s="20">
        <v>0</v>
      </c>
      <c r="X233" s="20">
        <v>0</v>
      </c>
      <c r="Y233" s="83">
        <v>0</v>
      </c>
      <c r="Z233" s="83">
        <v>0</v>
      </c>
      <c r="AA233" s="83">
        <v>0</v>
      </c>
      <c r="AB233" s="8">
        <f t="shared" si="157"/>
        <v>0</v>
      </c>
      <c r="AC233" s="24">
        <v>0</v>
      </c>
      <c r="AD233" s="24">
        <v>0</v>
      </c>
      <c r="AE233" s="24">
        <v>0</v>
      </c>
      <c r="AF233" s="24">
        <v>0</v>
      </c>
      <c r="AG233" s="24">
        <v>0</v>
      </c>
      <c r="AH233" s="24">
        <v>0</v>
      </c>
      <c r="AI233" s="24">
        <v>0</v>
      </c>
      <c r="AJ233" s="20">
        <v>0</v>
      </c>
      <c r="AK233" s="20">
        <v>0</v>
      </c>
      <c r="AL233" s="83">
        <v>0</v>
      </c>
      <c r="AM233" s="83">
        <v>0</v>
      </c>
      <c r="AN233" s="83">
        <v>0</v>
      </c>
      <c r="AO233" s="8">
        <f t="shared" si="154"/>
        <v>0</v>
      </c>
      <c r="AP233" s="24">
        <v>0</v>
      </c>
      <c r="AQ233" s="24">
        <v>0</v>
      </c>
      <c r="AR233" s="24">
        <v>0</v>
      </c>
      <c r="AS233" s="24">
        <v>0</v>
      </c>
      <c r="AT233" s="24">
        <v>0</v>
      </c>
      <c r="AU233" s="24">
        <v>0</v>
      </c>
      <c r="AV233" s="24">
        <v>0</v>
      </c>
      <c r="AW233" s="20">
        <v>0</v>
      </c>
      <c r="AX233" s="20">
        <v>0</v>
      </c>
      <c r="AY233" s="83">
        <v>0</v>
      </c>
      <c r="AZ233" s="83">
        <v>0</v>
      </c>
      <c r="BA233" s="83">
        <v>0</v>
      </c>
      <c r="BB233" s="8">
        <f t="shared" si="156"/>
        <v>0</v>
      </c>
      <c r="BC233" s="24">
        <v>0</v>
      </c>
      <c r="BD233" s="24">
        <v>0</v>
      </c>
      <c r="BE233" s="24">
        <v>0</v>
      </c>
      <c r="BF233" s="24">
        <v>0</v>
      </c>
      <c r="BG233" s="24">
        <v>0</v>
      </c>
      <c r="BH233" s="24">
        <v>0</v>
      </c>
      <c r="BI233" s="24">
        <v>0</v>
      </c>
      <c r="BN233" s="83"/>
      <c r="BO233" s="8">
        <f t="shared" si="152"/>
        <v>0</v>
      </c>
    </row>
    <row r="234" spans="2:67" x14ac:dyDescent="0.2">
      <c r="B234" s="6" t="s">
        <v>1552</v>
      </c>
      <c r="C234" s="7">
        <f t="shared" ref="C234:N234" si="159">SUM(C180:C233)</f>
        <v>197221.71999999997</v>
      </c>
      <c r="D234" s="7">
        <f t="shared" si="159"/>
        <v>215299.96</v>
      </c>
      <c r="E234" s="7">
        <f t="shared" si="159"/>
        <v>254251.84000000003</v>
      </c>
      <c r="F234" s="7">
        <f t="shared" si="159"/>
        <v>209613.94</v>
      </c>
      <c r="G234" s="7">
        <f t="shared" si="159"/>
        <v>204366.71999999997</v>
      </c>
      <c r="H234" s="7">
        <f t="shared" si="159"/>
        <v>267562.74</v>
      </c>
      <c r="I234" s="7">
        <f t="shared" si="159"/>
        <v>223107.35000000003</v>
      </c>
      <c r="J234" s="7">
        <f t="shared" si="159"/>
        <v>230848.54999999996</v>
      </c>
      <c r="K234" s="7">
        <f t="shared" si="159"/>
        <v>245281.30000000005</v>
      </c>
      <c r="L234" s="7">
        <f t="shared" si="159"/>
        <v>205362.87999999998</v>
      </c>
      <c r="M234" s="7">
        <f t="shared" si="159"/>
        <v>200112.47</v>
      </c>
      <c r="N234" s="7">
        <f t="shared" si="159"/>
        <v>265761.31</v>
      </c>
      <c r="O234" s="7">
        <f>SUM(C234:N234)</f>
        <v>2718790.7800000003</v>
      </c>
      <c r="P234" s="7">
        <f t="shared" ref="P234:AT234" si="160">SUM(P180:P233)</f>
        <v>199655.57000000004</v>
      </c>
      <c r="Q234" s="7">
        <f t="shared" si="160"/>
        <v>263475.14999999997</v>
      </c>
      <c r="R234" s="7">
        <f t="shared" si="160"/>
        <v>314070.56999999989</v>
      </c>
      <c r="S234" s="7">
        <f t="shared" si="160"/>
        <v>266126.34999999998</v>
      </c>
      <c r="T234" s="7">
        <f t="shared" si="160"/>
        <v>279537.61000000004</v>
      </c>
      <c r="U234" s="7">
        <f t="shared" si="160"/>
        <v>328448.5</v>
      </c>
      <c r="V234" s="7">
        <f t="shared" si="160"/>
        <v>295891.09999999998</v>
      </c>
      <c r="W234" s="63">
        <f t="shared" si="160"/>
        <v>285830.18</v>
      </c>
      <c r="X234" s="63">
        <f t="shared" si="160"/>
        <v>350696.34</v>
      </c>
      <c r="Y234" s="63">
        <f t="shared" si="160"/>
        <v>235462.38</v>
      </c>
      <c r="Z234" s="63">
        <f t="shared" si="160"/>
        <v>260596.66999999995</v>
      </c>
      <c r="AA234" s="63">
        <f t="shared" si="160"/>
        <v>288863.93000000005</v>
      </c>
      <c r="AB234" s="63">
        <f t="shared" si="160"/>
        <v>3368654.3500000006</v>
      </c>
      <c r="AC234" s="63">
        <f t="shared" si="160"/>
        <v>280281.28999999998</v>
      </c>
      <c r="AD234" s="63">
        <f t="shared" si="160"/>
        <v>280541.58</v>
      </c>
      <c r="AE234" s="63">
        <f t="shared" si="160"/>
        <v>311715.98</v>
      </c>
      <c r="AF234" s="63">
        <f t="shared" si="160"/>
        <v>412216.87000000005</v>
      </c>
      <c r="AG234" s="63">
        <f t="shared" si="160"/>
        <v>291845.64</v>
      </c>
      <c r="AH234" s="63">
        <f t="shared" si="160"/>
        <v>289824.52</v>
      </c>
      <c r="AI234" s="63">
        <f t="shared" si="160"/>
        <v>286534.77999999997</v>
      </c>
      <c r="AJ234" s="63">
        <f t="shared" si="160"/>
        <v>282192.95999999996</v>
      </c>
      <c r="AK234" s="63">
        <f t="shared" si="160"/>
        <v>329730.73</v>
      </c>
      <c r="AL234" s="63">
        <f t="shared" si="160"/>
        <v>256622.31</v>
      </c>
      <c r="AM234" s="63">
        <f t="shared" si="160"/>
        <v>239124.18000000002</v>
      </c>
      <c r="AN234" s="63">
        <f t="shared" si="160"/>
        <v>285781.82000000007</v>
      </c>
      <c r="AO234" s="63">
        <f t="shared" si="160"/>
        <v>3546412.6600000011</v>
      </c>
      <c r="AP234" s="63">
        <f t="shared" si="160"/>
        <v>280889.60000000003</v>
      </c>
      <c r="AQ234" s="63">
        <f t="shared" si="160"/>
        <v>291812.36</v>
      </c>
      <c r="AR234" s="63">
        <f t="shared" si="160"/>
        <v>279260.83</v>
      </c>
      <c r="AS234" s="63">
        <f t="shared" si="160"/>
        <v>246593.82999999993</v>
      </c>
      <c r="AT234" s="63">
        <f t="shared" si="160"/>
        <v>286006.63</v>
      </c>
      <c r="AU234" s="63">
        <f t="shared" ref="AU234:BO234" si="161">SUM(AU180:AU233)</f>
        <v>300218.9800000001</v>
      </c>
      <c r="AV234" s="63">
        <f t="shared" si="161"/>
        <v>267081.02999999997</v>
      </c>
      <c r="AW234" s="63">
        <f t="shared" si="161"/>
        <v>263954.71000000008</v>
      </c>
      <c r="AX234" s="63">
        <f t="shared" si="161"/>
        <v>296964.70999999996</v>
      </c>
      <c r="AY234" s="63">
        <f t="shared" si="161"/>
        <v>233837.35000000006</v>
      </c>
      <c r="AZ234" s="63">
        <f t="shared" si="161"/>
        <v>213004.24000000002</v>
      </c>
      <c r="BA234" s="63">
        <f t="shared" si="161"/>
        <v>263576.63999999996</v>
      </c>
      <c r="BB234" s="63">
        <f t="shared" si="161"/>
        <v>3223200.9100000006</v>
      </c>
      <c r="BC234" s="63">
        <f t="shared" si="161"/>
        <v>238831.68</v>
      </c>
      <c r="BD234" s="63">
        <f t="shared" si="161"/>
        <v>227028.91999999995</v>
      </c>
      <c r="BE234" s="63">
        <f t="shared" si="161"/>
        <v>332059.1999999999</v>
      </c>
      <c r="BF234" s="63">
        <f t="shared" si="161"/>
        <v>192523.28000000003</v>
      </c>
      <c r="BG234" s="63">
        <f t="shared" si="161"/>
        <v>225651.77000000005</v>
      </c>
      <c r="BH234" s="63">
        <f t="shared" si="161"/>
        <v>239077.69999999995</v>
      </c>
      <c r="BI234" s="63">
        <f t="shared" si="161"/>
        <v>184855.63000000006</v>
      </c>
      <c r="BJ234" s="63">
        <f t="shared" si="161"/>
        <v>0</v>
      </c>
      <c r="BK234" s="63">
        <f t="shared" si="161"/>
        <v>0</v>
      </c>
      <c r="BL234" s="63">
        <f t="shared" si="161"/>
        <v>0</v>
      </c>
      <c r="BM234" s="63">
        <f t="shared" si="161"/>
        <v>0</v>
      </c>
      <c r="BN234" s="63">
        <f t="shared" si="161"/>
        <v>0</v>
      </c>
      <c r="BO234" s="63">
        <f t="shared" si="161"/>
        <v>1640028.1799999995</v>
      </c>
    </row>
    <row r="235" spans="2:67" x14ac:dyDescent="0.2">
      <c r="B235" s="3" t="s">
        <v>365</v>
      </c>
      <c r="C235" s="23"/>
      <c r="I235" s="24">
        <v>50.03</v>
      </c>
      <c r="J235" s="24">
        <v>1286.58</v>
      </c>
      <c r="K235" s="24">
        <v>1602.53</v>
      </c>
      <c r="L235" s="24">
        <v>2595.23</v>
      </c>
      <c r="M235" s="24">
        <v>623.49</v>
      </c>
      <c r="N235" s="24">
        <v>2784.02</v>
      </c>
      <c r="O235" s="24">
        <f t="shared" ref="O235:O240" si="162">SUBTOTAL(9,C235:N235)</f>
        <v>8941.8799999999992</v>
      </c>
      <c r="P235" s="24">
        <v>631.21</v>
      </c>
      <c r="Q235" s="24">
        <v>0</v>
      </c>
      <c r="R235" s="24">
        <v>408.77</v>
      </c>
      <c r="S235" s="24">
        <v>643.51</v>
      </c>
      <c r="T235" s="24">
        <v>402.58</v>
      </c>
      <c r="U235" s="24">
        <v>281.36</v>
      </c>
      <c r="V235" s="24">
        <v>1465.02</v>
      </c>
      <c r="W235" s="20">
        <v>679.93</v>
      </c>
      <c r="X235" s="20">
        <v>2047.48</v>
      </c>
      <c r="Y235" s="83">
        <v>2660.31</v>
      </c>
      <c r="Z235" s="83">
        <v>1140.33</v>
      </c>
      <c r="AA235" s="83">
        <v>3591.96</v>
      </c>
      <c r="AB235" s="8">
        <f t="shared" ref="AB235:AB240" si="163">SUM(P235:AA235)</f>
        <v>13952.46</v>
      </c>
      <c r="AC235" s="24">
        <v>62.37</v>
      </c>
      <c r="AD235" s="24">
        <v>-490.82</v>
      </c>
      <c r="AE235" s="24">
        <v>1373.45</v>
      </c>
      <c r="AF235" s="24">
        <v>570.01</v>
      </c>
      <c r="AG235" s="24">
        <v>1979.25</v>
      </c>
      <c r="AH235" s="24">
        <v>1255.1199999999999</v>
      </c>
      <c r="AI235" s="24">
        <v>92.06</v>
      </c>
      <c r="AJ235" s="20">
        <v>2205.6799999999998</v>
      </c>
      <c r="AK235" s="20">
        <v>102.69</v>
      </c>
      <c r="AL235" s="83">
        <v>3826.08</v>
      </c>
      <c r="AM235" s="83">
        <v>1311.82</v>
      </c>
      <c r="AN235" s="83">
        <v>2380.81</v>
      </c>
      <c r="AO235" s="8">
        <f t="shared" ref="AO235:AO244" si="164">SUM(AC235:AN235)</f>
        <v>14668.519999999999</v>
      </c>
      <c r="AP235" s="24">
        <v>0</v>
      </c>
      <c r="AQ235" s="24">
        <v>0</v>
      </c>
      <c r="AR235" s="24">
        <f>VLOOKUP(B235,'[1]Sheet1 (2)'!$B$2:$C$397,2,0)</f>
        <v>849.18</v>
      </c>
      <c r="AS235" s="24">
        <f>VLOOKUP(B235,'[2]Sheet1 (2)'!$B$2:$C$404,2,0)</f>
        <v>0</v>
      </c>
      <c r="AT235" s="24">
        <v>4460.3500000000004</v>
      </c>
      <c r="AU235" s="24">
        <v>116.89</v>
      </c>
      <c r="AV235" s="24">
        <v>1409.71</v>
      </c>
      <c r="AW235" s="20">
        <v>393.31</v>
      </c>
      <c r="AX235" s="20">
        <v>2071.59</v>
      </c>
      <c r="AY235" s="83">
        <v>351.87</v>
      </c>
      <c r="AZ235" s="83">
        <v>1134.4000000000001</v>
      </c>
      <c r="BA235" s="83">
        <v>1660.16</v>
      </c>
      <c r="BB235" s="8">
        <f t="shared" ref="BB235:BB244" si="165">SUM(AP235:BA235)</f>
        <v>12447.460000000003</v>
      </c>
      <c r="BC235" s="24">
        <v>0</v>
      </c>
      <c r="BD235" s="24">
        <v>1600.23</v>
      </c>
      <c r="BE235" s="24">
        <v>1168.57</v>
      </c>
      <c r="BF235" s="24">
        <v>0</v>
      </c>
      <c r="BG235" s="24">
        <v>0</v>
      </c>
      <c r="BH235" s="24">
        <v>1487.7</v>
      </c>
      <c r="BI235" s="24">
        <v>649.11</v>
      </c>
      <c r="BN235" s="83"/>
      <c r="BO235" s="8">
        <f t="shared" ref="BO235:BO244" si="166">SUM(BC235:BN235)</f>
        <v>4905.6099999999997</v>
      </c>
    </row>
    <row r="236" spans="2:67" x14ac:dyDescent="0.2">
      <c r="B236" s="3" t="s">
        <v>366</v>
      </c>
      <c r="C236" s="23">
        <v>223.34</v>
      </c>
      <c r="D236" s="24">
        <v>0</v>
      </c>
      <c r="E236" s="24">
        <v>3041.88</v>
      </c>
      <c r="F236" s="24">
        <v>1563.65</v>
      </c>
      <c r="G236" s="24">
        <v>3545.52</v>
      </c>
      <c r="H236" s="24">
        <v>4184.13</v>
      </c>
      <c r="I236" s="24">
        <v>6925.9</v>
      </c>
      <c r="J236" s="24">
        <v>6367.53</v>
      </c>
      <c r="K236" s="24">
        <v>5580.23</v>
      </c>
      <c r="L236" s="24">
        <v>4271.93</v>
      </c>
      <c r="M236" s="24">
        <v>836.79</v>
      </c>
      <c r="N236" s="24">
        <v>5273.11</v>
      </c>
      <c r="O236" s="24">
        <f t="shared" si="162"/>
        <v>41814.01</v>
      </c>
      <c r="P236" s="24">
        <v>2838.78</v>
      </c>
      <c r="Q236" s="24">
        <v>516.11</v>
      </c>
      <c r="R236" s="24">
        <v>2621.41</v>
      </c>
      <c r="S236" s="24">
        <v>1450.68</v>
      </c>
      <c r="T236" s="24">
        <v>1425.52</v>
      </c>
      <c r="U236" s="24">
        <v>1678.79</v>
      </c>
      <c r="V236" s="24">
        <v>1337.9</v>
      </c>
      <c r="W236" s="20">
        <v>3887.32</v>
      </c>
      <c r="X236" s="20">
        <v>4993.43</v>
      </c>
      <c r="Y236" s="83">
        <v>2258.0700000000002</v>
      </c>
      <c r="Z236" s="83">
        <v>8877.25</v>
      </c>
      <c r="AA236" s="83">
        <v>2761.22</v>
      </c>
      <c r="AB236" s="8">
        <f t="shared" si="163"/>
        <v>34646.480000000003</v>
      </c>
      <c r="AC236" s="24">
        <v>1268.76</v>
      </c>
      <c r="AD236" s="24">
        <v>2005.18</v>
      </c>
      <c r="AE236" s="24">
        <v>3919.9</v>
      </c>
      <c r="AF236" s="24">
        <v>1786.35</v>
      </c>
      <c r="AG236" s="24">
        <v>1981.99</v>
      </c>
      <c r="AH236" s="24">
        <v>2645.32</v>
      </c>
      <c r="AI236" s="24">
        <v>3543.42</v>
      </c>
      <c r="AJ236" s="20">
        <v>2647.57</v>
      </c>
      <c r="AK236" s="20">
        <v>3104.23</v>
      </c>
      <c r="AL236" s="83">
        <v>3338.51</v>
      </c>
      <c r="AM236" s="83">
        <v>2655.52</v>
      </c>
      <c r="AN236" s="83">
        <v>3796.52</v>
      </c>
      <c r="AO236" s="8">
        <f t="shared" si="164"/>
        <v>32693.269999999997</v>
      </c>
      <c r="AP236" s="24">
        <v>504.7</v>
      </c>
      <c r="AQ236" s="24">
        <v>755.78</v>
      </c>
      <c r="AR236" s="24">
        <f>VLOOKUP(B236,'[1]Sheet1 (2)'!$B$2:$C$397,2,0)</f>
        <v>1013.2</v>
      </c>
      <c r="AS236" s="24">
        <f>VLOOKUP(B236,'[2]Sheet1 (2)'!$B$2:$C$404,2,0)</f>
        <v>708.06</v>
      </c>
      <c r="AT236" s="24">
        <v>1847.53</v>
      </c>
      <c r="AU236" s="24">
        <v>338.76</v>
      </c>
      <c r="AV236" s="24">
        <v>1645.07</v>
      </c>
      <c r="AW236" s="20">
        <v>2131.1999999999998</v>
      </c>
      <c r="AX236" s="20">
        <v>1250.33</v>
      </c>
      <c r="AY236" s="83">
        <v>805.58</v>
      </c>
      <c r="AZ236" s="83">
        <v>3080.21</v>
      </c>
      <c r="BA236" s="83">
        <v>3021.61</v>
      </c>
      <c r="BB236" s="8">
        <f t="shared" si="165"/>
        <v>17102.03</v>
      </c>
      <c r="BC236" s="24">
        <v>204.55</v>
      </c>
      <c r="BD236" s="24">
        <v>1029.75</v>
      </c>
      <c r="BE236" s="24">
        <v>934.96</v>
      </c>
      <c r="BF236" s="24">
        <v>914.58</v>
      </c>
      <c r="BG236" s="24">
        <v>79.19</v>
      </c>
      <c r="BH236" s="24">
        <v>1519.88</v>
      </c>
      <c r="BI236" s="24">
        <v>1279.02</v>
      </c>
      <c r="BN236" s="83"/>
      <c r="BO236" s="8">
        <f t="shared" si="166"/>
        <v>5961.93</v>
      </c>
    </row>
    <row r="237" spans="2:67" x14ac:dyDescent="0.2">
      <c r="B237" s="3" t="s">
        <v>367</v>
      </c>
      <c r="C237" s="23">
        <v>462.09</v>
      </c>
      <c r="D237" s="24">
        <v>0</v>
      </c>
      <c r="E237" s="24">
        <v>0</v>
      </c>
      <c r="F237" s="24">
        <v>459.59</v>
      </c>
      <c r="G237" s="24">
        <v>112</v>
      </c>
      <c r="H237" s="24">
        <v>859.81</v>
      </c>
      <c r="I237" s="24">
        <v>550.04</v>
      </c>
      <c r="J237" s="24">
        <v>1680.57</v>
      </c>
      <c r="K237" s="24">
        <v>1131.51</v>
      </c>
      <c r="L237" s="24">
        <v>1581.1</v>
      </c>
      <c r="M237" s="24">
        <v>1316.47</v>
      </c>
      <c r="N237" s="24">
        <v>781.71</v>
      </c>
      <c r="O237" s="24">
        <f t="shared" si="162"/>
        <v>8934.89</v>
      </c>
      <c r="P237" s="24">
        <v>1127.82</v>
      </c>
      <c r="Q237" s="24">
        <v>545.70000000000005</v>
      </c>
      <c r="R237" s="24">
        <v>2269.65</v>
      </c>
      <c r="S237" s="24">
        <v>916.28</v>
      </c>
      <c r="T237" s="24">
        <v>0</v>
      </c>
      <c r="U237" s="24">
        <v>10.44</v>
      </c>
      <c r="V237" s="24">
        <v>1635</v>
      </c>
      <c r="W237" s="20">
        <v>2176.48</v>
      </c>
      <c r="X237" s="20">
        <v>1674.59</v>
      </c>
      <c r="Y237" s="83">
        <v>2162.39</v>
      </c>
      <c r="Z237" s="83">
        <v>1151.5</v>
      </c>
      <c r="AA237" s="83">
        <v>2025.72</v>
      </c>
      <c r="AB237" s="8">
        <f t="shared" si="163"/>
        <v>15695.569999999998</v>
      </c>
      <c r="AC237" s="24">
        <v>990.63</v>
      </c>
      <c r="AD237" s="24">
        <v>484.58</v>
      </c>
      <c r="AE237" s="24">
        <v>1446.15</v>
      </c>
      <c r="AF237" s="24">
        <v>2133.3200000000002</v>
      </c>
      <c r="AG237" s="24">
        <v>559.53</v>
      </c>
      <c r="AH237" s="24">
        <v>2172.1</v>
      </c>
      <c r="AI237" s="24">
        <v>229.79</v>
      </c>
      <c r="AJ237" s="20">
        <v>4996.8100000000004</v>
      </c>
      <c r="AK237" s="20">
        <v>192.34</v>
      </c>
      <c r="AL237" s="83">
        <v>7227.25</v>
      </c>
      <c r="AM237" s="83">
        <v>1004.95</v>
      </c>
      <c r="AN237" s="83">
        <v>2025.29</v>
      </c>
      <c r="AO237" s="8">
        <f t="shared" si="164"/>
        <v>23462.74</v>
      </c>
      <c r="AP237" s="24">
        <v>458.02</v>
      </c>
      <c r="AQ237" s="24">
        <v>804.86</v>
      </c>
      <c r="AR237" s="24">
        <f>VLOOKUP(B237,'[1]Sheet1 (2)'!$B$2:$C$397,2,0)</f>
        <v>2095.61</v>
      </c>
      <c r="AS237" s="24">
        <f>VLOOKUP(B237,'[2]Sheet1 (2)'!$B$2:$C$404,2,0)</f>
        <v>172.69</v>
      </c>
      <c r="AT237" s="24">
        <v>1215.6199999999999</v>
      </c>
      <c r="AU237" s="24">
        <v>0</v>
      </c>
      <c r="AV237" s="24">
        <v>1209.54</v>
      </c>
      <c r="AW237" s="20">
        <v>1308.55</v>
      </c>
      <c r="AX237" s="20">
        <v>469.91</v>
      </c>
      <c r="AY237" s="83">
        <v>285.58</v>
      </c>
      <c r="AZ237" s="83">
        <v>1078.77</v>
      </c>
      <c r="BA237" s="83">
        <v>593.32000000000005</v>
      </c>
      <c r="BB237" s="8">
        <f t="shared" si="165"/>
        <v>9692.4699999999993</v>
      </c>
      <c r="BC237" s="24">
        <v>596.78</v>
      </c>
      <c r="BD237" s="24">
        <v>344.82</v>
      </c>
      <c r="BE237" s="24">
        <v>538.07000000000005</v>
      </c>
      <c r="BF237" s="24">
        <v>115.42</v>
      </c>
      <c r="BG237" s="24">
        <v>0</v>
      </c>
      <c r="BH237" s="24">
        <v>1763.42</v>
      </c>
      <c r="BI237" s="24">
        <v>317.02</v>
      </c>
      <c r="BN237" s="83"/>
      <c r="BO237" s="8">
        <f t="shared" si="166"/>
        <v>3675.53</v>
      </c>
    </row>
    <row r="238" spans="2:67" x14ac:dyDescent="0.2">
      <c r="B238" s="3" t="s">
        <v>368</v>
      </c>
      <c r="C238" s="23">
        <v>120.24</v>
      </c>
      <c r="D238" s="24">
        <v>0</v>
      </c>
      <c r="E238" s="24">
        <v>52.61</v>
      </c>
      <c r="F238" s="24">
        <v>88.49</v>
      </c>
      <c r="G238" s="24">
        <v>27.38</v>
      </c>
      <c r="H238" s="24">
        <v>252.91</v>
      </c>
      <c r="I238" s="24">
        <v>379.25</v>
      </c>
      <c r="J238" s="24">
        <v>705.96</v>
      </c>
      <c r="K238" s="24">
        <v>895.01</v>
      </c>
      <c r="L238" s="24">
        <v>363.85</v>
      </c>
      <c r="M238" s="24">
        <v>593.57000000000005</v>
      </c>
      <c r="N238" s="24">
        <v>316.68</v>
      </c>
      <c r="O238" s="24">
        <f t="shared" si="162"/>
        <v>3795.9500000000003</v>
      </c>
      <c r="P238" s="24">
        <v>410.35</v>
      </c>
      <c r="Q238" s="24">
        <v>460.91</v>
      </c>
      <c r="R238" s="24">
        <v>879.38</v>
      </c>
      <c r="S238" s="24">
        <v>191.31</v>
      </c>
      <c r="T238" s="24">
        <v>512.79</v>
      </c>
      <c r="U238" s="24">
        <v>408.14</v>
      </c>
      <c r="V238" s="24">
        <v>269.02</v>
      </c>
      <c r="W238" s="20">
        <v>1179.06</v>
      </c>
      <c r="X238" s="20">
        <v>1569.41</v>
      </c>
      <c r="Y238" s="83">
        <v>1087.22</v>
      </c>
      <c r="Z238" s="83">
        <v>744.34</v>
      </c>
      <c r="AA238" s="83">
        <v>4674.42</v>
      </c>
      <c r="AB238" s="8">
        <f t="shared" si="163"/>
        <v>12386.349999999999</v>
      </c>
      <c r="AC238" s="24">
        <v>660.41</v>
      </c>
      <c r="AD238" s="24">
        <v>-3330.5</v>
      </c>
      <c r="AE238" s="24">
        <v>1525.37</v>
      </c>
      <c r="AF238" s="24">
        <v>816.7</v>
      </c>
      <c r="AG238" s="24">
        <v>1396.05</v>
      </c>
      <c r="AH238" s="24">
        <v>1247.43</v>
      </c>
      <c r="AI238" s="24">
        <v>1086.9100000000001</v>
      </c>
      <c r="AJ238" s="20">
        <v>1369.31</v>
      </c>
      <c r="AK238" s="20">
        <v>1720.69</v>
      </c>
      <c r="AL238" s="83">
        <v>1982.6</v>
      </c>
      <c r="AM238" s="83">
        <v>1276.27</v>
      </c>
      <c r="AN238" s="83">
        <v>1214.75</v>
      </c>
      <c r="AO238" s="8">
        <f t="shared" si="164"/>
        <v>10965.990000000002</v>
      </c>
      <c r="AP238" s="24">
        <v>488.9</v>
      </c>
      <c r="AQ238" s="24">
        <v>468.52</v>
      </c>
      <c r="AR238" s="24">
        <f>VLOOKUP(B238,'[1]Sheet1 (2)'!$B$2:$C$397,2,0)</f>
        <v>116.35</v>
      </c>
      <c r="AS238" s="24">
        <f>VLOOKUP(B238,'[2]Sheet1 (2)'!$B$2:$C$404,2,0)</f>
        <v>58.21</v>
      </c>
      <c r="AT238" s="24">
        <v>542.76</v>
      </c>
      <c r="AU238" s="24">
        <v>277.10000000000002</v>
      </c>
      <c r="AV238" s="24">
        <v>829.17</v>
      </c>
      <c r="AW238" s="20">
        <v>559.04</v>
      </c>
      <c r="AX238" s="20">
        <v>455.21</v>
      </c>
      <c r="AY238" s="83">
        <v>732.87</v>
      </c>
      <c r="AZ238" s="83">
        <v>1295.51</v>
      </c>
      <c r="BA238" s="83">
        <v>1331.98</v>
      </c>
      <c r="BB238" s="8">
        <f t="shared" si="165"/>
        <v>7155.6200000000008</v>
      </c>
      <c r="BC238" s="24">
        <v>432.37</v>
      </c>
      <c r="BD238" s="24">
        <v>486.99</v>
      </c>
      <c r="BE238" s="24">
        <v>105.27</v>
      </c>
      <c r="BF238" s="24">
        <v>107.85</v>
      </c>
      <c r="BG238" s="24">
        <v>108.03</v>
      </c>
      <c r="BH238" s="24">
        <v>584.62</v>
      </c>
      <c r="BI238" s="24">
        <v>777.22</v>
      </c>
      <c r="BN238" s="83"/>
      <c r="BO238" s="8">
        <f t="shared" si="166"/>
        <v>2602.3500000000004</v>
      </c>
    </row>
    <row r="239" spans="2:67" x14ac:dyDescent="0.2">
      <c r="B239" s="3" t="s">
        <v>369</v>
      </c>
      <c r="C239" s="23">
        <v>11.91</v>
      </c>
      <c r="D239" s="24">
        <v>0</v>
      </c>
      <c r="E239" s="24">
        <v>0</v>
      </c>
      <c r="F239" s="24">
        <v>0</v>
      </c>
      <c r="G239" s="24">
        <v>90.87</v>
      </c>
      <c r="H239" s="24">
        <v>104.45</v>
      </c>
      <c r="I239" s="24">
        <v>237.03</v>
      </c>
      <c r="J239" s="24">
        <v>411.11</v>
      </c>
      <c r="K239" s="24">
        <v>578.14</v>
      </c>
      <c r="L239" s="24">
        <v>124.86</v>
      </c>
      <c r="M239" s="24">
        <v>499.23</v>
      </c>
      <c r="N239" s="24">
        <v>527.20000000000005</v>
      </c>
      <c r="O239" s="24">
        <f t="shared" si="162"/>
        <v>2584.8000000000002</v>
      </c>
      <c r="P239" s="24">
        <v>368.16</v>
      </c>
      <c r="Q239" s="24">
        <v>324.89999999999998</v>
      </c>
      <c r="R239" s="24">
        <v>585.48</v>
      </c>
      <c r="S239" s="24">
        <v>202.44</v>
      </c>
      <c r="T239" s="24">
        <v>229.22</v>
      </c>
      <c r="U239" s="24">
        <v>481.94</v>
      </c>
      <c r="V239" s="24">
        <v>310.61</v>
      </c>
      <c r="W239" s="20">
        <v>581.03</v>
      </c>
      <c r="X239" s="20">
        <v>1169.51</v>
      </c>
      <c r="Y239" s="83">
        <v>865.26</v>
      </c>
      <c r="Z239" s="83">
        <v>549.61</v>
      </c>
      <c r="AA239" s="83">
        <v>150.08000000000001</v>
      </c>
      <c r="AB239" s="8">
        <f t="shared" si="163"/>
        <v>5818.24</v>
      </c>
      <c r="AC239" s="24">
        <v>605.83000000000004</v>
      </c>
      <c r="AD239" s="24">
        <v>928.2</v>
      </c>
      <c r="AE239" s="24">
        <v>1172.3599999999999</v>
      </c>
      <c r="AF239" s="24">
        <v>518.88</v>
      </c>
      <c r="AG239" s="24">
        <v>823.27</v>
      </c>
      <c r="AH239" s="24">
        <v>901.93</v>
      </c>
      <c r="AI239" s="24">
        <v>922.79</v>
      </c>
      <c r="AJ239" s="20">
        <v>759</v>
      </c>
      <c r="AK239" s="20">
        <v>836.74</v>
      </c>
      <c r="AL239" s="83">
        <v>1624.58</v>
      </c>
      <c r="AM239" s="83">
        <v>1122.1600000000001</v>
      </c>
      <c r="AN239" s="83">
        <v>1051.3499999999999</v>
      </c>
      <c r="AO239" s="8">
        <f t="shared" si="164"/>
        <v>11267.09</v>
      </c>
      <c r="AP239" s="24">
        <v>217.46</v>
      </c>
      <c r="AQ239" s="24">
        <v>277.91000000000003</v>
      </c>
      <c r="AR239" s="24">
        <f>VLOOKUP(B239,'[1]Sheet1 (2)'!$B$2:$C$397,2,0)</f>
        <v>88.27</v>
      </c>
      <c r="AS239" s="24">
        <f>VLOOKUP(B239,'[2]Sheet1 (2)'!$B$2:$C$404,2,0)</f>
        <v>29.33</v>
      </c>
      <c r="AT239" s="24">
        <v>401.07</v>
      </c>
      <c r="AU239" s="24">
        <v>318.27999999999997</v>
      </c>
      <c r="AV239" s="24">
        <v>853.47</v>
      </c>
      <c r="AW239" s="20">
        <v>342.92</v>
      </c>
      <c r="AX239" s="20">
        <v>371.81</v>
      </c>
      <c r="AY239" s="83">
        <v>769.04</v>
      </c>
      <c r="AZ239" s="83">
        <v>522.32000000000005</v>
      </c>
      <c r="BA239" s="83">
        <v>663.33</v>
      </c>
      <c r="BB239" s="8">
        <f t="shared" si="165"/>
        <v>4855.21</v>
      </c>
      <c r="BC239" s="24">
        <v>235.23</v>
      </c>
      <c r="BD239" s="24">
        <v>467.77</v>
      </c>
      <c r="BE239" s="24">
        <v>92.97</v>
      </c>
      <c r="BF239" s="24">
        <v>0</v>
      </c>
      <c r="BG239" s="24">
        <v>135.80000000000001</v>
      </c>
      <c r="BH239" s="24">
        <v>298.16000000000003</v>
      </c>
      <c r="BI239" s="24">
        <v>399.1</v>
      </c>
      <c r="BN239" s="83"/>
      <c r="BO239" s="8">
        <f t="shared" si="166"/>
        <v>1629.0300000000002</v>
      </c>
    </row>
    <row r="240" spans="2:67" x14ac:dyDescent="0.2">
      <c r="B240" s="3" t="s">
        <v>370</v>
      </c>
      <c r="C240" s="23"/>
      <c r="J240" s="24">
        <v>25.99</v>
      </c>
      <c r="K240" s="24">
        <v>27.6</v>
      </c>
      <c r="L240" s="24">
        <v>38.75</v>
      </c>
      <c r="M240" s="24">
        <v>11.22</v>
      </c>
      <c r="N240" s="24">
        <v>47.69</v>
      </c>
      <c r="O240" s="24">
        <f t="shared" si="162"/>
        <v>151.25</v>
      </c>
      <c r="P240" s="24">
        <v>15.57</v>
      </c>
      <c r="Q240" s="24">
        <v>1.97</v>
      </c>
      <c r="R240" s="24">
        <v>21.46</v>
      </c>
      <c r="S240" s="24">
        <v>6.09</v>
      </c>
      <c r="T240" s="24">
        <v>0</v>
      </c>
      <c r="U240" s="24">
        <v>8.0399999999999991</v>
      </c>
      <c r="V240" s="24">
        <v>10</v>
      </c>
      <c r="W240" s="20">
        <v>0</v>
      </c>
      <c r="X240" s="20">
        <v>0</v>
      </c>
      <c r="Y240" s="83">
        <v>0</v>
      </c>
      <c r="Z240" s="83">
        <v>0</v>
      </c>
      <c r="AA240" s="83">
        <v>0</v>
      </c>
      <c r="AB240" s="8">
        <f t="shared" si="163"/>
        <v>63.13</v>
      </c>
      <c r="AC240" s="24">
        <v>0</v>
      </c>
      <c r="AD240" s="24">
        <v>0</v>
      </c>
      <c r="AE240" s="24">
        <v>0</v>
      </c>
      <c r="AF240" s="24">
        <v>0</v>
      </c>
      <c r="AG240" s="24">
        <v>0</v>
      </c>
      <c r="AH240" s="24">
        <v>0</v>
      </c>
      <c r="AI240" s="24">
        <v>0</v>
      </c>
      <c r="AJ240" s="20">
        <v>31.91</v>
      </c>
      <c r="AK240" s="20">
        <v>1.98</v>
      </c>
      <c r="AL240" s="83">
        <v>58.95</v>
      </c>
      <c r="AM240" s="83">
        <v>18.899999999999999</v>
      </c>
      <c r="AN240" s="83">
        <v>33.79</v>
      </c>
      <c r="AO240" s="8">
        <f t="shared" si="164"/>
        <v>145.53</v>
      </c>
      <c r="AP240" s="24">
        <v>0</v>
      </c>
      <c r="AQ240" s="24">
        <v>0</v>
      </c>
      <c r="AR240" s="24">
        <f>VLOOKUP(B240,'[1]Sheet1 (2)'!$B$2:$C$397,2,0)</f>
        <v>12.74</v>
      </c>
      <c r="AS240" s="24">
        <f>VLOOKUP(B240,'[2]Sheet1 (2)'!$B$2:$C$404,2,0)</f>
        <v>0</v>
      </c>
      <c r="AT240" s="24">
        <v>48.97</v>
      </c>
      <c r="AU240" s="24">
        <v>0</v>
      </c>
      <c r="AV240" s="24">
        <v>18.399999999999999</v>
      </c>
      <c r="AW240" s="20">
        <v>6.42</v>
      </c>
      <c r="AX240" s="20">
        <v>14.32</v>
      </c>
      <c r="AY240" s="83">
        <v>5.4</v>
      </c>
      <c r="AZ240" s="83">
        <v>12.6</v>
      </c>
      <c r="BA240" s="83">
        <v>23.27</v>
      </c>
      <c r="BB240" s="8">
        <f t="shared" si="165"/>
        <v>142.12</v>
      </c>
      <c r="BC240" s="24">
        <v>0</v>
      </c>
      <c r="BD240" s="24">
        <v>19.579999999999998</v>
      </c>
      <c r="BE240" s="24">
        <v>21.82</v>
      </c>
      <c r="BF240" s="24">
        <v>0</v>
      </c>
      <c r="BG240" s="24">
        <v>0</v>
      </c>
      <c r="BH240" s="24">
        <v>24.83</v>
      </c>
      <c r="BI240" s="24">
        <v>5.34</v>
      </c>
      <c r="BN240" s="83"/>
      <c r="BO240" s="8">
        <f t="shared" si="166"/>
        <v>71.569999999999993</v>
      </c>
    </row>
    <row r="241" spans="2:67" x14ac:dyDescent="0.2">
      <c r="B241" s="3" t="s">
        <v>1821</v>
      </c>
      <c r="C241" s="23"/>
      <c r="AA241" s="83"/>
      <c r="AB241" s="8"/>
      <c r="AC241" s="24">
        <v>0</v>
      </c>
      <c r="AD241" s="24">
        <v>0</v>
      </c>
      <c r="AE241" s="24">
        <v>0</v>
      </c>
      <c r="AF241" s="24">
        <v>19.22</v>
      </c>
      <c r="AG241" s="24">
        <v>0</v>
      </c>
      <c r="AH241" s="24">
        <v>-19.22</v>
      </c>
      <c r="AI241" s="24">
        <v>0</v>
      </c>
      <c r="AJ241" s="20">
        <v>0</v>
      </c>
      <c r="AK241" s="20">
        <v>0</v>
      </c>
      <c r="AL241" s="83">
        <v>0</v>
      </c>
      <c r="AM241" s="83">
        <v>0</v>
      </c>
      <c r="AN241" s="83">
        <v>0</v>
      </c>
      <c r="AO241" s="8">
        <f t="shared" si="164"/>
        <v>0</v>
      </c>
      <c r="AP241" s="24">
        <v>0</v>
      </c>
      <c r="AQ241" s="24">
        <v>0</v>
      </c>
      <c r="AR241" s="24">
        <v>0</v>
      </c>
      <c r="AS241" s="24">
        <v>0</v>
      </c>
      <c r="AT241" s="24">
        <v>0</v>
      </c>
      <c r="AU241" s="24">
        <v>0</v>
      </c>
      <c r="AV241" s="24">
        <v>0</v>
      </c>
      <c r="AW241" s="20">
        <v>0</v>
      </c>
      <c r="AX241" s="20">
        <v>0</v>
      </c>
      <c r="AY241" s="83">
        <v>0</v>
      </c>
      <c r="AZ241" s="83">
        <v>0</v>
      </c>
      <c r="BA241" s="83">
        <v>0</v>
      </c>
      <c r="BB241" s="8">
        <f t="shared" si="165"/>
        <v>0</v>
      </c>
      <c r="BC241" s="24">
        <v>0</v>
      </c>
      <c r="BD241" s="24">
        <v>0</v>
      </c>
      <c r="BE241" s="24">
        <v>0</v>
      </c>
      <c r="BF241" s="24">
        <v>0</v>
      </c>
      <c r="BG241" s="24">
        <v>0</v>
      </c>
      <c r="BH241" s="24">
        <v>0</v>
      </c>
      <c r="BI241" s="24">
        <v>0</v>
      </c>
      <c r="BN241" s="83"/>
      <c r="BO241" s="8">
        <f t="shared" si="166"/>
        <v>0</v>
      </c>
    </row>
    <row r="242" spans="2:67" x14ac:dyDescent="0.2">
      <c r="B242" s="3" t="s">
        <v>371</v>
      </c>
      <c r="C242" s="23"/>
      <c r="I242" s="24">
        <v>16.920000000000002</v>
      </c>
      <c r="J242" s="24">
        <v>28.26</v>
      </c>
      <c r="K242" s="24">
        <v>101.29</v>
      </c>
      <c r="L242" s="24">
        <v>28.65</v>
      </c>
      <c r="M242" s="24">
        <v>129.38999999999999</v>
      </c>
      <c r="N242" s="24">
        <v>6.9</v>
      </c>
      <c r="O242" s="24">
        <f>SUBTOTAL(9,C242:N242)</f>
        <v>311.40999999999997</v>
      </c>
      <c r="P242" s="24">
        <v>26.06</v>
      </c>
      <c r="Q242" s="24">
        <v>12</v>
      </c>
      <c r="R242" s="24">
        <v>91.89</v>
      </c>
      <c r="S242" s="24">
        <v>14.01</v>
      </c>
      <c r="T242" s="24">
        <v>102.62</v>
      </c>
      <c r="U242" s="24">
        <v>13.66</v>
      </c>
      <c r="V242" s="24">
        <v>83.49</v>
      </c>
      <c r="W242" s="20">
        <v>56.56</v>
      </c>
      <c r="X242" s="20">
        <v>98.95</v>
      </c>
      <c r="Y242" s="83">
        <v>128.19999999999999</v>
      </c>
      <c r="Z242" s="83">
        <v>129.38999999999999</v>
      </c>
      <c r="AA242" s="83">
        <v>14.8</v>
      </c>
      <c r="AB242" s="8">
        <f>SUM(P242:AA242)</f>
        <v>771.63</v>
      </c>
      <c r="AC242" s="24">
        <v>7.44</v>
      </c>
      <c r="AD242" s="24">
        <v>31.01</v>
      </c>
      <c r="AE242" s="24">
        <v>71.540000000000006</v>
      </c>
      <c r="AF242" s="24">
        <v>38.549999999999997</v>
      </c>
      <c r="AG242" s="24">
        <v>63.17</v>
      </c>
      <c r="AH242" s="24">
        <v>17.829999999999998</v>
      </c>
      <c r="AI242" s="24">
        <v>11.54</v>
      </c>
      <c r="AJ242" s="20">
        <v>38.14</v>
      </c>
      <c r="AK242" s="20">
        <v>181.33</v>
      </c>
      <c r="AL242" s="83">
        <v>44.15</v>
      </c>
      <c r="AM242" s="83">
        <v>31.53</v>
      </c>
      <c r="AN242" s="83">
        <v>83.19</v>
      </c>
      <c r="AO242" s="8">
        <f t="shared" si="164"/>
        <v>619.42000000000007</v>
      </c>
      <c r="AP242" s="24">
        <v>13.07</v>
      </c>
      <c r="AQ242" s="24">
        <v>20.77</v>
      </c>
      <c r="AR242" s="24">
        <f>VLOOKUP(B242,'[1]Sheet1 (2)'!$B$2:$C$397,2,0)</f>
        <v>0</v>
      </c>
      <c r="AS242" s="24">
        <f>VLOOKUP(B242,'[2]Sheet1 (2)'!$B$2:$C$404,2,0)</f>
        <v>5.96</v>
      </c>
      <c r="AT242" s="24">
        <v>14.3</v>
      </c>
      <c r="AU242" s="24">
        <v>5.27</v>
      </c>
      <c r="AV242" s="24">
        <v>22.57</v>
      </c>
      <c r="AW242" s="20">
        <v>14.16</v>
      </c>
      <c r="AX242" s="20">
        <v>0</v>
      </c>
      <c r="AY242" s="83">
        <v>22.46</v>
      </c>
      <c r="AZ242" s="83">
        <v>60.99</v>
      </c>
      <c r="BA242" s="83">
        <v>55.64</v>
      </c>
      <c r="BB242" s="8">
        <f t="shared" si="165"/>
        <v>235.19</v>
      </c>
      <c r="BC242" s="24">
        <v>45.18</v>
      </c>
      <c r="BD242" s="24">
        <v>46.6</v>
      </c>
      <c r="BE242" s="24">
        <v>8.64</v>
      </c>
      <c r="BF242" s="24">
        <v>0</v>
      </c>
      <c r="BG242" s="24">
        <v>9.83</v>
      </c>
      <c r="BH242" s="24">
        <v>81.349999999999994</v>
      </c>
      <c r="BI242" s="24">
        <v>5.57</v>
      </c>
      <c r="BN242" s="83"/>
      <c r="BO242" s="8">
        <f t="shared" si="166"/>
        <v>197.17</v>
      </c>
    </row>
    <row r="243" spans="2:67" x14ac:dyDescent="0.2">
      <c r="B243" s="3" t="s">
        <v>372</v>
      </c>
      <c r="C243" s="23">
        <v>247.77</v>
      </c>
      <c r="D243" s="24">
        <v>266.35000000000002</v>
      </c>
      <c r="E243" s="24">
        <v>317.14</v>
      </c>
      <c r="F243" s="24">
        <v>637.33000000000004</v>
      </c>
      <c r="G243" s="24">
        <v>227.04</v>
      </c>
      <c r="H243" s="24">
        <v>399.57</v>
      </c>
      <c r="I243" s="24">
        <v>270.29000000000002</v>
      </c>
      <c r="J243" s="24">
        <v>196.08</v>
      </c>
      <c r="K243" s="24">
        <v>285.5</v>
      </c>
      <c r="L243" s="24">
        <v>136.79</v>
      </c>
      <c r="M243" s="24">
        <v>109.38</v>
      </c>
      <c r="N243" s="24">
        <v>8.3800000000000008</v>
      </c>
      <c r="O243" s="24">
        <f>SUBTOTAL(9,C243:N243)</f>
        <v>3101.6200000000003</v>
      </c>
      <c r="P243" s="24">
        <v>272.88</v>
      </c>
      <c r="Q243" s="24">
        <v>113.11</v>
      </c>
      <c r="R243" s="24">
        <v>148.96</v>
      </c>
      <c r="S243" s="24">
        <v>399.71</v>
      </c>
      <c r="T243" s="24">
        <v>60.5</v>
      </c>
      <c r="U243" s="24">
        <v>819.01</v>
      </c>
      <c r="V243" s="24">
        <v>0</v>
      </c>
      <c r="W243" s="20">
        <v>40.33</v>
      </c>
      <c r="X243" s="20">
        <v>8.2899999999999991</v>
      </c>
      <c r="Y243" s="83">
        <v>81.72</v>
      </c>
      <c r="Z243" s="83">
        <v>70.77</v>
      </c>
      <c r="AA243" s="83">
        <v>112.02</v>
      </c>
      <c r="AB243" s="8">
        <f>SUM(P243:AA243)</f>
        <v>2127.3000000000002</v>
      </c>
      <c r="AC243" s="24">
        <v>31.47</v>
      </c>
      <c r="AD243" s="24">
        <v>24.96</v>
      </c>
      <c r="AE243" s="24">
        <v>145.97999999999999</v>
      </c>
      <c r="AF243" s="24">
        <v>281.93</v>
      </c>
      <c r="AG243" s="24">
        <v>359.15</v>
      </c>
      <c r="AH243" s="24">
        <v>58.04</v>
      </c>
      <c r="AI243" s="24">
        <v>0</v>
      </c>
      <c r="AJ243" s="20">
        <v>42.36</v>
      </c>
      <c r="AK243" s="20">
        <v>0</v>
      </c>
      <c r="AL243" s="83">
        <v>84.12</v>
      </c>
      <c r="AM243" s="83">
        <v>92.61</v>
      </c>
      <c r="AN243" s="83">
        <v>72.72</v>
      </c>
      <c r="AO243" s="8">
        <f t="shared" si="164"/>
        <v>1193.3399999999999</v>
      </c>
      <c r="AP243" s="24">
        <v>11.71</v>
      </c>
      <c r="AQ243" s="24">
        <v>78.540000000000006</v>
      </c>
      <c r="AR243" s="24">
        <f>VLOOKUP(B243,'[1]Sheet1 (2)'!$B$2:$C$397,2,0)</f>
        <v>50.3</v>
      </c>
      <c r="AS243" s="24">
        <f>VLOOKUP(B243,'[2]Sheet1 (2)'!$B$2:$C$404,2,0)</f>
        <v>348.82</v>
      </c>
      <c r="AT243" s="24">
        <v>0</v>
      </c>
      <c r="AU243" s="24">
        <v>263.66000000000003</v>
      </c>
      <c r="AV243" s="24">
        <v>143.38</v>
      </c>
      <c r="AW243" s="20">
        <v>121.1</v>
      </c>
      <c r="AX243" s="20">
        <v>61.61</v>
      </c>
      <c r="AY243" s="83">
        <v>411.31</v>
      </c>
      <c r="AZ243" s="83">
        <v>193.06</v>
      </c>
      <c r="BA243" s="83">
        <v>270.08999999999997</v>
      </c>
      <c r="BB243" s="8">
        <f t="shared" si="165"/>
        <v>1953.5799999999997</v>
      </c>
      <c r="BC243" s="24">
        <v>246.17</v>
      </c>
      <c r="BD243" s="24">
        <v>114.61</v>
      </c>
      <c r="BE243" s="24">
        <v>227.22</v>
      </c>
      <c r="BF243" s="24">
        <v>953.81</v>
      </c>
      <c r="BG243" s="24">
        <v>114.85</v>
      </c>
      <c r="BH243" s="24">
        <v>148.05000000000001</v>
      </c>
      <c r="BI243" s="24">
        <v>316.2</v>
      </c>
      <c r="BN243" s="83"/>
      <c r="BO243" s="8">
        <f t="shared" si="166"/>
        <v>2120.91</v>
      </c>
    </row>
    <row r="244" spans="2:67" x14ac:dyDescent="0.2">
      <c r="B244" s="3" t="s">
        <v>572</v>
      </c>
      <c r="C244" s="24">
        <v>0</v>
      </c>
      <c r="D244" s="23">
        <v>168.54</v>
      </c>
      <c r="E244" s="24">
        <v>17.39</v>
      </c>
      <c r="F244" s="24">
        <v>0</v>
      </c>
      <c r="G244" s="24">
        <v>614.21</v>
      </c>
      <c r="H244" s="24">
        <v>54.89</v>
      </c>
      <c r="I244" s="24">
        <v>40.119999999999997</v>
      </c>
      <c r="J244" s="24">
        <v>278.93</v>
      </c>
      <c r="K244" s="24">
        <v>0</v>
      </c>
      <c r="L244" s="24">
        <v>0</v>
      </c>
      <c r="M244" s="24">
        <v>0</v>
      </c>
      <c r="N244" s="24">
        <v>0</v>
      </c>
      <c r="O244" s="24">
        <f>SUBTOTAL(9,C244:N244)</f>
        <v>1174.0800000000002</v>
      </c>
      <c r="P244" s="24">
        <v>0</v>
      </c>
      <c r="Q244" s="24">
        <v>22.73</v>
      </c>
      <c r="R244" s="24">
        <v>78.02</v>
      </c>
      <c r="S244" s="24">
        <v>0</v>
      </c>
      <c r="T244" s="24">
        <v>50.64</v>
      </c>
      <c r="U244" s="24">
        <v>575.17999999999995</v>
      </c>
      <c r="V244" s="24">
        <v>58.57</v>
      </c>
      <c r="W244" s="20">
        <v>0</v>
      </c>
      <c r="X244" s="20">
        <v>19.399999999999999</v>
      </c>
      <c r="Y244" s="83">
        <v>53.01</v>
      </c>
      <c r="Z244" s="83">
        <v>14.4</v>
      </c>
      <c r="AA244" s="83">
        <v>29.02</v>
      </c>
      <c r="AB244" s="8">
        <f>SUM(P244:AA244)</f>
        <v>900.96999999999991</v>
      </c>
      <c r="AC244" s="24">
        <v>102.17</v>
      </c>
      <c r="AD244" s="24">
        <v>64.819999999999993</v>
      </c>
      <c r="AE244" s="24">
        <v>63.87</v>
      </c>
      <c r="AF244" s="24">
        <v>0</v>
      </c>
      <c r="AG244" s="24">
        <v>127.93</v>
      </c>
      <c r="AH244" s="24">
        <v>0</v>
      </c>
      <c r="AI244" s="24">
        <v>0</v>
      </c>
      <c r="AJ244" s="20">
        <v>0</v>
      </c>
      <c r="AK244" s="20">
        <v>0</v>
      </c>
      <c r="AL244" s="83">
        <v>30.22</v>
      </c>
      <c r="AM244" s="83">
        <v>0</v>
      </c>
      <c r="AN244" s="83">
        <v>48.09</v>
      </c>
      <c r="AO244" s="8">
        <f t="shared" si="164"/>
        <v>437.1</v>
      </c>
      <c r="AP244" s="24">
        <v>0</v>
      </c>
      <c r="AQ244" s="24">
        <v>0</v>
      </c>
      <c r="AR244" s="24">
        <v>0</v>
      </c>
      <c r="AS244" s="24">
        <v>0</v>
      </c>
      <c r="AT244" s="24">
        <v>49.59</v>
      </c>
      <c r="AU244" s="24">
        <v>0</v>
      </c>
      <c r="AV244" s="24">
        <v>0</v>
      </c>
      <c r="AW244" s="20">
        <v>0</v>
      </c>
      <c r="AX244" s="20">
        <v>321.83999999999997</v>
      </c>
      <c r="AY244" s="83">
        <v>30.24</v>
      </c>
      <c r="AZ244" s="83">
        <v>0</v>
      </c>
      <c r="BA244" s="83">
        <v>32.94</v>
      </c>
      <c r="BB244" s="8">
        <f t="shared" si="165"/>
        <v>434.60999999999996</v>
      </c>
      <c r="BC244" s="24">
        <v>262.24</v>
      </c>
      <c r="BD244" s="24">
        <v>0</v>
      </c>
      <c r="BE244" s="24">
        <v>58.91</v>
      </c>
      <c r="BF244" s="24">
        <v>0</v>
      </c>
      <c r="BG244" s="24">
        <v>50.72</v>
      </c>
      <c r="BH244" s="24">
        <v>0</v>
      </c>
      <c r="BI244" s="24">
        <v>117.82</v>
      </c>
      <c r="BN244" s="83"/>
      <c r="BO244" s="8">
        <f t="shared" si="166"/>
        <v>489.69</v>
      </c>
    </row>
    <row r="245" spans="2:67" x14ac:dyDescent="0.2">
      <c r="B245" s="6" t="s">
        <v>1553</v>
      </c>
      <c r="C245" s="7">
        <f t="shared" ref="C245:N245" si="167">SUM(C235:C244)</f>
        <v>1065.3499999999999</v>
      </c>
      <c r="D245" s="7">
        <f t="shared" si="167"/>
        <v>434.89</v>
      </c>
      <c r="E245" s="7">
        <f t="shared" si="167"/>
        <v>3429.02</v>
      </c>
      <c r="F245" s="7">
        <f t="shared" si="167"/>
        <v>2749.06</v>
      </c>
      <c r="G245" s="7">
        <f t="shared" si="167"/>
        <v>4617.0200000000004</v>
      </c>
      <c r="H245" s="7">
        <f t="shared" si="167"/>
        <v>5855.76</v>
      </c>
      <c r="I245" s="7">
        <f t="shared" si="167"/>
        <v>8469.58</v>
      </c>
      <c r="J245" s="7">
        <f t="shared" si="167"/>
        <v>10981.01</v>
      </c>
      <c r="K245" s="7">
        <f t="shared" si="167"/>
        <v>10201.81</v>
      </c>
      <c r="L245" s="7">
        <f t="shared" si="167"/>
        <v>9141.1600000000017</v>
      </c>
      <c r="M245" s="7">
        <f t="shared" si="167"/>
        <v>4119.54</v>
      </c>
      <c r="N245" s="7">
        <f t="shared" si="167"/>
        <v>9745.69</v>
      </c>
      <c r="O245" s="7">
        <f>SUM(C245:N245)</f>
        <v>70809.89</v>
      </c>
      <c r="P245" s="7">
        <f t="shared" ref="P245:AT245" si="168">SUM(P235:P244)</f>
        <v>5690.8300000000008</v>
      </c>
      <c r="Q245" s="7">
        <f t="shared" si="168"/>
        <v>1997.4299999999998</v>
      </c>
      <c r="R245" s="7">
        <f t="shared" si="168"/>
        <v>7105.0200000000013</v>
      </c>
      <c r="S245" s="7">
        <f t="shared" si="168"/>
        <v>3824.0300000000007</v>
      </c>
      <c r="T245" s="7">
        <f t="shared" si="168"/>
        <v>2783.8699999999994</v>
      </c>
      <c r="U245" s="7">
        <f t="shared" si="168"/>
        <v>4276.5600000000004</v>
      </c>
      <c r="V245" s="7">
        <f t="shared" si="168"/>
        <v>5169.6099999999997</v>
      </c>
      <c r="W245" s="63">
        <f t="shared" si="168"/>
        <v>8600.7099999999991</v>
      </c>
      <c r="X245" s="63">
        <f t="shared" si="168"/>
        <v>11581.060000000001</v>
      </c>
      <c r="Y245" s="63">
        <f t="shared" si="168"/>
        <v>9296.18</v>
      </c>
      <c r="Z245" s="63">
        <f t="shared" si="168"/>
        <v>12677.59</v>
      </c>
      <c r="AA245" s="63">
        <f t="shared" si="168"/>
        <v>13359.24</v>
      </c>
      <c r="AB245" s="63">
        <f t="shared" si="168"/>
        <v>86362.130000000019</v>
      </c>
      <c r="AC245" s="63">
        <f t="shared" si="168"/>
        <v>3729.0799999999995</v>
      </c>
      <c r="AD245" s="63">
        <f t="shared" si="168"/>
        <v>-282.56999999999994</v>
      </c>
      <c r="AE245" s="63">
        <f t="shared" si="168"/>
        <v>9718.6200000000008</v>
      </c>
      <c r="AF245" s="63">
        <f t="shared" si="168"/>
        <v>6164.9600000000009</v>
      </c>
      <c r="AG245" s="63">
        <f t="shared" si="168"/>
        <v>7290.34</v>
      </c>
      <c r="AH245" s="63">
        <f t="shared" si="168"/>
        <v>8278.5500000000011</v>
      </c>
      <c r="AI245" s="63">
        <f t="shared" si="168"/>
        <v>5886.51</v>
      </c>
      <c r="AJ245" s="63">
        <f t="shared" si="168"/>
        <v>12090.78</v>
      </c>
      <c r="AK245" s="63">
        <f t="shared" si="168"/>
        <v>6140</v>
      </c>
      <c r="AL245" s="63">
        <f t="shared" si="168"/>
        <v>18216.460000000003</v>
      </c>
      <c r="AM245" s="63">
        <f t="shared" si="168"/>
        <v>7513.7599999999984</v>
      </c>
      <c r="AN245" s="63">
        <f t="shared" si="168"/>
        <v>10706.51</v>
      </c>
      <c r="AO245" s="63">
        <f t="shared" si="168"/>
        <v>95453</v>
      </c>
      <c r="AP245" s="63">
        <f t="shared" si="168"/>
        <v>1693.86</v>
      </c>
      <c r="AQ245" s="63">
        <f t="shared" si="168"/>
        <v>2406.3799999999997</v>
      </c>
      <c r="AR245" s="63">
        <f t="shared" si="168"/>
        <v>4225.6500000000005</v>
      </c>
      <c r="AS245" s="63">
        <f t="shared" si="168"/>
        <v>1323.0700000000002</v>
      </c>
      <c r="AT245" s="63">
        <f t="shared" si="168"/>
        <v>8580.1899999999987</v>
      </c>
      <c r="AU245" s="63">
        <f t="shared" ref="AU245:BO245" si="169">SUM(AU235:AU244)</f>
        <v>1319.96</v>
      </c>
      <c r="AV245" s="63">
        <f t="shared" si="169"/>
        <v>6131.3099999999995</v>
      </c>
      <c r="AW245" s="63">
        <f t="shared" si="169"/>
        <v>4876.7</v>
      </c>
      <c r="AX245" s="63">
        <f t="shared" si="169"/>
        <v>5016.62</v>
      </c>
      <c r="AY245" s="63">
        <f t="shared" si="169"/>
        <v>3414.35</v>
      </c>
      <c r="AZ245" s="63">
        <f t="shared" si="169"/>
        <v>7377.8600000000015</v>
      </c>
      <c r="BA245" s="63">
        <f t="shared" si="169"/>
        <v>7652.34</v>
      </c>
      <c r="BB245" s="63">
        <f t="shared" si="169"/>
        <v>54018.290000000008</v>
      </c>
      <c r="BC245" s="63">
        <f t="shared" si="169"/>
        <v>2022.52</v>
      </c>
      <c r="BD245" s="63">
        <f t="shared" si="169"/>
        <v>4110.3499999999995</v>
      </c>
      <c r="BE245" s="63">
        <f t="shared" si="169"/>
        <v>3156.4299999999994</v>
      </c>
      <c r="BF245" s="63">
        <f t="shared" si="169"/>
        <v>2091.66</v>
      </c>
      <c r="BG245" s="63">
        <f t="shared" si="169"/>
        <v>498.41999999999996</v>
      </c>
      <c r="BH245" s="63">
        <f t="shared" si="169"/>
        <v>5908.01</v>
      </c>
      <c r="BI245" s="63">
        <f t="shared" si="169"/>
        <v>3866.4</v>
      </c>
      <c r="BJ245" s="63">
        <f t="shared" si="169"/>
        <v>0</v>
      </c>
      <c r="BK245" s="63">
        <f t="shared" si="169"/>
        <v>0</v>
      </c>
      <c r="BL245" s="63">
        <f t="shared" si="169"/>
        <v>0</v>
      </c>
      <c r="BM245" s="63">
        <f t="shared" si="169"/>
        <v>0</v>
      </c>
      <c r="BN245" s="63">
        <f t="shared" si="169"/>
        <v>0</v>
      </c>
      <c r="BO245" s="63">
        <f t="shared" si="169"/>
        <v>21653.789999999997</v>
      </c>
    </row>
    <row r="246" spans="2:67" x14ac:dyDescent="0.2">
      <c r="B246" s="3" t="s">
        <v>673</v>
      </c>
      <c r="C246" s="23"/>
      <c r="E246" s="24">
        <v>2368.63</v>
      </c>
      <c r="F246" s="24">
        <v>0</v>
      </c>
      <c r="G246" s="24">
        <v>1168.7</v>
      </c>
      <c r="H246" s="24">
        <v>2290.5</v>
      </c>
      <c r="I246" s="24">
        <v>5809.72</v>
      </c>
      <c r="J246" s="24">
        <v>2927.33</v>
      </c>
      <c r="K246" s="24">
        <v>2931.02</v>
      </c>
      <c r="L246" s="24">
        <v>3421.72</v>
      </c>
      <c r="M246" s="24">
        <v>2207</v>
      </c>
      <c r="N246" s="24">
        <v>6602.17</v>
      </c>
      <c r="O246" s="24">
        <f>SUBTOTAL(9,C246:N246)</f>
        <v>29726.79</v>
      </c>
      <c r="P246" s="24">
        <v>0</v>
      </c>
      <c r="Q246" s="24">
        <v>0</v>
      </c>
      <c r="R246" s="24">
        <v>2267.63</v>
      </c>
      <c r="S246" s="24">
        <v>1741.39</v>
      </c>
      <c r="T246" s="24">
        <v>0</v>
      </c>
      <c r="U246" s="24">
        <v>795.14</v>
      </c>
      <c r="V246" s="24">
        <v>580.23</v>
      </c>
      <c r="W246" s="20">
        <v>1573.83</v>
      </c>
      <c r="X246" s="20">
        <v>565.92999999999995</v>
      </c>
      <c r="Y246" s="83">
        <v>2705.23</v>
      </c>
      <c r="Z246" s="83">
        <v>554.17999999999995</v>
      </c>
      <c r="AA246" s="83">
        <v>1469.41</v>
      </c>
      <c r="AB246" s="8">
        <f>SUM(P246:AA246)</f>
        <v>12252.970000000001</v>
      </c>
      <c r="AC246" s="24">
        <v>105.18</v>
      </c>
      <c r="AD246" s="24">
        <v>1005.63</v>
      </c>
      <c r="AE246" s="24">
        <v>992.11</v>
      </c>
      <c r="AF246" s="24">
        <v>964.21</v>
      </c>
      <c r="AG246" s="24">
        <v>5191.53</v>
      </c>
      <c r="AH246" s="24">
        <v>2847.46</v>
      </c>
      <c r="AI246" s="24">
        <v>-4811.62</v>
      </c>
      <c r="AJ246" s="20">
        <v>554.80999999999995</v>
      </c>
      <c r="AK246" s="20">
        <v>1132.17</v>
      </c>
      <c r="AL246" s="83">
        <v>563.26</v>
      </c>
      <c r="AM246" s="83">
        <v>548.66999999999996</v>
      </c>
      <c r="AN246" s="83">
        <v>1086.22</v>
      </c>
      <c r="AO246" s="8">
        <f>SUM(AC246:AN246)</f>
        <v>10179.629999999999</v>
      </c>
      <c r="AP246" s="24">
        <v>0</v>
      </c>
      <c r="AQ246" s="24">
        <v>531.62</v>
      </c>
      <c r="AR246" s="24">
        <f>VLOOKUP(B246,'[1]Sheet1 (2)'!$B$2:$C$397,2,0)</f>
        <v>532.89</v>
      </c>
      <c r="AS246" s="24">
        <f>VLOOKUP(B246,'[2]Sheet1 (2)'!$B$2:$C$404,2,0)</f>
        <v>517.70000000000005</v>
      </c>
      <c r="AT246" s="24">
        <v>528.16999999999996</v>
      </c>
      <c r="AU246" s="24">
        <v>534.53</v>
      </c>
      <c r="AV246" s="24">
        <v>534.07000000000005</v>
      </c>
      <c r="AW246" s="20">
        <v>540.07000000000005</v>
      </c>
      <c r="AX246" s="20">
        <v>528.29999999999995</v>
      </c>
      <c r="AY246" s="83">
        <v>523.15</v>
      </c>
      <c r="AZ246" s="83">
        <v>519.65</v>
      </c>
      <c r="BA246" s="83">
        <v>1037.05</v>
      </c>
      <c r="BB246" s="8">
        <f t="shared" ref="BB246:BB256" si="170">SUM(AP246:BA246)</f>
        <v>6327.2</v>
      </c>
      <c r="BC246" s="24">
        <v>0</v>
      </c>
      <c r="BD246" s="24">
        <v>517.05999999999995</v>
      </c>
      <c r="BE246" s="24">
        <v>513.76</v>
      </c>
      <c r="BF246" s="24">
        <v>1012.02</v>
      </c>
      <c r="BG246" s="24">
        <v>489.07</v>
      </c>
      <c r="BH246" s="24">
        <v>0</v>
      </c>
      <c r="BI246" s="24">
        <v>0</v>
      </c>
      <c r="BN246" s="83"/>
      <c r="BO246" s="8">
        <f t="shared" ref="BO246:BO256" si="171">SUM(BC246:BN246)</f>
        <v>2531.91</v>
      </c>
    </row>
    <row r="247" spans="2:67" x14ac:dyDescent="0.2">
      <c r="B247" s="3" t="s">
        <v>374</v>
      </c>
      <c r="C247" s="23">
        <v>2.44</v>
      </c>
      <c r="D247" s="24">
        <v>75.959999999999994</v>
      </c>
      <c r="E247" s="24">
        <v>87.76</v>
      </c>
      <c r="F247" s="24">
        <v>42.49</v>
      </c>
      <c r="G247" s="24">
        <v>225.81</v>
      </c>
      <c r="H247" s="24">
        <v>607.72</v>
      </c>
      <c r="I247" s="24">
        <v>-103.39</v>
      </c>
      <c r="J247" s="24">
        <v>341.15</v>
      </c>
      <c r="K247" s="24">
        <v>37.39</v>
      </c>
      <c r="L247" s="24">
        <v>62.36</v>
      </c>
      <c r="M247" s="24">
        <v>1017.72</v>
      </c>
      <c r="N247" s="24">
        <v>284.91000000000003</v>
      </c>
      <c r="O247" s="24">
        <f>SUBTOTAL(9,C247:N247)</f>
        <v>2682.3199999999997</v>
      </c>
      <c r="P247" s="24">
        <v>78.14</v>
      </c>
      <c r="Q247" s="24">
        <v>832.93</v>
      </c>
      <c r="R247" s="24">
        <v>44.35</v>
      </c>
      <c r="S247" s="24">
        <v>450.74</v>
      </c>
      <c r="T247" s="24">
        <v>0</v>
      </c>
      <c r="U247" s="24">
        <v>87.12</v>
      </c>
      <c r="V247" s="24">
        <v>432.56</v>
      </c>
      <c r="W247" s="20">
        <v>925.19</v>
      </c>
      <c r="X247" s="20">
        <v>118.96</v>
      </c>
      <c r="Y247" s="83">
        <v>151.69999999999999</v>
      </c>
      <c r="Z247" s="83">
        <v>34.880000000000003</v>
      </c>
      <c r="AA247" s="83">
        <v>472.75</v>
      </c>
      <c r="AB247" s="8">
        <f>SUM(P247:AA247)</f>
        <v>3629.3199999999997</v>
      </c>
      <c r="AC247" s="24">
        <v>64.83</v>
      </c>
      <c r="AD247" s="24">
        <v>33.33</v>
      </c>
      <c r="AE247" s="24">
        <v>1280.6099999999999</v>
      </c>
      <c r="AF247" s="24">
        <v>513.97</v>
      </c>
      <c r="AG247" s="24">
        <v>319.16000000000003</v>
      </c>
      <c r="AH247" s="24">
        <v>1225.78</v>
      </c>
      <c r="AI247" s="24">
        <v>1663.09</v>
      </c>
      <c r="AJ247" s="20">
        <v>-790.87</v>
      </c>
      <c r="AK247" s="20">
        <v>313.55</v>
      </c>
      <c r="AL247" s="83">
        <v>432.95</v>
      </c>
      <c r="AM247" s="83">
        <v>179.37</v>
      </c>
      <c r="AN247" s="83">
        <v>106.5</v>
      </c>
      <c r="AO247" s="8">
        <f>SUM(AC247:AN247)</f>
        <v>5342.27</v>
      </c>
      <c r="AP247" s="24">
        <v>86.19</v>
      </c>
      <c r="AQ247" s="24">
        <v>1433.27</v>
      </c>
      <c r="AR247" s="24">
        <f>VLOOKUP(B247,'[1]Sheet1 (2)'!$B$2:$C$397,2,0)</f>
        <v>696.69</v>
      </c>
      <c r="AS247" s="24">
        <f>VLOOKUP(B247,'[2]Sheet1 (2)'!$B$2:$C$404,2,0)</f>
        <v>171.8</v>
      </c>
      <c r="AT247" s="24">
        <v>62.71</v>
      </c>
      <c r="AU247" s="24">
        <v>121.48</v>
      </c>
      <c r="AV247" s="24">
        <v>92.68</v>
      </c>
      <c r="AW247" s="20">
        <v>219.78</v>
      </c>
      <c r="AX247" s="20">
        <v>-2.1</v>
      </c>
      <c r="AY247" s="83">
        <v>386.41</v>
      </c>
      <c r="AZ247" s="83">
        <v>290.52</v>
      </c>
      <c r="BA247" s="83">
        <v>186.36</v>
      </c>
      <c r="BB247" s="8">
        <f t="shared" si="170"/>
        <v>3745.7900000000004</v>
      </c>
      <c r="BC247" s="24">
        <v>814.31</v>
      </c>
      <c r="BD247" s="24">
        <v>-13.04</v>
      </c>
      <c r="BE247" s="24">
        <v>2.1800000000000002</v>
      </c>
      <c r="BF247" s="24">
        <v>568.75</v>
      </c>
      <c r="BG247" s="24">
        <v>240.7</v>
      </c>
      <c r="BH247" s="24">
        <v>331.94</v>
      </c>
      <c r="BI247" s="24">
        <v>684.31</v>
      </c>
      <c r="BN247" s="83"/>
      <c r="BO247" s="8">
        <f t="shared" si="171"/>
        <v>2629.1499999999996</v>
      </c>
    </row>
    <row r="248" spans="2:67" x14ac:dyDescent="0.2">
      <c r="B248" s="3" t="s">
        <v>375</v>
      </c>
      <c r="C248" s="23">
        <v>-429.67</v>
      </c>
      <c r="D248" s="24">
        <v>534.08000000000004</v>
      </c>
      <c r="E248" s="24">
        <v>1957.26</v>
      </c>
      <c r="F248" s="24">
        <v>1194.3800000000001</v>
      </c>
      <c r="G248" s="24">
        <v>1766.6</v>
      </c>
      <c r="H248" s="24">
        <v>1771.97</v>
      </c>
      <c r="I248" s="24">
        <v>1690.36</v>
      </c>
      <c r="J248" s="24">
        <v>2240.9899999999998</v>
      </c>
      <c r="K248" s="24">
        <v>1897.03</v>
      </c>
      <c r="L248" s="24">
        <v>2180.71</v>
      </c>
      <c r="M248" s="24">
        <v>1086.8</v>
      </c>
      <c r="N248" s="24">
        <v>7048.1</v>
      </c>
      <c r="O248" s="24">
        <f>SUBTOTAL(9,C248:N248)</f>
        <v>22938.61</v>
      </c>
      <c r="P248" s="24">
        <v>114.53</v>
      </c>
      <c r="Q248" s="24">
        <v>0</v>
      </c>
      <c r="R248" s="24">
        <v>2152.7199999999998</v>
      </c>
      <c r="S248" s="24">
        <v>0</v>
      </c>
      <c r="T248" s="24">
        <v>3708.61</v>
      </c>
      <c r="U248" s="24">
        <v>1883.06</v>
      </c>
      <c r="V248" s="24">
        <v>2024.07</v>
      </c>
      <c r="W248" s="20">
        <v>1676.52</v>
      </c>
      <c r="X248" s="20">
        <v>1245.72</v>
      </c>
      <c r="Y248" s="83">
        <v>1523.6</v>
      </c>
      <c r="Z248" s="83">
        <v>1455.47</v>
      </c>
      <c r="AA248" s="83">
        <v>4817.4399999999996</v>
      </c>
      <c r="AB248" s="8">
        <f>SUM(P248:AA248)</f>
        <v>20601.739999999998</v>
      </c>
      <c r="AC248" s="24">
        <v>0</v>
      </c>
      <c r="AD248" s="24">
        <v>18.02</v>
      </c>
      <c r="AE248" s="24">
        <v>56.6</v>
      </c>
      <c r="AF248" s="24">
        <v>2709.82</v>
      </c>
      <c r="AG248" s="24">
        <v>-3.67</v>
      </c>
      <c r="AH248" s="24">
        <v>3979.26</v>
      </c>
      <c r="AI248" s="24">
        <v>1018.68</v>
      </c>
      <c r="AJ248" s="20">
        <v>1259.3900000000001</v>
      </c>
      <c r="AK248" s="20">
        <v>1174.4100000000001</v>
      </c>
      <c r="AL248" s="83">
        <v>923</v>
      </c>
      <c r="AM248" s="83">
        <v>1205.99</v>
      </c>
      <c r="AN248" s="83">
        <v>1891.36</v>
      </c>
      <c r="AO248" s="8">
        <f>SUM(AC248:AN248)</f>
        <v>14232.86</v>
      </c>
      <c r="AP248" s="24">
        <v>94.74</v>
      </c>
      <c r="AQ248" s="24">
        <v>1064.2</v>
      </c>
      <c r="AR248" s="24">
        <f>VLOOKUP(B248,'[1]Sheet1 (2)'!$B$2:$C$397,2,0)</f>
        <v>947.9</v>
      </c>
      <c r="AS248" s="24">
        <f>VLOOKUP(B248,'[2]Sheet1 (2)'!$B$2:$C$404,2,0)</f>
        <v>1041.27</v>
      </c>
      <c r="AT248" s="24">
        <v>1000.52</v>
      </c>
      <c r="AU248" s="24">
        <v>1063.3800000000001</v>
      </c>
      <c r="AV248" s="24">
        <v>906.04</v>
      </c>
      <c r="AW248" s="20">
        <v>937.34</v>
      </c>
      <c r="AX248" s="20">
        <v>964.75</v>
      </c>
      <c r="AY248" s="83">
        <v>972.53</v>
      </c>
      <c r="AZ248" s="83">
        <v>864.04</v>
      </c>
      <c r="BA248" s="83">
        <v>1706.42</v>
      </c>
      <c r="BB248" s="8">
        <f t="shared" si="170"/>
        <v>11563.13</v>
      </c>
      <c r="BC248" s="24">
        <v>-93.18</v>
      </c>
      <c r="BD248" s="24">
        <v>493.49</v>
      </c>
      <c r="BE248" s="24">
        <v>808.52</v>
      </c>
      <c r="BF248" s="24">
        <v>510.22</v>
      </c>
      <c r="BG248" s="24">
        <v>665.53</v>
      </c>
      <c r="BH248" s="24">
        <v>816.74</v>
      </c>
      <c r="BI248" s="24">
        <v>1083.45</v>
      </c>
      <c r="BN248" s="83"/>
      <c r="BO248" s="8">
        <f t="shared" si="171"/>
        <v>4284.7699999999995</v>
      </c>
    </row>
    <row r="249" spans="2:67" x14ac:dyDescent="0.2">
      <c r="B249" s="3" t="s">
        <v>573</v>
      </c>
      <c r="C249" s="23">
        <v>939.64</v>
      </c>
      <c r="D249" s="24">
        <v>0</v>
      </c>
      <c r="E249" s="24">
        <v>0</v>
      </c>
      <c r="F249" s="24">
        <v>268.61</v>
      </c>
      <c r="G249" s="24">
        <v>0</v>
      </c>
      <c r="H249" s="24">
        <v>818.28</v>
      </c>
      <c r="I249" s="24">
        <v>425.09</v>
      </c>
      <c r="J249" s="24">
        <v>0</v>
      </c>
      <c r="K249" s="24">
        <v>0</v>
      </c>
      <c r="L249" s="24">
        <v>0</v>
      </c>
      <c r="M249" s="24">
        <v>265.49</v>
      </c>
      <c r="N249" s="24">
        <v>-2.57</v>
      </c>
      <c r="O249" s="24">
        <f>SUBTOTAL(9,C249:N249)</f>
        <v>2714.5399999999995</v>
      </c>
      <c r="P249" s="24">
        <v>0</v>
      </c>
      <c r="Q249" s="24">
        <v>557.22</v>
      </c>
      <c r="R249" s="24">
        <v>0</v>
      </c>
      <c r="S249" s="24">
        <v>0</v>
      </c>
      <c r="T249" s="24">
        <v>0</v>
      </c>
      <c r="U249" s="24">
        <v>1325.55</v>
      </c>
      <c r="V249" s="24">
        <v>224.2</v>
      </c>
      <c r="W249" s="20">
        <v>0</v>
      </c>
      <c r="X249" s="20">
        <v>32.479999999999997</v>
      </c>
      <c r="Y249" s="83">
        <v>2388.16</v>
      </c>
      <c r="Z249" s="83">
        <v>0</v>
      </c>
      <c r="AA249" s="83">
        <v>64.88</v>
      </c>
      <c r="AB249" s="8">
        <f>SUM(P249:AA249)</f>
        <v>4592.49</v>
      </c>
      <c r="AC249" s="24">
        <v>558.30999999999995</v>
      </c>
      <c r="AD249" s="24">
        <v>-64.88</v>
      </c>
      <c r="AE249" s="24">
        <v>224.7</v>
      </c>
      <c r="AF249" s="24">
        <v>-0.42</v>
      </c>
      <c r="AG249" s="24">
        <v>123.23</v>
      </c>
      <c r="AH249" s="24">
        <v>2217.98</v>
      </c>
      <c r="AI249" s="24">
        <v>1.1000000000000001</v>
      </c>
      <c r="AJ249" s="20">
        <v>4.55</v>
      </c>
      <c r="AK249" s="20">
        <v>0.57999999999999996</v>
      </c>
      <c r="AL249" s="83">
        <v>32.44</v>
      </c>
      <c r="AM249" s="83">
        <v>0.61</v>
      </c>
      <c r="AN249" s="83">
        <v>2292.42</v>
      </c>
      <c r="AO249" s="8">
        <f>SUM(AC249:AN249)</f>
        <v>5390.6200000000008</v>
      </c>
      <c r="AP249" s="24">
        <v>0</v>
      </c>
      <c r="AQ249" s="24">
        <v>687.79</v>
      </c>
      <c r="AR249" s="24">
        <f>VLOOKUP(B249,'[1]Sheet1 (2)'!$B$2:$C$397,2,0)</f>
        <v>619.41999999999996</v>
      </c>
      <c r="AS249" s="24">
        <f>VLOOKUP(B249,'[2]Sheet1 (2)'!$B$2:$C$404,2,0)</f>
        <v>153.12</v>
      </c>
      <c r="AT249" s="24">
        <v>177</v>
      </c>
      <c r="AU249" s="24">
        <v>306.66000000000003</v>
      </c>
      <c r="AV249" s="24">
        <v>0</v>
      </c>
      <c r="AW249" s="20">
        <v>1109.79</v>
      </c>
      <c r="AX249" s="20">
        <v>516.95000000000005</v>
      </c>
      <c r="AY249" s="83">
        <v>90.25</v>
      </c>
      <c r="AZ249" s="83">
        <v>310.16000000000003</v>
      </c>
      <c r="BA249" s="83">
        <v>806.27</v>
      </c>
      <c r="BB249" s="8">
        <f t="shared" si="170"/>
        <v>4777.41</v>
      </c>
      <c r="BC249" s="24">
        <v>454.28</v>
      </c>
      <c r="BD249" s="24">
        <v>1213.68</v>
      </c>
      <c r="BE249" s="24">
        <v>337.58</v>
      </c>
      <c r="BF249" s="24">
        <v>0</v>
      </c>
      <c r="BG249" s="24">
        <v>-2.84</v>
      </c>
      <c r="BH249" s="24">
        <v>-1.8</v>
      </c>
      <c r="BI249" s="24">
        <v>2186.42</v>
      </c>
      <c r="BN249" s="83"/>
      <c r="BO249" s="8">
        <f t="shared" si="171"/>
        <v>4187.32</v>
      </c>
    </row>
    <row r="250" spans="2:67" x14ac:dyDescent="0.2">
      <c r="B250" s="3" t="s">
        <v>574</v>
      </c>
      <c r="C250" s="23"/>
      <c r="F250" s="24">
        <v>540.29</v>
      </c>
      <c r="G250" s="24">
        <v>0</v>
      </c>
      <c r="H250" s="24">
        <v>0</v>
      </c>
      <c r="I250" s="24">
        <v>0</v>
      </c>
      <c r="J250" s="24">
        <v>0</v>
      </c>
      <c r="K250" s="24">
        <v>0</v>
      </c>
      <c r="L250" s="24">
        <v>0</v>
      </c>
      <c r="M250" s="24">
        <v>570.23</v>
      </c>
      <c r="N250" s="24">
        <v>0</v>
      </c>
      <c r="O250" s="24">
        <f>SUBTOTAL(9,C250:N250)</f>
        <v>1110.52</v>
      </c>
      <c r="P250" s="24">
        <v>0</v>
      </c>
      <c r="Q250" s="24">
        <v>305.41000000000003</v>
      </c>
      <c r="R250" s="24">
        <v>0</v>
      </c>
      <c r="S250" s="24">
        <v>0</v>
      </c>
      <c r="T250" s="24">
        <v>0</v>
      </c>
      <c r="U250" s="24">
        <v>42.26</v>
      </c>
      <c r="V250" s="24">
        <v>468.59</v>
      </c>
      <c r="W250" s="20">
        <v>0</v>
      </c>
      <c r="X250" s="20">
        <v>0</v>
      </c>
      <c r="Y250" s="83">
        <v>0</v>
      </c>
      <c r="Z250" s="83">
        <v>530.48</v>
      </c>
      <c r="AA250" s="83">
        <v>0</v>
      </c>
      <c r="AB250" s="8">
        <f>SUM(P250:AA250)</f>
        <v>1346.74</v>
      </c>
      <c r="AC250" s="24">
        <v>0</v>
      </c>
      <c r="AD250" s="24">
        <v>630.96</v>
      </c>
      <c r="AE250" s="24">
        <v>-10.220000000000001</v>
      </c>
      <c r="AF250" s="24">
        <v>2.5299999999999998</v>
      </c>
      <c r="AG250" s="24">
        <v>1.51</v>
      </c>
      <c r="AH250" s="24">
        <v>1.1000000000000001</v>
      </c>
      <c r="AI250" s="24">
        <v>0.83</v>
      </c>
      <c r="AJ250" s="20">
        <v>0.59</v>
      </c>
      <c r="AK250" s="20">
        <v>0.43</v>
      </c>
      <c r="AL250" s="83">
        <v>0.36</v>
      </c>
      <c r="AM250" s="83">
        <v>0.27</v>
      </c>
      <c r="AN250" s="83">
        <v>0.23</v>
      </c>
      <c r="AO250" s="8">
        <f>SUM(AC250:AN250)</f>
        <v>628.59</v>
      </c>
      <c r="AP250" s="24">
        <v>0</v>
      </c>
      <c r="AQ250" s="24">
        <v>1561.63</v>
      </c>
      <c r="AR250" s="24">
        <f>VLOOKUP(B250,'[1]Sheet1 (2)'!$B$2:$C$397,2,0)</f>
        <v>0</v>
      </c>
      <c r="AS250" s="24">
        <f>VLOOKUP(B250,'[2]Sheet1 (2)'!$B$2:$C$404,2,0)</f>
        <v>0</v>
      </c>
      <c r="AT250" s="24">
        <v>0</v>
      </c>
      <c r="AU250" s="24">
        <v>0</v>
      </c>
      <c r="AV250" s="24">
        <v>0</v>
      </c>
      <c r="AW250" s="20">
        <v>0</v>
      </c>
      <c r="AX250" s="20">
        <v>0</v>
      </c>
      <c r="AY250" s="83">
        <v>0</v>
      </c>
      <c r="AZ250" s="83">
        <v>0</v>
      </c>
      <c r="BA250" s="83">
        <v>0</v>
      </c>
      <c r="BB250" s="8">
        <f t="shared" si="170"/>
        <v>1561.63</v>
      </c>
      <c r="BC250" s="24">
        <v>647.59</v>
      </c>
      <c r="BD250" s="24">
        <v>875.88</v>
      </c>
      <c r="BE250" s="24">
        <v>0</v>
      </c>
      <c r="BF250" s="24">
        <v>0</v>
      </c>
      <c r="BG250" s="24">
        <v>-1.75</v>
      </c>
      <c r="BH250" s="24">
        <v>-1.1100000000000001</v>
      </c>
      <c r="BI250" s="24">
        <v>-0.82</v>
      </c>
      <c r="BN250" s="83"/>
      <c r="BO250" s="8">
        <f t="shared" si="171"/>
        <v>1519.7900000000002</v>
      </c>
    </row>
    <row r="251" spans="2:67" x14ac:dyDescent="0.2">
      <c r="B251" s="3" t="s">
        <v>1878</v>
      </c>
      <c r="C251" s="23"/>
      <c r="AA251" s="83"/>
      <c r="AB251" s="8"/>
      <c r="AN251" s="83"/>
      <c r="AO251" s="8"/>
      <c r="AP251" s="24">
        <v>0</v>
      </c>
      <c r="AQ251" s="24">
        <v>0</v>
      </c>
      <c r="AR251" s="24">
        <v>0</v>
      </c>
      <c r="AS251" s="24">
        <f>VLOOKUP(B251,'[2]Sheet1 (2)'!$B$2:$C$404,2,0)</f>
        <v>49.62</v>
      </c>
      <c r="AT251" s="24">
        <v>0</v>
      </c>
      <c r="AU251" s="24">
        <v>0</v>
      </c>
      <c r="AV251" s="24">
        <v>0</v>
      </c>
      <c r="AW251" s="20">
        <v>0</v>
      </c>
      <c r="AX251" s="20">
        <v>0</v>
      </c>
      <c r="AY251" s="83">
        <v>0</v>
      </c>
      <c r="AZ251" s="83">
        <v>0</v>
      </c>
      <c r="BA251" s="83">
        <v>0</v>
      </c>
      <c r="BB251" s="8">
        <f t="shared" si="170"/>
        <v>49.62</v>
      </c>
      <c r="BC251" s="24">
        <v>0</v>
      </c>
      <c r="BD251" s="24">
        <v>0</v>
      </c>
      <c r="BE251" s="24">
        <v>0</v>
      </c>
      <c r="BF251" s="24">
        <v>0</v>
      </c>
      <c r="BG251" s="24">
        <v>0</v>
      </c>
      <c r="BH251" s="24">
        <v>15.54</v>
      </c>
      <c r="BI251" s="24">
        <v>0</v>
      </c>
      <c r="BN251" s="83"/>
      <c r="BO251" s="8">
        <f t="shared" si="171"/>
        <v>15.54</v>
      </c>
    </row>
    <row r="252" spans="2:67" x14ac:dyDescent="0.2">
      <c r="B252" s="3" t="s">
        <v>376</v>
      </c>
      <c r="C252" s="23">
        <v>654.64</v>
      </c>
      <c r="D252" s="24">
        <v>749.22</v>
      </c>
      <c r="E252" s="24">
        <v>78.86</v>
      </c>
      <c r="F252" s="24">
        <v>610</v>
      </c>
      <c r="G252" s="24">
        <v>24.92</v>
      </c>
      <c r="H252" s="24">
        <v>1884.89</v>
      </c>
      <c r="I252" s="24">
        <v>1776.14</v>
      </c>
      <c r="J252" s="24">
        <v>447.32</v>
      </c>
      <c r="K252" s="24">
        <v>403.7</v>
      </c>
      <c r="L252" s="24">
        <v>289.47000000000003</v>
      </c>
      <c r="M252" s="24">
        <v>172.07</v>
      </c>
      <c r="N252" s="24">
        <v>424.43</v>
      </c>
      <c r="O252" s="24">
        <f>SUBTOTAL(9,C252:N252)</f>
        <v>7515.6600000000008</v>
      </c>
      <c r="P252" s="24">
        <v>1045.6199999999999</v>
      </c>
      <c r="Q252" s="24">
        <v>1033.3900000000001</v>
      </c>
      <c r="R252" s="24">
        <v>243.38</v>
      </c>
      <c r="S252" s="24">
        <v>181.87</v>
      </c>
      <c r="T252" s="24">
        <v>1218.1300000000001</v>
      </c>
      <c r="U252" s="24">
        <v>30.26</v>
      </c>
      <c r="V252" s="24">
        <v>531.87</v>
      </c>
      <c r="W252" s="20">
        <v>1397.7</v>
      </c>
      <c r="X252" s="20">
        <v>487.9</v>
      </c>
      <c r="Y252" s="83">
        <v>787.77</v>
      </c>
      <c r="Z252" s="83">
        <v>1126.97</v>
      </c>
      <c r="AA252" s="83">
        <v>2737.11</v>
      </c>
      <c r="AB252" s="8">
        <f>SUM(P252:AA252)</f>
        <v>10821.97</v>
      </c>
      <c r="AC252" s="24">
        <v>1415.73</v>
      </c>
      <c r="AD252" s="24">
        <v>-1017.85</v>
      </c>
      <c r="AE252" s="24">
        <v>2537.61</v>
      </c>
      <c r="AF252" s="24">
        <v>2222.65</v>
      </c>
      <c r="AG252" s="24">
        <v>2156.9499999999998</v>
      </c>
      <c r="AH252" s="24">
        <v>1176.45</v>
      </c>
      <c r="AI252" s="24">
        <v>-96.7</v>
      </c>
      <c r="AJ252" s="20">
        <v>3819.92</v>
      </c>
      <c r="AK252" s="20">
        <v>2528.6799999999998</v>
      </c>
      <c r="AL252" s="83">
        <v>4308.08</v>
      </c>
      <c r="AM252" s="83">
        <v>3152.42</v>
      </c>
      <c r="AN252" s="83">
        <v>3460</v>
      </c>
      <c r="AO252" s="8">
        <f>SUM(AC252:AN252)</f>
        <v>25663.940000000002</v>
      </c>
      <c r="AP252" s="24">
        <v>1815</v>
      </c>
      <c r="AQ252" s="24">
        <v>552.88</v>
      </c>
      <c r="AR252" s="24">
        <f>VLOOKUP(B252,'[1]Sheet1 (2)'!$B$2:$C$397,2,0)</f>
        <v>4498.3500000000004</v>
      </c>
      <c r="AS252" s="24">
        <f>VLOOKUP(B252,'[2]Sheet1 (2)'!$B$2:$C$404,2,0)</f>
        <v>1539.63</v>
      </c>
      <c r="AT252" s="24">
        <v>5232.7</v>
      </c>
      <c r="AU252" s="24">
        <v>-3480.64</v>
      </c>
      <c r="AV252" s="24">
        <v>8297.35</v>
      </c>
      <c r="AW252" s="20">
        <v>4901.5200000000004</v>
      </c>
      <c r="AX252" s="20">
        <v>4662.71</v>
      </c>
      <c r="AY252" s="83">
        <v>8250.76</v>
      </c>
      <c r="AZ252" s="83">
        <v>2488.46</v>
      </c>
      <c r="BA252" s="83">
        <v>3980.19</v>
      </c>
      <c r="BB252" s="8">
        <f t="shared" si="170"/>
        <v>42738.91</v>
      </c>
      <c r="BC252" s="24">
        <v>4404.1099999999997</v>
      </c>
      <c r="BD252" s="24">
        <v>7811.62</v>
      </c>
      <c r="BE252" s="24">
        <v>5031.59</v>
      </c>
      <c r="BF252" s="24">
        <v>2111.6</v>
      </c>
      <c r="BG252" s="24">
        <v>4477.04</v>
      </c>
      <c r="BH252" s="24">
        <v>5774.55</v>
      </c>
      <c r="BI252" s="24">
        <v>4548.24</v>
      </c>
      <c r="BN252" s="83"/>
      <c r="BO252" s="8">
        <f t="shared" si="171"/>
        <v>34158.75</v>
      </c>
    </row>
    <row r="253" spans="2:67" x14ac:dyDescent="0.2">
      <c r="B253" s="3" t="s">
        <v>1641</v>
      </c>
      <c r="C253" s="23"/>
      <c r="P253" s="24">
        <v>0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0">
        <v>-32.69</v>
      </c>
      <c r="X253" s="20">
        <v>0</v>
      </c>
      <c r="Y253" s="83">
        <v>0</v>
      </c>
      <c r="Z253" s="83">
        <v>0</v>
      </c>
      <c r="AA253" s="83">
        <v>0</v>
      </c>
      <c r="AB253" s="8">
        <f>SUM(P253:AA253)</f>
        <v>-32.69</v>
      </c>
      <c r="AC253" s="24">
        <v>0</v>
      </c>
      <c r="AD253" s="24">
        <v>0</v>
      </c>
      <c r="AE253" s="24">
        <v>0</v>
      </c>
      <c r="AF253" s="24">
        <v>0</v>
      </c>
      <c r="AG253" s="24">
        <v>0</v>
      </c>
      <c r="AH253" s="24">
        <v>0</v>
      </c>
      <c r="AI253" s="24">
        <v>0</v>
      </c>
      <c r="AJ253" s="20">
        <v>0</v>
      </c>
      <c r="AK253" s="20">
        <v>0</v>
      </c>
      <c r="AL253" s="83">
        <v>0</v>
      </c>
      <c r="AM253" s="83">
        <v>0</v>
      </c>
      <c r="AN253" s="83">
        <v>0</v>
      </c>
      <c r="AO253" s="8">
        <f>SUM(AC253:AN253)</f>
        <v>0</v>
      </c>
      <c r="AP253" s="24">
        <v>0</v>
      </c>
      <c r="AQ253" s="24">
        <v>0</v>
      </c>
      <c r="AR253" s="24">
        <v>0</v>
      </c>
      <c r="AS253" s="24">
        <v>0</v>
      </c>
      <c r="AT253" s="24">
        <v>0</v>
      </c>
      <c r="AU253" s="24">
        <v>0</v>
      </c>
      <c r="AV253" s="24">
        <v>0</v>
      </c>
      <c r="AW253" s="20">
        <v>0</v>
      </c>
      <c r="AX253" s="20">
        <v>0</v>
      </c>
      <c r="AY253" s="83">
        <v>0</v>
      </c>
      <c r="AZ253" s="83">
        <v>0</v>
      </c>
      <c r="BA253" s="83">
        <v>0</v>
      </c>
      <c r="BB253" s="8">
        <f t="shared" si="170"/>
        <v>0</v>
      </c>
      <c r="BC253" s="24">
        <v>0</v>
      </c>
      <c r="BD253" s="24">
        <v>0</v>
      </c>
      <c r="BE253" s="24">
        <v>0</v>
      </c>
      <c r="BF253" s="24">
        <v>0</v>
      </c>
      <c r="BG253" s="24">
        <v>0</v>
      </c>
      <c r="BH253" s="24">
        <v>0</v>
      </c>
      <c r="BI253" s="24">
        <v>0</v>
      </c>
      <c r="BN253" s="83"/>
      <c r="BO253" s="8">
        <f t="shared" si="171"/>
        <v>0</v>
      </c>
    </row>
    <row r="254" spans="2:67" x14ac:dyDescent="0.2">
      <c r="B254" s="3" t="s">
        <v>377</v>
      </c>
      <c r="C254" s="23">
        <v>0</v>
      </c>
      <c r="D254" s="24">
        <v>1022.18</v>
      </c>
      <c r="E254" s="24">
        <v>2048.42</v>
      </c>
      <c r="F254" s="24">
        <v>1.1399999999999999</v>
      </c>
      <c r="G254" s="24">
        <v>1903</v>
      </c>
      <c r="H254" s="24">
        <v>1215.8900000000001</v>
      </c>
      <c r="I254" s="24">
        <v>1201.28</v>
      </c>
      <c r="J254" s="24">
        <v>1209.51</v>
      </c>
      <c r="K254" s="24">
        <v>1202</v>
      </c>
      <c r="L254" s="24">
        <v>1153.1099999999999</v>
      </c>
      <c r="M254" s="24">
        <v>2289.71</v>
      </c>
      <c r="N254" s="24">
        <v>1051.93</v>
      </c>
      <c r="O254" s="24">
        <f>SUBTOTAL(9,C254:N254)</f>
        <v>14298.170000000002</v>
      </c>
      <c r="P254" s="24">
        <v>3091.68</v>
      </c>
      <c r="Q254" s="24">
        <v>4087.53</v>
      </c>
      <c r="R254" s="24">
        <v>2060.4299999999998</v>
      </c>
      <c r="S254" s="24">
        <v>2108.33</v>
      </c>
      <c r="T254" s="24">
        <v>2055.3000000000002</v>
      </c>
      <c r="U254" s="24">
        <v>2069.7399999999998</v>
      </c>
      <c r="V254" s="24">
        <v>11.23</v>
      </c>
      <c r="W254" s="20">
        <v>4066.83</v>
      </c>
      <c r="X254" s="20">
        <v>1985.36</v>
      </c>
      <c r="Y254" s="83">
        <v>1950.94</v>
      </c>
      <c r="Z254" s="83">
        <v>43.55</v>
      </c>
      <c r="AA254" s="83">
        <v>2009.33</v>
      </c>
      <c r="AB254" s="8">
        <f>SUM(P254:AA254)</f>
        <v>25540.25</v>
      </c>
      <c r="AC254" s="24">
        <v>1938</v>
      </c>
      <c r="AD254" s="24">
        <v>1992.83</v>
      </c>
      <c r="AE254" s="24">
        <v>1949.05</v>
      </c>
      <c r="AF254" s="24">
        <v>1914.69</v>
      </c>
      <c r="AG254" s="24">
        <v>-12605.8</v>
      </c>
      <c r="AH254" s="24">
        <v>77.67</v>
      </c>
      <c r="AI254" s="24">
        <v>1013.67</v>
      </c>
      <c r="AJ254" s="20">
        <v>1067.55</v>
      </c>
      <c r="AK254" s="20">
        <v>1083.56</v>
      </c>
      <c r="AL254" s="83">
        <v>1013.92</v>
      </c>
      <c r="AM254" s="83">
        <v>1032.3399999999999</v>
      </c>
      <c r="AN254" s="83">
        <v>1001.22</v>
      </c>
      <c r="AO254" s="8">
        <f>SUM(AC254:AN254)</f>
        <v>1478.7000000000007</v>
      </c>
      <c r="AP254" s="24">
        <v>-7.46</v>
      </c>
      <c r="AQ254" s="24">
        <v>0</v>
      </c>
      <c r="AR254" s="24">
        <f>VLOOKUP(B254,'[1]Sheet1 (2)'!$B$2:$C$397,2,0)</f>
        <v>0</v>
      </c>
      <c r="AS254" s="24">
        <f>VLOOKUP(B254,'[2]Sheet1 (2)'!$B$2:$C$404,2,0)</f>
        <v>0</v>
      </c>
      <c r="AT254" s="24">
        <v>0</v>
      </c>
      <c r="AU254" s="24">
        <v>0</v>
      </c>
      <c r="AV254" s="24">
        <v>0</v>
      </c>
      <c r="AW254" s="20">
        <v>0</v>
      </c>
      <c r="AX254" s="20">
        <v>0</v>
      </c>
      <c r="AY254" s="83">
        <v>0</v>
      </c>
      <c r="AZ254" s="83">
        <v>0</v>
      </c>
      <c r="BA254" s="83">
        <v>0</v>
      </c>
      <c r="BB254" s="8">
        <f t="shared" si="170"/>
        <v>-7.46</v>
      </c>
      <c r="BC254" s="24">
        <v>0</v>
      </c>
      <c r="BD254" s="24">
        <v>0</v>
      </c>
      <c r="BE254" s="24">
        <v>0</v>
      </c>
      <c r="BF254" s="24">
        <v>0</v>
      </c>
      <c r="BG254" s="24">
        <v>0</v>
      </c>
      <c r="BH254" s="24">
        <v>0</v>
      </c>
      <c r="BI254" s="24">
        <v>0</v>
      </c>
      <c r="BN254" s="83"/>
      <c r="BO254" s="8">
        <f t="shared" si="171"/>
        <v>0</v>
      </c>
    </row>
    <row r="255" spans="2:67" x14ac:dyDescent="0.2">
      <c r="B255" s="3" t="s">
        <v>857</v>
      </c>
      <c r="C255" s="23">
        <v>0</v>
      </c>
      <c r="D255" s="24">
        <v>9461.41</v>
      </c>
      <c r="E255" s="24">
        <v>19542.14</v>
      </c>
      <c r="F255" s="24">
        <v>1498.47</v>
      </c>
      <c r="G255" s="24">
        <v>6084.13</v>
      </c>
      <c r="H255" s="24">
        <v>6660.61</v>
      </c>
      <c r="I255" s="24">
        <v>8697.98</v>
      </c>
      <c r="J255" s="24">
        <v>3225.65</v>
      </c>
      <c r="K255" s="24">
        <v>3066.24</v>
      </c>
      <c r="L255" s="24">
        <v>3971.96</v>
      </c>
      <c r="M255" s="24">
        <v>3603.1</v>
      </c>
      <c r="N255" s="24">
        <v>6347.55</v>
      </c>
      <c r="O255" s="24">
        <f>SUBTOTAL(9,C255:N255)</f>
        <v>72159.240000000005</v>
      </c>
      <c r="P255" s="24">
        <v>0</v>
      </c>
      <c r="Q255" s="24">
        <v>0</v>
      </c>
      <c r="R255" s="24">
        <v>0</v>
      </c>
      <c r="S255" s="24">
        <v>0</v>
      </c>
      <c r="T255" s="24">
        <v>4329.72</v>
      </c>
      <c r="U255" s="24">
        <v>5616.99</v>
      </c>
      <c r="V255" s="24">
        <v>500.2</v>
      </c>
      <c r="W255" s="20">
        <v>7202.64</v>
      </c>
      <c r="X255" s="20">
        <v>-8844.6</v>
      </c>
      <c r="Y255" s="83">
        <v>0</v>
      </c>
      <c r="Z255" s="83">
        <v>4181.6099999999997</v>
      </c>
      <c r="AA255" s="83">
        <v>18337.7</v>
      </c>
      <c r="AB255" s="8">
        <f>SUM(P255:AA255)</f>
        <v>31324.26</v>
      </c>
      <c r="AC255" s="24">
        <v>-2439.02</v>
      </c>
      <c r="AD255" s="24">
        <v>0</v>
      </c>
      <c r="AE255" s="24">
        <v>10351.19</v>
      </c>
      <c r="AF255" s="24">
        <v>8916.8700000000008</v>
      </c>
      <c r="AG255" s="24">
        <v>17369.07</v>
      </c>
      <c r="AH255" s="24">
        <v>3922.35</v>
      </c>
      <c r="AI255" s="24">
        <v>8769.91</v>
      </c>
      <c r="AJ255" s="20">
        <v>8943.82</v>
      </c>
      <c r="AK255" s="20">
        <v>9108.73</v>
      </c>
      <c r="AL255" s="83">
        <v>10338.049999999999</v>
      </c>
      <c r="AM255" s="83">
        <v>6110.48</v>
      </c>
      <c r="AN255" s="83">
        <v>14800.09</v>
      </c>
      <c r="AO255" s="8">
        <f>SUM(AC255:AN255)</f>
        <v>96191.54</v>
      </c>
      <c r="AP255" s="24">
        <v>330.05</v>
      </c>
      <c r="AQ255" s="24">
        <v>10293.41</v>
      </c>
      <c r="AR255" s="24">
        <f>VLOOKUP(B255,'[1]Sheet1 (2)'!$B$2:$C$397,2,0)</f>
        <v>2873</v>
      </c>
      <c r="AS255" s="24">
        <f>VLOOKUP(B255,'[2]Sheet1 (2)'!$B$2:$C$404,2,0)</f>
        <v>11410.14</v>
      </c>
      <c r="AT255" s="24">
        <v>6031.54</v>
      </c>
      <c r="AU255" s="24">
        <v>6189.71</v>
      </c>
      <c r="AV255" s="24">
        <v>10986.53</v>
      </c>
      <c r="AW255" s="20">
        <v>6355.46</v>
      </c>
      <c r="AX255" s="20">
        <v>7186.87</v>
      </c>
      <c r="AY255" s="83">
        <v>7112.96</v>
      </c>
      <c r="AZ255" s="83">
        <v>7069</v>
      </c>
      <c r="BA255" s="83">
        <v>7988.54</v>
      </c>
      <c r="BB255" s="8">
        <f t="shared" si="170"/>
        <v>83827.209999999992</v>
      </c>
      <c r="BC255" s="24">
        <v>1626.35</v>
      </c>
      <c r="BD255" s="24">
        <v>3610.08</v>
      </c>
      <c r="BE255" s="24">
        <v>12169.33</v>
      </c>
      <c r="BF255" s="24">
        <v>23044.73</v>
      </c>
      <c r="BG255" s="24">
        <v>17923.669999999998</v>
      </c>
      <c r="BH255" s="24">
        <v>15252.15</v>
      </c>
      <c r="BI255" s="24">
        <v>12780.72</v>
      </c>
      <c r="BN255" s="83"/>
      <c r="BO255" s="8">
        <f t="shared" si="171"/>
        <v>86407.03</v>
      </c>
    </row>
    <row r="256" spans="2:67" x14ac:dyDescent="0.2">
      <c r="B256" s="3" t="s">
        <v>378</v>
      </c>
      <c r="C256" s="23">
        <v>679.62</v>
      </c>
      <c r="D256" s="24">
        <v>6706.65</v>
      </c>
      <c r="E256" s="24">
        <v>7537.99</v>
      </c>
      <c r="F256" s="24">
        <v>5631.14</v>
      </c>
      <c r="G256" s="24">
        <v>7240.39</v>
      </c>
      <c r="H256" s="24">
        <v>7035.43</v>
      </c>
      <c r="I256" s="24">
        <v>6159.46</v>
      </c>
      <c r="J256" s="24">
        <v>8048.76</v>
      </c>
      <c r="K256" s="24">
        <v>7258.43</v>
      </c>
      <c r="L256" s="24">
        <v>8747.51</v>
      </c>
      <c r="M256" s="24">
        <v>4332.17</v>
      </c>
      <c r="N256" s="24">
        <v>27369.83</v>
      </c>
      <c r="O256" s="24">
        <f>SUBTOTAL(9,C256:N256)</f>
        <v>96747.38</v>
      </c>
      <c r="P256" s="24">
        <v>1760.23</v>
      </c>
      <c r="Q256" s="24">
        <v>6.59</v>
      </c>
      <c r="R256" s="24">
        <v>7910.25</v>
      </c>
      <c r="S256" s="24">
        <v>6.72</v>
      </c>
      <c r="T256" s="24">
        <v>17120.82</v>
      </c>
      <c r="U256" s="24">
        <v>8049.49</v>
      </c>
      <c r="V256" s="24">
        <v>8837.36</v>
      </c>
      <c r="W256" s="20">
        <v>7255.77</v>
      </c>
      <c r="X256" s="20">
        <v>7044.55</v>
      </c>
      <c r="Y256" s="83">
        <v>8202.67</v>
      </c>
      <c r="Z256" s="83">
        <v>7541.58</v>
      </c>
      <c r="AA256" s="83">
        <v>23370.47</v>
      </c>
      <c r="AB256" s="8">
        <f>SUM(P256:AA256)</f>
        <v>97106.5</v>
      </c>
      <c r="AC256" s="24">
        <v>0</v>
      </c>
      <c r="AD256" s="24">
        <v>-827.88</v>
      </c>
      <c r="AE256" s="24">
        <v>22.8</v>
      </c>
      <c r="AF256" s="24">
        <v>13540.09</v>
      </c>
      <c r="AG256" s="24">
        <v>1.83</v>
      </c>
      <c r="AH256" s="104">
        <v>25343.8</v>
      </c>
      <c r="AI256" s="24">
        <v>8102.72</v>
      </c>
      <c r="AJ256" s="20">
        <v>9852</v>
      </c>
      <c r="AK256" s="20">
        <v>10308.700000000001</v>
      </c>
      <c r="AL256" s="83">
        <v>10960.59</v>
      </c>
      <c r="AM256" s="83">
        <v>8583.33</v>
      </c>
      <c r="AN256" s="83">
        <v>16559.77</v>
      </c>
      <c r="AO256" s="8">
        <f>SUM(AC256:AN256)</f>
        <v>102447.75</v>
      </c>
      <c r="AP256" s="24">
        <v>214.93</v>
      </c>
      <c r="AQ256" s="24">
        <v>8243.8700000000008</v>
      </c>
      <c r="AR256" s="24">
        <f>VLOOKUP(B256,'[1]Sheet1 (2)'!$B$2:$C$397,2,0)</f>
        <v>8314.74</v>
      </c>
      <c r="AS256" s="24">
        <f>VLOOKUP(B256,'[2]Sheet1 (2)'!$B$2:$C$404,2,0)</f>
        <v>16764.23</v>
      </c>
      <c r="AT256" s="24">
        <v>13200.53</v>
      </c>
      <c r="AU256" s="24">
        <v>13611.39</v>
      </c>
      <c r="AV256" s="24">
        <v>13536.18</v>
      </c>
      <c r="AW256" s="20">
        <v>13863.1</v>
      </c>
      <c r="AX256" s="20">
        <v>15335.94</v>
      </c>
      <c r="AY256" s="83">
        <v>14820.92</v>
      </c>
      <c r="AZ256" s="83">
        <v>14393.68</v>
      </c>
      <c r="BA256" s="83">
        <v>28012.04</v>
      </c>
      <c r="BB256" s="8">
        <f t="shared" si="170"/>
        <v>160311.55000000002</v>
      </c>
      <c r="BC256" s="24">
        <v>4.25</v>
      </c>
      <c r="BD256" s="24">
        <v>12355.47</v>
      </c>
      <c r="BE256" s="24">
        <v>12248.7</v>
      </c>
      <c r="BF256" s="24">
        <v>17006.22</v>
      </c>
      <c r="BG256" s="24">
        <v>14685.37</v>
      </c>
      <c r="BH256" s="24">
        <v>17771.490000000002</v>
      </c>
      <c r="BI256" s="24">
        <v>20198.39</v>
      </c>
      <c r="BN256" s="83"/>
      <c r="BO256" s="8">
        <f t="shared" si="171"/>
        <v>94269.89</v>
      </c>
    </row>
    <row r="257" spans="2:67" x14ac:dyDescent="0.2">
      <c r="B257" s="6" t="s">
        <v>1554</v>
      </c>
      <c r="C257" s="7">
        <f t="shared" ref="C257:N257" si="172">SUM(C246:C256)</f>
        <v>1846.67</v>
      </c>
      <c r="D257" s="7">
        <f t="shared" si="172"/>
        <v>18549.5</v>
      </c>
      <c r="E257" s="7">
        <f t="shared" si="172"/>
        <v>33621.06</v>
      </c>
      <c r="F257" s="7">
        <f t="shared" si="172"/>
        <v>9786.52</v>
      </c>
      <c r="G257" s="7">
        <f t="shared" si="172"/>
        <v>18413.55</v>
      </c>
      <c r="H257" s="7">
        <f t="shared" si="172"/>
        <v>22285.29</v>
      </c>
      <c r="I257" s="7">
        <f t="shared" si="172"/>
        <v>25656.639999999999</v>
      </c>
      <c r="J257" s="7">
        <f t="shared" si="172"/>
        <v>18440.71</v>
      </c>
      <c r="K257" s="7">
        <f t="shared" si="172"/>
        <v>16795.809999999998</v>
      </c>
      <c r="L257" s="7">
        <f t="shared" si="172"/>
        <v>19826.84</v>
      </c>
      <c r="M257" s="7">
        <f t="shared" si="172"/>
        <v>15544.289999999999</v>
      </c>
      <c r="N257" s="7">
        <f t="shared" si="172"/>
        <v>49126.350000000006</v>
      </c>
      <c r="O257" s="7">
        <f>SUM(C257:N257)</f>
        <v>249893.23</v>
      </c>
      <c r="P257" s="7">
        <f t="shared" ref="P257:AT257" si="173">SUM(P246:P256)</f>
        <v>6090.1999999999989</v>
      </c>
      <c r="Q257" s="7">
        <f t="shared" si="173"/>
        <v>6823.0700000000006</v>
      </c>
      <c r="R257" s="7">
        <f t="shared" si="173"/>
        <v>14678.76</v>
      </c>
      <c r="S257" s="7">
        <f t="shared" si="173"/>
        <v>4489.05</v>
      </c>
      <c r="T257" s="7">
        <f t="shared" si="173"/>
        <v>28432.58</v>
      </c>
      <c r="U257" s="7">
        <f t="shared" si="173"/>
        <v>19899.61</v>
      </c>
      <c r="V257" s="7">
        <f t="shared" si="173"/>
        <v>13610.31</v>
      </c>
      <c r="W257" s="63">
        <f t="shared" si="173"/>
        <v>24065.79</v>
      </c>
      <c r="X257" s="63">
        <f t="shared" si="173"/>
        <v>2636.3</v>
      </c>
      <c r="Y257" s="63">
        <f t="shared" si="173"/>
        <v>17710.07</v>
      </c>
      <c r="Z257" s="63">
        <f t="shared" si="173"/>
        <v>15468.720000000001</v>
      </c>
      <c r="AA257" s="63">
        <f t="shared" si="173"/>
        <v>53279.090000000004</v>
      </c>
      <c r="AB257" s="63">
        <f t="shared" si="173"/>
        <v>207183.55</v>
      </c>
      <c r="AC257" s="63">
        <f t="shared" si="173"/>
        <v>1643.0300000000002</v>
      </c>
      <c r="AD257" s="63">
        <f t="shared" si="173"/>
        <v>1770.1599999999999</v>
      </c>
      <c r="AE257" s="63">
        <f t="shared" si="173"/>
        <v>17404.45</v>
      </c>
      <c r="AF257" s="63">
        <f t="shared" si="173"/>
        <v>30784.41</v>
      </c>
      <c r="AG257" s="63">
        <f t="shared" si="173"/>
        <v>12553.81</v>
      </c>
      <c r="AH257" s="63">
        <f t="shared" si="173"/>
        <v>40791.85</v>
      </c>
      <c r="AI257" s="63">
        <f t="shared" si="173"/>
        <v>15661.68</v>
      </c>
      <c r="AJ257" s="63">
        <f t="shared" si="173"/>
        <v>24711.760000000002</v>
      </c>
      <c r="AK257" s="63">
        <f t="shared" si="173"/>
        <v>25650.809999999998</v>
      </c>
      <c r="AL257" s="63">
        <f t="shared" si="173"/>
        <v>28572.649999999998</v>
      </c>
      <c r="AM257" s="63">
        <f t="shared" si="173"/>
        <v>20813.48</v>
      </c>
      <c r="AN257" s="63">
        <f t="shared" si="173"/>
        <v>41197.81</v>
      </c>
      <c r="AO257" s="63">
        <f t="shared" si="173"/>
        <v>261555.9</v>
      </c>
      <c r="AP257" s="63">
        <f t="shared" si="173"/>
        <v>2533.4499999999998</v>
      </c>
      <c r="AQ257" s="63">
        <f t="shared" si="173"/>
        <v>24368.67</v>
      </c>
      <c r="AR257" s="63">
        <f t="shared" si="173"/>
        <v>18482.989999999998</v>
      </c>
      <c r="AS257" s="63">
        <f t="shared" si="173"/>
        <v>31647.51</v>
      </c>
      <c r="AT257" s="63">
        <f t="shared" si="173"/>
        <v>26233.17</v>
      </c>
      <c r="AU257" s="63">
        <f t="shared" ref="AU257:BO257" si="174">SUM(AU246:AU256)</f>
        <v>18346.510000000002</v>
      </c>
      <c r="AV257" s="63">
        <f t="shared" si="174"/>
        <v>34352.85</v>
      </c>
      <c r="AW257" s="63">
        <f t="shared" si="174"/>
        <v>27927.059999999998</v>
      </c>
      <c r="AX257" s="63">
        <f t="shared" si="174"/>
        <v>29193.42</v>
      </c>
      <c r="AY257" s="63">
        <f t="shared" si="174"/>
        <v>32156.980000000003</v>
      </c>
      <c r="AZ257" s="63">
        <f t="shared" si="174"/>
        <v>25935.510000000002</v>
      </c>
      <c r="BA257" s="63">
        <f t="shared" si="174"/>
        <v>43716.87</v>
      </c>
      <c r="BB257" s="63">
        <f t="shared" si="174"/>
        <v>314894.99</v>
      </c>
      <c r="BC257" s="63">
        <f t="shared" si="174"/>
        <v>7857.7099999999991</v>
      </c>
      <c r="BD257" s="63">
        <f t="shared" si="174"/>
        <v>26864.239999999998</v>
      </c>
      <c r="BE257" s="63">
        <f t="shared" si="174"/>
        <v>31111.66</v>
      </c>
      <c r="BF257" s="63">
        <f t="shared" si="174"/>
        <v>44253.54</v>
      </c>
      <c r="BG257" s="63">
        <f t="shared" si="174"/>
        <v>38476.79</v>
      </c>
      <c r="BH257" s="63">
        <f t="shared" si="174"/>
        <v>39959.5</v>
      </c>
      <c r="BI257" s="63">
        <f t="shared" si="174"/>
        <v>41480.71</v>
      </c>
      <c r="BJ257" s="63">
        <f t="shared" si="174"/>
        <v>0</v>
      </c>
      <c r="BK257" s="63">
        <f t="shared" si="174"/>
        <v>0</v>
      </c>
      <c r="BL257" s="63">
        <f t="shared" si="174"/>
        <v>0</v>
      </c>
      <c r="BM257" s="63">
        <f t="shared" si="174"/>
        <v>0</v>
      </c>
      <c r="BN257" s="63">
        <f t="shared" si="174"/>
        <v>0</v>
      </c>
      <c r="BO257" s="63">
        <f t="shared" si="174"/>
        <v>230004.15000000002</v>
      </c>
    </row>
    <row r="258" spans="2:67" x14ac:dyDescent="0.2">
      <c r="B258" s="3" t="s">
        <v>380</v>
      </c>
      <c r="C258" s="23">
        <v>94.24</v>
      </c>
      <c r="D258" s="24">
        <v>130.19999999999999</v>
      </c>
      <c r="E258" s="24">
        <v>164.4</v>
      </c>
      <c r="F258" s="24">
        <v>564.73</v>
      </c>
      <c r="G258" s="24">
        <v>0</v>
      </c>
      <c r="H258" s="24">
        <v>782.11</v>
      </c>
      <c r="I258" s="24">
        <v>254.13</v>
      </c>
      <c r="J258" s="24">
        <v>240.55</v>
      </c>
      <c r="K258" s="24">
        <v>309.98</v>
      </c>
      <c r="L258" s="24">
        <v>252.48</v>
      </c>
      <c r="M258" s="24">
        <v>307.93</v>
      </c>
      <c r="N258" s="24">
        <v>271.3</v>
      </c>
      <c r="O258" s="24">
        <f>SUBTOTAL(9,C258:N258)</f>
        <v>3372.05</v>
      </c>
      <c r="P258" s="24">
        <v>253.41</v>
      </c>
      <c r="Q258" s="24">
        <v>255.59</v>
      </c>
      <c r="R258" s="24">
        <v>251.09</v>
      </c>
      <c r="S258" s="24">
        <v>262.2</v>
      </c>
      <c r="T258" s="24">
        <v>435.78</v>
      </c>
      <c r="U258" s="24">
        <v>287.04000000000002</v>
      </c>
      <c r="V258" s="24">
        <v>288.58999999999997</v>
      </c>
      <c r="W258" s="20">
        <v>280.06</v>
      </c>
      <c r="X258" s="20">
        <v>281.97000000000003</v>
      </c>
      <c r="Y258" s="83">
        <v>273.82</v>
      </c>
      <c r="Z258" s="83">
        <v>276.52999999999997</v>
      </c>
      <c r="AA258" s="83">
        <v>276.52999999999997</v>
      </c>
      <c r="AB258" s="8">
        <f>SUM(P258:AA258)</f>
        <v>3422.6099999999997</v>
      </c>
      <c r="AC258" s="24">
        <v>274.5</v>
      </c>
      <c r="AD258" s="24">
        <v>272.33999999999997</v>
      </c>
      <c r="AE258" s="24">
        <v>272.67</v>
      </c>
      <c r="AF258" s="24">
        <v>267.52999999999997</v>
      </c>
      <c r="AG258" s="24">
        <v>273.69</v>
      </c>
      <c r="AH258" s="24">
        <v>262.72000000000003</v>
      </c>
      <c r="AI258" s="24">
        <v>270.79000000000002</v>
      </c>
      <c r="AJ258" s="20">
        <v>273.27</v>
      </c>
      <c r="AK258" s="20">
        <v>287.75</v>
      </c>
      <c r="AL258" s="83">
        <v>269.14</v>
      </c>
      <c r="AM258" s="83">
        <v>266.94</v>
      </c>
      <c r="AN258" s="83">
        <v>259.41000000000003</v>
      </c>
      <c r="AO258" s="8">
        <f>SUM(AC258:AN258)</f>
        <v>3250.75</v>
      </c>
      <c r="AP258" s="24">
        <v>255.22</v>
      </c>
      <c r="AQ258" s="24">
        <v>249.44</v>
      </c>
      <c r="AR258" s="24">
        <f>VLOOKUP(B258,'[1]Sheet1 (2)'!$B$2:$C$397,2,0)</f>
        <v>254.56</v>
      </c>
      <c r="AS258" s="24">
        <f>VLOOKUP(B258,'[2]Sheet1 (2)'!$B$2:$C$404,2,0)</f>
        <v>249.97</v>
      </c>
      <c r="AT258" s="24">
        <v>249.14</v>
      </c>
      <c r="AU258" s="24">
        <v>250.49</v>
      </c>
      <c r="AV258" s="24">
        <v>255.35</v>
      </c>
      <c r="AW258" s="20">
        <v>256.25</v>
      </c>
      <c r="AX258" s="20">
        <v>251.64</v>
      </c>
      <c r="AY258" s="83">
        <v>0</v>
      </c>
      <c r="AZ258" s="83">
        <v>495.51</v>
      </c>
      <c r="BA258" s="83">
        <v>244.01</v>
      </c>
      <c r="BB258" s="8">
        <f>SUM(AP258:BA258)</f>
        <v>3011.58</v>
      </c>
      <c r="BC258" s="24">
        <v>250.8</v>
      </c>
      <c r="BD258" s="24">
        <v>246.07</v>
      </c>
      <c r="BE258" s="24">
        <v>241.19</v>
      </c>
      <c r="BF258" s="24">
        <v>243.17</v>
      </c>
      <c r="BG258" s="24">
        <v>238.47</v>
      </c>
      <c r="BH258" s="24">
        <v>225.11</v>
      </c>
      <c r="BI258" s="24">
        <v>221.97</v>
      </c>
      <c r="BN258" s="83"/>
      <c r="BO258" s="8">
        <f>SUM(BC258:BN258)</f>
        <v>1666.78</v>
      </c>
    </row>
    <row r="259" spans="2:67" x14ac:dyDescent="0.2">
      <c r="B259" s="3" t="s">
        <v>381</v>
      </c>
      <c r="C259" s="23">
        <v>-870.15</v>
      </c>
      <c r="D259" s="24">
        <v>1141.43</v>
      </c>
      <c r="E259" s="24">
        <v>2153.9</v>
      </c>
      <c r="F259" s="24">
        <v>5438.47</v>
      </c>
      <c r="G259" s="24">
        <v>1927.17</v>
      </c>
      <c r="H259" s="24">
        <v>5112.07</v>
      </c>
      <c r="I259" s="24">
        <v>-1078.17</v>
      </c>
      <c r="J259" s="24">
        <v>5645.63</v>
      </c>
      <c r="K259" s="24">
        <v>4106.3500000000004</v>
      </c>
      <c r="L259" s="24">
        <v>4364.29</v>
      </c>
      <c r="M259" s="24">
        <v>5509.09</v>
      </c>
      <c r="N259" s="24">
        <v>1475.09</v>
      </c>
      <c r="O259" s="24">
        <f>SUBTOTAL(9,C259:N259)</f>
        <v>34925.17</v>
      </c>
      <c r="P259" s="24">
        <v>1811.87</v>
      </c>
      <c r="Q259" s="24">
        <v>5845.62</v>
      </c>
      <c r="R259" s="24">
        <v>2511.31</v>
      </c>
      <c r="S259" s="24">
        <v>2250.65</v>
      </c>
      <c r="T259" s="24">
        <v>4421.74</v>
      </c>
      <c r="U259" s="24">
        <v>1532.32</v>
      </c>
      <c r="V259" s="24">
        <v>4539.49</v>
      </c>
      <c r="W259" s="20">
        <v>-4506.34</v>
      </c>
      <c r="X259" s="20">
        <v>4568.8100000000004</v>
      </c>
      <c r="Y259" s="83">
        <v>4454.5600000000004</v>
      </c>
      <c r="Z259" s="83">
        <v>69.83</v>
      </c>
      <c r="AA259" s="83">
        <v>4673.43</v>
      </c>
      <c r="AB259" s="8">
        <f>SUM(P259:AA259)</f>
        <v>32173.290000000005</v>
      </c>
      <c r="AC259" s="24">
        <v>2907.4</v>
      </c>
      <c r="AD259" s="24">
        <v>4436.3100000000004</v>
      </c>
      <c r="AE259" s="24">
        <v>0</v>
      </c>
      <c r="AF259" s="24">
        <v>5716.28</v>
      </c>
      <c r="AG259" s="24">
        <v>0</v>
      </c>
      <c r="AH259" s="24">
        <v>2850.82</v>
      </c>
      <c r="AI259" s="24">
        <v>5777.94</v>
      </c>
      <c r="AJ259" s="20">
        <v>0</v>
      </c>
      <c r="AK259" s="20">
        <v>5511.79</v>
      </c>
      <c r="AL259" s="83">
        <v>806.67</v>
      </c>
      <c r="AM259" s="83">
        <v>768.99</v>
      </c>
      <c r="AN259" s="83">
        <v>7871.39</v>
      </c>
      <c r="AO259" s="8">
        <f>SUM(AC259:AN259)</f>
        <v>36647.590000000004</v>
      </c>
      <c r="AP259" s="24">
        <v>776.45</v>
      </c>
      <c r="AQ259" s="24">
        <v>738.39</v>
      </c>
      <c r="AR259" s="24">
        <f>VLOOKUP(B259,'[1]Sheet1 (2)'!$B$2:$C$397,2,0)</f>
        <v>861.23</v>
      </c>
      <c r="AS259" s="24">
        <f>VLOOKUP(B259,'[2]Sheet1 (2)'!$B$2:$C$404,2,0)</f>
        <v>3918.81</v>
      </c>
      <c r="AT259" s="24">
        <v>2688.03</v>
      </c>
      <c r="AU259" s="24">
        <v>2476.6799999999998</v>
      </c>
      <c r="AV259" s="24">
        <v>7131.63</v>
      </c>
      <c r="AW259" s="20">
        <v>2202.6999999999998</v>
      </c>
      <c r="AX259" s="20">
        <v>5080.3500000000004</v>
      </c>
      <c r="AY259" s="83">
        <v>3995.29</v>
      </c>
      <c r="AZ259" s="83">
        <v>2326.6799999999998</v>
      </c>
      <c r="BA259" s="83">
        <v>2414.58</v>
      </c>
      <c r="BB259" s="8">
        <f>SUM(AP259:BA259)</f>
        <v>34610.820000000007</v>
      </c>
      <c r="BC259" s="24">
        <v>2292.63</v>
      </c>
      <c r="BD259" s="24">
        <v>2335.11</v>
      </c>
      <c r="BE259" s="24">
        <v>2267.63</v>
      </c>
      <c r="BF259" s="24">
        <v>2243.5500000000002</v>
      </c>
      <c r="BG259" s="24">
        <v>2164.23</v>
      </c>
      <c r="BH259" s="24">
        <v>1892.2</v>
      </c>
      <c r="BI259" s="24">
        <v>2133.7800000000002</v>
      </c>
      <c r="BN259" s="83"/>
      <c r="BO259" s="8">
        <f>SUM(BC259:BN259)</f>
        <v>15329.130000000001</v>
      </c>
    </row>
    <row r="260" spans="2:67" x14ac:dyDescent="0.2">
      <c r="B260" s="3" t="s">
        <v>382</v>
      </c>
      <c r="C260" s="23">
        <v>-237.73</v>
      </c>
      <c r="D260" s="24">
        <v>240.27</v>
      </c>
      <c r="E260" s="24">
        <v>339.5</v>
      </c>
      <c r="F260" s="24">
        <v>1122.8900000000001</v>
      </c>
      <c r="G260" s="24">
        <v>255.93</v>
      </c>
      <c r="H260" s="24">
        <v>3482.15</v>
      </c>
      <c r="I260" s="24">
        <v>-391.12</v>
      </c>
      <c r="J260" s="24">
        <v>5285.84</v>
      </c>
      <c r="K260" s="24">
        <v>6333.74</v>
      </c>
      <c r="L260" s="24">
        <v>1765.62</v>
      </c>
      <c r="M260" s="24">
        <v>1058.95</v>
      </c>
      <c r="N260" s="24">
        <v>9454.5499999999993</v>
      </c>
      <c r="O260" s="24">
        <f>SUBTOTAL(9,C260:N260)</f>
        <v>28710.59</v>
      </c>
      <c r="P260" s="24">
        <v>475.38</v>
      </c>
      <c r="Q260" s="24">
        <v>2371.7600000000002</v>
      </c>
      <c r="R260" s="24">
        <v>394.02</v>
      </c>
      <c r="S260" s="24">
        <v>998.43</v>
      </c>
      <c r="T260" s="24">
        <v>5298.54</v>
      </c>
      <c r="U260" s="24">
        <v>3891.44</v>
      </c>
      <c r="V260" s="24">
        <v>1528.02</v>
      </c>
      <c r="W260" s="20">
        <v>4319.16</v>
      </c>
      <c r="X260" s="20">
        <v>1315.98</v>
      </c>
      <c r="Y260" s="83">
        <v>7335.29</v>
      </c>
      <c r="Z260" s="83">
        <v>3028.42</v>
      </c>
      <c r="AA260" s="83">
        <v>1882.02</v>
      </c>
      <c r="AB260" s="8">
        <f>SUM(P260:AA260)</f>
        <v>32838.46</v>
      </c>
      <c r="AC260" s="24">
        <v>-236.76</v>
      </c>
      <c r="AD260" s="24">
        <v>321.32</v>
      </c>
      <c r="AE260" s="24">
        <v>1831.95</v>
      </c>
      <c r="AF260" s="24">
        <v>1718.96</v>
      </c>
      <c r="AG260" s="24">
        <v>3576.75</v>
      </c>
      <c r="AH260" s="24">
        <v>4014.56</v>
      </c>
      <c r="AI260" s="24">
        <v>151.68</v>
      </c>
      <c r="AJ260" s="20">
        <v>8518.6299999999992</v>
      </c>
      <c r="AK260" s="20">
        <v>5461.68</v>
      </c>
      <c r="AL260" s="83">
        <v>648.24</v>
      </c>
      <c r="AM260" s="83">
        <v>4813.28</v>
      </c>
      <c r="AN260" s="83">
        <v>3691.95</v>
      </c>
      <c r="AO260" s="8">
        <f>SUM(AC260:AN260)</f>
        <v>34512.239999999998</v>
      </c>
      <c r="AP260" s="24">
        <v>455.85</v>
      </c>
      <c r="AQ260" s="24">
        <v>6237.65</v>
      </c>
      <c r="AR260" s="24">
        <f>VLOOKUP(B260,'[1]Sheet1 (2)'!$B$2:$C$397,2,0)</f>
        <v>567.15</v>
      </c>
      <c r="AS260" s="24">
        <f>VLOOKUP(B260,'[2]Sheet1 (2)'!$B$2:$C$404,2,0)</f>
        <v>8150.18</v>
      </c>
      <c r="AT260" s="24">
        <v>3932.14</v>
      </c>
      <c r="AU260" s="24">
        <v>2127.79</v>
      </c>
      <c r="AV260" s="24">
        <v>1282.45</v>
      </c>
      <c r="AW260" s="20">
        <v>721.53</v>
      </c>
      <c r="AX260" s="20">
        <v>1193.74</v>
      </c>
      <c r="AY260" s="83">
        <v>176.63</v>
      </c>
      <c r="AZ260" s="83">
        <v>1790.36</v>
      </c>
      <c r="BA260" s="83">
        <v>262.02</v>
      </c>
      <c r="BB260" s="8">
        <f>SUM(AP260:BA260)</f>
        <v>26897.490000000005</v>
      </c>
      <c r="BC260" s="24">
        <v>105.68</v>
      </c>
      <c r="BD260" s="24">
        <v>5798.65</v>
      </c>
      <c r="BE260" s="24">
        <v>4542.46</v>
      </c>
      <c r="BF260" s="24">
        <v>-3571.18</v>
      </c>
      <c r="BG260" s="24">
        <v>457.9</v>
      </c>
      <c r="BH260" s="24">
        <v>2449.85</v>
      </c>
      <c r="BI260" s="24">
        <v>1011.41</v>
      </c>
      <c r="BN260" s="83"/>
      <c r="BO260" s="8">
        <f>SUM(BC260:BN260)</f>
        <v>10794.77</v>
      </c>
    </row>
    <row r="261" spans="2:67" x14ac:dyDescent="0.2">
      <c r="B261" s="6" t="s">
        <v>1555</v>
      </c>
      <c r="C261" s="7">
        <f t="shared" ref="C261:N261" si="175">SUM(C258:C260)</f>
        <v>-1013.64</v>
      </c>
      <c r="D261" s="7">
        <f t="shared" si="175"/>
        <v>1511.9</v>
      </c>
      <c r="E261" s="7">
        <f t="shared" si="175"/>
        <v>2657.8</v>
      </c>
      <c r="F261" s="7">
        <f t="shared" si="175"/>
        <v>7126.0900000000011</v>
      </c>
      <c r="G261" s="7">
        <f t="shared" si="175"/>
        <v>2183.1</v>
      </c>
      <c r="H261" s="7">
        <f t="shared" si="175"/>
        <v>9376.33</v>
      </c>
      <c r="I261" s="7">
        <f t="shared" si="175"/>
        <v>-1215.1600000000001</v>
      </c>
      <c r="J261" s="7">
        <f t="shared" si="175"/>
        <v>11172.02</v>
      </c>
      <c r="K261" s="7">
        <f t="shared" si="175"/>
        <v>10750.07</v>
      </c>
      <c r="L261" s="7">
        <f t="shared" si="175"/>
        <v>6382.3899999999994</v>
      </c>
      <c r="M261" s="7">
        <f t="shared" si="175"/>
        <v>6875.97</v>
      </c>
      <c r="N261" s="7">
        <f t="shared" si="175"/>
        <v>11200.939999999999</v>
      </c>
      <c r="O261" s="7">
        <f>SUM(C261:N261)</f>
        <v>67007.81</v>
      </c>
      <c r="P261" s="7">
        <f t="shared" ref="P261:AT261" si="176">SUM(P258:P260)</f>
        <v>2540.66</v>
      </c>
      <c r="Q261" s="7">
        <f t="shared" si="176"/>
        <v>8472.9700000000012</v>
      </c>
      <c r="R261" s="7">
        <f t="shared" si="176"/>
        <v>3156.42</v>
      </c>
      <c r="S261" s="7">
        <f t="shared" si="176"/>
        <v>3511.2799999999997</v>
      </c>
      <c r="T261" s="7">
        <f t="shared" si="176"/>
        <v>10156.06</v>
      </c>
      <c r="U261" s="7">
        <f t="shared" si="176"/>
        <v>5710.8</v>
      </c>
      <c r="V261" s="7">
        <f t="shared" si="176"/>
        <v>6356.1</v>
      </c>
      <c r="W261" s="63">
        <f t="shared" si="176"/>
        <v>92.880000000000109</v>
      </c>
      <c r="X261" s="63">
        <f t="shared" si="176"/>
        <v>6166.76</v>
      </c>
      <c r="Y261" s="63">
        <f t="shared" si="176"/>
        <v>12063.67</v>
      </c>
      <c r="Z261" s="63">
        <f t="shared" si="176"/>
        <v>3374.78</v>
      </c>
      <c r="AA261" s="63">
        <f t="shared" si="176"/>
        <v>6831.98</v>
      </c>
      <c r="AB261" s="63">
        <f t="shared" si="176"/>
        <v>68434.36</v>
      </c>
      <c r="AC261" s="63">
        <f t="shared" si="176"/>
        <v>2945.1400000000003</v>
      </c>
      <c r="AD261" s="63">
        <f t="shared" si="176"/>
        <v>5029.97</v>
      </c>
      <c r="AE261" s="63">
        <f t="shared" si="176"/>
        <v>2104.62</v>
      </c>
      <c r="AF261" s="63">
        <f t="shared" si="176"/>
        <v>7702.7699999999995</v>
      </c>
      <c r="AG261" s="63">
        <f t="shared" si="176"/>
        <v>3850.44</v>
      </c>
      <c r="AH261" s="63">
        <f t="shared" si="176"/>
        <v>7128.1</v>
      </c>
      <c r="AI261" s="63">
        <f t="shared" si="176"/>
        <v>6200.41</v>
      </c>
      <c r="AJ261" s="63">
        <f t="shared" si="176"/>
        <v>8791.9</v>
      </c>
      <c r="AK261" s="63">
        <f t="shared" si="176"/>
        <v>11261.220000000001</v>
      </c>
      <c r="AL261" s="63">
        <f t="shared" si="176"/>
        <v>1724.05</v>
      </c>
      <c r="AM261" s="63">
        <f t="shared" si="176"/>
        <v>5849.21</v>
      </c>
      <c r="AN261" s="63">
        <f t="shared" si="176"/>
        <v>11822.75</v>
      </c>
      <c r="AO261" s="63">
        <f t="shared" si="176"/>
        <v>74410.58</v>
      </c>
      <c r="AP261" s="63">
        <f t="shared" si="176"/>
        <v>1487.52</v>
      </c>
      <c r="AQ261" s="63">
        <f t="shared" si="176"/>
        <v>7225.48</v>
      </c>
      <c r="AR261" s="63">
        <f t="shared" si="176"/>
        <v>1682.94</v>
      </c>
      <c r="AS261" s="63">
        <f t="shared" si="176"/>
        <v>12318.96</v>
      </c>
      <c r="AT261" s="63">
        <f t="shared" si="176"/>
        <v>6869.3099999999995</v>
      </c>
      <c r="AU261" s="63">
        <f t="shared" ref="AU261:BO261" si="177">SUM(AU258:AU260)</f>
        <v>4854.96</v>
      </c>
      <c r="AV261" s="63">
        <f t="shared" si="177"/>
        <v>8669.43</v>
      </c>
      <c r="AW261" s="63">
        <f t="shared" si="177"/>
        <v>3180.4799999999996</v>
      </c>
      <c r="AX261" s="63">
        <f t="shared" si="177"/>
        <v>6525.7300000000005</v>
      </c>
      <c r="AY261" s="63">
        <f t="shared" si="177"/>
        <v>4171.92</v>
      </c>
      <c r="AZ261" s="63">
        <f t="shared" si="177"/>
        <v>4612.5499999999993</v>
      </c>
      <c r="BA261" s="63">
        <f t="shared" si="177"/>
        <v>2920.61</v>
      </c>
      <c r="BB261" s="63">
        <f t="shared" si="177"/>
        <v>64519.890000000014</v>
      </c>
      <c r="BC261" s="63">
        <f t="shared" si="177"/>
        <v>2649.11</v>
      </c>
      <c r="BD261" s="63">
        <f t="shared" si="177"/>
        <v>8379.83</v>
      </c>
      <c r="BE261" s="63">
        <f t="shared" si="177"/>
        <v>7051.2800000000007</v>
      </c>
      <c r="BF261" s="63">
        <f t="shared" si="177"/>
        <v>-1084.4599999999996</v>
      </c>
      <c r="BG261" s="63">
        <f t="shared" si="177"/>
        <v>2860.6</v>
      </c>
      <c r="BH261" s="63">
        <f t="shared" si="177"/>
        <v>4567.16</v>
      </c>
      <c r="BI261" s="63">
        <f t="shared" si="177"/>
        <v>3367.16</v>
      </c>
      <c r="BJ261" s="63">
        <f t="shared" si="177"/>
        <v>0</v>
      </c>
      <c r="BK261" s="63">
        <f t="shared" si="177"/>
        <v>0</v>
      </c>
      <c r="BL261" s="63">
        <f t="shared" si="177"/>
        <v>0</v>
      </c>
      <c r="BM261" s="63">
        <f t="shared" si="177"/>
        <v>0</v>
      </c>
      <c r="BN261" s="63">
        <f t="shared" si="177"/>
        <v>0</v>
      </c>
      <c r="BO261" s="63">
        <f t="shared" si="177"/>
        <v>27790.68</v>
      </c>
    </row>
    <row r="262" spans="2:67" x14ac:dyDescent="0.2">
      <c r="B262" s="3" t="s">
        <v>384</v>
      </c>
      <c r="C262" s="23">
        <v>152.97999999999999</v>
      </c>
      <c r="D262" s="24">
        <v>6.3</v>
      </c>
      <c r="E262" s="24">
        <v>6.28</v>
      </c>
      <c r="F262" s="24">
        <v>928.21</v>
      </c>
      <c r="G262" s="24">
        <v>6.06</v>
      </c>
      <c r="H262" s="24">
        <v>5.97</v>
      </c>
      <c r="I262" s="24">
        <v>9.3000000000000007</v>
      </c>
      <c r="J262" s="24">
        <v>9.5</v>
      </c>
      <c r="K262" s="24">
        <v>9.1199999999999992</v>
      </c>
      <c r="L262" s="24">
        <v>4893.5200000000004</v>
      </c>
      <c r="M262" s="24">
        <v>-4875.8900000000003</v>
      </c>
      <c r="N262" s="24">
        <v>74758.02</v>
      </c>
      <c r="O262" s="24">
        <f>SUBTOTAL(9,C262:N262)</f>
        <v>75909.37000000001</v>
      </c>
      <c r="P262" s="24">
        <v>42.79</v>
      </c>
      <c r="Q262" s="24">
        <v>-23.99</v>
      </c>
      <c r="R262" s="24">
        <v>9.19</v>
      </c>
      <c r="S262" s="24">
        <v>9.76</v>
      </c>
      <c r="T262" s="24">
        <v>42.82</v>
      </c>
      <c r="U262" s="24">
        <v>9.31</v>
      </c>
      <c r="V262" s="24">
        <v>403.14</v>
      </c>
      <c r="W262" s="20">
        <v>-33.72</v>
      </c>
      <c r="X262" s="20">
        <v>7.67</v>
      </c>
      <c r="Y262" s="83">
        <v>4.82</v>
      </c>
      <c r="Z262" s="83">
        <v>7.87</v>
      </c>
      <c r="AA262" s="83">
        <v>1146.98</v>
      </c>
      <c r="AB262" s="8">
        <f>SUM(P262:AA262)</f>
        <v>1626.6399999999999</v>
      </c>
      <c r="AC262" s="24">
        <v>0</v>
      </c>
      <c r="AD262" s="24">
        <v>-1147.01</v>
      </c>
      <c r="AE262" s="24">
        <v>0</v>
      </c>
      <c r="AF262" s="24">
        <v>0</v>
      </c>
      <c r="AG262" s="24">
        <v>0</v>
      </c>
      <c r="AH262" s="24">
        <v>1975.66</v>
      </c>
      <c r="AI262" s="24">
        <v>22.3</v>
      </c>
      <c r="AJ262" s="20">
        <v>0</v>
      </c>
      <c r="AK262" s="20">
        <v>0</v>
      </c>
      <c r="AL262" s="83">
        <v>99.61</v>
      </c>
      <c r="AM262" s="83">
        <v>0</v>
      </c>
      <c r="AN262" s="83">
        <v>0</v>
      </c>
      <c r="AO262" s="8">
        <f>SUM(AC262:AN262)</f>
        <v>950.56000000000006</v>
      </c>
      <c r="AP262" s="24">
        <v>0</v>
      </c>
      <c r="AQ262" s="24">
        <v>0</v>
      </c>
      <c r="AR262" s="24">
        <f>VLOOKUP(B262,'[1]Sheet1 (2)'!$B$2:$C$397,2,0)</f>
        <v>27.21</v>
      </c>
      <c r="AS262" s="24">
        <f>VLOOKUP(B262,'[2]Sheet1 (2)'!$B$2:$C$404,2,0)</f>
        <v>0</v>
      </c>
      <c r="AT262" s="24">
        <v>0</v>
      </c>
      <c r="AU262" s="24">
        <v>604.71</v>
      </c>
      <c r="AV262" s="24">
        <v>546.66</v>
      </c>
      <c r="AW262" s="20">
        <v>430.78</v>
      </c>
      <c r="AX262" s="20">
        <v>150.81</v>
      </c>
      <c r="AY262" s="83">
        <v>39.08</v>
      </c>
      <c r="AZ262" s="83">
        <v>151.58000000000001</v>
      </c>
      <c r="BA262" s="83">
        <v>1446.05</v>
      </c>
      <c r="BB262" s="8">
        <f t="shared" ref="BB262:BB267" si="178">SUM(AP262:BA262)</f>
        <v>3396.8799999999997</v>
      </c>
      <c r="BC262" s="24">
        <v>38.72</v>
      </c>
      <c r="BD262" s="24">
        <v>2256.11</v>
      </c>
      <c r="BE262" s="24">
        <v>-1850.86</v>
      </c>
      <c r="BF262" s="24">
        <v>257.8</v>
      </c>
      <c r="BG262" s="24">
        <v>333.69</v>
      </c>
      <c r="BH262" s="24">
        <v>9.93</v>
      </c>
      <c r="BI262" s="24">
        <v>461.85</v>
      </c>
      <c r="BN262" s="83"/>
      <c r="BO262" s="8">
        <f t="shared" ref="BO262:BO267" si="179">SUM(BC262:BN262)</f>
        <v>1507.2400000000002</v>
      </c>
    </row>
    <row r="263" spans="2:67" x14ac:dyDescent="0.2">
      <c r="B263" s="3" t="s">
        <v>993</v>
      </c>
      <c r="C263" s="23">
        <v>-130594.91</v>
      </c>
      <c r="D263" s="24">
        <v>0</v>
      </c>
      <c r="E263" s="24">
        <v>0</v>
      </c>
      <c r="F263" s="24">
        <v>0</v>
      </c>
      <c r="G263" s="24">
        <v>0</v>
      </c>
      <c r="H263" s="24">
        <v>0</v>
      </c>
      <c r="I263" s="24">
        <v>0</v>
      </c>
      <c r="J263" s="24">
        <v>0</v>
      </c>
      <c r="K263" s="24">
        <v>0</v>
      </c>
      <c r="L263" s="24">
        <v>0</v>
      </c>
      <c r="M263" s="24">
        <v>0</v>
      </c>
      <c r="N263" s="24">
        <v>0</v>
      </c>
      <c r="O263" s="24">
        <f>SUBTOTAL(9,C263:N263)</f>
        <v>-130594.91</v>
      </c>
      <c r="P263" s="24">
        <v>0</v>
      </c>
      <c r="Q263" s="24">
        <v>0</v>
      </c>
      <c r="R263" s="24">
        <v>0</v>
      </c>
      <c r="S263" s="24">
        <v>0</v>
      </c>
      <c r="T263" s="24">
        <v>0</v>
      </c>
      <c r="U263" s="24">
        <v>0</v>
      </c>
      <c r="V263" s="24">
        <v>0</v>
      </c>
      <c r="W263" s="20">
        <v>0</v>
      </c>
      <c r="X263" s="20">
        <v>0</v>
      </c>
      <c r="Y263" s="83">
        <v>0</v>
      </c>
      <c r="Z263" s="83">
        <v>0</v>
      </c>
      <c r="AA263" s="83">
        <v>0</v>
      </c>
      <c r="AB263" s="8">
        <f>SUM(P263:AA263)</f>
        <v>0</v>
      </c>
      <c r="AC263" s="24">
        <v>0</v>
      </c>
      <c r="AD263" s="24">
        <v>0</v>
      </c>
      <c r="AE263" s="24">
        <v>0</v>
      </c>
      <c r="AF263" s="24">
        <v>0</v>
      </c>
      <c r="AG263" s="24">
        <v>0</v>
      </c>
      <c r="AH263" s="24">
        <v>0</v>
      </c>
      <c r="AI263" s="24">
        <v>0</v>
      </c>
      <c r="AJ263" s="20">
        <v>0</v>
      </c>
      <c r="AK263" s="20">
        <v>0</v>
      </c>
      <c r="AL263" s="83">
        <v>0</v>
      </c>
      <c r="AM263" s="83">
        <v>0</v>
      </c>
      <c r="AN263" s="83">
        <v>0</v>
      </c>
      <c r="AO263" s="8">
        <f>SUM(AC263:AN263)</f>
        <v>0</v>
      </c>
      <c r="AP263" s="24">
        <v>0</v>
      </c>
      <c r="AQ263" s="24">
        <v>0</v>
      </c>
      <c r="AR263" s="24">
        <v>0</v>
      </c>
      <c r="AS263" s="24">
        <v>0</v>
      </c>
      <c r="AT263" s="24">
        <v>0</v>
      </c>
      <c r="AU263" s="24">
        <v>0</v>
      </c>
      <c r="AV263" s="24">
        <v>0</v>
      </c>
      <c r="AW263" s="20">
        <v>0</v>
      </c>
      <c r="AX263" s="20">
        <v>998.85</v>
      </c>
      <c r="AY263" s="83">
        <v>11.78</v>
      </c>
      <c r="AZ263" s="83">
        <v>490.59</v>
      </c>
      <c r="BA263" s="83">
        <v>976.74</v>
      </c>
      <c r="BB263" s="8">
        <f t="shared" si="178"/>
        <v>2477.96</v>
      </c>
      <c r="BC263" s="24">
        <v>477.34</v>
      </c>
      <c r="BD263" s="24">
        <v>486.09</v>
      </c>
      <c r="BE263" s="24">
        <v>427.2</v>
      </c>
      <c r="BF263" s="24">
        <v>398.81</v>
      </c>
      <c r="BG263" s="24">
        <v>397.26</v>
      </c>
      <c r="BH263" s="24">
        <v>387.25</v>
      </c>
      <c r="BI263" s="24">
        <v>398.11</v>
      </c>
      <c r="BN263" s="83"/>
      <c r="BO263" s="8">
        <f t="shared" si="179"/>
        <v>2972.06</v>
      </c>
    </row>
    <row r="264" spans="2:67" x14ac:dyDescent="0.2">
      <c r="B264" s="3" t="s">
        <v>1887</v>
      </c>
      <c r="C264" s="23"/>
      <c r="AA264" s="83"/>
      <c r="AB264" s="8"/>
      <c r="AN264" s="83"/>
      <c r="AO264" s="8"/>
      <c r="AP264" s="24">
        <v>0</v>
      </c>
      <c r="AQ264" s="24">
        <v>0</v>
      </c>
      <c r="AR264" s="24">
        <v>0</v>
      </c>
      <c r="AS264" s="24">
        <v>0</v>
      </c>
      <c r="AT264" s="24">
        <v>0</v>
      </c>
      <c r="AU264" s="24">
        <v>0</v>
      </c>
      <c r="AV264" s="24">
        <v>0</v>
      </c>
      <c r="AW264" s="24">
        <v>0</v>
      </c>
      <c r="AX264" s="20">
        <v>9460.3799999999992</v>
      </c>
      <c r="AY264" s="83">
        <v>4202.13</v>
      </c>
      <c r="AZ264" s="83">
        <v>4185.13</v>
      </c>
      <c r="BA264" s="83">
        <v>5604.3</v>
      </c>
      <c r="BB264" s="8">
        <f t="shared" si="178"/>
        <v>23451.94</v>
      </c>
      <c r="BC264" s="24">
        <v>3613.31</v>
      </c>
      <c r="BD264" s="24">
        <v>3902.92</v>
      </c>
      <c r="BE264" s="24">
        <v>4323.21</v>
      </c>
      <c r="BF264" s="24">
        <v>3717.45</v>
      </c>
      <c r="BG264" s="24">
        <v>4269.3100000000004</v>
      </c>
      <c r="BH264" s="24">
        <v>1789.42</v>
      </c>
      <c r="BI264" s="24">
        <v>8415</v>
      </c>
      <c r="BJ264" s="24"/>
      <c r="BN264" s="83"/>
      <c r="BO264" s="8">
        <f t="shared" si="179"/>
        <v>30030.620000000003</v>
      </c>
    </row>
    <row r="265" spans="2:67" x14ac:dyDescent="0.2">
      <c r="B265" s="3" t="s">
        <v>385</v>
      </c>
      <c r="C265" s="23">
        <v>3245.65</v>
      </c>
      <c r="D265" s="24">
        <v>5424.89</v>
      </c>
      <c r="E265" s="24">
        <v>5825.97</v>
      </c>
      <c r="F265" s="24">
        <v>4752.1000000000004</v>
      </c>
      <c r="G265" s="24">
        <v>3783.81</v>
      </c>
      <c r="H265" s="24">
        <v>96921.2</v>
      </c>
      <c r="I265" s="24">
        <v>7158.79</v>
      </c>
      <c r="J265" s="24">
        <v>39014.379999999997</v>
      </c>
      <c r="K265" s="24">
        <v>24099.03</v>
      </c>
      <c r="L265" s="24">
        <v>4027.45</v>
      </c>
      <c r="M265" s="24">
        <v>5382.42</v>
      </c>
      <c r="N265" s="24">
        <v>33904.18</v>
      </c>
      <c r="O265" s="24">
        <f>SUBTOTAL(9,C265:N265)</f>
        <v>233539.87</v>
      </c>
      <c r="P265" s="24">
        <v>12562.79</v>
      </c>
      <c r="Q265" s="24">
        <v>4424.58</v>
      </c>
      <c r="R265" s="24">
        <v>3875.84</v>
      </c>
      <c r="S265" s="24">
        <v>4520.03</v>
      </c>
      <c r="T265" s="24">
        <v>5448.43</v>
      </c>
      <c r="U265" s="24">
        <v>5631.45</v>
      </c>
      <c r="V265" s="24">
        <v>13645.57</v>
      </c>
      <c r="W265" s="20">
        <v>10400.44</v>
      </c>
      <c r="X265" s="20">
        <v>17729.189999999999</v>
      </c>
      <c r="Y265" s="83">
        <v>12064.83</v>
      </c>
      <c r="Z265" s="83">
        <v>6201.02</v>
      </c>
      <c r="AA265" s="83">
        <v>27784.31</v>
      </c>
      <c r="AB265" s="8">
        <f>SUM(P265:AA265)</f>
        <v>124288.48000000001</v>
      </c>
      <c r="AC265" s="24">
        <v>5227.2700000000004</v>
      </c>
      <c r="AD265" s="24">
        <v>5871.78</v>
      </c>
      <c r="AE265" s="24">
        <v>4332.97</v>
      </c>
      <c r="AF265" s="24">
        <v>5381.65</v>
      </c>
      <c r="AG265" s="24">
        <v>45321.37</v>
      </c>
      <c r="AH265" s="24">
        <v>11271.72</v>
      </c>
      <c r="AI265" s="24">
        <v>9817.43</v>
      </c>
      <c r="AJ265" s="20">
        <v>10050.379999999999</v>
      </c>
      <c r="AK265" s="20">
        <v>9114.6299999999992</v>
      </c>
      <c r="AL265" s="83">
        <v>10071.42</v>
      </c>
      <c r="AM265" s="83">
        <v>9599.24</v>
      </c>
      <c r="AN265" s="83">
        <v>33332.54</v>
      </c>
      <c r="AO265" s="8">
        <f>SUM(AC265:AN265)</f>
        <v>159392.40000000002</v>
      </c>
      <c r="AP265" s="24">
        <v>4695.17</v>
      </c>
      <c r="AQ265" s="24">
        <v>10345.98</v>
      </c>
      <c r="AR265" s="24">
        <f>VLOOKUP(B265,'[1]Sheet1 (2)'!$B$2:$C$397,2,0)</f>
        <v>13831.79</v>
      </c>
      <c r="AS265" s="24">
        <f>VLOOKUP(B265,'[2]Sheet1 (2)'!$B$2:$C$404,2,0)</f>
        <v>9855.5499999999993</v>
      </c>
      <c r="AT265" s="24">
        <v>10285.959999999999</v>
      </c>
      <c r="AU265" s="24">
        <v>10210.06</v>
      </c>
      <c r="AV265" s="24">
        <v>8916.51</v>
      </c>
      <c r="AW265" s="20">
        <v>11521.54</v>
      </c>
      <c r="AX265" s="20">
        <v>1941.15</v>
      </c>
      <c r="AY265" s="83">
        <v>8062.79</v>
      </c>
      <c r="AZ265" s="83">
        <v>7191.17</v>
      </c>
      <c r="BA265" s="83">
        <v>14716.46</v>
      </c>
      <c r="BB265" s="8">
        <f t="shared" si="178"/>
        <v>111574.12999999998</v>
      </c>
      <c r="BC265" s="24">
        <v>6211.97</v>
      </c>
      <c r="BD265" s="24">
        <v>6253.9</v>
      </c>
      <c r="BE265" s="24">
        <v>5924.8</v>
      </c>
      <c r="BF265" s="24">
        <v>6566.82</v>
      </c>
      <c r="BG265" s="24">
        <v>6624.75</v>
      </c>
      <c r="BH265" s="24">
        <v>5790.23</v>
      </c>
      <c r="BI265" s="24">
        <v>5505.59</v>
      </c>
      <c r="BN265" s="83"/>
      <c r="BO265" s="8">
        <f t="shared" si="179"/>
        <v>42878.06</v>
      </c>
    </row>
    <row r="266" spans="2:67" x14ac:dyDescent="0.2">
      <c r="B266" s="3" t="s">
        <v>386</v>
      </c>
      <c r="C266" s="23">
        <v>4774.8</v>
      </c>
      <c r="D266" s="24">
        <v>4790.5200000000004</v>
      </c>
      <c r="E266" s="24">
        <v>4769.8</v>
      </c>
      <c r="F266" s="24">
        <v>4766.8100000000004</v>
      </c>
      <c r="G266" s="24">
        <v>4658.7</v>
      </c>
      <c r="H266" s="24">
        <v>4530.8900000000003</v>
      </c>
      <c r="I266" s="24">
        <v>4401.29</v>
      </c>
      <c r="J266" s="24">
        <v>4532.72</v>
      </c>
      <c r="K266" s="24">
        <v>4484.91</v>
      </c>
      <c r="L266" s="24">
        <v>618.65</v>
      </c>
      <c r="M266" s="24">
        <v>1731.14</v>
      </c>
      <c r="N266" s="24">
        <v>1742.12</v>
      </c>
      <c r="O266" s="24">
        <f>SUBTOTAL(9,C266:N266)</f>
        <v>45802.350000000006</v>
      </c>
      <c r="P266" s="24">
        <v>1799.18</v>
      </c>
      <c r="Q266" s="24">
        <v>1792.66</v>
      </c>
      <c r="R266" s="24">
        <v>1768.87</v>
      </c>
      <c r="S266" s="24">
        <v>1854.02</v>
      </c>
      <c r="T266" s="24">
        <v>1827.97</v>
      </c>
      <c r="U266" s="24">
        <v>0</v>
      </c>
      <c r="V266" s="24">
        <v>0</v>
      </c>
      <c r="W266" s="20">
        <v>0</v>
      </c>
      <c r="X266" s="20">
        <v>0</v>
      </c>
      <c r="Y266" s="83">
        <v>0</v>
      </c>
      <c r="Z266" s="83">
        <v>0</v>
      </c>
      <c r="AA266" s="83">
        <v>0</v>
      </c>
      <c r="AB266" s="8">
        <f>SUM(P266:AA266)</f>
        <v>9042.6999999999989</v>
      </c>
      <c r="AC266" s="24">
        <v>0</v>
      </c>
      <c r="AD266" s="24">
        <v>0</v>
      </c>
      <c r="AE266" s="24">
        <v>0</v>
      </c>
      <c r="AF266" s="24">
        <v>0</v>
      </c>
      <c r="AG266" s="24">
        <v>0</v>
      </c>
      <c r="AH266" s="24">
        <v>0</v>
      </c>
      <c r="AI266" s="24">
        <v>0</v>
      </c>
      <c r="AJ266" s="20">
        <v>0</v>
      </c>
      <c r="AK266" s="20">
        <v>0</v>
      </c>
      <c r="AL266" s="83">
        <v>0</v>
      </c>
      <c r="AM266" s="83">
        <v>0</v>
      </c>
      <c r="AN266" s="83">
        <v>0</v>
      </c>
      <c r="AO266" s="8">
        <f>SUM(AC266:AN266)</f>
        <v>0</v>
      </c>
      <c r="AP266" s="24">
        <v>0</v>
      </c>
      <c r="AQ266" s="24">
        <v>0</v>
      </c>
      <c r="AR266" s="24">
        <v>0</v>
      </c>
      <c r="AS266" s="24">
        <v>0</v>
      </c>
      <c r="AT266" s="24">
        <v>0</v>
      </c>
      <c r="AU266" s="24">
        <v>0</v>
      </c>
      <c r="AV266" s="24">
        <v>0</v>
      </c>
      <c r="AW266" s="20">
        <v>0</v>
      </c>
      <c r="AX266" s="20">
        <v>0</v>
      </c>
      <c r="AY266" s="83">
        <v>0</v>
      </c>
      <c r="AZ266" s="83">
        <v>0</v>
      </c>
      <c r="BA266" s="83">
        <v>0</v>
      </c>
      <c r="BB266" s="8">
        <f t="shared" si="178"/>
        <v>0</v>
      </c>
      <c r="BC266" s="24">
        <v>0</v>
      </c>
      <c r="BD266" s="24">
        <v>0</v>
      </c>
      <c r="BE266" s="24">
        <v>0</v>
      </c>
      <c r="BF266" s="24">
        <v>0</v>
      </c>
      <c r="BG266" s="24">
        <v>0</v>
      </c>
      <c r="BH266" s="24">
        <v>0</v>
      </c>
      <c r="BI266" s="24">
        <v>0</v>
      </c>
      <c r="BN266" s="83"/>
      <c r="BO266" s="8">
        <f t="shared" si="179"/>
        <v>0</v>
      </c>
    </row>
    <row r="267" spans="2:67" x14ac:dyDescent="0.2">
      <c r="B267" s="3" t="s">
        <v>387</v>
      </c>
      <c r="C267" s="23">
        <v>5944.89</v>
      </c>
      <c r="D267" s="24">
        <v>6020.66</v>
      </c>
      <c r="E267" s="24">
        <v>6033.44</v>
      </c>
      <c r="F267" s="24">
        <v>5962.69</v>
      </c>
      <c r="G267" s="24">
        <v>5619.77</v>
      </c>
      <c r="H267" s="24">
        <v>5578.28</v>
      </c>
      <c r="I267" s="24">
        <v>5796.94</v>
      </c>
      <c r="J267" s="24">
        <v>5876.24</v>
      </c>
      <c r="K267" s="24">
        <v>9834.48</v>
      </c>
      <c r="L267" s="24">
        <v>9670.76</v>
      </c>
      <c r="M267" s="24">
        <v>9743.9</v>
      </c>
      <c r="N267" s="24">
        <v>21749.919999999998</v>
      </c>
      <c r="O267" s="24">
        <f>SUBTOTAL(9,C267:N267)</f>
        <v>97831.969999999987</v>
      </c>
      <c r="P267" s="24">
        <v>10722.84</v>
      </c>
      <c r="Q267" s="24">
        <v>10030.290000000001</v>
      </c>
      <c r="R267" s="24">
        <v>10302.719999999999</v>
      </c>
      <c r="S267" s="24">
        <v>10778.71</v>
      </c>
      <c r="T267" s="24">
        <v>10243.24</v>
      </c>
      <c r="U267" s="24">
        <v>10279.69</v>
      </c>
      <c r="V267" s="24">
        <v>10333.969999999999</v>
      </c>
      <c r="W267" s="20">
        <v>9928.89</v>
      </c>
      <c r="X267" s="20">
        <v>9875.1</v>
      </c>
      <c r="Y267" s="83">
        <v>2427.48</v>
      </c>
      <c r="Z267" s="83">
        <v>6189.77</v>
      </c>
      <c r="AA267" s="83">
        <v>21525.24</v>
      </c>
      <c r="AB267" s="8">
        <f>SUM(P267:AA267)</f>
        <v>122637.94</v>
      </c>
      <c r="AC267" s="24">
        <v>11980.78</v>
      </c>
      <c r="AD267" s="24">
        <v>2.0299999999999998</v>
      </c>
      <c r="AE267" s="24">
        <v>14105.11</v>
      </c>
      <c r="AF267" s="24">
        <v>10758.55</v>
      </c>
      <c r="AG267" s="24">
        <v>9689.6</v>
      </c>
      <c r="AH267" s="24">
        <v>12142.4</v>
      </c>
      <c r="AI267" s="24">
        <v>11031.03</v>
      </c>
      <c r="AJ267" s="20">
        <v>11939.57</v>
      </c>
      <c r="AK267" s="20">
        <v>11970.31</v>
      </c>
      <c r="AL267" s="83">
        <v>11104.79</v>
      </c>
      <c r="AM267" s="83">
        <v>11386.75</v>
      </c>
      <c r="AN267" s="83">
        <v>12373.06</v>
      </c>
      <c r="AO267" s="8">
        <f>SUM(AC267:AN267)</f>
        <v>128483.98000000001</v>
      </c>
      <c r="AP267" s="24">
        <v>9716.2999999999993</v>
      </c>
      <c r="AQ267" s="24">
        <v>9591.07</v>
      </c>
      <c r="AR267" s="24">
        <f>VLOOKUP(B267,'[1]Sheet1 (2)'!$B$2:$C$397,2,0)</f>
        <v>13317.42</v>
      </c>
      <c r="AS267" s="24">
        <f>VLOOKUP(B267,'[2]Sheet1 (2)'!$B$2:$C$404,2,0)</f>
        <v>9598.08</v>
      </c>
      <c r="AT267" s="24">
        <v>10241.64</v>
      </c>
      <c r="AU267" s="24">
        <v>14085.42</v>
      </c>
      <c r="AV267" s="24">
        <v>11349.71</v>
      </c>
      <c r="AW267" s="20">
        <v>10146.57</v>
      </c>
      <c r="AX267" s="20">
        <v>10242.76</v>
      </c>
      <c r="AY267" s="83">
        <v>9917.08</v>
      </c>
      <c r="AZ267" s="83">
        <v>9735.9500000000007</v>
      </c>
      <c r="BA267" s="83">
        <v>10531.98</v>
      </c>
      <c r="BB267" s="8">
        <f t="shared" si="178"/>
        <v>128473.98000000001</v>
      </c>
      <c r="BC267" s="24">
        <v>12769.1</v>
      </c>
      <c r="BD267" s="24">
        <v>9705.4</v>
      </c>
      <c r="BE267" s="24">
        <v>9533.15</v>
      </c>
      <c r="BF267" s="24">
        <v>9349.99</v>
      </c>
      <c r="BG267" s="24">
        <v>-135.62</v>
      </c>
      <c r="BH267" s="24">
        <v>9112.4599999999991</v>
      </c>
      <c r="BI267" s="24">
        <v>11929.91</v>
      </c>
      <c r="BN267" s="83"/>
      <c r="BO267" s="8">
        <f t="shared" si="179"/>
        <v>62264.39</v>
      </c>
    </row>
    <row r="268" spans="2:67" x14ac:dyDescent="0.2">
      <c r="B268" s="6" t="s">
        <v>1556</v>
      </c>
      <c r="C268" s="7">
        <f t="shared" ref="C268:N268" si="180">SUM(C262:C267)</f>
        <v>-116476.59000000001</v>
      </c>
      <c r="D268" s="7">
        <f t="shared" si="180"/>
        <v>16242.37</v>
      </c>
      <c r="E268" s="7">
        <f t="shared" si="180"/>
        <v>16635.489999999998</v>
      </c>
      <c r="F268" s="7">
        <f t="shared" si="180"/>
        <v>16409.810000000001</v>
      </c>
      <c r="G268" s="7">
        <f t="shared" si="180"/>
        <v>14068.34</v>
      </c>
      <c r="H268" s="7">
        <f t="shared" si="180"/>
        <v>107036.34</v>
      </c>
      <c r="I268" s="7">
        <f t="shared" si="180"/>
        <v>17366.32</v>
      </c>
      <c r="J268" s="7">
        <f t="shared" si="180"/>
        <v>49432.84</v>
      </c>
      <c r="K268" s="7">
        <f t="shared" si="180"/>
        <v>38427.539999999994</v>
      </c>
      <c r="L268" s="7">
        <f t="shared" si="180"/>
        <v>19210.38</v>
      </c>
      <c r="M268" s="7">
        <f t="shared" si="180"/>
        <v>11981.57</v>
      </c>
      <c r="N268" s="7">
        <f t="shared" si="180"/>
        <v>132154.23999999999</v>
      </c>
      <c r="O268" s="7">
        <f>SUM(C268:N268)</f>
        <v>322488.64999999997</v>
      </c>
      <c r="P268" s="7">
        <f t="shared" ref="P268:BB268" si="181">SUM(P262:P267)</f>
        <v>25127.600000000002</v>
      </c>
      <c r="Q268" s="7">
        <f t="shared" si="181"/>
        <v>16223.54</v>
      </c>
      <c r="R268" s="7">
        <f t="shared" si="181"/>
        <v>15956.619999999999</v>
      </c>
      <c r="S268" s="7">
        <f t="shared" si="181"/>
        <v>17162.519999999997</v>
      </c>
      <c r="T268" s="7">
        <f t="shared" si="181"/>
        <v>17562.46</v>
      </c>
      <c r="U268" s="7">
        <f t="shared" si="181"/>
        <v>15920.45</v>
      </c>
      <c r="V268" s="7">
        <f t="shared" si="181"/>
        <v>24382.68</v>
      </c>
      <c r="W268" s="63">
        <f t="shared" si="181"/>
        <v>20295.61</v>
      </c>
      <c r="X268" s="63">
        <f t="shared" si="181"/>
        <v>27611.96</v>
      </c>
      <c r="Y268" s="63">
        <f t="shared" si="181"/>
        <v>14497.13</v>
      </c>
      <c r="Z268" s="63">
        <f t="shared" si="181"/>
        <v>12398.66</v>
      </c>
      <c r="AA268" s="63">
        <f t="shared" si="181"/>
        <v>50456.53</v>
      </c>
      <c r="AB268" s="63">
        <f t="shared" si="181"/>
        <v>257595.76</v>
      </c>
      <c r="AC268" s="63">
        <f t="shared" si="181"/>
        <v>17208.050000000003</v>
      </c>
      <c r="AD268" s="63">
        <f t="shared" si="181"/>
        <v>4726.7999999999993</v>
      </c>
      <c r="AE268" s="63">
        <f t="shared" si="181"/>
        <v>18438.080000000002</v>
      </c>
      <c r="AF268" s="63">
        <f t="shared" si="181"/>
        <v>16140.199999999999</v>
      </c>
      <c r="AG268" s="63">
        <f t="shared" si="181"/>
        <v>55010.97</v>
      </c>
      <c r="AH268" s="63">
        <f t="shared" si="181"/>
        <v>25389.78</v>
      </c>
      <c r="AI268" s="63">
        <f t="shared" si="181"/>
        <v>20870.760000000002</v>
      </c>
      <c r="AJ268" s="63">
        <f t="shared" si="181"/>
        <v>21989.949999999997</v>
      </c>
      <c r="AK268" s="63">
        <f t="shared" si="181"/>
        <v>21084.94</v>
      </c>
      <c r="AL268" s="63">
        <f t="shared" si="181"/>
        <v>21275.82</v>
      </c>
      <c r="AM268" s="63">
        <f t="shared" si="181"/>
        <v>20985.989999999998</v>
      </c>
      <c r="AN268" s="63">
        <f t="shared" si="181"/>
        <v>45705.599999999999</v>
      </c>
      <c r="AO268" s="63">
        <f t="shared" si="181"/>
        <v>288826.94000000006</v>
      </c>
      <c r="AP268" s="63">
        <f t="shared" si="181"/>
        <v>14411.47</v>
      </c>
      <c r="AQ268" s="63">
        <f t="shared" si="181"/>
        <v>19937.05</v>
      </c>
      <c r="AR268" s="63">
        <f t="shared" si="181"/>
        <v>27176.42</v>
      </c>
      <c r="AS268" s="63">
        <f t="shared" si="181"/>
        <v>19453.629999999997</v>
      </c>
      <c r="AT268" s="63">
        <f t="shared" si="181"/>
        <v>20527.599999999999</v>
      </c>
      <c r="AU268" s="63">
        <f t="shared" si="181"/>
        <v>24900.190000000002</v>
      </c>
      <c r="AV268" s="63">
        <f t="shared" si="181"/>
        <v>20812.879999999997</v>
      </c>
      <c r="AW268" s="63">
        <f t="shared" si="181"/>
        <v>22098.89</v>
      </c>
      <c r="AX268" s="63">
        <f t="shared" si="181"/>
        <v>22793.949999999997</v>
      </c>
      <c r="AY268" s="63">
        <f t="shared" si="181"/>
        <v>22232.86</v>
      </c>
      <c r="AZ268" s="63">
        <f t="shared" si="181"/>
        <v>21754.420000000002</v>
      </c>
      <c r="BA268" s="63">
        <f t="shared" si="181"/>
        <v>33275.53</v>
      </c>
      <c r="BB268" s="63">
        <f t="shared" si="181"/>
        <v>269374.89</v>
      </c>
      <c r="BC268" s="63">
        <f t="shared" ref="BC268:BO268" si="182">SUM(BC262:BC267)</f>
        <v>23110.440000000002</v>
      </c>
      <c r="BD268" s="63">
        <f t="shared" si="182"/>
        <v>22604.42</v>
      </c>
      <c r="BE268" s="63">
        <f t="shared" si="182"/>
        <v>18357.5</v>
      </c>
      <c r="BF268" s="63">
        <f t="shared" si="182"/>
        <v>20290.87</v>
      </c>
      <c r="BG268" s="63">
        <f t="shared" si="182"/>
        <v>11489.39</v>
      </c>
      <c r="BH268" s="63">
        <f t="shared" si="182"/>
        <v>17089.29</v>
      </c>
      <c r="BI268" s="63">
        <f t="shared" si="182"/>
        <v>26710.46</v>
      </c>
      <c r="BJ268" s="63">
        <f t="shared" si="182"/>
        <v>0</v>
      </c>
      <c r="BK268" s="63">
        <f t="shared" si="182"/>
        <v>0</v>
      </c>
      <c r="BL268" s="63">
        <f t="shared" si="182"/>
        <v>0</v>
      </c>
      <c r="BM268" s="63">
        <f t="shared" si="182"/>
        <v>0</v>
      </c>
      <c r="BN268" s="63">
        <f t="shared" si="182"/>
        <v>0</v>
      </c>
      <c r="BO268" s="63">
        <f t="shared" si="182"/>
        <v>139652.37</v>
      </c>
    </row>
    <row r="269" spans="2:67" x14ac:dyDescent="0.2">
      <c r="B269" s="3" t="s">
        <v>994</v>
      </c>
      <c r="C269" s="23">
        <v>1302.99</v>
      </c>
      <c r="D269" s="24">
        <v>-1297.71</v>
      </c>
      <c r="E269" s="24">
        <v>243.89</v>
      </c>
      <c r="F269" s="24">
        <v>0</v>
      </c>
      <c r="G269" s="24">
        <v>0</v>
      </c>
      <c r="H269" s="24">
        <v>0</v>
      </c>
      <c r="I269" s="24">
        <v>0</v>
      </c>
      <c r="J269" s="24">
        <v>0</v>
      </c>
      <c r="K269" s="24">
        <v>0</v>
      </c>
      <c r="L269" s="24">
        <v>0</v>
      </c>
      <c r="M269" s="24">
        <v>0</v>
      </c>
      <c r="N269" s="24">
        <v>0</v>
      </c>
      <c r="O269" s="24">
        <f>SUBTOTAL(9,C269:N269)</f>
        <v>249.16999999999996</v>
      </c>
      <c r="P269" s="24">
        <v>0</v>
      </c>
      <c r="Q269" s="24">
        <v>0</v>
      </c>
      <c r="R269" s="24">
        <v>0</v>
      </c>
      <c r="S269" s="24">
        <v>0</v>
      </c>
      <c r="T269" s="24">
        <v>0</v>
      </c>
      <c r="U269" s="24">
        <v>0</v>
      </c>
      <c r="V269" s="24">
        <v>0</v>
      </c>
      <c r="W269" s="20">
        <v>0</v>
      </c>
      <c r="X269" s="20">
        <v>0</v>
      </c>
      <c r="Y269" s="83">
        <v>0</v>
      </c>
      <c r="Z269" s="83">
        <v>0</v>
      </c>
      <c r="AA269" s="83">
        <v>0</v>
      </c>
      <c r="AB269" s="8">
        <f>SUM(P269:AA269)</f>
        <v>0</v>
      </c>
      <c r="AC269" s="24">
        <v>0</v>
      </c>
      <c r="AD269" s="24">
        <v>0</v>
      </c>
      <c r="AE269" s="24">
        <v>0</v>
      </c>
      <c r="AF269" s="24">
        <v>0</v>
      </c>
      <c r="AG269" s="24">
        <v>0</v>
      </c>
      <c r="AH269" s="24">
        <v>0</v>
      </c>
      <c r="AI269" s="24">
        <v>0</v>
      </c>
      <c r="AJ269" s="20">
        <v>0</v>
      </c>
      <c r="AK269" s="20">
        <v>0</v>
      </c>
      <c r="AL269" s="83">
        <v>0</v>
      </c>
      <c r="AM269" s="83">
        <v>0</v>
      </c>
      <c r="AN269" s="83">
        <v>0</v>
      </c>
      <c r="AO269" s="8">
        <f>SUM(AC269:AN269)</f>
        <v>0</v>
      </c>
      <c r="AP269" s="24">
        <v>0</v>
      </c>
      <c r="AQ269" s="24">
        <v>0</v>
      </c>
      <c r="AR269" s="24">
        <v>0</v>
      </c>
      <c r="AS269" s="24">
        <v>0</v>
      </c>
      <c r="AT269" s="24">
        <v>0</v>
      </c>
      <c r="AU269" s="24">
        <v>0</v>
      </c>
      <c r="AV269" s="24">
        <v>0</v>
      </c>
      <c r="AW269" s="20">
        <v>0</v>
      </c>
      <c r="AX269" s="20">
        <v>0</v>
      </c>
      <c r="AY269" s="83">
        <v>0</v>
      </c>
      <c r="AZ269" s="83">
        <v>0</v>
      </c>
      <c r="BA269" s="83">
        <v>0</v>
      </c>
      <c r="BB269" s="8">
        <f>SUM(AP269:BA269)</f>
        <v>0</v>
      </c>
      <c r="BC269" s="24">
        <v>0</v>
      </c>
      <c r="BD269" s="24">
        <v>0</v>
      </c>
      <c r="BE269" s="24">
        <v>0</v>
      </c>
      <c r="BF269" s="24">
        <v>0</v>
      </c>
      <c r="BG269" s="24">
        <v>0</v>
      </c>
      <c r="BH269" s="24">
        <v>0</v>
      </c>
      <c r="BI269" s="24">
        <v>0</v>
      </c>
      <c r="BN269" s="83"/>
      <c r="BO269" s="8">
        <f>SUM(BC269:BN269)</f>
        <v>0</v>
      </c>
    </row>
    <row r="270" spans="2:67" x14ac:dyDescent="0.2">
      <c r="B270" s="3" t="s">
        <v>926</v>
      </c>
      <c r="C270" s="23"/>
      <c r="U270" s="24">
        <v>1006.51</v>
      </c>
      <c r="V270" s="24">
        <v>0</v>
      </c>
      <c r="W270" s="20">
        <v>0</v>
      </c>
      <c r="X270" s="20">
        <v>0</v>
      </c>
      <c r="Y270" s="83">
        <v>0</v>
      </c>
      <c r="Z270" s="83">
        <v>0</v>
      </c>
      <c r="AA270" s="83">
        <v>0</v>
      </c>
      <c r="AB270" s="8">
        <f>SUM(P270:AA270)</f>
        <v>1006.51</v>
      </c>
      <c r="AC270" s="24">
        <v>0</v>
      </c>
      <c r="AD270" s="24">
        <v>0</v>
      </c>
      <c r="AE270" s="24">
        <v>0</v>
      </c>
      <c r="AF270" s="24">
        <v>0</v>
      </c>
      <c r="AG270" s="24">
        <v>0</v>
      </c>
      <c r="AH270" s="24">
        <v>0</v>
      </c>
      <c r="AI270" s="24">
        <v>0</v>
      </c>
      <c r="AJ270" s="20">
        <v>0</v>
      </c>
      <c r="AK270" s="20">
        <v>0</v>
      </c>
      <c r="AL270" s="83">
        <v>0</v>
      </c>
      <c r="AM270" s="83">
        <v>0</v>
      </c>
      <c r="AN270" s="83">
        <v>0</v>
      </c>
      <c r="AO270" s="8">
        <f>SUM(AC270:AN270)</f>
        <v>0</v>
      </c>
      <c r="AP270" s="24">
        <v>0</v>
      </c>
      <c r="AQ270" s="24">
        <v>0</v>
      </c>
      <c r="AR270" s="24">
        <v>0</v>
      </c>
      <c r="AS270" s="24">
        <v>0</v>
      </c>
      <c r="AT270" s="24">
        <v>0</v>
      </c>
      <c r="AU270" s="24">
        <v>0</v>
      </c>
      <c r="AV270" s="24">
        <v>0</v>
      </c>
      <c r="AW270" s="20">
        <v>0</v>
      </c>
      <c r="AX270" s="20">
        <v>0</v>
      </c>
      <c r="AY270" s="83">
        <v>0</v>
      </c>
      <c r="AZ270" s="83">
        <v>0</v>
      </c>
      <c r="BA270" s="83">
        <v>0</v>
      </c>
      <c r="BB270" s="8">
        <f>SUM(AP270:BA270)</f>
        <v>0</v>
      </c>
      <c r="BC270" s="24">
        <v>0</v>
      </c>
      <c r="BD270" s="24">
        <v>0</v>
      </c>
      <c r="BE270" s="24">
        <v>0</v>
      </c>
      <c r="BF270" s="24">
        <v>0</v>
      </c>
      <c r="BG270" s="24">
        <v>0</v>
      </c>
      <c r="BH270" s="24">
        <v>0</v>
      </c>
      <c r="BI270" s="24">
        <v>0</v>
      </c>
      <c r="BN270" s="83"/>
      <c r="BO270" s="8">
        <f>SUM(BC270:BN270)</f>
        <v>0</v>
      </c>
    </row>
    <row r="271" spans="2:67" x14ac:dyDescent="0.2">
      <c r="B271" s="3" t="s">
        <v>1840</v>
      </c>
      <c r="C271" s="23"/>
      <c r="AA271" s="83"/>
      <c r="AB271" s="8"/>
      <c r="AC271" s="24">
        <v>0</v>
      </c>
      <c r="AD271" s="24">
        <v>0</v>
      </c>
      <c r="AE271" s="24">
        <v>0</v>
      </c>
      <c r="AF271" s="24">
        <v>0</v>
      </c>
      <c r="AG271" s="24">
        <v>0</v>
      </c>
      <c r="AH271" s="24">
        <v>0</v>
      </c>
      <c r="AI271" s="24">
        <v>0</v>
      </c>
      <c r="AJ271" s="24">
        <v>0</v>
      </c>
      <c r="AK271" s="24">
        <v>0</v>
      </c>
      <c r="AL271" s="24">
        <v>0</v>
      </c>
      <c r="AM271" s="24">
        <v>0</v>
      </c>
      <c r="AN271" s="83">
        <v>-467.61</v>
      </c>
      <c r="AO271" s="8">
        <f>SUM(AC271:AN271)</f>
        <v>-467.61</v>
      </c>
      <c r="AP271" s="24">
        <v>0</v>
      </c>
      <c r="AQ271" s="24">
        <v>0</v>
      </c>
      <c r="AR271" s="24">
        <v>0</v>
      </c>
      <c r="AS271" s="24">
        <v>0</v>
      </c>
      <c r="AT271" s="24">
        <v>0</v>
      </c>
      <c r="AU271" s="24">
        <v>0</v>
      </c>
      <c r="AV271" s="24">
        <v>0</v>
      </c>
      <c r="AW271" s="20">
        <v>0</v>
      </c>
      <c r="AX271" s="20">
        <v>0</v>
      </c>
      <c r="AY271" s="83">
        <v>0</v>
      </c>
      <c r="AZ271" s="83">
        <v>0</v>
      </c>
      <c r="BA271" s="83">
        <v>0</v>
      </c>
      <c r="BB271" s="8">
        <f>SUM(AP271:BA271)</f>
        <v>0</v>
      </c>
      <c r="BC271" s="24">
        <v>0</v>
      </c>
      <c r="BD271" s="24">
        <v>0</v>
      </c>
      <c r="BE271" s="24">
        <v>0</v>
      </c>
      <c r="BF271" s="24">
        <v>0</v>
      </c>
      <c r="BG271" s="24">
        <v>0</v>
      </c>
      <c r="BH271" s="24">
        <v>0</v>
      </c>
      <c r="BI271" s="24">
        <v>0</v>
      </c>
      <c r="BN271" s="83"/>
      <c r="BO271" s="8">
        <f>SUM(BC271:BN271)</f>
        <v>0</v>
      </c>
    </row>
    <row r="272" spans="2:67" x14ac:dyDescent="0.2">
      <c r="B272" s="3" t="s">
        <v>1795</v>
      </c>
      <c r="C272" s="23">
        <v>0</v>
      </c>
      <c r="D272" s="23">
        <v>1394.23</v>
      </c>
      <c r="E272" s="24">
        <v>346.99</v>
      </c>
      <c r="F272" s="24">
        <v>0</v>
      </c>
      <c r="G272" s="24">
        <v>0</v>
      </c>
      <c r="H272" s="24">
        <v>0</v>
      </c>
      <c r="I272" s="24">
        <v>0</v>
      </c>
      <c r="J272" s="24">
        <v>0</v>
      </c>
      <c r="K272" s="24">
        <v>0</v>
      </c>
      <c r="L272" s="24">
        <v>0</v>
      </c>
      <c r="M272" s="24">
        <v>0</v>
      </c>
      <c r="N272" s="24">
        <v>16</v>
      </c>
      <c r="O272" s="24">
        <f>SUBTOTAL(9,C272:N272)</f>
        <v>1757.22</v>
      </c>
      <c r="P272" s="24">
        <v>0</v>
      </c>
      <c r="Q272" s="24">
        <v>0</v>
      </c>
      <c r="R272" s="24">
        <v>270.26</v>
      </c>
      <c r="S272" s="24">
        <v>12.2</v>
      </c>
      <c r="T272" s="24">
        <v>0</v>
      </c>
      <c r="U272" s="24">
        <v>18.149999999999999</v>
      </c>
      <c r="V272" s="24">
        <v>0</v>
      </c>
      <c r="W272" s="20">
        <v>0</v>
      </c>
      <c r="X272" s="20">
        <v>0</v>
      </c>
      <c r="Y272" s="83">
        <v>0</v>
      </c>
      <c r="Z272" s="83">
        <v>-59.06</v>
      </c>
      <c r="AA272" s="83">
        <v>0</v>
      </c>
      <c r="AB272" s="8">
        <f>SUM(P272:AA272)</f>
        <v>241.54999999999995</v>
      </c>
      <c r="AC272" s="24">
        <v>63.19</v>
      </c>
      <c r="AD272" s="24">
        <v>0</v>
      </c>
      <c r="AE272" s="24">
        <v>0</v>
      </c>
      <c r="AF272" s="24">
        <v>0</v>
      </c>
      <c r="AG272" s="24">
        <v>85.33</v>
      </c>
      <c r="AH272" s="24">
        <v>0</v>
      </c>
      <c r="AI272" s="24">
        <v>0</v>
      </c>
      <c r="AJ272" s="20">
        <v>0</v>
      </c>
      <c r="AK272" s="20">
        <v>43.72</v>
      </c>
      <c r="AL272" s="83">
        <v>152.01</v>
      </c>
      <c r="AM272" s="83">
        <v>258.88</v>
      </c>
      <c r="AN272" s="83">
        <v>0</v>
      </c>
      <c r="AO272" s="8">
        <f>SUM(AC272:AN272)</f>
        <v>603.13</v>
      </c>
      <c r="AP272" s="24">
        <v>0</v>
      </c>
      <c r="AQ272" s="24">
        <v>211.41</v>
      </c>
      <c r="AR272" s="24">
        <f>VLOOKUP(B272,'[1]Sheet1 (2)'!$B$2:$C$397,2,0)</f>
        <v>402.31</v>
      </c>
      <c r="AS272" s="24">
        <f>VLOOKUP(B272,'[2]Sheet1 (2)'!$B$2:$C$404,2,0)</f>
        <v>0</v>
      </c>
      <c r="AT272" s="24">
        <v>0</v>
      </c>
      <c r="AU272" s="24">
        <v>6.16</v>
      </c>
      <c r="AV272" s="24">
        <v>0.99</v>
      </c>
      <c r="AW272" s="20">
        <v>0</v>
      </c>
      <c r="AX272" s="20">
        <v>0</v>
      </c>
      <c r="AY272" s="83">
        <v>140.68</v>
      </c>
      <c r="AZ272" s="83">
        <v>73.27</v>
      </c>
      <c r="BA272" s="83">
        <v>73.52</v>
      </c>
      <c r="BB272" s="8">
        <f>SUM(AP272:BA272)</f>
        <v>908.33999999999992</v>
      </c>
      <c r="BC272" s="24">
        <v>233.04</v>
      </c>
      <c r="BD272" s="24">
        <v>91.46</v>
      </c>
      <c r="BE272" s="24">
        <v>16.63</v>
      </c>
      <c r="BF272" s="24">
        <v>47</v>
      </c>
      <c r="BG272" s="24">
        <v>0</v>
      </c>
      <c r="BH272" s="24">
        <v>118.56</v>
      </c>
      <c r="BI272" s="24">
        <v>51.89</v>
      </c>
      <c r="BN272" s="83"/>
      <c r="BO272" s="8">
        <f>SUM(BC272:BN272)</f>
        <v>558.58000000000004</v>
      </c>
    </row>
    <row r="273" spans="2:67" x14ac:dyDescent="0.2">
      <c r="B273" s="6" t="s">
        <v>1822</v>
      </c>
      <c r="C273" s="7">
        <f t="shared" ref="C273:N273" si="183">SUM(C269:C272)</f>
        <v>1302.99</v>
      </c>
      <c r="D273" s="7">
        <f t="shared" si="183"/>
        <v>96.519999999999982</v>
      </c>
      <c r="E273" s="7">
        <f t="shared" si="183"/>
        <v>590.88</v>
      </c>
      <c r="F273" s="7">
        <f t="shared" si="183"/>
        <v>0</v>
      </c>
      <c r="G273" s="7">
        <f t="shared" si="183"/>
        <v>0</v>
      </c>
      <c r="H273" s="7">
        <f t="shared" si="183"/>
        <v>0</v>
      </c>
      <c r="I273" s="7">
        <f t="shared" si="183"/>
        <v>0</v>
      </c>
      <c r="J273" s="7">
        <f t="shared" si="183"/>
        <v>0</v>
      </c>
      <c r="K273" s="7">
        <f t="shared" si="183"/>
        <v>0</v>
      </c>
      <c r="L273" s="7">
        <f t="shared" si="183"/>
        <v>0</v>
      </c>
      <c r="M273" s="7">
        <f t="shared" si="183"/>
        <v>0</v>
      </c>
      <c r="N273" s="7">
        <f t="shared" si="183"/>
        <v>16</v>
      </c>
      <c r="O273" s="7">
        <f>SUM(C273:N273)</f>
        <v>2006.3899999999999</v>
      </c>
      <c r="P273" s="7">
        <f t="shared" ref="P273:AT273" si="184">SUM(P269:P272)</f>
        <v>0</v>
      </c>
      <c r="Q273" s="7">
        <f t="shared" si="184"/>
        <v>0</v>
      </c>
      <c r="R273" s="7">
        <f t="shared" si="184"/>
        <v>270.26</v>
      </c>
      <c r="S273" s="7">
        <f t="shared" si="184"/>
        <v>12.2</v>
      </c>
      <c r="T273" s="7">
        <f t="shared" si="184"/>
        <v>0</v>
      </c>
      <c r="U273" s="7">
        <f t="shared" si="184"/>
        <v>1024.6600000000001</v>
      </c>
      <c r="V273" s="7">
        <f t="shared" si="184"/>
        <v>0</v>
      </c>
      <c r="W273" s="63">
        <f t="shared" si="184"/>
        <v>0</v>
      </c>
      <c r="X273" s="63">
        <f t="shared" si="184"/>
        <v>0</v>
      </c>
      <c r="Y273" s="63">
        <f t="shared" si="184"/>
        <v>0</v>
      </c>
      <c r="Z273" s="63">
        <f t="shared" si="184"/>
        <v>-59.06</v>
      </c>
      <c r="AA273" s="63">
        <f t="shared" si="184"/>
        <v>0</v>
      </c>
      <c r="AB273" s="63">
        <f t="shared" si="184"/>
        <v>1248.06</v>
      </c>
      <c r="AC273" s="63">
        <f t="shared" si="184"/>
        <v>63.19</v>
      </c>
      <c r="AD273" s="63">
        <f t="shared" si="184"/>
        <v>0</v>
      </c>
      <c r="AE273" s="63">
        <f t="shared" si="184"/>
        <v>0</v>
      </c>
      <c r="AF273" s="63">
        <f t="shared" si="184"/>
        <v>0</v>
      </c>
      <c r="AG273" s="63">
        <f t="shared" si="184"/>
        <v>85.33</v>
      </c>
      <c r="AH273" s="63">
        <f t="shared" si="184"/>
        <v>0</v>
      </c>
      <c r="AI273" s="63">
        <f t="shared" si="184"/>
        <v>0</v>
      </c>
      <c r="AJ273" s="63">
        <f t="shared" si="184"/>
        <v>0</v>
      </c>
      <c r="AK273" s="63">
        <f t="shared" si="184"/>
        <v>43.72</v>
      </c>
      <c r="AL273" s="63">
        <f t="shared" si="184"/>
        <v>152.01</v>
      </c>
      <c r="AM273" s="63">
        <f t="shared" si="184"/>
        <v>258.88</v>
      </c>
      <c r="AN273" s="63">
        <f t="shared" si="184"/>
        <v>-467.61</v>
      </c>
      <c r="AO273" s="63">
        <f t="shared" si="184"/>
        <v>135.51999999999998</v>
      </c>
      <c r="AP273" s="63">
        <f t="shared" si="184"/>
        <v>0</v>
      </c>
      <c r="AQ273" s="63">
        <f t="shared" si="184"/>
        <v>211.41</v>
      </c>
      <c r="AR273" s="63">
        <f t="shared" si="184"/>
        <v>402.31</v>
      </c>
      <c r="AS273" s="63">
        <f t="shared" si="184"/>
        <v>0</v>
      </c>
      <c r="AT273" s="63">
        <f t="shared" si="184"/>
        <v>0</v>
      </c>
      <c r="AU273" s="63">
        <f t="shared" ref="AU273:BO273" si="185">SUM(AU269:AU272)</f>
        <v>6.16</v>
      </c>
      <c r="AV273" s="63">
        <f t="shared" si="185"/>
        <v>0.99</v>
      </c>
      <c r="AW273" s="63">
        <f t="shared" si="185"/>
        <v>0</v>
      </c>
      <c r="AX273" s="63">
        <f t="shared" si="185"/>
        <v>0</v>
      </c>
      <c r="AY273" s="63">
        <f t="shared" si="185"/>
        <v>140.68</v>
      </c>
      <c r="AZ273" s="63">
        <f t="shared" si="185"/>
        <v>73.27</v>
      </c>
      <c r="BA273" s="63">
        <f t="shared" si="185"/>
        <v>73.52</v>
      </c>
      <c r="BB273" s="63">
        <f t="shared" si="185"/>
        <v>908.33999999999992</v>
      </c>
      <c r="BC273" s="63">
        <f t="shared" si="185"/>
        <v>233.04</v>
      </c>
      <c r="BD273" s="63">
        <f t="shared" si="185"/>
        <v>91.46</v>
      </c>
      <c r="BE273" s="63">
        <f t="shared" si="185"/>
        <v>16.63</v>
      </c>
      <c r="BF273" s="63">
        <f t="shared" si="185"/>
        <v>47</v>
      </c>
      <c r="BG273" s="63">
        <f t="shared" si="185"/>
        <v>0</v>
      </c>
      <c r="BH273" s="63">
        <f t="shared" si="185"/>
        <v>118.56</v>
      </c>
      <c r="BI273" s="63">
        <f t="shared" si="185"/>
        <v>51.89</v>
      </c>
      <c r="BJ273" s="63">
        <f t="shared" si="185"/>
        <v>0</v>
      </c>
      <c r="BK273" s="63">
        <f t="shared" si="185"/>
        <v>0</v>
      </c>
      <c r="BL273" s="63">
        <f t="shared" si="185"/>
        <v>0</v>
      </c>
      <c r="BM273" s="63">
        <f t="shared" si="185"/>
        <v>0</v>
      </c>
      <c r="BN273" s="63">
        <f t="shared" si="185"/>
        <v>0</v>
      </c>
      <c r="BO273" s="63">
        <f t="shared" si="185"/>
        <v>558.58000000000004</v>
      </c>
    </row>
    <row r="274" spans="2:67" x14ac:dyDescent="0.2">
      <c r="B274" s="3" t="s">
        <v>389</v>
      </c>
      <c r="C274" s="23"/>
      <c r="P274" s="24">
        <v>2402.48</v>
      </c>
      <c r="Q274" s="24">
        <v>472.05</v>
      </c>
      <c r="R274" s="24">
        <v>275.76</v>
      </c>
      <c r="S274" s="24">
        <v>180.47</v>
      </c>
      <c r="T274" s="24">
        <v>0</v>
      </c>
      <c r="U274" s="24">
        <v>564.4</v>
      </c>
      <c r="V274" s="24">
        <v>559.32000000000005</v>
      </c>
      <c r="W274" s="20">
        <v>520.59</v>
      </c>
      <c r="X274" s="20">
        <v>609.55999999999995</v>
      </c>
      <c r="Y274" s="83">
        <v>0</v>
      </c>
      <c r="Z274" s="83">
        <v>0</v>
      </c>
      <c r="AA274" s="83">
        <v>0</v>
      </c>
      <c r="AB274" s="8">
        <f>SUM(P274:AA274)</f>
        <v>5584.6299999999992</v>
      </c>
      <c r="AC274" s="24">
        <v>1895.8</v>
      </c>
      <c r="AD274" s="24">
        <v>-719.89</v>
      </c>
      <c r="AE274" s="24">
        <v>6731.34</v>
      </c>
      <c r="AF274" s="24">
        <v>346.5</v>
      </c>
      <c r="AG274" s="24">
        <v>5009.51</v>
      </c>
      <c r="AH274" s="24">
        <v>1431.03</v>
      </c>
      <c r="AI274" s="24">
        <v>63.38</v>
      </c>
      <c r="AJ274" s="20">
        <v>1149.52</v>
      </c>
      <c r="AK274" s="20">
        <v>325.49</v>
      </c>
      <c r="AL274" s="83">
        <v>0</v>
      </c>
      <c r="AM274" s="83">
        <v>2682.28</v>
      </c>
      <c r="AN274" s="83">
        <v>1277.01</v>
      </c>
      <c r="AO274" s="8">
        <f>SUM(AC274:AN274)</f>
        <v>20191.969999999998</v>
      </c>
      <c r="AP274" s="24">
        <v>39.08</v>
      </c>
      <c r="AQ274" s="24">
        <v>690.8</v>
      </c>
      <c r="AR274" s="24">
        <f>VLOOKUP(B274,'[1]Sheet1 (2)'!$B$2:$C$397,2,0)</f>
        <v>870.83</v>
      </c>
      <c r="AS274" s="24">
        <f>VLOOKUP(B274,'[2]Sheet1 (2)'!$B$2:$C$404,2,0)</f>
        <v>1004.75</v>
      </c>
      <c r="AT274" s="24">
        <v>3123.57</v>
      </c>
      <c r="AU274" s="24">
        <v>0</v>
      </c>
      <c r="AV274" s="24">
        <v>2.46</v>
      </c>
      <c r="AW274" s="20">
        <v>0</v>
      </c>
      <c r="AX274" s="20">
        <v>4269.3599999999997</v>
      </c>
      <c r="AY274" s="83">
        <v>502.45</v>
      </c>
      <c r="AZ274" s="83">
        <v>3206.48</v>
      </c>
      <c r="BA274" s="83">
        <v>1615.44</v>
      </c>
      <c r="BB274" s="8">
        <f>SUM(AP274:BA274)</f>
        <v>15325.220000000001</v>
      </c>
      <c r="BC274" s="24">
        <v>414.81</v>
      </c>
      <c r="BD274" s="24">
        <v>0</v>
      </c>
      <c r="BE274" s="24">
        <v>977.31</v>
      </c>
      <c r="BF274" s="24">
        <v>3031.15</v>
      </c>
      <c r="BG274" s="24">
        <v>3301.3</v>
      </c>
      <c r="BH274" s="24">
        <v>2913.76</v>
      </c>
      <c r="BI274" s="24">
        <v>859.62</v>
      </c>
      <c r="BN274" s="83"/>
      <c r="BO274" s="8">
        <f>SUM(BC274:BN274)</f>
        <v>11497.950000000003</v>
      </c>
    </row>
    <row r="275" spans="2:67" x14ac:dyDescent="0.2">
      <c r="B275" s="3" t="s">
        <v>1796</v>
      </c>
      <c r="C275" s="23">
        <v>596.91</v>
      </c>
      <c r="D275" s="24">
        <v>347.82</v>
      </c>
      <c r="E275" s="24">
        <v>619.75</v>
      </c>
      <c r="F275" s="24">
        <v>1285.94</v>
      </c>
      <c r="G275" s="24">
        <v>685.24</v>
      </c>
      <c r="H275" s="24">
        <v>1589.29</v>
      </c>
      <c r="I275" s="24">
        <v>1425.07</v>
      </c>
      <c r="J275" s="24">
        <v>6963.04</v>
      </c>
      <c r="K275" s="24">
        <v>2507.6999999999998</v>
      </c>
      <c r="L275" s="24">
        <v>3789.89</v>
      </c>
      <c r="M275" s="24">
        <v>6679.32</v>
      </c>
      <c r="N275" s="24">
        <v>17959.16</v>
      </c>
      <c r="O275" s="24">
        <f>SUBTOTAL(9,C275:N275)</f>
        <v>44449.13</v>
      </c>
      <c r="P275" s="24">
        <v>2251.9299999999998</v>
      </c>
      <c r="Q275" s="24">
        <v>4373.3500000000004</v>
      </c>
      <c r="R275" s="24">
        <v>4036.2</v>
      </c>
      <c r="S275" s="24">
        <v>3346.25</v>
      </c>
      <c r="T275" s="24">
        <v>8721.7900000000009</v>
      </c>
      <c r="U275" s="24">
        <v>4309.6099999999997</v>
      </c>
      <c r="V275" s="24">
        <v>3822.26</v>
      </c>
      <c r="W275" s="20">
        <v>5446.55</v>
      </c>
      <c r="X275" s="20">
        <v>1017.45</v>
      </c>
      <c r="Y275" s="83">
        <v>5820.93</v>
      </c>
      <c r="Z275" s="83">
        <v>11625.69</v>
      </c>
      <c r="AA275" s="83">
        <v>2343.9699999999998</v>
      </c>
      <c r="AB275" s="8">
        <f>SUM(P275:AA275)</f>
        <v>57115.98</v>
      </c>
      <c r="AC275" s="24">
        <v>2534.36</v>
      </c>
      <c r="AD275" s="24">
        <v>3827.53</v>
      </c>
      <c r="AE275" s="24">
        <v>2368.44</v>
      </c>
      <c r="AF275" s="24">
        <v>670</v>
      </c>
      <c r="AG275" s="24">
        <v>2921.81</v>
      </c>
      <c r="AH275" s="24">
        <v>3102.64</v>
      </c>
      <c r="AI275" s="24">
        <v>2240.61</v>
      </c>
      <c r="AJ275" s="20">
        <v>4822.49</v>
      </c>
      <c r="AK275" s="20">
        <v>3423.93</v>
      </c>
      <c r="AL275" s="83">
        <v>4251.41</v>
      </c>
      <c r="AM275" s="83">
        <v>1337.54</v>
      </c>
      <c r="AN275" s="83">
        <v>5072.49</v>
      </c>
      <c r="AO275" s="8">
        <f>SUM(AC275:AN275)</f>
        <v>36573.25</v>
      </c>
      <c r="AP275" s="24">
        <v>1356.39</v>
      </c>
      <c r="AQ275" s="24">
        <v>4764.3599999999997</v>
      </c>
      <c r="AR275" s="24">
        <f>VLOOKUP(B275,'[1]Sheet1 (2)'!$B$2:$C$397,2,0)</f>
        <v>1599.76</v>
      </c>
      <c r="AS275" s="24">
        <f>VLOOKUP(B275,'[2]Sheet1 (2)'!$B$2:$C$404,2,0)</f>
        <v>1312.45</v>
      </c>
      <c r="AT275" s="24">
        <v>492.35</v>
      </c>
      <c r="AU275" s="24">
        <v>7251.3</v>
      </c>
      <c r="AV275" s="24">
        <v>6283.01</v>
      </c>
      <c r="AW275" s="20">
        <v>1188.3699999999999</v>
      </c>
      <c r="AX275" s="20">
        <v>2088.65</v>
      </c>
      <c r="AY275" s="83">
        <v>1052.75</v>
      </c>
      <c r="AZ275" s="83">
        <v>1394.67</v>
      </c>
      <c r="BA275" s="83">
        <v>1606.23</v>
      </c>
      <c r="BB275" s="8">
        <f>SUM(AP275:BA275)</f>
        <v>30390.290000000005</v>
      </c>
      <c r="BC275" s="24">
        <v>1023.03</v>
      </c>
      <c r="BD275" s="24">
        <v>1491.45</v>
      </c>
      <c r="BE275" s="24">
        <v>1301.01</v>
      </c>
      <c r="BF275" s="24">
        <v>2692.8</v>
      </c>
      <c r="BG275" s="24">
        <v>1309.72</v>
      </c>
      <c r="BH275" s="24">
        <v>1669.63</v>
      </c>
      <c r="BI275" s="24">
        <v>782.47</v>
      </c>
      <c r="BN275" s="83"/>
      <c r="BO275" s="8">
        <f>SUM(BC275:BN275)</f>
        <v>10270.109999999999</v>
      </c>
    </row>
    <row r="276" spans="2:67" x14ac:dyDescent="0.2">
      <c r="B276" s="6" t="s">
        <v>1557</v>
      </c>
      <c r="C276" s="7">
        <f t="shared" ref="C276:N276" si="186">SUM(C274:C275)</f>
        <v>596.91</v>
      </c>
      <c r="D276" s="7">
        <f t="shared" si="186"/>
        <v>347.82</v>
      </c>
      <c r="E276" s="7">
        <f t="shared" si="186"/>
        <v>619.75</v>
      </c>
      <c r="F276" s="7">
        <f t="shared" si="186"/>
        <v>1285.94</v>
      </c>
      <c r="G276" s="7">
        <f t="shared" si="186"/>
        <v>685.24</v>
      </c>
      <c r="H276" s="7">
        <f t="shared" si="186"/>
        <v>1589.29</v>
      </c>
      <c r="I276" s="7">
        <f t="shared" si="186"/>
        <v>1425.07</v>
      </c>
      <c r="J276" s="7">
        <f t="shared" si="186"/>
        <v>6963.04</v>
      </c>
      <c r="K276" s="7">
        <f t="shared" si="186"/>
        <v>2507.6999999999998</v>
      </c>
      <c r="L276" s="7">
        <f t="shared" si="186"/>
        <v>3789.89</v>
      </c>
      <c r="M276" s="7">
        <f t="shared" si="186"/>
        <v>6679.32</v>
      </c>
      <c r="N276" s="7">
        <f t="shared" si="186"/>
        <v>17959.16</v>
      </c>
      <c r="O276" s="7">
        <f>SUM(C276:N276)</f>
        <v>44449.13</v>
      </c>
      <c r="P276" s="7">
        <f t="shared" ref="P276:AT276" si="187">SUM(P274:P275)</f>
        <v>4654.41</v>
      </c>
      <c r="Q276" s="7">
        <f t="shared" si="187"/>
        <v>4845.4000000000005</v>
      </c>
      <c r="R276" s="7">
        <f t="shared" si="187"/>
        <v>4311.96</v>
      </c>
      <c r="S276" s="7">
        <f t="shared" si="187"/>
        <v>3526.72</v>
      </c>
      <c r="T276" s="7">
        <f t="shared" si="187"/>
        <v>8721.7900000000009</v>
      </c>
      <c r="U276" s="7">
        <f t="shared" si="187"/>
        <v>4874.0099999999993</v>
      </c>
      <c r="V276" s="7">
        <f t="shared" si="187"/>
        <v>4381.58</v>
      </c>
      <c r="W276" s="63">
        <f t="shared" si="187"/>
        <v>5967.14</v>
      </c>
      <c r="X276" s="63">
        <f t="shared" si="187"/>
        <v>1627.01</v>
      </c>
      <c r="Y276" s="63">
        <f t="shared" si="187"/>
        <v>5820.93</v>
      </c>
      <c r="Z276" s="63">
        <f t="shared" si="187"/>
        <v>11625.69</v>
      </c>
      <c r="AA276" s="63">
        <f t="shared" si="187"/>
        <v>2343.9699999999998</v>
      </c>
      <c r="AB276" s="63">
        <f t="shared" si="187"/>
        <v>62700.61</v>
      </c>
      <c r="AC276" s="63">
        <f t="shared" si="187"/>
        <v>4430.16</v>
      </c>
      <c r="AD276" s="63">
        <f t="shared" si="187"/>
        <v>3107.6400000000003</v>
      </c>
      <c r="AE276" s="63">
        <f t="shared" si="187"/>
        <v>9099.7800000000007</v>
      </c>
      <c r="AF276" s="63">
        <f t="shared" si="187"/>
        <v>1016.5</v>
      </c>
      <c r="AG276" s="63">
        <f t="shared" si="187"/>
        <v>7931.32</v>
      </c>
      <c r="AH276" s="63">
        <f t="shared" si="187"/>
        <v>4533.67</v>
      </c>
      <c r="AI276" s="63">
        <f t="shared" si="187"/>
        <v>2303.9900000000002</v>
      </c>
      <c r="AJ276" s="63">
        <f t="shared" si="187"/>
        <v>5972.01</v>
      </c>
      <c r="AK276" s="63">
        <f t="shared" si="187"/>
        <v>3749.42</v>
      </c>
      <c r="AL276" s="63">
        <f t="shared" si="187"/>
        <v>4251.41</v>
      </c>
      <c r="AM276" s="63">
        <f t="shared" si="187"/>
        <v>4019.82</v>
      </c>
      <c r="AN276" s="63">
        <f t="shared" si="187"/>
        <v>6349.5</v>
      </c>
      <c r="AO276" s="63">
        <f t="shared" si="187"/>
        <v>56765.22</v>
      </c>
      <c r="AP276" s="63">
        <f t="shared" si="187"/>
        <v>1395.47</v>
      </c>
      <c r="AQ276" s="63">
        <f t="shared" si="187"/>
        <v>5455.16</v>
      </c>
      <c r="AR276" s="63">
        <f t="shared" si="187"/>
        <v>2470.59</v>
      </c>
      <c r="AS276" s="63">
        <f t="shared" si="187"/>
        <v>2317.1999999999998</v>
      </c>
      <c r="AT276" s="63">
        <f t="shared" si="187"/>
        <v>3615.92</v>
      </c>
      <c r="AU276" s="63">
        <f t="shared" ref="AU276:BO276" si="188">SUM(AU274:AU275)</f>
        <v>7251.3</v>
      </c>
      <c r="AV276" s="63">
        <f t="shared" si="188"/>
        <v>6285.47</v>
      </c>
      <c r="AW276" s="63">
        <f t="shared" si="188"/>
        <v>1188.3699999999999</v>
      </c>
      <c r="AX276" s="63">
        <f t="shared" si="188"/>
        <v>6358.01</v>
      </c>
      <c r="AY276" s="63">
        <f t="shared" si="188"/>
        <v>1555.2</v>
      </c>
      <c r="AZ276" s="63">
        <f t="shared" si="188"/>
        <v>4601.1499999999996</v>
      </c>
      <c r="BA276" s="63">
        <f t="shared" si="188"/>
        <v>3221.67</v>
      </c>
      <c r="BB276" s="63">
        <f t="shared" si="188"/>
        <v>45715.510000000009</v>
      </c>
      <c r="BC276" s="63">
        <f t="shared" si="188"/>
        <v>1437.84</v>
      </c>
      <c r="BD276" s="63">
        <f t="shared" si="188"/>
        <v>1491.45</v>
      </c>
      <c r="BE276" s="63">
        <f t="shared" si="188"/>
        <v>2278.3199999999997</v>
      </c>
      <c r="BF276" s="63">
        <f t="shared" si="188"/>
        <v>5723.9500000000007</v>
      </c>
      <c r="BG276" s="63">
        <f t="shared" si="188"/>
        <v>4611.0200000000004</v>
      </c>
      <c r="BH276" s="63">
        <f t="shared" si="188"/>
        <v>4583.3900000000003</v>
      </c>
      <c r="BI276" s="63">
        <f t="shared" si="188"/>
        <v>1642.0900000000001</v>
      </c>
      <c r="BJ276" s="63">
        <f t="shared" si="188"/>
        <v>0</v>
      </c>
      <c r="BK276" s="63">
        <f t="shared" si="188"/>
        <v>0</v>
      </c>
      <c r="BL276" s="63">
        <f t="shared" si="188"/>
        <v>0</v>
      </c>
      <c r="BM276" s="63">
        <f t="shared" si="188"/>
        <v>0</v>
      </c>
      <c r="BN276" s="63">
        <f t="shared" si="188"/>
        <v>0</v>
      </c>
      <c r="BO276" s="63">
        <f t="shared" si="188"/>
        <v>21768.06</v>
      </c>
    </row>
    <row r="277" spans="2:67" x14ac:dyDescent="0.2">
      <c r="B277" s="3" t="s">
        <v>579</v>
      </c>
      <c r="C277" s="23">
        <v>2.69</v>
      </c>
      <c r="D277" s="24">
        <v>292.44</v>
      </c>
      <c r="E277" s="24">
        <v>265.07</v>
      </c>
      <c r="F277" s="24">
        <v>440.87</v>
      </c>
      <c r="G277" s="24">
        <v>0</v>
      </c>
      <c r="H277" s="24">
        <v>35.799999999999997</v>
      </c>
      <c r="I277" s="24">
        <v>0</v>
      </c>
      <c r="J277" s="24">
        <v>362.4</v>
      </c>
      <c r="K277" s="24">
        <v>339.31</v>
      </c>
      <c r="L277" s="24">
        <v>601.64</v>
      </c>
      <c r="M277" s="24">
        <v>310.08</v>
      </c>
      <c r="N277" s="24">
        <v>273.81</v>
      </c>
      <c r="O277" s="24">
        <f>SUBTOTAL(9,C277:N277)</f>
        <v>2924.1099999999997</v>
      </c>
      <c r="P277" s="24">
        <v>0</v>
      </c>
      <c r="Q277" s="24">
        <v>1607.16</v>
      </c>
      <c r="R277" s="24">
        <v>1104.47</v>
      </c>
      <c r="S277" s="24">
        <v>8.9700000000000006</v>
      </c>
      <c r="T277" s="24">
        <v>82.65</v>
      </c>
      <c r="U277" s="24">
        <v>591.55999999999995</v>
      </c>
      <c r="V277" s="24">
        <v>184.31</v>
      </c>
      <c r="W277" s="20">
        <v>3025.43</v>
      </c>
      <c r="X277" s="20">
        <v>469.13</v>
      </c>
      <c r="Y277" s="83">
        <v>965.96</v>
      </c>
      <c r="Z277" s="83">
        <v>2635.79</v>
      </c>
      <c r="AA277" s="83">
        <v>701.18</v>
      </c>
      <c r="AB277" s="8">
        <f>SUM(P277:AA277)</f>
        <v>11376.61</v>
      </c>
      <c r="AC277" s="24">
        <v>6.78</v>
      </c>
      <c r="AD277" s="24">
        <v>340.52</v>
      </c>
      <c r="AE277" s="24">
        <v>429.7</v>
      </c>
      <c r="AF277" s="24">
        <v>16.75</v>
      </c>
      <c r="AG277" s="24">
        <v>73.040000000000006</v>
      </c>
      <c r="AH277" s="24">
        <v>2694.42</v>
      </c>
      <c r="AI277" s="24">
        <v>412.76</v>
      </c>
      <c r="AJ277" s="20">
        <v>130.65</v>
      </c>
      <c r="AK277" s="20">
        <v>482.87</v>
      </c>
      <c r="AL277" s="83">
        <v>430.97</v>
      </c>
      <c r="AM277" s="83">
        <v>429.13</v>
      </c>
      <c r="AN277" s="83">
        <v>3887.98</v>
      </c>
      <c r="AO277" s="8">
        <f>SUM(AC277:AN277)</f>
        <v>9335.57</v>
      </c>
      <c r="AP277" s="24">
        <v>0</v>
      </c>
      <c r="AQ277" s="24">
        <v>0</v>
      </c>
      <c r="AR277" s="24">
        <f>VLOOKUP(B277,'[1]Sheet1 (2)'!$B$2:$C$397,2,0)</f>
        <v>-32.54</v>
      </c>
      <c r="AS277" s="24">
        <f>VLOOKUP(B277,'[2]Sheet1 (2)'!$B$2:$C$404,2,0)</f>
        <v>326.58</v>
      </c>
      <c r="AT277" s="24">
        <v>21.09</v>
      </c>
      <c r="AU277" s="24">
        <v>812.06</v>
      </c>
      <c r="AV277" s="24">
        <v>0</v>
      </c>
      <c r="AW277" s="20">
        <v>20.72</v>
      </c>
      <c r="AX277" s="20">
        <v>119.39</v>
      </c>
      <c r="AY277" s="83">
        <v>1624.35</v>
      </c>
      <c r="AZ277" s="83">
        <v>8.84</v>
      </c>
      <c r="BA277" s="83">
        <v>228.1</v>
      </c>
      <c r="BB277" s="8">
        <f t="shared" ref="BB277:BB285" si="189">SUM(AP277:BA277)</f>
        <v>3128.5899999999997</v>
      </c>
      <c r="BC277" s="24">
        <v>19.07</v>
      </c>
      <c r="BD277" s="24">
        <v>249.15</v>
      </c>
      <c r="BE277" s="24">
        <v>139.52000000000001</v>
      </c>
      <c r="BF277" s="24">
        <v>16.38</v>
      </c>
      <c r="BG277" s="24">
        <v>37.32</v>
      </c>
      <c r="BH277" s="24">
        <v>538.13</v>
      </c>
      <c r="BI277" s="24">
        <v>1290.53</v>
      </c>
      <c r="BN277" s="83"/>
      <c r="BO277" s="8">
        <f t="shared" ref="BO277:BO282" si="190">SUM(BC277:BN277)</f>
        <v>2290.1</v>
      </c>
    </row>
    <row r="278" spans="2:67" x14ac:dyDescent="0.2">
      <c r="B278" s="3" t="s">
        <v>392</v>
      </c>
      <c r="C278" s="23">
        <v>904.52</v>
      </c>
      <c r="D278" s="24">
        <v>235.55</v>
      </c>
      <c r="E278" s="24">
        <v>6510.59</v>
      </c>
      <c r="F278" s="24">
        <v>1862.28</v>
      </c>
      <c r="G278" s="24">
        <v>2007.58</v>
      </c>
      <c r="H278" s="24">
        <v>5053.4399999999996</v>
      </c>
      <c r="I278" s="24">
        <v>18032.93</v>
      </c>
      <c r="J278" s="24">
        <v>6325.31</v>
      </c>
      <c r="K278" s="24">
        <v>9519.67</v>
      </c>
      <c r="L278" s="24">
        <v>4225.0200000000004</v>
      </c>
      <c r="M278" s="24">
        <v>842.28</v>
      </c>
      <c r="N278" s="24">
        <v>1705.63</v>
      </c>
      <c r="O278" s="24">
        <f>SUBTOTAL(9,C278:N278)</f>
        <v>57224.799999999996</v>
      </c>
      <c r="P278" s="24">
        <v>695.47</v>
      </c>
      <c r="Q278" s="24">
        <v>286.02999999999997</v>
      </c>
      <c r="R278" s="24">
        <v>653.28</v>
      </c>
      <c r="S278" s="24">
        <v>4213.21</v>
      </c>
      <c r="T278" s="24">
        <v>395.01</v>
      </c>
      <c r="U278" s="24">
        <v>1974.48</v>
      </c>
      <c r="V278" s="24">
        <v>38014.550000000003</v>
      </c>
      <c r="W278" s="20">
        <v>7746.28</v>
      </c>
      <c r="X278" s="20">
        <v>6119.37</v>
      </c>
      <c r="Y278" s="83">
        <v>6899.04</v>
      </c>
      <c r="Z278" s="83">
        <v>898.08</v>
      </c>
      <c r="AA278" s="83">
        <v>3345.4</v>
      </c>
      <c r="AB278" s="8">
        <f>SUM(P278:AA278)</f>
        <v>71240.2</v>
      </c>
      <c r="AC278" s="24">
        <v>33.130000000000003</v>
      </c>
      <c r="AD278" s="24">
        <v>3735.98</v>
      </c>
      <c r="AE278" s="24">
        <v>2611.02</v>
      </c>
      <c r="AF278" s="24">
        <v>1372.03</v>
      </c>
      <c r="AG278" s="24">
        <v>2464.75</v>
      </c>
      <c r="AH278" s="24">
        <v>3669.88</v>
      </c>
      <c r="AI278" s="24">
        <v>3781.33</v>
      </c>
      <c r="AJ278" s="20">
        <v>33466.83</v>
      </c>
      <c r="AK278" s="20">
        <v>2605.2199999999998</v>
      </c>
      <c r="AL278" s="83">
        <v>4179.47</v>
      </c>
      <c r="AM278" s="83">
        <v>1199.9000000000001</v>
      </c>
      <c r="AN278" s="83">
        <v>2415.4</v>
      </c>
      <c r="AO278" s="8">
        <f>SUM(AC278:AN278)</f>
        <v>61534.94000000001</v>
      </c>
      <c r="AP278" s="24">
        <v>140.71</v>
      </c>
      <c r="AQ278" s="24">
        <v>1173.3499999999999</v>
      </c>
      <c r="AR278" s="24">
        <f>VLOOKUP(B278,'[1]Sheet1 (2)'!$B$2:$C$397,2,0)</f>
        <v>1660.07</v>
      </c>
      <c r="AS278" s="24">
        <f>VLOOKUP(B278,'[2]Sheet1 (2)'!$B$2:$C$404,2,0)</f>
        <v>1103.17</v>
      </c>
      <c r="AT278" s="24">
        <v>1903.61</v>
      </c>
      <c r="AU278" s="24">
        <v>1119.28</v>
      </c>
      <c r="AV278" s="24">
        <v>11674.49</v>
      </c>
      <c r="AW278" s="20">
        <v>1595</v>
      </c>
      <c r="AX278" s="20">
        <v>1270.92</v>
      </c>
      <c r="AY278" s="83">
        <v>630.14</v>
      </c>
      <c r="AZ278" s="83">
        <v>2551.9299999999998</v>
      </c>
      <c r="BA278" s="83">
        <v>521.14</v>
      </c>
      <c r="BB278" s="8">
        <f t="shared" si="189"/>
        <v>25343.809999999998</v>
      </c>
      <c r="BC278" s="24">
        <v>0</v>
      </c>
      <c r="BD278" s="24">
        <v>0</v>
      </c>
      <c r="BE278" s="24">
        <v>0</v>
      </c>
      <c r="BF278" s="24">
        <v>0</v>
      </c>
      <c r="BG278" s="24">
        <v>368.95</v>
      </c>
      <c r="BH278" s="24">
        <v>0</v>
      </c>
      <c r="BI278" s="24">
        <v>0</v>
      </c>
      <c r="BN278" s="83"/>
      <c r="BO278" s="8">
        <f t="shared" si="190"/>
        <v>368.95</v>
      </c>
    </row>
    <row r="279" spans="2:67" x14ac:dyDescent="0.2">
      <c r="B279" s="3" t="s">
        <v>581</v>
      </c>
      <c r="C279" s="23"/>
      <c r="M279" s="24">
        <v>33.64</v>
      </c>
      <c r="N279" s="24">
        <v>32.979999999999997</v>
      </c>
      <c r="O279" s="24">
        <f>SUBTOTAL(9,C279:N279)</f>
        <v>66.62</v>
      </c>
      <c r="P279" s="24">
        <v>0</v>
      </c>
      <c r="Q279" s="24">
        <v>21.79</v>
      </c>
      <c r="R279" s="24">
        <v>105.21</v>
      </c>
      <c r="S279" s="24">
        <v>0</v>
      </c>
      <c r="T279" s="24">
        <v>0</v>
      </c>
      <c r="U279" s="24">
        <v>0</v>
      </c>
      <c r="V279" s="24">
        <v>57.36</v>
      </c>
      <c r="W279" s="20">
        <v>413.43</v>
      </c>
      <c r="X279" s="20">
        <v>0</v>
      </c>
      <c r="Y279" s="83">
        <v>1441.44</v>
      </c>
      <c r="Z279" s="83">
        <v>28.64</v>
      </c>
      <c r="AA279" s="83">
        <v>0</v>
      </c>
      <c r="AB279" s="8">
        <f>SUM(P279:AA279)</f>
        <v>2067.87</v>
      </c>
      <c r="AC279" s="24">
        <v>0</v>
      </c>
      <c r="AD279" s="24">
        <v>45.3</v>
      </c>
      <c r="AE279" s="24">
        <v>0</v>
      </c>
      <c r="AF279" s="24">
        <v>270.02999999999997</v>
      </c>
      <c r="AG279" s="24">
        <v>65.53</v>
      </c>
      <c r="AH279" s="24">
        <v>1089.2</v>
      </c>
      <c r="AI279" s="24">
        <v>1191.52</v>
      </c>
      <c r="AJ279" s="20">
        <v>52.48</v>
      </c>
      <c r="AK279" s="20">
        <v>75.430000000000007</v>
      </c>
      <c r="AL279" s="83">
        <v>644.09</v>
      </c>
      <c r="AM279" s="83">
        <v>276.57</v>
      </c>
      <c r="AN279" s="83">
        <v>234.89</v>
      </c>
      <c r="AO279" s="8">
        <f>SUM(AC279:AN279)</f>
        <v>3945.04</v>
      </c>
      <c r="AP279" s="24">
        <v>0</v>
      </c>
      <c r="AQ279" s="24">
        <v>10.24</v>
      </c>
      <c r="AR279" s="24">
        <f>VLOOKUP(B279,'[1]Sheet1 (2)'!$B$2:$C$397,2,0)</f>
        <v>4.96</v>
      </c>
      <c r="AS279" s="24">
        <f>VLOOKUP(B279,'[2]Sheet1 (2)'!$B$2:$C$404,2,0)</f>
        <v>116.4</v>
      </c>
      <c r="AT279" s="24">
        <v>47.26</v>
      </c>
      <c r="AU279" s="24">
        <v>31.11</v>
      </c>
      <c r="AV279" s="24">
        <v>112.91</v>
      </c>
      <c r="AW279" s="20">
        <v>425.08</v>
      </c>
      <c r="AX279" s="20">
        <v>254.5</v>
      </c>
      <c r="AY279" s="83">
        <v>0</v>
      </c>
      <c r="AZ279" s="83">
        <v>0</v>
      </c>
      <c r="BA279" s="83">
        <v>0</v>
      </c>
      <c r="BB279" s="8">
        <f t="shared" si="189"/>
        <v>1002.46</v>
      </c>
      <c r="BC279" s="24">
        <v>0</v>
      </c>
      <c r="BD279" s="24">
        <v>0</v>
      </c>
      <c r="BE279" s="24">
        <v>0</v>
      </c>
      <c r="BF279" s="24">
        <v>0</v>
      </c>
      <c r="BG279" s="24">
        <v>0</v>
      </c>
      <c r="BH279" s="24">
        <v>0</v>
      </c>
      <c r="BI279" s="24">
        <v>0</v>
      </c>
      <c r="BN279" s="83"/>
      <c r="BO279" s="8">
        <f t="shared" si="190"/>
        <v>0</v>
      </c>
    </row>
    <row r="280" spans="2:67" x14ac:dyDescent="0.2">
      <c r="B280" s="3" t="s">
        <v>1881</v>
      </c>
      <c r="C280" s="23"/>
      <c r="AA280" s="83"/>
      <c r="AB280" s="8"/>
      <c r="AN280" s="83"/>
      <c r="AO280" s="8"/>
      <c r="AP280" s="24">
        <v>0</v>
      </c>
      <c r="AQ280" s="24">
        <v>0</v>
      </c>
      <c r="AR280" s="24">
        <v>0</v>
      </c>
      <c r="AS280" s="24">
        <v>0</v>
      </c>
      <c r="AT280" s="24">
        <v>0</v>
      </c>
      <c r="AU280" s="24">
        <v>23.53</v>
      </c>
      <c r="AV280" s="24">
        <v>236.98</v>
      </c>
      <c r="AW280" s="20">
        <v>39.590000000000003</v>
      </c>
      <c r="AX280" s="20">
        <v>7.52</v>
      </c>
      <c r="AY280" s="83">
        <v>0</v>
      </c>
      <c r="AZ280" s="83">
        <v>0</v>
      </c>
      <c r="BA280" s="83">
        <v>0</v>
      </c>
      <c r="BB280" s="8">
        <f t="shared" si="189"/>
        <v>307.62</v>
      </c>
      <c r="BC280" s="24">
        <v>0</v>
      </c>
      <c r="BD280" s="24">
        <v>0</v>
      </c>
      <c r="BE280" s="24">
        <v>0</v>
      </c>
      <c r="BF280" s="24">
        <v>0</v>
      </c>
      <c r="BG280" s="24">
        <v>0</v>
      </c>
      <c r="BH280" s="24">
        <v>0</v>
      </c>
      <c r="BI280" s="24">
        <v>0</v>
      </c>
      <c r="BN280" s="83"/>
      <c r="BO280" s="8">
        <f t="shared" si="190"/>
        <v>0</v>
      </c>
    </row>
    <row r="281" spans="2:67" x14ac:dyDescent="0.2">
      <c r="B281" s="3" t="s">
        <v>967</v>
      </c>
      <c r="C281" s="23"/>
      <c r="H281" s="24">
        <v>3778.68</v>
      </c>
      <c r="I281" s="24">
        <v>0</v>
      </c>
      <c r="J281" s="24">
        <v>-1716</v>
      </c>
      <c r="K281" s="24">
        <v>0</v>
      </c>
      <c r="L281" s="24">
        <v>0</v>
      </c>
      <c r="M281" s="24">
        <v>0</v>
      </c>
      <c r="N281" s="24">
        <v>0</v>
      </c>
      <c r="O281" s="24">
        <f>SUBTOTAL(9,C281:N281)</f>
        <v>2062.6799999999998</v>
      </c>
      <c r="P281" s="24">
        <v>0</v>
      </c>
      <c r="Q281" s="24">
        <v>0</v>
      </c>
      <c r="R281" s="24">
        <v>0</v>
      </c>
      <c r="S281" s="24">
        <v>0</v>
      </c>
      <c r="T281" s="24">
        <v>0</v>
      </c>
      <c r="U281" s="24">
        <v>0</v>
      </c>
      <c r="V281" s="24">
        <v>332.93</v>
      </c>
      <c r="W281" s="20">
        <v>325.82</v>
      </c>
      <c r="X281" s="20">
        <v>54.32</v>
      </c>
      <c r="Y281" s="83">
        <v>190.95</v>
      </c>
      <c r="Z281" s="83">
        <v>0</v>
      </c>
      <c r="AA281" s="83">
        <v>24.43</v>
      </c>
      <c r="AB281" s="8">
        <f>SUM(P281:AA281)</f>
        <v>928.44999999999993</v>
      </c>
      <c r="AC281" s="24">
        <v>54.6</v>
      </c>
      <c r="AD281" s="24">
        <v>0</v>
      </c>
      <c r="AE281" s="24">
        <v>0</v>
      </c>
      <c r="AF281" s="24">
        <v>81.34</v>
      </c>
      <c r="AG281" s="24">
        <v>0</v>
      </c>
      <c r="AH281" s="24">
        <v>0</v>
      </c>
      <c r="AI281" s="24">
        <v>0</v>
      </c>
      <c r="AJ281" s="20">
        <v>71.27</v>
      </c>
      <c r="AK281" s="20">
        <v>68.48</v>
      </c>
      <c r="AL281" s="83">
        <v>356.63</v>
      </c>
      <c r="AM281" s="83">
        <v>172.12</v>
      </c>
      <c r="AN281" s="83">
        <v>111.64</v>
      </c>
      <c r="AO281" s="8">
        <f>SUM(AC281:AN281)</f>
        <v>916.07999999999993</v>
      </c>
      <c r="AP281" s="24">
        <v>0</v>
      </c>
      <c r="AQ281" s="24">
        <v>0</v>
      </c>
      <c r="AR281" s="24">
        <f>VLOOKUP(B281,'[1]Sheet1 (2)'!$B$2:$C$397,2,0)</f>
        <v>212.37</v>
      </c>
      <c r="AS281" s="24">
        <f>VLOOKUP(B281,'[2]Sheet1 (2)'!$B$2:$C$404,2,0)</f>
        <v>41.48</v>
      </c>
      <c r="AT281" s="24">
        <v>60.36</v>
      </c>
      <c r="AU281" s="24">
        <v>0</v>
      </c>
      <c r="AV281" s="24">
        <v>50.92</v>
      </c>
      <c r="AW281" s="20">
        <v>62.77</v>
      </c>
      <c r="AX281" s="20">
        <v>0</v>
      </c>
      <c r="AY281" s="83">
        <v>1145.44</v>
      </c>
      <c r="AZ281" s="83">
        <v>21.05</v>
      </c>
      <c r="BA281" s="83">
        <v>122.32</v>
      </c>
      <c r="BB281" s="8">
        <f t="shared" si="189"/>
        <v>1716.71</v>
      </c>
      <c r="BC281" s="24">
        <v>0</v>
      </c>
      <c r="BD281" s="24">
        <v>-31.56</v>
      </c>
      <c r="BE281" s="24">
        <v>0</v>
      </c>
      <c r="BF281" s="24">
        <v>10.19</v>
      </c>
      <c r="BG281" s="24">
        <v>0</v>
      </c>
      <c r="BH281" s="24">
        <v>0</v>
      </c>
      <c r="BI281" s="24">
        <v>0</v>
      </c>
      <c r="BN281" s="83"/>
      <c r="BO281" s="8">
        <f t="shared" si="190"/>
        <v>-21.369999999999997</v>
      </c>
    </row>
    <row r="282" spans="2:67" x14ac:dyDescent="0.2">
      <c r="B282" s="3" t="s">
        <v>1914</v>
      </c>
      <c r="C282" s="23"/>
      <c r="AA282" s="83"/>
      <c r="AB282" s="8"/>
      <c r="AN282" s="83"/>
      <c r="AO282" s="8"/>
      <c r="BA282" s="83"/>
      <c r="BB282" s="8"/>
      <c r="BC282" s="24">
        <v>0</v>
      </c>
      <c r="BD282" s="24">
        <v>0</v>
      </c>
      <c r="BE282" s="24">
        <v>0</v>
      </c>
      <c r="BF282" s="24">
        <v>121.54</v>
      </c>
      <c r="BG282" s="24">
        <v>0</v>
      </c>
      <c r="BH282" s="24">
        <v>0</v>
      </c>
      <c r="BI282" s="24">
        <v>0</v>
      </c>
      <c r="BN282" s="83"/>
      <c r="BO282" s="8">
        <f t="shared" si="190"/>
        <v>121.54</v>
      </c>
    </row>
    <row r="283" spans="2:67" x14ac:dyDescent="0.2">
      <c r="B283" s="3" t="s">
        <v>1893</v>
      </c>
      <c r="C283" s="23"/>
      <c r="AA283" s="83"/>
      <c r="AB283" s="8"/>
      <c r="AN283" s="83"/>
      <c r="AO283" s="8"/>
      <c r="AP283" s="24">
        <v>0</v>
      </c>
      <c r="AQ283" s="24">
        <v>0</v>
      </c>
      <c r="AR283" s="24">
        <v>0</v>
      </c>
      <c r="AS283" s="24">
        <v>0</v>
      </c>
      <c r="AT283" s="24">
        <v>0</v>
      </c>
      <c r="AU283" s="24">
        <v>0</v>
      </c>
      <c r="AV283" s="24">
        <v>0</v>
      </c>
      <c r="AW283" s="24">
        <v>0</v>
      </c>
      <c r="AX283" s="24">
        <v>0</v>
      </c>
      <c r="AY283" s="24">
        <v>0</v>
      </c>
      <c r="AZ283" s="24">
        <v>0</v>
      </c>
      <c r="BA283" s="83">
        <v>106.53</v>
      </c>
      <c r="BB283" s="8">
        <f>SUM(AP283:BA283)</f>
        <v>106.53</v>
      </c>
      <c r="BC283" s="24">
        <v>0</v>
      </c>
      <c r="BD283" s="24">
        <v>0</v>
      </c>
      <c r="BE283" s="24">
        <v>0</v>
      </c>
      <c r="BF283" s="24">
        <v>0</v>
      </c>
      <c r="BG283" s="24">
        <v>0</v>
      </c>
      <c r="BH283" s="24">
        <v>0</v>
      </c>
      <c r="BI283" s="24">
        <v>0</v>
      </c>
      <c r="BJ283" s="24"/>
      <c r="BK283" s="24"/>
      <c r="BL283" s="24"/>
      <c r="BM283" s="24"/>
      <c r="BN283" s="83"/>
      <c r="BO283" s="8">
        <f>SUM(BC283:BN283)</f>
        <v>0</v>
      </c>
    </row>
    <row r="284" spans="2:67" x14ac:dyDescent="0.2">
      <c r="B284" s="3" t="s">
        <v>1435</v>
      </c>
      <c r="C284" s="23"/>
      <c r="H284" s="24">
        <v>6489</v>
      </c>
      <c r="I284" s="24">
        <v>0</v>
      </c>
      <c r="J284" s="24">
        <v>0</v>
      </c>
      <c r="K284" s="24">
        <v>0</v>
      </c>
      <c r="L284" s="24">
        <v>3311.87</v>
      </c>
      <c r="M284" s="24">
        <v>72.37</v>
      </c>
      <c r="N284" s="24">
        <v>0</v>
      </c>
      <c r="O284" s="24">
        <f>SUBTOTAL(9,C284:N284)</f>
        <v>9873.24</v>
      </c>
      <c r="P284" s="24">
        <v>0</v>
      </c>
      <c r="Q284" s="24">
        <v>0</v>
      </c>
      <c r="R284" s="24">
        <v>0</v>
      </c>
      <c r="S284" s="24">
        <v>0</v>
      </c>
      <c r="T284" s="24">
        <v>0</v>
      </c>
      <c r="U284" s="24">
        <v>0</v>
      </c>
      <c r="V284" s="24">
        <v>0</v>
      </c>
      <c r="W284" s="20">
        <v>0</v>
      </c>
      <c r="X284" s="20">
        <v>0</v>
      </c>
      <c r="Y284" s="83">
        <v>0</v>
      </c>
      <c r="Z284" s="83">
        <v>0</v>
      </c>
      <c r="AA284" s="83">
        <v>0</v>
      </c>
      <c r="AB284" s="8">
        <f>SUM(P284:AA284)</f>
        <v>0</v>
      </c>
      <c r="AC284" s="24">
        <v>0</v>
      </c>
      <c r="AD284" s="24">
        <v>0</v>
      </c>
      <c r="AE284" s="24">
        <v>0</v>
      </c>
      <c r="AF284" s="24">
        <v>0</v>
      </c>
      <c r="AG284" s="24">
        <v>0</v>
      </c>
      <c r="AH284" s="24">
        <v>0</v>
      </c>
      <c r="AI284" s="24">
        <v>0</v>
      </c>
      <c r="AJ284" s="20">
        <v>0</v>
      </c>
      <c r="AK284" s="20">
        <v>0</v>
      </c>
      <c r="AL284" s="83">
        <v>0</v>
      </c>
      <c r="AM284" s="83">
        <v>0</v>
      </c>
      <c r="AN284" s="83">
        <v>0</v>
      </c>
      <c r="AO284" s="8">
        <f>SUM(AC284:AN284)</f>
        <v>0</v>
      </c>
      <c r="AP284" s="24">
        <v>0</v>
      </c>
      <c r="AQ284" s="24">
        <v>0</v>
      </c>
      <c r="AR284" s="24">
        <v>0</v>
      </c>
      <c r="AS284" s="24">
        <v>0</v>
      </c>
      <c r="AT284" s="24">
        <v>0</v>
      </c>
      <c r="AU284" s="24">
        <v>0</v>
      </c>
      <c r="AV284" s="24">
        <v>0</v>
      </c>
      <c r="AW284" s="20">
        <v>0</v>
      </c>
      <c r="AX284" s="20">
        <v>0</v>
      </c>
      <c r="AY284" s="83">
        <v>0</v>
      </c>
      <c r="AZ284" s="83">
        <v>0</v>
      </c>
      <c r="BA284" s="83">
        <v>0</v>
      </c>
      <c r="BB284" s="8">
        <f>SUM(AP284:BA284)</f>
        <v>0</v>
      </c>
      <c r="BC284" s="24">
        <v>0</v>
      </c>
      <c r="BD284" s="24">
        <v>0</v>
      </c>
      <c r="BE284" s="24">
        <v>0</v>
      </c>
      <c r="BF284" s="24">
        <v>0</v>
      </c>
      <c r="BG284" s="24">
        <v>0</v>
      </c>
      <c r="BH284" s="24">
        <v>0</v>
      </c>
      <c r="BI284" s="24">
        <v>0</v>
      </c>
      <c r="BN284" s="83"/>
      <c r="BO284" s="8">
        <f>SUM(BC284:BN284)</f>
        <v>0</v>
      </c>
    </row>
    <row r="285" spans="2:67" x14ac:dyDescent="0.2">
      <c r="B285" s="3" t="s">
        <v>1525</v>
      </c>
      <c r="C285" s="23"/>
      <c r="K285" s="24">
        <v>835.02</v>
      </c>
      <c r="L285" s="24">
        <v>-835.02</v>
      </c>
      <c r="M285" s="24">
        <v>0</v>
      </c>
      <c r="N285" s="24">
        <v>0</v>
      </c>
      <c r="O285" s="24">
        <f>SUBTOTAL(9,C285:N285)</f>
        <v>0</v>
      </c>
      <c r="P285" s="24">
        <v>0</v>
      </c>
      <c r="Q285" s="24">
        <v>0</v>
      </c>
      <c r="R285" s="24">
        <v>0</v>
      </c>
      <c r="S285" s="24">
        <v>0</v>
      </c>
      <c r="T285" s="24">
        <v>0</v>
      </c>
      <c r="U285" s="24">
        <v>0</v>
      </c>
      <c r="V285" s="24">
        <v>0</v>
      </c>
      <c r="W285" s="20">
        <v>0</v>
      </c>
      <c r="X285" s="20">
        <v>0</v>
      </c>
      <c r="Y285" s="83">
        <v>0</v>
      </c>
      <c r="Z285" s="83">
        <v>0</v>
      </c>
      <c r="AA285" s="83">
        <v>0</v>
      </c>
      <c r="AB285" s="8">
        <f>SUM(P285:AA285)</f>
        <v>0</v>
      </c>
      <c r="AC285" s="24">
        <v>0</v>
      </c>
      <c r="AD285" s="24">
        <v>0</v>
      </c>
      <c r="AE285" s="24">
        <v>0</v>
      </c>
      <c r="AF285" s="24">
        <v>0</v>
      </c>
      <c r="AG285" s="24">
        <v>0</v>
      </c>
      <c r="AH285" s="24">
        <v>0</v>
      </c>
      <c r="AI285" s="24">
        <v>0</v>
      </c>
      <c r="AJ285" s="20">
        <v>0</v>
      </c>
      <c r="AK285" s="20">
        <v>0</v>
      </c>
      <c r="AL285" s="83">
        <v>0</v>
      </c>
      <c r="AM285" s="83">
        <v>0</v>
      </c>
      <c r="AN285" s="83">
        <v>0</v>
      </c>
      <c r="AO285" s="8">
        <f>SUM(AC285:AN285)</f>
        <v>0</v>
      </c>
      <c r="AP285" s="24">
        <v>0</v>
      </c>
      <c r="AQ285" s="24">
        <v>0</v>
      </c>
      <c r="AR285" s="24">
        <v>0</v>
      </c>
      <c r="AS285" s="24">
        <v>0</v>
      </c>
      <c r="AT285" s="24">
        <v>0</v>
      </c>
      <c r="AU285" s="24">
        <v>0</v>
      </c>
      <c r="AV285" s="24">
        <v>0</v>
      </c>
      <c r="AW285" s="20">
        <v>0</v>
      </c>
      <c r="AX285" s="20">
        <v>0</v>
      </c>
      <c r="AY285" s="83">
        <v>0</v>
      </c>
      <c r="AZ285" s="83">
        <v>0</v>
      </c>
      <c r="BA285" s="83">
        <v>0</v>
      </c>
      <c r="BB285" s="8">
        <f t="shared" si="189"/>
        <v>0</v>
      </c>
      <c r="BC285" s="24">
        <v>0</v>
      </c>
      <c r="BD285" s="24">
        <v>0</v>
      </c>
      <c r="BE285" s="24">
        <v>0</v>
      </c>
      <c r="BF285" s="24">
        <v>0</v>
      </c>
      <c r="BG285" s="24">
        <v>0</v>
      </c>
      <c r="BH285" s="24">
        <v>0</v>
      </c>
      <c r="BI285" s="24">
        <v>0</v>
      </c>
      <c r="BN285" s="83"/>
      <c r="BO285" s="8">
        <f t="shared" ref="BO285" si="191">SUM(BC285:BN285)</f>
        <v>0</v>
      </c>
    </row>
    <row r="286" spans="2:67" x14ac:dyDescent="0.2">
      <c r="B286" s="6" t="s">
        <v>1823</v>
      </c>
      <c r="C286" s="7">
        <f t="shared" ref="C286:N286" si="192">SUM(C277:C285)</f>
        <v>907.21</v>
      </c>
      <c r="D286" s="7">
        <f t="shared" si="192"/>
        <v>527.99</v>
      </c>
      <c r="E286" s="7">
        <f t="shared" si="192"/>
        <v>6775.66</v>
      </c>
      <c r="F286" s="7">
        <f t="shared" si="192"/>
        <v>2303.15</v>
      </c>
      <c r="G286" s="7">
        <f t="shared" si="192"/>
        <v>2007.58</v>
      </c>
      <c r="H286" s="7">
        <f t="shared" si="192"/>
        <v>15356.92</v>
      </c>
      <c r="I286" s="7">
        <f t="shared" si="192"/>
        <v>18032.93</v>
      </c>
      <c r="J286" s="7">
        <f t="shared" si="192"/>
        <v>4971.71</v>
      </c>
      <c r="K286" s="7">
        <f t="shared" si="192"/>
        <v>10694</v>
      </c>
      <c r="L286" s="7">
        <f t="shared" si="192"/>
        <v>7303.51</v>
      </c>
      <c r="M286" s="7">
        <f t="shared" si="192"/>
        <v>1258.3699999999999</v>
      </c>
      <c r="N286" s="7">
        <f t="shared" si="192"/>
        <v>2012.42</v>
      </c>
      <c r="O286" s="7">
        <f>SUM(C286:N286)</f>
        <v>72151.45</v>
      </c>
      <c r="P286" s="7">
        <f t="shared" ref="P286:AT286" si="193">SUM(P277:P285)</f>
        <v>695.47</v>
      </c>
      <c r="Q286" s="7">
        <f t="shared" si="193"/>
        <v>1914.98</v>
      </c>
      <c r="R286" s="7">
        <f t="shared" si="193"/>
        <v>1862.96</v>
      </c>
      <c r="S286" s="7">
        <f t="shared" si="193"/>
        <v>4222.18</v>
      </c>
      <c r="T286" s="7">
        <f t="shared" si="193"/>
        <v>477.65999999999997</v>
      </c>
      <c r="U286" s="7">
        <f t="shared" si="193"/>
        <v>2566.04</v>
      </c>
      <c r="V286" s="7">
        <f t="shared" si="193"/>
        <v>38589.15</v>
      </c>
      <c r="W286" s="63">
        <f t="shared" si="193"/>
        <v>11510.96</v>
      </c>
      <c r="X286" s="63">
        <f t="shared" si="193"/>
        <v>6642.82</v>
      </c>
      <c r="Y286" s="63">
        <f t="shared" si="193"/>
        <v>9497.3900000000012</v>
      </c>
      <c r="Z286" s="63">
        <f t="shared" si="193"/>
        <v>3562.5099999999998</v>
      </c>
      <c r="AA286" s="63">
        <f t="shared" si="193"/>
        <v>4071.0099999999998</v>
      </c>
      <c r="AB286" s="63">
        <f t="shared" si="193"/>
        <v>85613.12999999999</v>
      </c>
      <c r="AC286" s="63">
        <f t="shared" si="193"/>
        <v>94.51</v>
      </c>
      <c r="AD286" s="63">
        <f t="shared" si="193"/>
        <v>4121.8</v>
      </c>
      <c r="AE286" s="63">
        <f t="shared" si="193"/>
        <v>3040.72</v>
      </c>
      <c r="AF286" s="63">
        <f t="shared" si="193"/>
        <v>1740.1499999999999</v>
      </c>
      <c r="AG286" s="63">
        <f t="shared" si="193"/>
        <v>2603.3200000000002</v>
      </c>
      <c r="AH286" s="63">
        <f t="shared" si="193"/>
        <v>7453.5</v>
      </c>
      <c r="AI286" s="63">
        <f t="shared" si="193"/>
        <v>5385.6100000000006</v>
      </c>
      <c r="AJ286" s="63">
        <f t="shared" si="193"/>
        <v>33721.230000000003</v>
      </c>
      <c r="AK286" s="63">
        <f t="shared" si="193"/>
        <v>3231.9999999999995</v>
      </c>
      <c r="AL286" s="63">
        <f t="shared" si="193"/>
        <v>5611.1600000000008</v>
      </c>
      <c r="AM286" s="63">
        <f t="shared" si="193"/>
        <v>2077.7200000000003</v>
      </c>
      <c r="AN286" s="63">
        <f t="shared" si="193"/>
        <v>6649.9100000000008</v>
      </c>
      <c r="AO286" s="63">
        <f t="shared" si="193"/>
        <v>75731.63</v>
      </c>
      <c r="AP286" s="63">
        <f t="shared" si="193"/>
        <v>140.71</v>
      </c>
      <c r="AQ286" s="63">
        <f t="shared" si="193"/>
        <v>1183.5899999999999</v>
      </c>
      <c r="AR286" s="63">
        <f t="shared" si="193"/>
        <v>1844.8600000000001</v>
      </c>
      <c r="AS286" s="63">
        <f t="shared" si="193"/>
        <v>1587.63</v>
      </c>
      <c r="AT286" s="63">
        <f t="shared" si="193"/>
        <v>2032.3199999999997</v>
      </c>
      <c r="AU286" s="63">
        <f t="shared" ref="AU286:BA286" si="194">SUM(AU277:AU285)</f>
        <v>1985.9799999999998</v>
      </c>
      <c r="AV286" s="63">
        <f t="shared" si="194"/>
        <v>12075.3</v>
      </c>
      <c r="AW286" s="63">
        <f t="shared" si="194"/>
        <v>2143.16</v>
      </c>
      <c r="AX286" s="63">
        <f t="shared" si="194"/>
        <v>1652.3300000000002</v>
      </c>
      <c r="AY286" s="63">
        <f t="shared" si="194"/>
        <v>3399.93</v>
      </c>
      <c r="AZ286" s="63">
        <f t="shared" si="194"/>
        <v>2581.8200000000002</v>
      </c>
      <c r="BA286" s="63">
        <f t="shared" si="194"/>
        <v>978.08999999999992</v>
      </c>
      <c r="BB286" s="63">
        <f>SUM(BB277:BB285)</f>
        <v>31605.719999999994</v>
      </c>
      <c r="BC286" s="63">
        <f t="shared" ref="BC286:BO286" si="195">SUM(BC277:BC285)</f>
        <v>19.07</v>
      </c>
      <c r="BD286" s="63">
        <f t="shared" si="195"/>
        <v>217.59</v>
      </c>
      <c r="BE286" s="63">
        <f t="shared" si="195"/>
        <v>139.52000000000001</v>
      </c>
      <c r="BF286" s="63">
        <f t="shared" si="195"/>
        <v>148.11000000000001</v>
      </c>
      <c r="BG286" s="63">
        <f t="shared" si="195"/>
        <v>406.27</v>
      </c>
      <c r="BH286" s="63">
        <f t="shared" si="195"/>
        <v>538.13</v>
      </c>
      <c r="BI286" s="63">
        <f t="shared" si="195"/>
        <v>1290.53</v>
      </c>
      <c r="BJ286" s="63">
        <f t="shared" si="195"/>
        <v>0</v>
      </c>
      <c r="BK286" s="63">
        <f t="shared" si="195"/>
        <v>0</v>
      </c>
      <c r="BL286" s="63">
        <f t="shared" si="195"/>
        <v>0</v>
      </c>
      <c r="BM286" s="63">
        <f t="shared" si="195"/>
        <v>0</v>
      </c>
      <c r="BN286" s="63">
        <f t="shared" si="195"/>
        <v>0</v>
      </c>
      <c r="BO286" s="63">
        <f t="shared" si="195"/>
        <v>2759.22</v>
      </c>
    </row>
    <row r="287" spans="2:67" x14ac:dyDescent="0.2">
      <c r="B287" s="3" t="s">
        <v>394</v>
      </c>
      <c r="C287" s="23">
        <v>1534.08</v>
      </c>
      <c r="D287" s="24">
        <v>1177.1400000000001</v>
      </c>
      <c r="E287" s="24">
        <v>3123.54</v>
      </c>
      <c r="F287" s="24">
        <v>1891.9</v>
      </c>
      <c r="G287" s="24">
        <v>936.99</v>
      </c>
      <c r="H287" s="24">
        <v>4318.04</v>
      </c>
      <c r="I287" s="24">
        <v>4361.8</v>
      </c>
      <c r="J287" s="24">
        <v>1447.75</v>
      </c>
      <c r="K287" s="24">
        <v>1661.45</v>
      </c>
      <c r="L287" s="24">
        <v>5024.95</v>
      </c>
      <c r="M287" s="24">
        <v>3546.7</v>
      </c>
      <c r="N287" s="24">
        <v>3949.34</v>
      </c>
      <c r="O287" s="24">
        <f>SUBTOTAL(9,C287:N287)</f>
        <v>32973.68</v>
      </c>
      <c r="P287" s="24">
        <v>1129.25</v>
      </c>
      <c r="Q287" s="24">
        <v>2081.6999999999998</v>
      </c>
      <c r="R287" s="24">
        <v>3128.76</v>
      </c>
      <c r="S287" s="24">
        <v>3143.45</v>
      </c>
      <c r="T287" s="24">
        <v>-1403.04</v>
      </c>
      <c r="U287" s="24">
        <v>5603.95</v>
      </c>
      <c r="V287" s="24">
        <v>4155.99</v>
      </c>
      <c r="W287" s="20">
        <v>789.98</v>
      </c>
      <c r="X287" s="20">
        <v>5530.26</v>
      </c>
      <c r="Y287" s="83">
        <v>916.32</v>
      </c>
      <c r="Z287" s="83">
        <v>3231.43</v>
      </c>
      <c r="AA287" s="83">
        <v>5375.8</v>
      </c>
      <c r="AB287" s="8">
        <f>SUM(P287:AA287)</f>
        <v>33683.85</v>
      </c>
      <c r="AC287" s="24">
        <v>5304.15</v>
      </c>
      <c r="AD287" s="24">
        <v>-5846.77</v>
      </c>
      <c r="AE287" s="24">
        <v>5554.63</v>
      </c>
      <c r="AF287" s="24">
        <v>4626.3100000000004</v>
      </c>
      <c r="AG287" s="24">
        <v>2014.81</v>
      </c>
      <c r="AH287" s="24">
        <v>4387.17</v>
      </c>
      <c r="AI287" s="24">
        <v>-1801.27</v>
      </c>
      <c r="AJ287" s="20">
        <v>536.89</v>
      </c>
      <c r="AK287" s="20">
        <v>1349.81</v>
      </c>
      <c r="AL287" s="83">
        <v>4728.72</v>
      </c>
      <c r="AM287" s="83">
        <v>1561.43</v>
      </c>
      <c r="AN287" s="83">
        <v>2218.75</v>
      </c>
      <c r="AO287" s="8">
        <f>SUM(AC287:AN287)</f>
        <v>24634.629999999997</v>
      </c>
      <c r="AP287" s="24">
        <v>3715.3</v>
      </c>
      <c r="AQ287" s="24">
        <v>3030.72</v>
      </c>
      <c r="AR287" s="24">
        <f>VLOOKUP(B287,'[1]Sheet1 (2)'!$B$2:$C$397,2,0)</f>
        <v>1883.74</v>
      </c>
      <c r="AS287" s="24">
        <f>VLOOKUP(B287,'[2]Sheet1 (2)'!$B$2:$C$404,2,0)</f>
        <v>-2076.66</v>
      </c>
      <c r="AT287" s="24">
        <v>1122.0899999999999</v>
      </c>
      <c r="AU287" s="24">
        <v>786.84</v>
      </c>
      <c r="AV287" s="24">
        <v>779.52</v>
      </c>
      <c r="AW287" s="20">
        <v>890.89</v>
      </c>
      <c r="AX287" s="20">
        <v>4448.3900000000003</v>
      </c>
      <c r="AY287" s="83">
        <v>2378.58</v>
      </c>
      <c r="AZ287" s="83">
        <v>1542.72</v>
      </c>
      <c r="BA287" s="83">
        <v>5501.69</v>
      </c>
      <c r="BB287" s="8">
        <f>SUM(AP287:BA287)</f>
        <v>24003.820000000003</v>
      </c>
      <c r="BC287" s="24">
        <v>2108.09</v>
      </c>
      <c r="BD287" s="24">
        <v>2262.91</v>
      </c>
      <c r="BE287" s="24">
        <v>4795.8500000000004</v>
      </c>
      <c r="BF287" s="24">
        <v>2284.73</v>
      </c>
      <c r="BG287" s="24">
        <v>1562.81</v>
      </c>
      <c r="BH287" s="24">
        <v>1679.81</v>
      </c>
      <c r="BI287" s="24">
        <v>3603.32</v>
      </c>
      <c r="BN287" s="83"/>
      <c r="BO287" s="8">
        <f>SUM(BC287:BN287)</f>
        <v>18297.52</v>
      </c>
    </row>
    <row r="288" spans="2:67" x14ac:dyDescent="0.2">
      <c r="B288" s="3" t="s">
        <v>395</v>
      </c>
      <c r="C288" s="23">
        <v>2034.12</v>
      </c>
      <c r="D288" s="24">
        <v>2530.61</v>
      </c>
      <c r="E288" s="24">
        <v>0</v>
      </c>
      <c r="F288" s="24">
        <v>3874.49</v>
      </c>
      <c r="G288" s="24">
        <v>190.36</v>
      </c>
      <c r="H288" s="24">
        <v>3431.07</v>
      </c>
      <c r="I288" s="24">
        <v>1804.2</v>
      </c>
      <c r="J288" s="24">
        <v>1810.09</v>
      </c>
      <c r="K288" s="24">
        <v>1889.43</v>
      </c>
      <c r="L288" s="24">
        <v>2151.81</v>
      </c>
      <c r="M288" s="24">
        <v>1706.48</v>
      </c>
      <c r="N288" s="24">
        <v>1813.09</v>
      </c>
      <c r="O288" s="24">
        <f>SUBTOTAL(9,C288:N288)</f>
        <v>23235.75</v>
      </c>
      <c r="P288" s="24">
        <v>1941.3</v>
      </c>
      <c r="Q288" s="24">
        <v>2568.85</v>
      </c>
      <c r="R288" s="24">
        <v>1876.61</v>
      </c>
      <c r="S288" s="24">
        <v>1852.43</v>
      </c>
      <c r="T288" s="24">
        <v>1678.73</v>
      </c>
      <c r="U288" s="24">
        <v>1859.14</v>
      </c>
      <c r="V288" s="24">
        <v>1464.56</v>
      </c>
      <c r="W288" s="20">
        <v>2332.14</v>
      </c>
      <c r="X288" s="20">
        <v>2388.7600000000002</v>
      </c>
      <c r="Y288" s="83">
        <v>1779.79</v>
      </c>
      <c r="Z288" s="83">
        <v>2180.6999999999998</v>
      </c>
      <c r="AA288" s="83">
        <v>1941.67</v>
      </c>
      <c r="AB288" s="8">
        <f>SUM(P288:AA288)</f>
        <v>23864.68</v>
      </c>
      <c r="AC288" s="24">
        <v>1675.41</v>
      </c>
      <c r="AD288" s="24">
        <v>1899.12</v>
      </c>
      <c r="AE288" s="24">
        <v>1755.93</v>
      </c>
      <c r="AF288" s="24">
        <v>1968.27</v>
      </c>
      <c r="AG288" s="24">
        <v>1647.17</v>
      </c>
      <c r="AH288" s="24">
        <v>1720.13</v>
      </c>
      <c r="AI288" s="24">
        <v>2170.0500000000002</v>
      </c>
      <c r="AJ288" s="20">
        <v>2147.88</v>
      </c>
      <c r="AK288" s="20">
        <v>2293.59</v>
      </c>
      <c r="AL288" s="83">
        <v>2311.5100000000002</v>
      </c>
      <c r="AM288" s="83">
        <v>2918.71</v>
      </c>
      <c r="AN288" s="83">
        <v>5977.77</v>
      </c>
      <c r="AO288" s="8">
        <f>SUM(AC288:AN288)</f>
        <v>28485.539999999997</v>
      </c>
      <c r="AP288" s="24">
        <v>0</v>
      </c>
      <c r="AQ288" s="24">
        <v>1746.96</v>
      </c>
      <c r="AR288" s="24">
        <f>VLOOKUP(B288,'[1]Sheet1 (2)'!$B$2:$C$397,2,0)</f>
        <v>2424.37</v>
      </c>
      <c r="AS288" s="24">
        <f>VLOOKUP(B288,'[2]Sheet1 (2)'!$B$2:$C$404,2,0)</f>
        <v>2524.31</v>
      </c>
      <c r="AT288" s="24">
        <v>1941.08</v>
      </c>
      <c r="AU288" s="24">
        <v>1300.1199999999999</v>
      </c>
      <c r="AV288" s="24">
        <v>1322.67</v>
      </c>
      <c r="AW288" s="20">
        <v>1343.46</v>
      </c>
      <c r="AX288" s="20">
        <v>1379.17</v>
      </c>
      <c r="AY288" s="83">
        <v>1329.37</v>
      </c>
      <c r="AZ288" s="83">
        <v>1303.8900000000001</v>
      </c>
      <c r="BA288" s="83">
        <v>1313.77</v>
      </c>
      <c r="BB288" s="8">
        <f>SUM(AP288:BA288)</f>
        <v>17929.170000000002</v>
      </c>
      <c r="BC288" s="24">
        <v>3213.09</v>
      </c>
      <c r="BD288" s="24">
        <v>-620.37</v>
      </c>
      <c r="BE288" s="24">
        <v>1245.23</v>
      </c>
      <c r="BF288" s="24">
        <v>3097.74</v>
      </c>
      <c r="BG288" s="24">
        <v>1264.4000000000001</v>
      </c>
      <c r="BH288" s="24">
        <v>660.56</v>
      </c>
      <c r="BI288" s="24">
        <v>1399.09</v>
      </c>
      <c r="BN288" s="83"/>
      <c r="BO288" s="8">
        <f>SUM(BC288:BN288)</f>
        <v>10259.74</v>
      </c>
    </row>
    <row r="289" spans="2:67" s="18" customFormat="1" x14ac:dyDescent="0.2">
      <c r="B289" s="18" t="s">
        <v>1820</v>
      </c>
      <c r="C289" s="79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6"/>
      <c r="X289" s="76"/>
      <c r="Y289" s="91"/>
      <c r="Z289" s="83"/>
      <c r="AA289" s="83"/>
      <c r="AB289" s="78"/>
      <c r="AC289" s="24">
        <v>0</v>
      </c>
      <c r="AD289" s="24">
        <v>0</v>
      </c>
      <c r="AE289" s="24">
        <v>306.48</v>
      </c>
      <c r="AF289" s="24">
        <v>0</v>
      </c>
      <c r="AG289" s="24">
        <v>0</v>
      </c>
      <c r="AH289" s="24">
        <v>45.52</v>
      </c>
      <c r="AI289" s="24">
        <v>0</v>
      </c>
      <c r="AJ289" s="20">
        <v>0</v>
      </c>
      <c r="AK289" s="20">
        <v>0</v>
      </c>
      <c r="AL289" s="83">
        <v>0</v>
      </c>
      <c r="AM289" s="83">
        <v>79.2</v>
      </c>
      <c r="AN289" s="83">
        <v>0</v>
      </c>
      <c r="AO289" s="8">
        <f>SUM(AC289:AN289)</f>
        <v>431.2</v>
      </c>
      <c r="AP289" s="24">
        <v>214.97</v>
      </c>
      <c r="AQ289" s="24">
        <v>220.26</v>
      </c>
      <c r="AR289" s="24">
        <f>VLOOKUP(B289,'[1]Sheet1 (2)'!$B$2:$C$397,2,0)</f>
        <v>152.53</v>
      </c>
      <c r="AS289" s="24">
        <f>VLOOKUP(B289,'[2]Sheet1 (2)'!$B$2:$C$404,2,0)</f>
        <v>71.31</v>
      </c>
      <c r="AT289" s="24">
        <v>0</v>
      </c>
      <c r="AU289" s="24">
        <v>0</v>
      </c>
      <c r="AV289" s="24">
        <v>0</v>
      </c>
      <c r="AW289" s="20">
        <v>0</v>
      </c>
      <c r="AX289" s="20">
        <v>0</v>
      </c>
      <c r="AY289" s="83">
        <v>0</v>
      </c>
      <c r="AZ289" s="83">
        <v>0</v>
      </c>
      <c r="BA289" s="83">
        <v>0</v>
      </c>
      <c r="BB289" s="8">
        <f>SUM(AP289:BA289)</f>
        <v>659.06999999999994</v>
      </c>
      <c r="BC289" s="24">
        <v>0</v>
      </c>
      <c r="BD289" s="24">
        <v>65.569999999999993</v>
      </c>
      <c r="BE289" s="24">
        <v>201</v>
      </c>
      <c r="BF289" s="24">
        <v>0</v>
      </c>
      <c r="BG289" s="24">
        <v>0</v>
      </c>
      <c r="BH289" s="24">
        <v>0</v>
      </c>
      <c r="BI289" s="24">
        <v>0</v>
      </c>
      <c r="BJ289" s="20"/>
      <c r="BK289" s="20"/>
      <c r="BL289" s="83"/>
      <c r="BM289" s="83"/>
      <c r="BN289" s="83"/>
      <c r="BO289" s="8">
        <f>SUM(BC289:BN289)</f>
        <v>266.57</v>
      </c>
    </row>
    <row r="290" spans="2:67" x14ac:dyDescent="0.2">
      <c r="B290" s="6" t="s">
        <v>1558</v>
      </c>
      <c r="C290" s="7">
        <f t="shared" ref="C290:N290" si="196">SUM(C287:C288)</f>
        <v>3568.2</v>
      </c>
      <c r="D290" s="7">
        <f t="shared" si="196"/>
        <v>3707.75</v>
      </c>
      <c r="E290" s="7">
        <f t="shared" si="196"/>
        <v>3123.54</v>
      </c>
      <c r="F290" s="7">
        <f t="shared" si="196"/>
        <v>5766.3899999999994</v>
      </c>
      <c r="G290" s="7">
        <f t="shared" si="196"/>
        <v>1127.3499999999999</v>
      </c>
      <c r="H290" s="7">
        <f t="shared" si="196"/>
        <v>7749.1100000000006</v>
      </c>
      <c r="I290" s="7">
        <f t="shared" si="196"/>
        <v>6166</v>
      </c>
      <c r="J290" s="7">
        <f t="shared" si="196"/>
        <v>3257.84</v>
      </c>
      <c r="K290" s="7">
        <f t="shared" si="196"/>
        <v>3550.88</v>
      </c>
      <c r="L290" s="7">
        <f t="shared" si="196"/>
        <v>7176.76</v>
      </c>
      <c r="M290" s="7">
        <f t="shared" si="196"/>
        <v>5253.18</v>
      </c>
      <c r="N290" s="7">
        <f t="shared" si="196"/>
        <v>5762.43</v>
      </c>
      <c r="O290" s="7">
        <f>SUM(C290:N290)</f>
        <v>56209.43</v>
      </c>
      <c r="P290" s="7">
        <f t="shared" ref="P290:AB290" si="197">SUM(P287:P288)</f>
        <v>3070.55</v>
      </c>
      <c r="Q290" s="7">
        <f t="shared" si="197"/>
        <v>4650.5499999999993</v>
      </c>
      <c r="R290" s="7">
        <f t="shared" si="197"/>
        <v>5005.37</v>
      </c>
      <c r="S290" s="7">
        <f t="shared" si="197"/>
        <v>4995.88</v>
      </c>
      <c r="T290" s="7">
        <f t="shared" si="197"/>
        <v>275.69000000000005</v>
      </c>
      <c r="U290" s="7">
        <f t="shared" si="197"/>
        <v>7463.09</v>
      </c>
      <c r="V290" s="7">
        <f t="shared" si="197"/>
        <v>5620.5499999999993</v>
      </c>
      <c r="W290" s="63">
        <f t="shared" si="197"/>
        <v>3122.12</v>
      </c>
      <c r="X290" s="63">
        <f t="shared" si="197"/>
        <v>7919.02</v>
      </c>
      <c r="Y290" s="63">
        <f t="shared" si="197"/>
        <v>2696.11</v>
      </c>
      <c r="Z290" s="63">
        <f t="shared" si="197"/>
        <v>5412.1299999999992</v>
      </c>
      <c r="AA290" s="63">
        <f t="shared" si="197"/>
        <v>7317.47</v>
      </c>
      <c r="AB290" s="63">
        <f t="shared" si="197"/>
        <v>57548.53</v>
      </c>
      <c r="AC290" s="63">
        <f t="shared" ref="AC290:AT290" si="198">SUM(AC287:AC289)</f>
        <v>6979.5599999999995</v>
      </c>
      <c r="AD290" s="63">
        <f t="shared" si="198"/>
        <v>-3947.6500000000005</v>
      </c>
      <c r="AE290" s="63">
        <f t="shared" si="198"/>
        <v>7617.0400000000009</v>
      </c>
      <c r="AF290" s="63">
        <f t="shared" si="198"/>
        <v>6594.58</v>
      </c>
      <c r="AG290" s="63">
        <f t="shared" si="198"/>
        <v>3661.98</v>
      </c>
      <c r="AH290" s="63">
        <f t="shared" si="198"/>
        <v>6152.8200000000006</v>
      </c>
      <c r="AI290" s="63">
        <f t="shared" si="198"/>
        <v>368.7800000000002</v>
      </c>
      <c r="AJ290" s="63">
        <f t="shared" si="198"/>
        <v>2684.77</v>
      </c>
      <c r="AK290" s="63">
        <f t="shared" si="198"/>
        <v>3643.4</v>
      </c>
      <c r="AL290" s="63">
        <f t="shared" si="198"/>
        <v>7040.2300000000005</v>
      </c>
      <c r="AM290" s="63">
        <f t="shared" si="198"/>
        <v>4559.34</v>
      </c>
      <c r="AN290" s="63">
        <f t="shared" si="198"/>
        <v>8196.52</v>
      </c>
      <c r="AO290" s="63">
        <f t="shared" si="198"/>
        <v>53551.369999999995</v>
      </c>
      <c r="AP290" s="63">
        <f t="shared" si="198"/>
        <v>3930.27</v>
      </c>
      <c r="AQ290" s="63">
        <f t="shared" si="198"/>
        <v>4997.9400000000005</v>
      </c>
      <c r="AR290" s="63">
        <f t="shared" si="198"/>
        <v>4460.6399999999994</v>
      </c>
      <c r="AS290" s="63">
        <f t="shared" si="198"/>
        <v>518.96</v>
      </c>
      <c r="AT290" s="63">
        <f t="shared" si="198"/>
        <v>3063.17</v>
      </c>
      <c r="AU290" s="63">
        <f t="shared" ref="AU290:BO290" si="199">SUM(AU287:AU289)</f>
        <v>2086.96</v>
      </c>
      <c r="AV290" s="63">
        <f t="shared" si="199"/>
        <v>2102.19</v>
      </c>
      <c r="AW290" s="63">
        <f t="shared" si="199"/>
        <v>2234.35</v>
      </c>
      <c r="AX290" s="63">
        <f t="shared" si="199"/>
        <v>5827.56</v>
      </c>
      <c r="AY290" s="63">
        <f t="shared" si="199"/>
        <v>3707.95</v>
      </c>
      <c r="AZ290" s="63">
        <f t="shared" si="199"/>
        <v>2846.61</v>
      </c>
      <c r="BA290" s="63">
        <f t="shared" si="199"/>
        <v>6815.4599999999991</v>
      </c>
      <c r="BB290" s="63">
        <f t="shared" si="199"/>
        <v>42592.060000000005</v>
      </c>
      <c r="BC290" s="63">
        <f t="shared" si="199"/>
        <v>5321.18</v>
      </c>
      <c r="BD290" s="63">
        <f t="shared" si="199"/>
        <v>1708.11</v>
      </c>
      <c r="BE290" s="63">
        <f t="shared" si="199"/>
        <v>6242.08</v>
      </c>
      <c r="BF290" s="63">
        <f t="shared" si="199"/>
        <v>5382.4699999999993</v>
      </c>
      <c r="BG290" s="63">
        <f t="shared" si="199"/>
        <v>2827.21</v>
      </c>
      <c r="BH290" s="63">
        <f t="shared" si="199"/>
        <v>2340.37</v>
      </c>
      <c r="BI290" s="63">
        <f t="shared" si="199"/>
        <v>5002.41</v>
      </c>
      <c r="BJ290" s="63">
        <f t="shared" si="199"/>
        <v>0</v>
      </c>
      <c r="BK290" s="63">
        <f t="shared" si="199"/>
        <v>0</v>
      </c>
      <c r="BL290" s="63">
        <f t="shared" si="199"/>
        <v>0</v>
      </c>
      <c r="BM290" s="63">
        <f t="shared" si="199"/>
        <v>0</v>
      </c>
      <c r="BN290" s="63">
        <f t="shared" si="199"/>
        <v>0</v>
      </c>
      <c r="BO290" s="63">
        <f t="shared" si="199"/>
        <v>28823.83</v>
      </c>
    </row>
    <row r="291" spans="2:67" x14ac:dyDescent="0.2">
      <c r="B291" s="3" t="s">
        <v>583</v>
      </c>
      <c r="C291" s="23">
        <v>-54602.16</v>
      </c>
      <c r="D291" s="24">
        <v>19004.189999999999</v>
      </c>
      <c r="E291" s="24">
        <v>39265.33</v>
      </c>
      <c r="F291" s="24">
        <v>-25553.84</v>
      </c>
      <c r="G291" s="24">
        <v>57545.69</v>
      </c>
      <c r="H291" s="24">
        <v>21968.42</v>
      </c>
      <c r="I291" s="24">
        <v>76423.490000000005</v>
      </c>
      <c r="J291" s="24">
        <v>15308.3</v>
      </c>
      <c r="K291" s="24">
        <v>23054.71</v>
      </c>
      <c r="L291" s="24">
        <v>42141.919999999998</v>
      </c>
      <c r="M291" s="24">
        <v>1994.68</v>
      </c>
      <c r="N291" s="24">
        <v>46966.68</v>
      </c>
      <c r="O291" s="24">
        <f t="shared" ref="O291:O297" si="200">SUBTOTAL(9,C291:N291)</f>
        <v>263517.40999999997</v>
      </c>
      <c r="P291" s="24">
        <v>0</v>
      </c>
      <c r="Q291" s="24">
        <v>5092.5</v>
      </c>
      <c r="R291" s="24">
        <v>37836.65</v>
      </c>
      <c r="S291" s="24">
        <v>3498.8</v>
      </c>
      <c r="T291" s="24">
        <v>89775.11</v>
      </c>
      <c r="U291" s="24">
        <v>-63971.58</v>
      </c>
      <c r="V291" s="24">
        <v>30707.93</v>
      </c>
      <c r="W291" s="20">
        <v>14988.34</v>
      </c>
      <c r="X291" s="20">
        <v>9901.99</v>
      </c>
      <c r="Y291" s="83">
        <v>22365.07</v>
      </c>
      <c r="Z291" s="83">
        <v>14787.45</v>
      </c>
      <c r="AA291" s="83">
        <v>29677.4</v>
      </c>
      <c r="AB291" s="8">
        <f t="shared" ref="AB291:AB297" si="201">SUM(P291:AA291)</f>
        <v>194659.66</v>
      </c>
      <c r="AC291" s="24">
        <v>0</v>
      </c>
      <c r="AD291" s="24">
        <v>4938.4799999999996</v>
      </c>
      <c r="AE291" s="24">
        <v>0</v>
      </c>
      <c r="AF291" s="24">
        <v>0</v>
      </c>
      <c r="AG291" s="24">
        <v>0</v>
      </c>
      <c r="AH291" s="24">
        <v>0</v>
      </c>
      <c r="AI291" s="24">
        <v>0</v>
      </c>
      <c r="AJ291" s="20">
        <v>0</v>
      </c>
      <c r="AK291" s="20">
        <v>0</v>
      </c>
      <c r="AL291" s="83">
        <v>0</v>
      </c>
      <c r="AM291" s="83">
        <v>0</v>
      </c>
      <c r="AN291" s="83">
        <v>0</v>
      </c>
      <c r="AO291" s="8">
        <f t="shared" ref="AO291:AO297" si="202">SUM(AC291:AN291)</f>
        <v>4938.4799999999996</v>
      </c>
      <c r="AP291" s="24">
        <v>0</v>
      </c>
      <c r="AQ291" s="24">
        <v>0</v>
      </c>
      <c r="AR291" s="24">
        <v>0</v>
      </c>
      <c r="AS291" s="24">
        <v>0</v>
      </c>
      <c r="AT291" s="24">
        <v>0</v>
      </c>
      <c r="AU291" s="24">
        <v>0</v>
      </c>
      <c r="AV291" s="24">
        <v>0</v>
      </c>
      <c r="AW291" s="20">
        <v>0</v>
      </c>
      <c r="AX291" s="20">
        <v>0</v>
      </c>
      <c r="AY291" s="83">
        <v>0</v>
      </c>
      <c r="AZ291" s="83">
        <v>0</v>
      </c>
      <c r="BA291" s="83">
        <v>0</v>
      </c>
      <c r="BB291" s="8">
        <f t="shared" ref="BB291:BB297" si="203">SUM(AP291:BA291)</f>
        <v>0</v>
      </c>
      <c r="BC291" s="24">
        <v>0</v>
      </c>
      <c r="BD291" s="24">
        <v>0</v>
      </c>
      <c r="BE291" s="24">
        <v>0</v>
      </c>
      <c r="BF291" s="24">
        <v>0</v>
      </c>
      <c r="BG291" s="24">
        <v>0</v>
      </c>
      <c r="BH291" s="24">
        <v>0</v>
      </c>
      <c r="BI291" s="24">
        <v>0</v>
      </c>
      <c r="BN291" s="83"/>
      <c r="BO291" s="8">
        <f t="shared" ref="BO291:BO297" si="204">SUM(BC291:BN291)</f>
        <v>0</v>
      </c>
    </row>
    <row r="292" spans="2:67" x14ac:dyDescent="0.2">
      <c r="B292" s="3" t="s">
        <v>584</v>
      </c>
      <c r="C292" s="23">
        <v>-28044.34</v>
      </c>
      <c r="D292" s="24">
        <v>2079.23</v>
      </c>
      <c r="E292" s="24">
        <v>41018.86</v>
      </c>
      <c r="F292" s="24">
        <v>23395.29</v>
      </c>
      <c r="G292" s="24">
        <v>19418.78</v>
      </c>
      <c r="H292" s="24">
        <v>8581.89</v>
      </c>
      <c r="I292" s="24">
        <v>45000.36</v>
      </c>
      <c r="J292" s="24">
        <v>49311.59</v>
      </c>
      <c r="K292" s="24">
        <v>50226.400000000001</v>
      </c>
      <c r="L292" s="24">
        <v>0</v>
      </c>
      <c r="M292" s="24">
        <v>47840.28</v>
      </c>
      <c r="N292" s="24">
        <v>47762.58</v>
      </c>
      <c r="O292" s="24">
        <f t="shared" si="200"/>
        <v>306590.92</v>
      </c>
      <c r="P292" s="24">
        <v>0</v>
      </c>
      <c r="Q292" s="24">
        <v>26195.040000000001</v>
      </c>
      <c r="R292" s="24">
        <v>12963.2</v>
      </c>
      <c r="S292" s="24">
        <v>3100.25</v>
      </c>
      <c r="T292" s="24">
        <v>15201.3</v>
      </c>
      <c r="U292" s="24">
        <v>78538.28</v>
      </c>
      <c r="V292" s="24">
        <v>32868.629999999997</v>
      </c>
      <c r="W292" s="20">
        <v>29089.65</v>
      </c>
      <c r="X292" s="20">
        <v>26090.720000000001</v>
      </c>
      <c r="Y292" s="83">
        <v>28045.919999999998</v>
      </c>
      <c r="Z292" s="83">
        <v>25793.05</v>
      </c>
      <c r="AA292" s="83">
        <v>60875.45</v>
      </c>
      <c r="AB292" s="8">
        <f t="shared" si="201"/>
        <v>338761.49</v>
      </c>
      <c r="AC292" s="24">
        <v>0</v>
      </c>
      <c r="AD292" s="24">
        <v>24675.33</v>
      </c>
      <c r="AE292" s="24">
        <v>34983.4</v>
      </c>
      <c r="AF292" s="24">
        <v>27870.37</v>
      </c>
      <c r="AG292" s="24">
        <v>27587.67</v>
      </c>
      <c r="AH292" s="24">
        <v>27335.93</v>
      </c>
      <c r="AI292" s="24">
        <v>27130.16</v>
      </c>
      <c r="AJ292" s="20">
        <v>27791.75</v>
      </c>
      <c r="AK292" s="20">
        <v>28748.720000000001</v>
      </c>
      <c r="AL292" s="83">
        <v>28799.14</v>
      </c>
      <c r="AM292" s="83">
        <v>25324.959999999999</v>
      </c>
      <c r="AN292" s="83">
        <v>52538.83</v>
      </c>
      <c r="AO292" s="8">
        <f t="shared" si="202"/>
        <v>332786.26000000007</v>
      </c>
      <c r="AP292" s="24">
        <v>2710.64</v>
      </c>
      <c r="AQ292" s="24">
        <v>30972.52</v>
      </c>
      <c r="AR292" s="24">
        <f>VLOOKUP(B292,'[1]Sheet1 (2)'!$B$2:$C$397,2,0)</f>
        <v>31065.54</v>
      </c>
      <c r="AS292" s="24">
        <f>VLOOKUP(B292,'[2]Sheet1 (2)'!$B$2:$C$404,2,0)</f>
        <v>30116.720000000001</v>
      </c>
      <c r="AT292" s="24">
        <v>30077.17</v>
      </c>
      <c r="AU292" s="24">
        <v>28052.31</v>
      </c>
      <c r="AV292" s="24">
        <v>32888.03</v>
      </c>
      <c r="AW292" s="20">
        <v>61341.91</v>
      </c>
      <c r="AX292" s="20">
        <v>-1252.74</v>
      </c>
      <c r="AY292" s="83">
        <v>60301.97</v>
      </c>
      <c r="AZ292" s="83">
        <v>27251.42</v>
      </c>
      <c r="BA292" s="83">
        <v>36049.839999999997</v>
      </c>
      <c r="BB292" s="8">
        <f t="shared" si="203"/>
        <v>369575.33000000007</v>
      </c>
      <c r="BC292" s="24">
        <v>-7575.67</v>
      </c>
      <c r="BD292" s="24">
        <v>34707.32</v>
      </c>
      <c r="BE292" s="131">
        <v>60156.88</v>
      </c>
      <c r="BF292" s="24">
        <v>30616.97</v>
      </c>
      <c r="BG292" s="24">
        <v>29980.05</v>
      </c>
      <c r="BH292" s="24">
        <v>29300.52</v>
      </c>
      <c r="BI292" s="24">
        <v>29649.75</v>
      </c>
      <c r="BN292" s="83"/>
      <c r="BO292" s="8">
        <f t="shared" si="204"/>
        <v>206835.81999999998</v>
      </c>
    </row>
    <row r="293" spans="2:67" x14ac:dyDescent="0.2">
      <c r="B293" s="3" t="s">
        <v>684</v>
      </c>
      <c r="C293" s="23">
        <v>-37.07</v>
      </c>
      <c r="D293" s="24">
        <v>10317.86</v>
      </c>
      <c r="E293" s="24">
        <v>11835.14</v>
      </c>
      <c r="F293" s="24">
        <v>10885.48</v>
      </c>
      <c r="G293" s="24">
        <v>10839.25</v>
      </c>
      <c r="H293" s="24">
        <v>10900.26</v>
      </c>
      <c r="I293" s="24">
        <v>10576.48</v>
      </c>
      <c r="J293" s="24">
        <v>10637.41</v>
      </c>
      <c r="K293" s="24">
        <v>10654.54</v>
      </c>
      <c r="L293" s="24">
        <v>10416.23</v>
      </c>
      <c r="M293" s="24">
        <v>10123.41</v>
      </c>
      <c r="N293" s="24">
        <v>20308.64</v>
      </c>
      <c r="O293" s="24">
        <f t="shared" si="200"/>
        <v>127457.63</v>
      </c>
      <c r="P293" s="24">
        <v>0</v>
      </c>
      <c r="Q293" s="24">
        <v>0</v>
      </c>
      <c r="R293" s="24">
        <v>18317.439999999999</v>
      </c>
      <c r="S293" s="24">
        <v>95128.87</v>
      </c>
      <c r="T293" s="24">
        <v>-76114.509999999995</v>
      </c>
      <c r="U293" s="24">
        <v>9415.5</v>
      </c>
      <c r="V293" s="24">
        <v>9415.5</v>
      </c>
      <c r="W293" s="20">
        <v>9179.64</v>
      </c>
      <c r="X293" s="20">
        <v>9153.36</v>
      </c>
      <c r="Y293" s="83">
        <v>8826.11</v>
      </c>
      <c r="Z293" s="83">
        <v>9116</v>
      </c>
      <c r="AA293" s="83">
        <v>18258.02</v>
      </c>
      <c r="AB293" s="8">
        <f t="shared" si="201"/>
        <v>110695.93000000001</v>
      </c>
      <c r="AC293" s="24">
        <v>0</v>
      </c>
      <c r="AD293" s="24">
        <v>9026.5300000000007</v>
      </c>
      <c r="AE293" s="24">
        <v>9006.31</v>
      </c>
      <c r="AF293" s="24">
        <v>8662.56</v>
      </c>
      <c r="AG293" s="24">
        <v>8806.77</v>
      </c>
      <c r="AH293" s="24">
        <v>8643.94</v>
      </c>
      <c r="AI293" s="24">
        <v>8642.8700000000008</v>
      </c>
      <c r="AJ293" s="20">
        <v>9032.33</v>
      </c>
      <c r="AK293" s="20">
        <v>9084.2199999999993</v>
      </c>
      <c r="AL293" s="83">
        <v>9291.77</v>
      </c>
      <c r="AM293" s="83">
        <v>8979.2999999999993</v>
      </c>
      <c r="AN293" s="83">
        <v>17560.810000000001</v>
      </c>
      <c r="AO293" s="8">
        <f t="shared" si="202"/>
        <v>106737.41</v>
      </c>
      <c r="AP293" s="24">
        <v>0</v>
      </c>
      <c r="AQ293" s="24">
        <v>9140.39</v>
      </c>
      <c r="AR293" s="24">
        <f>VLOOKUP(B293,'[1]Sheet1 (2)'!$B$2:$C$397,2,0)</f>
        <v>9110.25</v>
      </c>
      <c r="AS293" s="24">
        <f>VLOOKUP(B293,'[2]Sheet1 (2)'!$B$2:$C$404,2,0)</f>
        <v>8893.07</v>
      </c>
      <c r="AT293" s="24">
        <v>9025.39</v>
      </c>
      <c r="AU293" s="24">
        <v>9158.9</v>
      </c>
      <c r="AV293" s="24">
        <v>9184.27</v>
      </c>
      <c r="AW293" s="20">
        <v>18319.32</v>
      </c>
      <c r="AX293" s="20">
        <v>9085.2900000000009</v>
      </c>
      <c r="AY293" s="83">
        <v>8844.06</v>
      </c>
      <c r="AZ293" s="83">
        <v>7875.84</v>
      </c>
      <c r="BA293" s="83">
        <v>8893.51</v>
      </c>
      <c r="BB293" s="8">
        <f t="shared" si="203"/>
        <v>107530.29</v>
      </c>
      <c r="BC293" s="24">
        <v>-8899.43</v>
      </c>
      <c r="BD293" s="24">
        <v>8868.23</v>
      </c>
      <c r="BE293" s="131">
        <v>30155.07</v>
      </c>
      <c r="BF293" s="24">
        <v>9350.6299999999992</v>
      </c>
      <c r="BG293" s="24">
        <v>1429.96</v>
      </c>
      <c r="BH293" s="24">
        <v>9459.07</v>
      </c>
      <c r="BI293" s="24">
        <v>9393.18</v>
      </c>
      <c r="BN293" s="83"/>
      <c r="BO293" s="8">
        <f t="shared" si="204"/>
        <v>59756.71</v>
      </c>
    </row>
    <row r="294" spans="2:67" x14ac:dyDescent="0.2">
      <c r="B294" s="158" t="s">
        <v>800</v>
      </c>
      <c r="C294" s="23">
        <v>0</v>
      </c>
      <c r="D294" s="24">
        <v>0</v>
      </c>
      <c r="E294" s="24">
        <v>0</v>
      </c>
      <c r="F294" s="24">
        <v>0</v>
      </c>
      <c r="G294" s="24">
        <v>0</v>
      </c>
      <c r="H294" s="24">
        <v>0</v>
      </c>
      <c r="I294" s="24">
        <v>0</v>
      </c>
      <c r="J294" s="24">
        <v>0</v>
      </c>
      <c r="K294" s="24">
        <v>0</v>
      </c>
      <c r="L294" s="24">
        <v>0</v>
      </c>
      <c r="M294" s="24">
        <v>0</v>
      </c>
      <c r="N294" s="24">
        <v>0</v>
      </c>
      <c r="O294" s="24">
        <f t="shared" si="200"/>
        <v>0</v>
      </c>
      <c r="P294" s="24">
        <v>0</v>
      </c>
      <c r="Q294" s="24">
        <v>0</v>
      </c>
      <c r="R294" s="24">
        <v>0</v>
      </c>
      <c r="S294" s="24">
        <v>9563.08</v>
      </c>
      <c r="T294" s="24">
        <v>9659.4599999999991</v>
      </c>
      <c r="U294" s="24">
        <v>4782.18</v>
      </c>
      <c r="V294" s="24">
        <v>4700.5</v>
      </c>
      <c r="W294" s="20">
        <v>4652.32</v>
      </c>
      <c r="X294" s="20">
        <v>4637.79</v>
      </c>
      <c r="Y294" s="83">
        <v>4536.53</v>
      </c>
      <c r="Z294" s="83">
        <v>4541.4399999999996</v>
      </c>
      <c r="AA294" s="83">
        <v>9210.98</v>
      </c>
      <c r="AB294" s="8">
        <f t="shared" si="201"/>
        <v>56284.28</v>
      </c>
      <c r="AC294" s="24">
        <v>0</v>
      </c>
      <c r="AD294" s="24">
        <v>16529.29</v>
      </c>
      <c r="AE294" s="24">
        <v>16487.43</v>
      </c>
      <c r="AF294" s="24">
        <v>15923.53</v>
      </c>
      <c r="AG294" s="24">
        <v>16096.82</v>
      </c>
      <c r="AH294" s="24">
        <v>6077.28</v>
      </c>
      <c r="AI294" s="24">
        <v>15893.64</v>
      </c>
      <c r="AJ294" s="20">
        <v>16695.810000000001</v>
      </c>
      <c r="AK294" s="20">
        <v>16803.05</v>
      </c>
      <c r="AL294" s="83">
        <v>16894.240000000002</v>
      </c>
      <c r="AM294" s="83">
        <v>26407.85</v>
      </c>
      <c r="AN294" s="83">
        <v>32077.21</v>
      </c>
      <c r="AO294" s="8">
        <f t="shared" si="202"/>
        <v>195886.15</v>
      </c>
      <c r="AP294" s="24">
        <v>0</v>
      </c>
      <c r="AQ294" s="24">
        <v>15192.48</v>
      </c>
      <c r="AR294" s="24">
        <f>VLOOKUP(B294,'[1]Sheet1 (2)'!$B$2:$C$397,2,0)</f>
        <v>16682.36</v>
      </c>
      <c r="AS294" s="24">
        <f>VLOOKUP(B294,'[2]Sheet1 (2)'!$B$2:$C$404,2,0)</f>
        <v>5133.78</v>
      </c>
      <c r="AT294" s="24">
        <v>26561.96</v>
      </c>
      <c r="AU294" s="24">
        <v>5295.43</v>
      </c>
      <c r="AV294" s="24">
        <v>26826.44</v>
      </c>
      <c r="AW294" s="20">
        <v>31969.78</v>
      </c>
      <c r="AX294" s="20">
        <v>15836.22</v>
      </c>
      <c r="AY294" s="83">
        <v>4191.3</v>
      </c>
      <c r="AZ294" s="83">
        <v>26868.79</v>
      </c>
      <c r="BA294" s="83">
        <v>15531.4</v>
      </c>
      <c r="BB294" s="8">
        <f t="shared" si="203"/>
        <v>190089.94</v>
      </c>
      <c r="BC294" s="24">
        <v>15412.45</v>
      </c>
      <c r="BD294" s="24">
        <v>0</v>
      </c>
      <c r="BE294" s="131">
        <v>30778.87</v>
      </c>
      <c r="BF294" s="24">
        <v>15078.01</v>
      </c>
      <c r="BG294" s="24">
        <v>14616.91</v>
      </c>
      <c r="BH294" s="24">
        <v>14476.13</v>
      </c>
      <c r="BI294" s="24">
        <v>14375.29</v>
      </c>
      <c r="BN294" s="83"/>
      <c r="BO294" s="8">
        <f t="shared" si="204"/>
        <v>104737.66</v>
      </c>
    </row>
    <row r="295" spans="2:67" s="158" customFormat="1" x14ac:dyDescent="0.2">
      <c r="B295" s="158" t="s">
        <v>594</v>
      </c>
      <c r="C295" s="159"/>
      <c r="D295" s="160"/>
      <c r="E295" s="160"/>
      <c r="F295" s="160"/>
      <c r="G295" s="160"/>
      <c r="H295" s="160"/>
      <c r="I295" s="160"/>
      <c r="J295" s="160"/>
      <c r="K295" s="160"/>
      <c r="L295" s="160"/>
      <c r="M295" s="160"/>
      <c r="N295" s="160">
        <v>6459.19</v>
      </c>
      <c r="O295" s="160">
        <f t="shared" si="200"/>
        <v>6459.19</v>
      </c>
      <c r="P295" s="160">
        <v>0</v>
      </c>
      <c r="Q295" s="160">
        <v>1074.74</v>
      </c>
      <c r="R295" s="160">
        <v>1053.96</v>
      </c>
      <c r="S295" s="160">
        <v>1089.6500000000001</v>
      </c>
      <c r="T295" s="160">
        <v>2206.7600000000002</v>
      </c>
      <c r="U295" s="160">
        <v>1085.58</v>
      </c>
      <c r="V295" s="160">
        <v>0</v>
      </c>
      <c r="W295" s="161">
        <v>1060.77</v>
      </c>
      <c r="X295" s="161">
        <v>1064.8800000000001</v>
      </c>
      <c r="Y295" s="162">
        <v>1039.27</v>
      </c>
      <c r="Z295" s="162">
        <v>1035.49</v>
      </c>
      <c r="AA295" s="162">
        <v>1039.5999999999999</v>
      </c>
      <c r="AB295" s="163">
        <f t="shared" si="201"/>
        <v>11750.7</v>
      </c>
      <c r="AC295" s="160">
        <v>1050.22</v>
      </c>
      <c r="AD295" s="160">
        <v>1039.67</v>
      </c>
      <c r="AE295" s="160">
        <v>1034.04</v>
      </c>
      <c r="AF295" s="160">
        <v>1021.43</v>
      </c>
      <c r="AG295" s="160">
        <v>1011.2</v>
      </c>
      <c r="AH295" s="160">
        <v>999.94</v>
      </c>
      <c r="AI295" s="160">
        <v>991.22</v>
      </c>
      <c r="AJ295" s="161">
        <v>1000.99</v>
      </c>
      <c r="AK295" s="161">
        <v>1050.22</v>
      </c>
      <c r="AL295" s="162">
        <v>1073.03</v>
      </c>
      <c r="AM295" s="162">
        <v>1033.52</v>
      </c>
      <c r="AN295" s="162">
        <v>2020.95</v>
      </c>
      <c r="AO295" s="163">
        <f t="shared" si="202"/>
        <v>13326.430000000002</v>
      </c>
      <c r="AP295" s="160">
        <v>0</v>
      </c>
      <c r="AQ295" s="160">
        <v>0</v>
      </c>
      <c r="AR295" s="160">
        <v>0</v>
      </c>
      <c r="AS295" s="160">
        <f>VLOOKUP(B295,'[2]Sheet1 (2)'!$B$2:$C$404,2,0)</f>
        <v>2905.41</v>
      </c>
      <c r="AT295" s="160">
        <v>986.52</v>
      </c>
      <c r="AU295" s="160">
        <v>1000.8</v>
      </c>
      <c r="AV295" s="24">
        <v>997.67</v>
      </c>
      <c r="AW295" s="20">
        <v>1993.34</v>
      </c>
      <c r="AX295" s="20">
        <v>989.41</v>
      </c>
      <c r="AY295" s="83">
        <v>962.31</v>
      </c>
      <c r="AZ295" s="83">
        <v>976.15</v>
      </c>
      <c r="BA295" s="83">
        <v>968.17</v>
      </c>
      <c r="BB295" s="163">
        <f t="shared" si="203"/>
        <v>11779.779999999999</v>
      </c>
      <c r="BC295" s="24">
        <v>0</v>
      </c>
      <c r="BD295" s="24">
        <v>0</v>
      </c>
      <c r="BE295" s="24">
        <v>0</v>
      </c>
      <c r="BF295" s="24">
        <v>0</v>
      </c>
      <c r="BG295" s="24">
        <v>0</v>
      </c>
      <c r="BH295" s="24">
        <v>0</v>
      </c>
      <c r="BI295" s="24">
        <v>0</v>
      </c>
      <c r="BJ295" s="20"/>
      <c r="BK295" s="20"/>
      <c r="BL295" s="83"/>
      <c r="BM295" s="83"/>
      <c r="BN295" s="83"/>
      <c r="BO295" s="163">
        <f t="shared" si="204"/>
        <v>0</v>
      </c>
    </row>
    <row r="296" spans="2:67" s="158" customFormat="1" x14ac:dyDescent="0.2">
      <c r="B296" s="158" t="s">
        <v>1439</v>
      </c>
      <c r="C296" s="159">
        <v>0</v>
      </c>
      <c r="D296" s="160">
        <v>0</v>
      </c>
      <c r="E296" s="160">
        <v>0</v>
      </c>
      <c r="F296" s="160">
        <v>0</v>
      </c>
      <c r="G296" s="160">
        <v>0</v>
      </c>
      <c r="H296" s="160">
        <v>4899.8100000000004</v>
      </c>
      <c r="I296" s="160">
        <v>3209.24</v>
      </c>
      <c r="J296" s="160">
        <v>1623.03</v>
      </c>
      <c r="K296" s="160">
        <v>1618.77</v>
      </c>
      <c r="L296" s="160">
        <v>1544.16</v>
      </c>
      <c r="M296" s="160">
        <v>0</v>
      </c>
      <c r="N296" s="160">
        <v>0</v>
      </c>
      <c r="O296" s="160">
        <f t="shared" si="200"/>
        <v>12895.01</v>
      </c>
      <c r="P296" s="160">
        <v>0</v>
      </c>
      <c r="Q296" s="160">
        <v>0</v>
      </c>
      <c r="R296" s="160">
        <v>0</v>
      </c>
      <c r="S296" s="160">
        <v>0</v>
      </c>
      <c r="T296" s="160">
        <v>0</v>
      </c>
      <c r="U296" s="160">
        <v>0</v>
      </c>
      <c r="V296" s="160">
        <v>0</v>
      </c>
      <c r="W296" s="161">
        <v>0</v>
      </c>
      <c r="X296" s="161">
        <v>0</v>
      </c>
      <c r="Y296" s="162">
        <v>0</v>
      </c>
      <c r="Z296" s="162">
        <v>0</v>
      </c>
      <c r="AA296" s="162">
        <v>0</v>
      </c>
      <c r="AB296" s="163">
        <f t="shared" si="201"/>
        <v>0</v>
      </c>
      <c r="AC296" s="160">
        <v>0</v>
      </c>
      <c r="AD296" s="160">
        <v>0</v>
      </c>
      <c r="AE296" s="160">
        <v>0</v>
      </c>
      <c r="AF296" s="160">
        <v>0</v>
      </c>
      <c r="AG296" s="160">
        <v>0</v>
      </c>
      <c r="AH296" s="160">
        <v>0</v>
      </c>
      <c r="AI296" s="160">
        <v>0</v>
      </c>
      <c r="AJ296" s="161">
        <v>0</v>
      </c>
      <c r="AK296" s="161">
        <v>0</v>
      </c>
      <c r="AL296" s="162">
        <v>0</v>
      </c>
      <c r="AM296" s="162">
        <v>0</v>
      </c>
      <c r="AN296" s="162">
        <v>0</v>
      </c>
      <c r="AO296" s="163">
        <f t="shared" si="202"/>
        <v>0</v>
      </c>
      <c r="AP296" s="24">
        <v>0</v>
      </c>
      <c r="AQ296" s="24">
        <v>0</v>
      </c>
      <c r="AR296" s="24">
        <v>0</v>
      </c>
      <c r="AS296" s="24">
        <v>0</v>
      </c>
      <c r="AT296" s="24">
        <v>0</v>
      </c>
      <c r="AU296" s="24">
        <v>0</v>
      </c>
      <c r="AV296" s="24">
        <v>0</v>
      </c>
      <c r="AW296" s="20">
        <v>0</v>
      </c>
      <c r="AX296" s="20">
        <v>0</v>
      </c>
      <c r="AY296" s="83">
        <v>0</v>
      </c>
      <c r="AZ296" s="83">
        <v>0</v>
      </c>
      <c r="BA296" s="83">
        <v>0</v>
      </c>
      <c r="BB296" s="8">
        <f t="shared" si="203"/>
        <v>0</v>
      </c>
      <c r="BC296" s="24">
        <v>0</v>
      </c>
      <c r="BD296" s="24">
        <v>0</v>
      </c>
      <c r="BE296" s="24">
        <v>0</v>
      </c>
      <c r="BF296" s="24">
        <v>0</v>
      </c>
      <c r="BG296" s="24">
        <v>0</v>
      </c>
      <c r="BH296" s="24">
        <v>0</v>
      </c>
      <c r="BI296" s="24">
        <v>0</v>
      </c>
      <c r="BJ296" s="20"/>
      <c r="BK296" s="20"/>
      <c r="BL296" s="83"/>
      <c r="BM296" s="83"/>
      <c r="BN296" s="83"/>
      <c r="BO296" s="8">
        <f t="shared" si="204"/>
        <v>0</v>
      </c>
    </row>
    <row r="297" spans="2:67" s="158" customFormat="1" x14ac:dyDescent="0.2">
      <c r="B297" s="158" t="s">
        <v>874</v>
      </c>
      <c r="C297" s="159">
        <v>0</v>
      </c>
      <c r="D297" s="160">
        <v>0</v>
      </c>
      <c r="E297" s="160">
        <v>0</v>
      </c>
      <c r="F297" s="160">
        <v>5638.48</v>
      </c>
      <c r="G297" s="160">
        <v>17030.7</v>
      </c>
      <c r="H297" s="160">
        <v>82001.899999999994</v>
      </c>
      <c r="I297" s="160">
        <v>57543.839999999997</v>
      </c>
      <c r="J297" s="160">
        <v>38824.31</v>
      </c>
      <c r="K297" s="160">
        <v>29578.67</v>
      </c>
      <c r="L297" s="160">
        <v>28404.45</v>
      </c>
      <c r="M297" s="160">
        <v>28058.959999999999</v>
      </c>
      <c r="N297" s="160">
        <v>57249.79</v>
      </c>
      <c r="O297" s="160">
        <f t="shared" si="200"/>
        <v>344331.1</v>
      </c>
      <c r="P297" s="160">
        <v>0</v>
      </c>
      <c r="Q297" s="160">
        <v>0</v>
      </c>
      <c r="R297" s="160">
        <v>0</v>
      </c>
      <c r="S297" s="160">
        <v>0</v>
      </c>
      <c r="T297" s="160">
        <v>78406.600000000006</v>
      </c>
      <c r="U297" s="160">
        <v>4836.76</v>
      </c>
      <c r="V297" s="160">
        <v>4787.83</v>
      </c>
      <c r="W297" s="161">
        <v>4716.58</v>
      </c>
      <c r="X297" s="161">
        <v>4672.7700000000004</v>
      </c>
      <c r="Y297" s="162">
        <v>24268.2</v>
      </c>
      <c r="Z297" s="162">
        <v>4660.66</v>
      </c>
      <c r="AA297" s="162">
        <v>9297.9699999999993</v>
      </c>
      <c r="AB297" s="163">
        <f t="shared" si="201"/>
        <v>135647.37</v>
      </c>
      <c r="AC297" s="160">
        <v>0</v>
      </c>
      <c r="AD297" s="160">
        <v>4805.3100000000004</v>
      </c>
      <c r="AE297" s="160">
        <v>4797.0200000000004</v>
      </c>
      <c r="AF297" s="160">
        <v>4625.1499999999996</v>
      </c>
      <c r="AG297" s="160">
        <v>4667.97</v>
      </c>
      <c r="AH297" s="160">
        <v>0</v>
      </c>
      <c r="AI297" s="160">
        <v>4618.33</v>
      </c>
      <c r="AJ297" s="161">
        <v>4853.42</v>
      </c>
      <c r="AK297" s="161">
        <v>4975.5600000000004</v>
      </c>
      <c r="AL297" s="162">
        <v>4961.1000000000004</v>
      </c>
      <c r="AM297" s="162">
        <v>9425.5400000000009</v>
      </c>
      <c r="AN297" s="162">
        <v>9301.94</v>
      </c>
      <c r="AO297" s="163">
        <f t="shared" si="202"/>
        <v>57031.34</v>
      </c>
      <c r="AP297" s="24">
        <v>0</v>
      </c>
      <c r="AQ297" s="24">
        <v>8745.9</v>
      </c>
      <c r="AR297" s="24">
        <f>VLOOKUP(B297,'[1]Sheet1 (2)'!$B$2:$C$397,2,0)</f>
        <v>0</v>
      </c>
      <c r="AS297" s="24">
        <f>VLOOKUP(B297,'[2]Sheet1 (2)'!$B$2:$C$404,2,0)</f>
        <v>0</v>
      </c>
      <c r="AT297" s="24">
        <v>26042.31</v>
      </c>
      <c r="AU297" s="24">
        <v>0</v>
      </c>
      <c r="AV297" s="24">
        <v>17205.2</v>
      </c>
      <c r="AW297" s="20">
        <v>16735.900000000001</v>
      </c>
      <c r="AX297" s="20">
        <v>6725.48</v>
      </c>
      <c r="AY297" s="83">
        <v>645.80999999999995</v>
      </c>
      <c r="AZ297" s="83">
        <v>16402.29</v>
      </c>
      <c r="BA297" s="83">
        <v>8494.68</v>
      </c>
      <c r="BB297" s="8">
        <f t="shared" si="203"/>
        <v>100997.56999999998</v>
      </c>
      <c r="BC297" s="24">
        <v>8692.0499999999993</v>
      </c>
      <c r="BD297" s="24">
        <v>-5207.71</v>
      </c>
      <c r="BE297" s="24">
        <v>20590.82</v>
      </c>
      <c r="BF297" s="24">
        <v>7979.4</v>
      </c>
      <c r="BG297" s="24">
        <v>7735.38</v>
      </c>
      <c r="BH297" s="24">
        <v>7660.88</v>
      </c>
      <c r="BI297" s="24">
        <v>7607.52</v>
      </c>
      <c r="BJ297" s="20"/>
      <c r="BK297" s="20"/>
      <c r="BL297" s="83"/>
      <c r="BM297" s="83"/>
      <c r="BN297" s="83"/>
      <c r="BO297" s="8">
        <f t="shared" si="204"/>
        <v>55058.34</v>
      </c>
    </row>
    <row r="298" spans="2:67" x14ac:dyDescent="0.2">
      <c r="B298" s="6" t="s">
        <v>1559</v>
      </c>
      <c r="C298" s="7">
        <f t="shared" ref="C298:N298" si="205">SUM(C291:C293)</f>
        <v>-82683.570000000007</v>
      </c>
      <c r="D298" s="7">
        <f t="shared" si="205"/>
        <v>31401.279999999999</v>
      </c>
      <c r="E298" s="7">
        <f t="shared" si="205"/>
        <v>92119.33</v>
      </c>
      <c r="F298" s="7">
        <f t="shared" si="205"/>
        <v>8726.93</v>
      </c>
      <c r="G298" s="7">
        <f t="shared" si="205"/>
        <v>87803.72</v>
      </c>
      <c r="H298" s="7">
        <f t="shared" si="205"/>
        <v>41450.57</v>
      </c>
      <c r="I298" s="7">
        <f t="shared" si="205"/>
        <v>132000.33000000002</v>
      </c>
      <c r="J298" s="7">
        <f t="shared" si="205"/>
        <v>75257.3</v>
      </c>
      <c r="K298" s="7">
        <f t="shared" si="205"/>
        <v>83935.65</v>
      </c>
      <c r="L298" s="7">
        <f t="shared" si="205"/>
        <v>52558.149999999994</v>
      </c>
      <c r="M298" s="7">
        <f t="shared" si="205"/>
        <v>59958.369999999995</v>
      </c>
      <c r="N298" s="7">
        <f t="shared" si="205"/>
        <v>115037.90000000001</v>
      </c>
      <c r="O298" s="7">
        <f>SUM(C298:N298)</f>
        <v>697565.96000000008</v>
      </c>
      <c r="P298" s="7">
        <f t="shared" ref="P298:AB298" si="206">SUM(P291:P293)</f>
        <v>0</v>
      </c>
      <c r="Q298" s="7">
        <f t="shared" si="206"/>
        <v>31287.54</v>
      </c>
      <c r="R298" s="7">
        <f t="shared" si="206"/>
        <v>69117.290000000008</v>
      </c>
      <c r="S298" s="7">
        <f t="shared" si="206"/>
        <v>101727.92</v>
      </c>
      <c r="T298" s="7">
        <f t="shared" si="206"/>
        <v>28861.900000000009</v>
      </c>
      <c r="U298" s="7">
        <f t="shared" si="206"/>
        <v>23982.199999999997</v>
      </c>
      <c r="V298" s="7">
        <f t="shared" si="206"/>
        <v>72992.06</v>
      </c>
      <c r="W298" s="63">
        <f t="shared" si="206"/>
        <v>53257.630000000005</v>
      </c>
      <c r="X298" s="63">
        <f t="shared" si="206"/>
        <v>45146.07</v>
      </c>
      <c r="Y298" s="63">
        <f t="shared" si="206"/>
        <v>59237.1</v>
      </c>
      <c r="Z298" s="63">
        <f t="shared" si="206"/>
        <v>49696.5</v>
      </c>
      <c r="AA298" s="63">
        <f t="shared" si="206"/>
        <v>108810.87000000001</v>
      </c>
      <c r="AB298" s="63">
        <f t="shared" si="206"/>
        <v>644117.08000000007</v>
      </c>
      <c r="AC298" s="63">
        <f t="shared" ref="AC298:AT298" si="207">SUM(AC291:AC297)</f>
        <v>1050.22</v>
      </c>
      <c r="AD298" s="63">
        <f t="shared" si="207"/>
        <v>61014.61</v>
      </c>
      <c r="AE298" s="63">
        <f t="shared" si="207"/>
        <v>66308.2</v>
      </c>
      <c r="AF298" s="63">
        <f t="shared" si="207"/>
        <v>58103.040000000001</v>
      </c>
      <c r="AG298" s="63">
        <f t="shared" si="207"/>
        <v>58170.43</v>
      </c>
      <c r="AH298" s="63">
        <f t="shared" si="207"/>
        <v>43057.090000000004</v>
      </c>
      <c r="AI298" s="63">
        <f t="shared" si="207"/>
        <v>57276.22</v>
      </c>
      <c r="AJ298" s="63">
        <f t="shared" si="207"/>
        <v>59374.299999999996</v>
      </c>
      <c r="AK298" s="63">
        <f t="shared" si="207"/>
        <v>60661.770000000004</v>
      </c>
      <c r="AL298" s="63">
        <f t="shared" si="207"/>
        <v>61019.280000000006</v>
      </c>
      <c r="AM298" s="63">
        <f t="shared" si="207"/>
        <v>71171.169999999984</v>
      </c>
      <c r="AN298" s="63">
        <f t="shared" si="207"/>
        <v>113499.74</v>
      </c>
      <c r="AO298" s="63">
        <f t="shared" si="207"/>
        <v>710706.07000000007</v>
      </c>
      <c r="AP298" s="63">
        <f t="shared" si="207"/>
        <v>2710.64</v>
      </c>
      <c r="AQ298" s="63">
        <f t="shared" si="207"/>
        <v>64051.29</v>
      </c>
      <c r="AR298" s="63">
        <f t="shared" si="207"/>
        <v>56858.15</v>
      </c>
      <c r="AS298" s="63">
        <f t="shared" si="207"/>
        <v>47048.979999999996</v>
      </c>
      <c r="AT298" s="63">
        <f t="shared" si="207"/>
        <v>92693.349999999991</v>
      </c>
      <c r="AU298" s="63">
        <f t="shared" ref="AU298:BO298" si="208">SUM(AU291:AU297)</f>
        <v>43507.44</v>
      </c>
      <c r="AV298" s="63">
        <f t="shared" si="208"/>
        <v>87101.61</v>
      </c>
      <c r="AW298" s="63">
        <f t="shared" si="208"/>
        <v>130360.25</v>
      </c>
      <c r="AX298" s="63">
        <f t="shared" si="208"/>
        <v>31383.66</v>
      </c>
      <c r="AY298" s="63">
        <f t="shared" si="208"/>
        <v>74945.45</v>
      </c>
      <c r="AZ298" s="63">
        <f t="shared" si="208"/>
        <v>79374.489999999991</v>
      </c>
      <c r="BA298" s="63">
        <f t="shared" si="208"/>
        <v>69937.600000000006</v>
      </c>
      <c r="BB298" s="63">
        <f t="shared" si="208"/>
        <v>779972.91</v>
      </c>
      <c r="BC298" s="63">
        <f t="shared" si="208"/>
        <v>7629.4000000000015</v>
      </c>
      <c r="BD298" s="63">
        <f t="shared" si="208"/>
        <v>38367.840000000004</v>
      </c>
      <c r="BE298" s="63">
        <f t="shared" si="208"/>
        <v>141681.63999999998</v>
      </c>
      <c r="BF298" s="63">
        <f t="shared" si="208"/>
        <v>63025.01</v>
      </c>
      <c r="BG298" s="63">
        <f t="shared" si="208"/>
        <v>53762.299999999996</v>
      </c>
      <c r="BH298" s="63">
        <f t="shared" si="208"/>
        <v>60896.599999999991</v>
      </c>
      <c r="BI298" s="63">
        <f t="shared" si="208"/>
        <v>61025.740000000005</v>
      </c>
      <c r="BJ298" s="63">
        <f t="shared" si="208"/>
        <v>0</v>
      </c>
      <c r="BK298" s="63">
        <f t="shared" si="208"/>
        <v>0</v>
      </c>
      <c r="BL298" s="63">
        <f t="shared" si="208"/>
        <v>0</v>
      </c>
      <c r="BM298" s="63">
        <f t="shared" si="208"/>
        <v>0</v>
      </c>
      <c r="BN298" s="63">
        <f t="shared" si="208"/>
        <v>0</v>
      </c>
      <c r="BO298" s="63">
        <f t="shared" si="208"/>
        <v>426388.52999999991</v>
      </c>
    </row>
    <row r="299" spans="2:67" x14ac:dyDescent="0.2">
      <c r="B299" s="3" t="s">
        <v>1403</v>
      </c>
      <c r="C299" s="23"/>
      <c r="F299" s="24">
        <v>162.94</v>
      </c>
      <c r="G299" s="24">
        <v>0</v>
      </c>
      <c r="H299" s="24">
        <v>0</v>
      </c>
      <c r="I299" s="24">
        <v>0</v>
      </c>
      <c r="J299" s="24">
        <v>0</v>
      </c>
      <c r="K299" s="24">
        <v>0</v>
      </c>
      <c r="L299" s="24">
        <v>0</v>
      </c>
      <c r="M299" s="24">
        <v>0</v>
      </c>
      <c r="N299" s="24">
        <v>0</v>
      </c>
      <c r="O299" s="24">
        <f>SUBTOTAL(9,C299:N299)</f>
        <v>162.94</v>
      </c>
      <c r="P299" s="24">
        <v>0</v>
      </c>
      <c r="Q299" s="24">
        <v>0</v>
      </c>
      <c r="R299" s="24">
        <v>0</v>
      </c>
      <c r="S299" s="24">
        <v>0</v>
      </c>
      <c r="T299" s="24">
        <v>0</v>
      </c>
      <c r="U299" s="24">
        <v>0</v>
      </c>
      <c r="V299" s="24">
        <v>0</v>
      </c>
      <c r="W299" s="20">
        <v>0</v>
      </c>
      <c r="X299" s="20">
        <v>0</v>
      </c>
      <c r="Y299" s="83">
        <v>0</v>
      </c>
      <c r="Z299" s="83">
        <v>0</v>
      </c>
      <c r="AA299" s="83">
        <v>0</v>
      </c>
      <c r="AB299" s="8">
        <f>SUM(P299:AA299)</f>
        <v>0</v>
      </c>
      <c r="AC299" s="24">
        <v>0</v>
      </c>
      <c r="AD299" s="24">
        <v>0</v>
      </c>
      <c r="AE299" s="24">
        <v>0</v>
      </c>
      <c r="AF299" s="24">
        <v>0</v>
      </c>
      <c r="AG299" s="24">
        <v>0</v>
      </c>
      <c r="AH299" s="24">
        <v>0</v>
      </c>
      <c r="AI299" s="24">
        <v>0</v>
      </c>
      <c r="AJ299" s="20">
        <v>0</v>
      </c>
      <c r="AK299" s="20">
        <v>0</v>
      </c>
      <c r="AL299" s="83">
        <v>0</v>
      </c>
      <c r="AM299" s="83">
        <v>0</v>
      </c>
      <c r="AN299" s="83">
        <v>0</v>
      </c>
      <c r="AO299" s="8">
        <f>SUM(AC299:AN299)</f>
        <v>0</v>
      </c>
      <c r="AP299" s="24">
        <v>0</v>
      </c>
      <c r="AQ299" s="24">
        <v>0</v>
      </c>
      <c r="AR299" s="24">
        <v>0</v>
      </c>
      <c r="AS299" s="24">
        <v>0</v>
      </c>
      <c r="AT299" s="24">
        <v>0</v>
      </c>
      <c r="AU299" s="24">
        <v>0</v>
      </c>
      <c r="AV299" s="24">
        <v>0</v>
      </c>
      <c r="AW299" s="20">
        <v>0</v>
      </c>
      <c r="AX299" s="20">
        <v>0</v>
      </c>
      <c r="AY299" s="83">
        <v>0</v>
      </c>
      <c r="AZ299" s="83">
        <v>0</v>
      </c>
      <c r="BA299" s="83">
        <v>0</v>
      </c>
      <c r="BB299" s="8">
        <f>SUM(AP299:BA299)</f>
        <v>0</v>
      </c>
      <c r="BC299" s="24">
        <v>0</v>
      </c>
      <c r="BD299" s="24">
        <v>0</v>
      </c>
      <c r="BE299" s="24">
        <v>0</v>
      </c>
      <c r="BF299" s="24">
        <v>0</v>
      </c>
      <c r="BG299" s="24">
        <v>0</v>
      </c>
      <c r="BH299" s="24">
        <v>0</v>
      </c>
      <c r="BI299" s="24">
        <v>0</v>
      </c>
      <c r="BN299" s="83"/>
      <c r="BO299" s="8">
        <f>SUM(BC299:BN299)</f>
        <v>0</v>
      </c>
    </row>
    <row r="300" spans="2:67" x14ac:dyDescent="0.2">
      <c r="B300" s="3" t="s">
        <v>1885</v>
      </c>
      <c r="C300" s="23"/>
      <c r="AA300" s="83"/>
      <c r="AB300" s="8"/>
      <c r="AN300" s="83"/>
      <c r="AO300" s="8"/>
      <c r="AP300" s="24">
        <v>0</v>
      </c>
      <c r="AQ300" s="24">
        <v>0</v>
      </c>
      <c r="AR300" s="24">
        <v>0</v>
      </c>
      <c r="AS300" s="24">
        <v>0</v>
      </c>
      <c r="AT300" s="24">
        <v>0</v>
      </c>
      <c r="AU300" s="24">
        <v>0</v>
      </c>
      <c r="AV300" s="24">
        <v>0</v>
      </c>
      <c r="AW300" s="20">
        <v>759.26</v>
      </c>
      <c r="AX300" s="20">
        <v>-759.26</v>
      </c>
      <c r="AY300" s="83">
        <v>0</v>
      </c>
      <c r="AZ300" s="83">
        <v>0</v>
      </c>
      <c r="BA300" s="83">
        <v>0</v>
      </c>
      <c r="BB300" s="8">
        <f>SUM(AP300:BA300)</f>
        <v>0</v>
      </c>
      <c r="BC300" s="24">
        <v>0</v>
      </c>
      <c r="BD300" s="24">
        <v>0</v>
      </c>
      <c r="BE300" s="24">
        <v>0</v>
      </c>
      <c r="BF300" s="24">
        <v>0</v>
      </c>
      <c r="BG300" s="24">
        <v>0</v>
      </c>
      <c r="BH300" s="24">
        <v>0</v>
      </c>
      <c r="BI300" s="24">
        <v>0</v>
      </c>
      <c r="BN300" s="83"/>
      <c r="BO300" s="8">
        <f>SUM(BC300:BN300)</f>
        <v>0</v>
      </c>
    </row>
    <row r="301" spans="2:67" x14ac:dyDescent="0.2">
      <c r="B301" s="3" t="s">
        <v>397</v>
      </c>
      <c r="C301" s="23">
        <v>4528.21</v>
      </c>
      <c r="D301" s="24">
        <v>4330.45</v>
      </c>
      <c r="E301" s="24">
        <v>3577.96</v>
      </c>
      <c r="F301" s="24">
        <v>-2480.16</v>
      </c>
      <c r="G301" s="24">
        <v>0</v>
      </c>
      <c r="H301" s="24">
        <v>2562.7199999999998</v>
      </c>
      <c r="I301" s="24">
        <v>3708.72</v>
      </c>
      <c r="J301" s="24">
        <v>741.84</v>
      </c>
      <c r="K301" s="24">
        <v>580.98</v>
      </c>
      <c r="L301" s="24">
        <v>1336.07</v>
      </c>
      <c r="M301" s="24">
        <v>3861.75</v>
      </c>
      <c r="N301" s="24">
        <v>20182.41</v>
      </c>
      <c r="O301" s="24">
        <f>SUBTOTAL(9,C301:N301)</f>
        <v>42930.95</v>
      </c>
      <c r="P301" s="24">
        <v>300.72000000000003</v>
      </c>
      <c r="Q301" s="24">
        <v>1966.65</v>
      </c>
      <c r="R301" s="24">
        <v>581.94000000000005</v>
      </c>
      <c r="S301" s="24">
        <v>2323.7399999999998</v>
      </c>
      <c r="T301" s="24">
        <v>-7641.85</v>
      </c>
      <c r="U301" s="24">
        <v>1922.17</v>
      </c>
      <c r="V301" s="24">
        <v>1368.68</v>
      </c>
      <c r="W301" s="20">
        <v>3105.66</v>
      </c>
      <c r="X301" s="20">
        <v>-1075.55</v>
      </c>
      <c r="Y301" s="83">
        <v>1197.01</v>
      </c>
      <c r="Z301" s="83">
        <v>-279.33999999999997</v>
      </c>
      <c r="AA301" s="83">
        <v>6199.07</v>
      </c>
      <c r="AB301" s="8">
        <f>SUM(P301:AA301)</f>
        <v>9968.8999999999978</v>
      </c>
      <c r="AC301" s="24">
        <v>1580.81</v>
      </c>
      <c r="AD301" s="24">
        <v>-1449.69</v>
      </c>
      <c r="AE301" s="24">
        <v>2354.85</v>
      </c>
      <c r="AF301" s="24">
        <v>9071.44</v>
      </c>
      <c r="AG301" s="24">
        <v>-39.68</v>
      </c>
      <c r="AH301" s="24">
        <v>311.60000000000002</v>
      </c>
      <c r="AI301" s="24">
        <v>6870.75</v>
      </c>
      <c r="AJ301" s="20">
        <v>178.66</v>
      </c>
      <c r="AK301" s="20">
        <v>1052.1199999999999</v>
      </c>
      <c r="AL301" s="83">
        <v>1265.53</v>
      </c>
      <c r="AM301" s="83">
        <v>3492.77</v>
      </c>
      <c r="AN301" s="83">
        <v>14312.69</v>
      </c>
      <c r="AO301" s="8">
        <f>SUM(AC301:AN301)</f>
        <v>39001.85</v>
      </c>
      <c r="AP301" s="24">
        <v>1145.2</v>
      </c>
      <c r="AQ301" s="24">
        <v>7260.09</v>
      </c>
      <c r="AR301" s="24">
        <f>VLOOKUP(B301,'[1]Sheet1 (2)'!$B$2:$C$397,2,0)</f>
        <v>-1965.08</v>
      </c>
      <c r="AS301" s="24">
        <f>VLOOKUP(B301,'[2]Sheet1 (2)'!$B$2:$C$404,2,0)</f>
        <v>1347.28</v>
      </c>
      <c r="AT301" s="24">
        <v>975.25</v>
      </c>
      <c r="AU301" s="24">
        <v>4938.62</v>
      </c>
      <c r="AV301" s="24">
        <v>2866.43</v>
      </c>
      <c r="AW301" s="20">
        <v>5162.0600000000004</v>
      </c>
      <c r="AX301" s="20">
        <v>1904.94</v>
      </c>
      <c r="AY301" s="83">
        <v>1492.46</v>
      </c>
      <c r="AZ301" s="83">
        <v>642.88</v>
      </c>
      <c r="BA301" s="83">
        <v>8401.58</v>
      </c>
      <c r="BB301" s="8">
        <f>SUM(AP301:BA301)</f>
        <v>34171.71</v>
      </c>
      <c r="BC301" s="24">
        <v>2010.59</v>
      </c>
      <c r="BD301" s="24">
        <v>1363.99</v>
      </c>
      <c r="BE301" s="24">
        <v>-1004.27</v>
      </c>
      <c r="BF301" s="24">
        <v>5257.44</v>
      </c>
      <c r="BG301" s="24">
        <v>18609.16</v>
      </c>
      <c r="BH301" s="24">
        <v>5393.44</v>
      </c>
      <c r="BI301" s="24">
        <v>3620.76</v>
      </c>
      <c r="BN301" s="83"/>
      <c r="BO301" s="8">
        <f>SUM(BC301:BN301)</f>
        <v>35251.11</v>
      </c>
    </row>
    <row r="302" spans="2:67" x14ac:dyDescent="0.2">
      <c r="B302" s="6" t="s">
        <v>1824</v>
      </c>
      <c r="C302" s="7">
        <f t="shared" ref="C302:N302" si="209">SUM(C299:C301)</f>
        <v>4528.21</v>
      </c>
      <c r="D302" s="7">
        <f t="shared" si="209"/>
        <v>4330.45</v>
      </c>
      <c r="E302" s="7">
        <f t="shared" si="209"/>
        <v>3577.96</v>
      </c>
      <c r="F302" s="7">
        <f t="shared" si="209"/>
        <v>-2317.2199999999998</v>
      </c>
      <c r="G302" s="7">
        <f t="shared" si="209"/>
        <v>0</v>
      </c>
      <c r="H302" s="7">
        <f t="shared" si="209"/>
        <v>2562.7199999999998</v>
      </c>
      <c r="I302" s="7">
        <f t="shared" si="209"/>
        <v>3708.72</v>
      </c>
      <c r="J302" s="7">
        <f t="shared" si="209"/>
        <v>741.84</v>
      </c>
      <c r="K302" s="7">
        <f t="shared" si="209"/>
        <v>580.98</v>
      </c>
      <c r="L302" s="7">
        <f t="shared" si="209"/>
        <v>1336.07</v>
      </c>
      <c r="M302" s="7">
        <f t="shared" si="209"/>
        <v>3861.75</v>
      </c>
      <c r="N302" s="7">
        <f t="shared" si="209"/>
        <v>20182.41</v>
      </c>
      <c r="O302" s="7">
        <f>SUM(C302:N302)</f>
        <v>43093.89</v>
      </c>
      <c r="P302" s="7">
        <f t="shared" ref="P302:AT302" si="210">SUM(P299:P301)</f>
        <v>300.72000000000003</v>
      </c>
      <c r="Q302" s="7">
        <f t="shared" si="210"/>
        <v>1966.65</v>
      </c>
      <c r="R302" s="7">
        <f t="shared" si="210"/>
        <v>581.94000000000005</v>
      </c>
      <c r="S302" s="7">
        <f t="shared" si="210"/>
        <v>2323.7399999999998</v>
      </c>
      <c r="T302" s="7">
        <f t="shared" si="210"/>
        <v>-7641.85</v>
      </c>
      <c r="U302" s="7">
        <f t="shared" si="210"/>
        <v>1922.17</v>
      </c>
      <c r="V302" s="7">
        <f t="shared" si="210"/>
        <v>1368.68</v>
      </c>
      <c r="W302" s="63">
        <f t="shared" si="210"/>
        <v>3105.66</v>
      </c>
      <c r="X302" s="63">
        <f t="shared" si="210"/>
        <v>-1075.55</v>
      </c>
      <c r="Y302" s="63">
        <f t="shared" si="210"/>
        <v>1197.01</v>
      </c>
      <c r="Z302" s="63">
        <f t="shared" si="210"/>
        <v>-279.33999999999997</v>
      </c>
      <c r="AA302" s="63">
        <f t="shared" si="210"/>
        <v>6199.07</v>
      </c>
      <c r="AB302" s="63">
        <f t="shared" si="210"/>
        <v>9968.8999999999978</v>
      </c>
      <c r="AC302" s="63">
        <f t="shared" si="210"/>
        <v>1580.81</v>
      </c>
      <c r="AD302" s="63">
        <f t="shared" si="210"/>
        <v>-1449.69</v>
      </c>
      <c r="AE302" s="63">
        <f t="shared" si="210"/>
        <v>2354.85</v>
      </c>
      <c r="AF302" s="63">
        <f t="shared" si="210"/>
        <v>9071.44</v>
      </c>
      <c r="AG302" s="63">
        <f t="shared" si="210"/>
        <v>-39.68</v>
      </c>
      <c r="AH302" s="63">
        <f t="shared" si="210"/>
        <v>311.60000000000002</v>
      </c>
      <c r="AI302" s="63">
        <f t="shared" si="210"/>
        <v>6870.75</v>
      </c>
      <c r="AJ302" s="63">
        <f t="shared" si="210"/>
        <v>178.66</v>
      </c>
      <c r="AK302" s="63">
        <f t="shared" si="210"/>
        <v>1052.1199999999999</v>
      </c>
      <c r="AL302" s="63">
        <f t="shared" si="210"/>
        <v>1265.53</v>
      </c>
      <c r="AM302" s="63">
        <f t="shared" si="210"/>
        <v>3492.77</v>
      </c>
      <c r="AN302" s="63">
        <f t="shared" si="210"/>
        <v>14312.69</v>
      </c>
      <c r="AO302" s="63">
        <f t="shared" si="210"/>
        <v>39001.85</v>
      </c>
      <c r="AP302" s="63">
        <f t="shared" si="210"/>
        <v>1145.2</v>
      </c>
      <c r="AQ302" s="63">
        <f t="shared" si="210"/>
        <v>7260.09</v>
      </c>
      <c r="AR302" s="63">
        <f t="shared" si="210"/>
        <v>-1965.08</v>
      </c>
      <c r="AS302" s="63">
        <f t="shared" si="210"/>
        <v>1347.28</v>
      </c>
      <c r="AT302" s="63">
        <f t="shared" si="210"/>
        <v>975.25</v>
      </c>
      <c r="AU302" s="63">
        <f t="shared" ref="AU302:BO302" si="211">SUM(AU299:AU301)</f>
        <v>4938.62</v>
      </c>
      <c r="AV302" s="63">
        <f t="shared" si="211"/>
        <v>2866.43</v>
      </c>
      <c r="AW302" s="63">
        <f t="shared" si="211"/>
        <v>5921.3200000000006</v>
      </c>
      <c r="AX302" s="63">
        <f t="shared" si="211"/>
        <v>1145.68</v>
      </c>
      <c r="AY302" s="63">
        <f t="shared" si="211"/>
        <v>1492.46</v>
      </c>
      <c r="AZ302" s="63">
        <f t="shared" si="211"/>
        <v>642.88</v>
      </c>
      <c r="BA302" s="63">
        <f t="shared" si="211"/>
        <v>8401.58</v>
      </c>
      <c r="BB302" s="63">
        <f t="shared" si="211"/>
        <v>34171.71</v>
      </c>
      <c r="BC302" s="63">
        <f t="shared" si="211"/>
        <v>2010.59</v>
      </c>
      <c r="BD302" s="63">
        <f t="shared" si="211"/>
        <v>1363.99</v>
      </c>
      <c r="BE302" s="63">
        <f t="shared" si="211"/>
        <v>-1004.27</v>
      </c>
      <c r="BF302" s="63">
        <f t="shared" si="211"/>
        <v>5257.44</v>
      </c>
      <c r="BG302" s="63">
        <f t="shared" si="211"/>
        <v>18609.16</v>
      </c>
      <c r="BH302" s="63">
        <f t="shared" si="211"/>
        <v>5393.44</v>
      </c>
      <c r="BI302" s="63">
        <f t="shared" si="211"/>
        <v>3620.76</v>
      </c>
      <c r="BJ302" s="63">
        <f t="shared" si="211"/>
        <v>0</v>
      </c>
      <c r="BK302" s="63">
        <f t="shared" si="211"/>
        <v>0</v>
      </c>
      <c r="BL302" s="63">
        <f t="shared" si="211"/>
        <v>0</v>
      </c>
      <c r="BM302" s="63">
        <f t="shared" si="211"/>
        <v>0</v>
      </c>
      <c r="BN302" s="63">
        <f t="shared" si="211"/>
        <v>0</v>
      </c>
      <c r="BO302" s="63">
        <f t="shared" si="211"/>
        <v>35251.11</v>
      </c>
    </row>
    <row r="303" spans="2:67" x14ac:dyDescent="0.2">
      <c r="B303" s="3" t="s">
        <v>399</v>
      </c>
      <c r="C303" s="23">
        <v>6517.4</v>
      </c>
      <c r="D303" s="24">
        <v>-2935.63</v>
      </c>
      <c r="E303" s="24">
        <v>20855.810000000001</v>
      </c>
      <c r="F303" s="24">
        <v>-13915.3</v>
      </c>
      <c r="G303" s="24">
        <v>2887.88</v>
      </c>
      <c r="H303" s="24">
        <v>2595.79</v>
      </c>
      <c r="I303" s="24">
        <v>2365.9</v>
      </c>
      <c r="J303" s="24">
        <v>-96.24</v>
      </c>
      <c r="K303" s="24">
        <v>886.36</v>
      </c>
      <c r="L303" s="24">
        <v>3528.83</v>
      </c>
      <c r="M303" s="24">
        <v>6323.37</v>
      </c>
      <c r="N303" s="24">
        <v>3854.77</v>
      </c>
      <c r="O303" s="24">
        <f>SUBTOTAL(9,C303:N303)</f>
        <v>32868.94</v>
      </c>
      <c r="P303" s="24">
        <v>2587.6</v>
      </c>
      <c r="Q303" s="24">
        <v>8507.99</v>
      </c>
      <c r="R303" s="24">
        <v>-627.79</v>
      </c>
      <c r="S303" s="24">
        <v>1896.13</v>
      </c>
      <c r="T303" s="24">
        <v>5089.01</v>
      </c>
      <c r="U303" s="24">
        <v>5188.8599999999997</v>
      </c>
      <c r="V303" s="24">
        <v>1116.69</v>
      </c>
      <c r="W303" s="20">
        <v>1102.76</v>
      </c>
      <c r="X303" s="20">
        <v>1400.03</v>
      </c>
      <c r="Y303" s="83">
        <v>1969.81</v>
      </c>
      <c r="Z303" s="83">
        <v>5623.93</v>
      </c>
      <c r="AA303" s="83">
        <v>6643.58</v>
      </c>
      <c r="AB303" s="8">
        <f>SUM(P303:AA303)</f>
        <v>40498.600000000006</v>
      </c>
      <c r="AC303" s="24">
        <v>3936.99</v>
      </c>
      <c r="AD303" s="24">
        <v>-1306.24</v>
      </c>
      <c r="AE303" s="24">
        <v>1928.36</v>
      </c>
      <c r="AF303" s="24">
        <v>3408.3</v>
      </c>
      <c r="AG303" s="24">
        <v>1461.82</v>
      </c>
      <c r="AH303" s="24">
        <v>3367.84</v>
      </c>
      <c r="AI303" s="24">
        <v>6558.22</v>
      </c>
      <c r="AJ303" s="20">
        <v>32056.31</v>
      </c>
      <c r="AK303" s="20">
        <v>7044.12</v>
      </c>
      <c r="AL303" s="83">
        <v>4751.38</v>
      </c>
      <c r="AM303" s="83">
        <v>3328.25</v>
      </c>
      <c r="AN303" s="83">
        <v>3495.59</v>
      </c>
      <c r="AO303" s="8">
        <f>SUM(AC303:AN303)</f>
        <v>70030.94</v>
      </c>
      <c r="AP303" s="24">
        <v>2557.09</v>
      </c>
      <c r="AQ303" s="24">
        <v>856.72</v>
      </c>
      <c r="AR303" s="24">
        <f>VLOOKUP(B303,'[1]Sheet1 (2)'!$B$2:$C$397,2,0)</f>
        <v>1406.79</v>
      </c>
      <c r="AS303" s="24">
        <f>VLOOKUP(B303,'[2]Sheet1 (2)'!$B$2:$C$404,2,0)</f>
        <v>1653.45</v>
      </c>
      <c r="AT303" s="24">
        <v>3248.17</v>
      </c>
      <c r="AU303" s="24">
        <v>3584.46</v>
      </c>
      <c r="AV303" s="24">
        <v>744.71</v>
      </c>
      <c r="AW303" s="20">
        <v>2382.8200000000002</v>
      </c>
      <c r="AX303" s="20">
        <v>3335.87</v>
      </c>
      <c r="AY303" s="83">
        <v>2344.4499999999998</v>
      </c>
      <c r="AZ303" s="83">
        <v>4337.3900000000003</v>
      </c>
      <c r="BA303" s="83">
        <v>3830.23</v>
      </c>
      <c r="BB303" s="8">
        <f>SUM(AP303:BA303)</f>
        <v>30282.149999999998</v>
      </c>
      <c r="BC303" s="24">
        <v>3075.68</v>
      </c>
      <c r="BD303" s="24">
        <v>5300.37</v>
      </c>
      <c r="BE303" s="24">
        <v>4725.84</v>
      </c>
      <c r="BF303" s="24">
        <v>3276.56</v>
      </c>
      <c r="BG303" s="24">
        <v>1032.92</v>
      </c>
      <c r="BH303" s="24">
        <v>3630.39</v>
      </c>
      <c r="BI303" s="24">
        <v>8105.6</v>
      </c>
      <c r="BN303" s="83"/>
      <c r="BO303" s="8">
        <f>SUM(BC303:BN303)</f>
        <v>29147.360000000001</v>
      </c>
    </row>
    <row r="304" spans="2:67" x14ac:dyDescent="0.2">
      <c r="B304" s="3" t="s">
        <v>400</v>
      </c>
      <c r="C304" s="23"/>
      <c r="F304" s="24">
        <v>17547.2</v>
      </c>
      <c r="G304" s="24">
        <v>0</v>
      </c>
      <c r="H304" s="24">
        <v>0</v>
      </c>
      <c r="I304" s="24">
        <v>0</v>
      </c>
      <c r="J304" s="24">
        <v>4410.91</v>
      </c>
      <c r="K304" s="24">
        <v>0</v>
      </c>
      <c r="L304" s="24">
        <v>0</v>
      </c>
      <c r="M304" s="24">
        <v>932.96</v>
      </c>
      <c r="N304" s="24">
        <v>5379.37</v>
      </c>
      <c r="O304" s="24">
        <f>SUBTOTAL(9,C304:N304)</f>
        <v>28270.44</v>
      </c>
      <c r="P304" s="24">
        <v>-1440.09</v>
      </c>
      <c r="Q304" s="24">
        <v>2002.55</v>
      </c>
      <c r="R304" s="24">
        <v>3403.79</v>
      </c>
      <c r="S304" s="24">
        <v>135.38</v>
      </c>
      <c r="T304" s="24">
        <v>-135.38</v>
      </c>
      <c r="U304" s="24">
        <v>-3116.93</v>
      </c>
      <c r="V304" s="24">
        <v>-181.07</v>
      </c>
      <c r="W304" s="20">
        <v>13479.4</v>
      </c>
      <c r="X304" s="20">
        <v>25540.45</v>
      </c>
      <c r="Y304" s="83">
        <v>3564.51</v>
      </c>
      <c r="Z304" s="83">
        <v>7.13</v>
      </c>
      <c r="AA304" s="83">
        <v>10401.32</v>
      </c>
      <c r="AB304" s="8">
        <f>SUM(P304:AA304)</f>
        <v>53661.06</v>
      </c>
      <c r="AC304" s="24">
        <v>-2286.8000000000002</v>
      </c>
      <c r="AD304" s="24">
        <v>0</v>
      </c>
      <c r="AE304" s="24">
        <v>-4454.1000000000004</v>
      </c>
      <c r="AF304" s="24">
        <v>-23.05</v>
      </c>
      <c r="AG304" s="24">
        <v>491.76</v>
      </c>
      <c r="AH304" s="24">
        <v>588.79</v>
      </c>
      <c r="AI304" s="24">
        <v>-737.64</v>
      </c>
      <c r="AJ304" s="20">
        <v>101.24</v>
      </c>
      <c r="AK304" s="20">
        <v>-541.33000000000004</v>
      </c>
      <c r="AL304" s="83">
        <v>940.34</v>
      </c>
      <c r="AM304" s="83">
        <v>0</v>
      </c>
      <c r="AN304" s="83">
        <v>5975.05</v>
      </c>
      <c r="AO304" s="8">
        <f>SUM(AC304:AN304)</f>
        <v>54.259999999999309</v>
      </c>
      <c r="AP304" s="24">
        <v>-5866.91</v>
      </c>
      <c r="AQ304" s="24">
        <v>-67.180000000000007</v>
      </c>
      <c r="AR304" s="24">
        <f>VLOOKUP(B304,'[1]Sheet1 (2)'!$B$2:$C$397,2,0)</f>
        <v>24.4</v>
      </c>
      <c r="AS304" s="24">
        <f>VLOOKUP(B304,'[2]Sheet1 (2)'!$B$2:$C$404,2,0)</f>
        <v>-59.11</v>
      </c>
      <c r="AT304" s="24">
        <v>436.44</v>
      </c>
      <c r="AU304" s="24">
        <v>0</v>
      </c>
      <c r="AV304" s="24">
        <v>371.02</v>
      </c>
      <c r="AW304" s="20">
        <v>29631.17</v>
      </c>
      <c r="AX304" s="20">
        <v>54.75</v>
      </c>
      <c r="AY304" s="83">
        <v>225.89</v>
      </c>
      <c r="AZ304" s="83">
        <v>1242.8699999999999</v>
      </c>
      <c r="BA304" s="83">
        <v>1901.65</v>
      </c>
      <c r="BB304" s="8">
        <f>SUM(AP304:BA304)</f>
        <v>27894.989999999998</v>
      </c>
      <c r="BC304" s="24">
        <v>0</v>
      </c>
      <c r="BD304" s="24">
        <v>0</v>
      </c>
      <c r="BE304" s="24">
        <v>0</v>
      </c>
      <c r="BF304" s="24">
        <v>687.54</v>
      </c>
      <c r="BG304" s="24">
        <v>116.53</v>
      </c>
      <c r="BH304" s="24">
        <v>403.9</v>
      </c>
      <c r="BI304" s="24">
        <v>2570.1</v>
      </c>
      <c r="BN304" s="83"/>
      <c r="BO304" s="8">
        <f>SUM(BC304:BN304)</f>
        <v>3778.0699999999997</v>
      </c>
    </row>
    <row r="305" spans="2:67" x14ac:dyDescent="0.2">
      <c r="B305" s="6" t="s">
        <v>1560</v>
      </c>
      <c r="C305" s="7">
        <f t="shared" ref="C305:N305" si="212">SUM(C303:C304)</f>
        <v>6517.4</v>
      </c>
      <c r="D305" s="7">
        <f t="shared" si="212"/>
        <v>-2935.63</v>
      </c>
      <c r="E305" s="7">
        <f t="shared" si="212"/>
        <v>20855.810000000001</v>
      </c>
      <c r="F305" s="7">
        <f t="shared" si="212"/>
        <v>3631.9000000000015</v>
      </c>
      <c r="G305" s="7">
        <f t="shared" si="212"/>
        <v>2887.88</v>
      </c>
      <c r="H305" s="7">
        <f t="shared" si="212"/>
        <v>2595.79</v>
      </c>
      <c r="I305" s="7">
        <f t="shared" si="212"/>
        <v>2365.9</v>
      </c>
      <c r="J305" s="7">
        <f t="shared" si="212"/>
        <v>4314.67</v>
      </c>
      <c r="K305" s="7">
        <f t="shared" si="212"/>
        <v>886.36</v>
      </c>
      <c r="L305" s="7">
        <f t="shared" si="212"/>
        <v>3528.83</v>
      </c>
      <c r="M305" s="7">
        <f t="shared" si="212"/>
        <v>7256.33</v>
      </c>
      <c r="N305" s="7">
        <f t="shared" si="212"/>
        <v>9234.14</v>
      </c>
      <c r="O305" s="7">
        <f>SUM(C305:N305)</f>
        <v>61139.380000000005</v>
      </c>
      <c r="P305" s="7">
        <f t="shared" ref="P305:AT305" si="213">SUM(P303:P304)</f>
        <v>1147.51</v>
      </c>
      <c r="Q305" s="7">
        <f t="shared" si="213"/>
        <v>10510.539999999999</v>
      </c>
      <c r="R305" s="7">
        <f t="shared" si="213"/>
        <v>2776</v>
      </c>
      <c r="S305" s="7">
        <f t="shared" si="213"/>
        <v>2031.5100000000002</v>
      </c>
      <c r="T305" s="7">
        <f t="shared" si="213"/>
        <v>4953.63</v>
      </c>
      <c r="U305" s="7">
        <f t="shared" si="213"/>
        <v>2071.9299999999998</v>
      </c>
      <c r="V305" s="7">
        <f t="shared" si="213"/>
        <v>935.62000000000012</v>
      </c>
      <c r="W305" s="63">
        <f t="shared" si="213"/>
        <v>14582.16</v>
      </c>
      <c r="X305" s="63">
        <f t="shared" si="213"/>
        <v>26940.48</v>
      </c>
      <c r="Y305" s="63">
        <f t="shared" si="213"/>
        <v>5534.32</v>
      </c>
      <c r="Z305" s="63">
        <f t="shared" si="213"/>
        <v>5631.06</v>
      </c>
      <c r="AA305" s="63">
        <f t="shared" si="213"/>
        <v>17044.900000000001</v>
      </c>
      <c r="AB305" s="63">
        <f t="shared" si="213"/>
        <v>94159.66</v>
      </c>
      <c r="AC305" s="63">
        <f t="shared" si="213"/>
        <v>1650.1899999999996</v>
      </c>
      <c r="AD305" s="63">
        <f t="shared" si="213"/>
        <v>-1306.24</v>
      </c>
      <c r="AE305" s="63">
        <f t="shared" si="213"/>
        <v>-2525.7400000000007</v>
      </c>
      <c r="AF305" s="63">
        <f t="shared" si="213"/>
        <v>3385.25</v>
      </c>
      <c r="AG305" s="63">
        <f t="shared" si="213"/>
        <v>1953.58</v>
      </c>
      <c r="AH305" s="63">
        <f t="shared" si="213"/>
        <v>3956.63</v>
      </c>
      <c r="AI305" s="63">
        <f t="shared" si="213"/>
        <v>5820.58</v>
      </c>
      <c r="AJ305" s="63">
        <f t="shared" si="213"/>
        <v>32157.550000000003</v>
      </c>
      <c r="AK305" s="63">
        <f t="shared" si="213"/>
        <v>6502.79</v>
      </c>
      <c r="AL305" s="63">
        <f t="shared" si="213"/>
        <v>5691.72</v>
      </c>
      <c r="AM305" s="63">
        <f t="shared" si="213"/>
        <v>3328.25</v>
      </c>
      <c r="AN305" s="63">
        <f t="shared" si="213"/>
        <v>9470.64</v>
      </c>
      <c r="AO305" s="63">
        <f t="shared" si="213"/>
        <v>70085.2</v>
      </c>
      <c r="AP305" s="63">
        <f t="shared" si="213"/>
        <v>-3309.8199999999997</v>
      </c>
      <c r="AQ305" s="63">
        <f t="shared" si="213"/>
        <v>789.54</v>
      </c>
      <c r="AR305" s="63">
        <f t="shared" si="213"/>
        <v>1431.19</v>
      </c>
      <c r="AS305" s="63">
        <f t="shared" si="213"/>
        <v>1594.3400000000001</v>
      </c>
      <c r="AT305" s="63">
        <f t="shared" si="213"/>
        <v>3684.61</v>
      </c>
      <c r="AU305" s="63">
        <f t="shared" ref="AU305:BO305" si="214">SUM(AU303:AU304)</f>
        <v>3584.46</v>
      </c>
      <c r="AV305" s="63">
        <f t="shared" si="214"/>
        <v>1115.73</v>
      </c>
      <c r="AW305" s="63">
        <f t="shared" si="214"/>
        <v>32013.989999999998</v>
      </c>
      <c r="AX305" s="63">
        <f t="shared" si="214"/>
        <v>3390.62</v>
      </c>
      <c r="AY305" s="63">
        <f t="shared" si="214"/>
        <v>2570.3399999999997</v>
      </c>
      <c r="AZ305" s="63">
        <f t="shared" si="214"/>
        <v>5580.26</v>
      </c>
      <c r="BA305" s="63">
        <f t="shared" si="214"/>
        <v>5731.88</v>
      </c>
      <c r="BB305" s="63">
        <f t="shared" si="214"/>
        <v>58177.14</v>
      </c>
      <c r="BC305" s="63">
        <f t="shared" si="214"/>
        <v>3075.68</v>
      </c>
      <c r="BD305" s="63">
        <f t="shared" si="214"/>
        <v>5300.37</v>
      </c>
      <c r="BE305" s="63">
        <f t="shared" si="214"/>
        <v>4725.84</v>
      </c>
      <c r="BF305" s="63">
        <f t="shared" si="214"/>
        <v>3964.1</v>
      </c>
      <c r="BG305" s="63">
        <f t="shared" si="214"/>
        <v>1149.45</v>
      </c>
      <c r="BH305" s="63">
        <f t="shared" si="214"/>
        <v>4034.29</v>
      </c>
      <c r="BI305" s="63">
        <f t="shared" si="214"/>
        <v>10675.7</v>
      </c>
      <c r="BJ305" s="63">
        <f t="shared" si="214"/>
        <v>0</v>
      </c>
      <c r="BK305" s="63">
        <f t="shared" si="214"/>
        <v>0</v>
      </c>
      <c r="BL305" s="63">
        <f t="shared" si="214"/>
        <v>0</v>
      </c>
      <c r="BM305" s="63">
        <f t="shared" si="214"/>
        <v>0</v>
      </c>
      <c r="BN305" s="63">
        <f t="shared" si="214"/>
        <v>0</v>
      </c>
      <c r="BO305" s="63">
        <f t="shared" si="214"/>
        <v>32925.43</v>
      </c>
    </row>
    <row r="306" spans="2:67" x14ac:dyDescent="0.2">
      <c r="B306" s="3" t="s">
        <v>402</v>
      </c>
      <c r="C306" s="23">
        <v>139.75</v>
      </c>
      <c r="D306" s="24">
        <v>0</v>
      </c>
      <c r="E306" s="24">
        <v>0</v>
      </c>
      <c r="F306" s="24">
        <v>0</v>
      </c>
      <c r="G306" s="24">
        <v>0</v>
      </c>
      <c r="H306" s="24">
        <v>240.24</v>
      </c>
      <c r="I306" s="24">
        <v>0</v>
      </c>
      <c r="J306" s="24">
        <v>67.34</v>
      </c>
      <c r="K306" s="24">
        <v>0</v>
      </c>
      <c r="L306" s="24">
        <v>0</v>
      </c>
      <c r="M306" s="24">
        <v>0</v>
      </c>
      <c r="N306" s="24">
        <v>158.34</v>
      </c>
      <c r="O306" s="24">
        <f>SUBTOTAL(9,C306:N306)</f>
        <v>605.67000000000007</v>
      </c>
      <c r="P306" s="24">
        <v>160.34</v>
      </c>
      <c r="Q306" s="24">
        <v>0</v>
      </c>
      <c r="R306" s="24">
        <v>138.63999999999999</v>
      </c>
      <c r="S306" s="24">
        <v>-105.44</v>
      </c>
      <c r="T306" s="24">
        <v>-33.200000000000003</v>
      </c>
      <c r="U306" s="24">
        <v>33.57</v>
      </c>
      <c r="V306" s="24">
        <v>-33.57</v>
      </c>
      <c r="W306" s="20">
        <v>194.56</v>
      </c>
      <c r="X306" s="20">
        <v>30.78</v>
      </c>
      <c r="Y306" s="83">
        <v>29.6</v>
      </c>
      <c r="Z306" s="83">
        <v>-29.6</v>
      </c>
      <c r="AA306" s="83">
        <v>0</v>
      </c>
      <c r="AB306" s="8">
        <f>SUM(P306:AA306)</f>
        <v>385.68000000000006</v>
      </c>
      <c r="AC306" s="24">
        <v>0</v>
      </c>
      <c r="AD306" s="24">
        <v>0</v>
      </c>
      <c r="AE306" s="24">
        <v>0</v>
      </c>
      <c r="AF306" s="24">
        <v>0</v>
      </c>
      <c r="AG306" s="24">
        <v>0</v>
      </c>
      <c r="AH306" s="24">
        <v>0</v>
      </c>
      <c r="AI306" s="24">
        <v>0</v>
      </c>
      <c r="AJ306" s="20">
        <v>0</v>
      </c>
      <c r="AK306" s="20">
        <v>0</v>
      </c>
      <c r="AL306" s="83">
        <v>0</v>
      </c>
      <c r="AM306" s="83">
        <v>0</v>
      </c>
      <c r="AN306" s="83">
        <v>0</v>
      </c>
      <c r="AO306" s="8">
        <f>SUM(AC306:AN306)</f>
        <v>0</v>
      </c>
      <c r="AP306" s="24">
        <v>0</v>
      </c>
      <c r="AQ306" s="24">
        <v>0</v>
      </c>
      <c r="AR306" s="24">
        <v>0</v>
      </c>
      <c r="AS306" s="24">
        <v>0</v>
      </c>
      <c r="AT306" s="24">
        <v>0</v>
      </c>
      <c r="AU306" s="24">
        <v>0</v>
      </c>
      <c r="AV306" s="24">
        <v>0</v>
      </c>
      <c r="AW306" s="20">
        <v>0</v>
      </c>
      <c r="AX306" s="20">
        <v>0</v>
      </c>
      <c r="AY306" s="83">
        <v>0</v>
      </c>
      <c r="AZ306" s="83">
        <v>0</v>
      </c>
      <c r="BA306" s="83">
        <v>0</v>
      </c>
      <c r="BB306" s="8">
        <f>SUM(AP306:BA306)</f>
        <v>0</v>
      </c>
      <c r="BC306" s="24">
        <v>0</v>
      </c>
      <c r="BD306" s="24">
        <v>0</v>
      </c>
      <c r="BE306" s="24">
        <v>0</v>
      </c>
      <c r="BF306" s="24">
        <v>0</v>
      </c>
      <c r="BG306" s="24">
        <v>0</v>
      </c>
      <c r="BH306" s="24">
        <v>0</v>
      </c>
      <c r="BI306" s="24">
        <v>0</v>
      </c>
      <c r="BN306" s="83"/>
      <c r="BO306" s="8">
        <f>SUM(BC306:BN306)</f>
        <v>0</v>
      </c>
    </row>
    <row r="307" spans="2:67" x14ac:dyDescent="0.2">
      <c r="B307" s="6" t="s">
        <v>1561</v>
      </c>
      <c r="C307" s="7">
        <f t="shared" ref="C307:N307" si="215">SUM(C306)</f>
        <v>139.75</v>
      </c>
      <c r="D307" s="7">
        <f t="shared" si="215"/>
        <v>0</v>
      </c>
      <c r="E307" s="7">
        <f t="shared" si="215"/>
        <v>0</v>
      </c>
      <c r="F307" s="7">
        <f t="shared" si="215"/>
        <v>0</v>
      </c>
      <c r="G307" s="7">
        <f t="shared" si="215"/>
        <v>0</v>
      </c>
      <c r="H307" s="7">
        <f t="shared" si="215"/>
        <v>240.24</v>
      </c>
      <c r="I307" s="7">
        <f t="shared" si="215"/>
        <v>0</v>
      </c>
      <c r="J307" s="7">
        <f t="shared" si="215"/>
        <v>67.34</v>
      </c>
      <c r="K307" s="7">
        <f t="shared" si="215"/>
        <v>0</v>
      </c>
      <c r="L307" s="7">
        <f t="shared" si="215"/>
        <v>0</v>
      </c>
      <c r="M307" s="7">
        <f t="shared" si="215"/>
        <v>0</v>
      </c>
      <c r="N307" s="7">
        <f t="shared" si="215"/>
        <v>158.34</v>
      </c>
      <c r="O307" s="7">
        <f>SUM(C307:N307)</f>
        <v>605.67000000000007</v>
      </c>
      <c r="P307" s="7">
        <f t="shared" ref="P307:AT307" si="216">SUM(P306)</f>
        <v>160.34</v>
      </c>
      <c r="Q307" s="7">
        <f t="shared" si="216"/>
        <v>0</v>
      </c>
      <c r="R307" s="7">
        <f t="shared" si="216"/>
        <v>138.63999999999999</v>
      </c>
      <c r="S307" s="7">
        <f t="shared" si="216"/>
        <v>-105.44</v>
      </c>
      <c r="T307" s="7">
        <f t="shared" si="216"/>
        <v>-33.200000000000003</v>
      </c>
      <c r="U307" s="7">
        <f t="shared" si="216"/>
        <v>33.57</v>
      </c>
      <c r="V307" s="7">
        <f t="shared" si="216"/>
        <v>-33.57</v>
      </c>
      <c r="W307" s="63">
        <f t="shared" si="216"/>
        <v>194.56</v>
      </c>
      <c r="X307" s="63">
        <f t="shared" si="216"/>
        <v>30.78</v>
      </c>
      <c r="Y307" s="63">
        <f t="shared" si="216"/>
        <v>29.6</v>
      </c>
      <c r="Z307" s="63">
        <f t="shared" si="216"/>
        <v>-29.6</v>
      </c>
      <c r="AA307" s="63">
        <f t="shared" si="216"/>
        <v>0</v>
      </c>
      <c r="AB307" s="63">
        <f t="shared" si="216"/>
        <v>385.68000000000006</v>
      </c>
      <c r="AC307" s="63">
        <f t="shared" si="216"/>
        <v>0</v>
      </c>
      <c r="AD307" s="63">
        <f t="shared" si="216"/>
        <v>0</v>
      </c>
      <c r="AE307" s="63">
        <f t="shared" si="216"/>
        <v>0</v>
      </c>
      <c r="AF307" s="63">
        <f t="shared" si="216"/>
        <v>0</v>
      </c>
      <c r="AG307" s="63">
        <f t="shared" si="216"/>
        <v>0</v>
      </c>
      <c r="AH307" s="63">
        <f t="shared" si="216"/>
        <v>0</v>
      </c>
      <c r="AI307" s="63">
        <f t="shared" si="216"/>
        <v>0</v>
      </c>
      <c r="AJ307" s="63">
        <f t="shared" si="216"/>
        <v>0</v>
      </c>
      <c r="AK307" s="63">
        <f t="shared" si="216"/>
        <v>0</v>
      </c>
      <c r="AL307" s="63">
        <f t="shared" si="216"/>
        <v>0</v>
      </c>
      <c r="AM307" s="63">
        <f t="shared" si="216"/>
        <v>0</v>
      </c>
      <c r="AN307" s="63">
        <f t="shared" si="216"/>
        <v>0</v>
      </c>
      <c r="AO307" s="63">
        <f t="shared" si="216"/>
        <v>0</v>
      </c>
      <c r="AP307" s="63">
        <f t="shared" si="216"/>
        <v>0</v>
      </c>
      <c r="AQ307" s="63">
        <f t="shared" si="216"/>
        <v>0</v>
      </c>
      <c r="AR307" s="63">
        <f t="shared" si="216"/>
        <v>0</v>
      </c>
      <c r="AS307" s="63">
        <f t="shared" si="216"/>
        <v>0</v>
      </c>
      <c r="AT307" s="63">
        <f t="shared" si="216"/>
        <v>0</v>
      </c>
      <c r="AU307" s="63">
        <f t="shared" ref="AU307:BO307" si="217">SUM(AU306)</f>
        <v>0</v>
      </c>
      <c r="AV307" s="63">
        <f t="shared" si="217"/>
        <v>0</v>
      </c>
      <c r="AW307" s="63">
        <f t="shared" si="217"/>
        <v>0</v>
      </c>
      <c r="AX307" s="63">
        <f t="shared" si="217"/>
        <v>0</v>
      </c>
      <c r="AY307" s="63">
        <f t="shared" si="217"/>
        <v>0</v>
      </c>
      <c r="AZ307" s="63">
        <f t="shared" si="217"/>
        <v>0</v>
      </c>
      <c r="BA307" s="63">
        <f t="shared" si="217"/>
        <v>0</v>
      </c>
      <c r="BB307" s="63">
        <f t="shared" si="217"/>
        <v>0</v>
      </c>
      <c r="BC307" s="63">
        <f t="shared" si="217"/>
        <v>0</v>
      </c>
      <c r="BD307" s="63">
        <f t="shared" si="217"/>
        <v>0</v>
      </c>
      <c r="BE307" s="63">
        <f t="shared" si="217"/>
        <v>0</v>
      </c>
      <c r="BF307" s="63">
        <f t="shared" si="217"/>
        <v>0</v>
      </c>
      <c r="BG307" s="63">
        <f t="shared" si="217"/>
        <v>0</v>
      </c>
      <c r="BH307" s="63">
        <f t="shared" si="217"/>
        <v>0</v>
      </c>
      <c r="BI307" s="63">
        <f t="shared" si="217"/>
        <v>0</v>
      </c>
      <c r="BJ307" s="63">
        <f t="shared" si="217"/>
        <v>0</v>
      </c>
      <c r="BK307" s="63">
        <f t="shared" si="217"/>
        <v>0</v>
      </c>
      <c r="BL307" s="63">
        <f t="shared" si="217"/>
        <v>0</v>
      </c>
      <c r="BM307" s="63">
        <f t="shared" si="217"/>
        <v>0</v>
      </c>
      <c r="BN307" s="63">
        <f t="shared" si="217"/>
        <v>0</v>
      </c>
      <c r="BO307" s="63">
        <f t="shared" si="217"/>
        <v>0</v>
      </c>
    </row>
    <row r="308" spans="2:67" x14ac:dyDescent="0.2">
      <c r="B308" s="3" t="s">
        <v>404</v>
      </c>
      <c r="C308" s="23">
        <v>1539.76</v>
      </c>
      <c r="D308" s="24">
        <v>1054.6199999999999</v>
      </c>
      <c r="E308" s="24">
        <v>977.44</v>
      </c>
      <c r="F308" s="24">
        <v>2311.35</v>
      </c>
      <c r="G308" s="24">
        <v>810.49</v>
      </c>
      <c r="H308" s="24">
        <v>2072.63</v>
      </c>
      <c r="I308" s="24">
        <v>2615.1999999999998</v>
      </c>
      <c r="J308" s="24">
        <v>600.05999999999995</v>
      </c>
      <c r="K308" s="24">
        <v>3301.08</v>
      </c>
      <c r="L308" s="24">
        <v>919.31</v>
      </c>
      <c r="M308" s="24">
        <v>2375.38</v>
      </c>
      <c r="N308" s="24">
        <v>2537.5500000000002</v>
      </c>
      <c r="O308" s="24">
        <f t="shared" ref="O308:O313" si="218">SUBTOTAL(9,C308:N308)</f>
        <v>21114.87</v>
      </c>
      <c r="P308" s="24">
        <v>1630.65</v>
      </c>
      <c r="Q308" s="24">
        <v>2214.4699999999998</v>
      </c>
      <c r="R308" s="24">
        <v>1349.14</v>
      </c>
      <c r="S308" s="24">
        <v>2047.52</v>
      </c>
      <c r="T308" s="24">
        <v>845.66</v>
      </c>
      <c r="U308" s="24">
        <v>1726.03</v>
      </c>
      <c r="V308" s="24">
        <v>3373.8</v>
      </c>
      <c r="W308" s="20">
        <v>167.61</v>
      </c>
      <c r="X308" s="20">
        <v>1241.56</v>
      </c>
      <c r="Y308" s="83">
        <v>1676.66</v>
      </c>
      <c r="Z308" s="83">
        <v>1825.66</v>
      </c>
      <c r="AA308" s="83">
        <v>1823.43</v>
      </c>
      <c r="AB308" s="8">
        <f t="shared" ref="AB308:AB315" si="219">SUM(P308:AA308)</f>
        <v>19922.190000000002</v>
      </c>
      <c r="AC308" s="24">
        <v>1585.43</v>
      </c>
      <c r="AD308" s="24">
        <v>1516.61</v>
      </c>
      <c r="AE308" s="24">
        <v>255.62</v>
      </c>
      <c r="AF308" s="24">
        <v>2689.5</v>
      </c>
      <c r="AG308" s="24">
        <v>228.09</v>
      </c>
      <c r="AH308" s="24">
        <v>1334.72</v>
      </c>
      <c r="AI308" s="24">
        <v>1955.77</v>
      </c>
      <c r="AJ308" s="20">
        <v>2593.61</v>
      </c>
      <c r="AK308" s="20">
        <v>1797.79</v>
      </c>
      <c r="AL308" s="83">
        <v>2305.08</v>
      </c>
      <c r="AM308" s="83">
        <v>196.21</v>
      </c>
      <c r="AN308" s="83">
        <v>2286.63</v>
      </c>
      <c r="AO308" s="8">
        <f t="shared" ref="AO308:AO315" si="220">SUM(AC308:AN308)</f>
        <v>18745.060000000001</v>
      </c>
      <c r="AP308" s="24">
        <v>685.07</v>
      </c>
      <c r="AQ308" s="24">
        <v>2694.5</v>
      </c>
      <c r="AR308" s="24">
        <f>VLOOKUP(B308,'[1]Sheet1 (2)'!$B$2:$C$397,2,0)</f>
        <v>2904.74</v>
      </c>
      <c r="AS308" s="24">
        <f>VLOOKUP(B308,'[2]Sheet1 (2)'!$B$2:$C$404,2,0)</f>
        <v>389.98</v>
      </c>
      <c r="AT308" s="24">
        <v>1007.19</v>
      </c>
      <c r="AU308" s="24">
        <v>2036.69</v>
      </c>
      <c r="AV308" s="24">
        <v>2259.65</v>
      </c>
      <c r="AW308" s="20">
        <v>572.16</v>
      </c>
      <c r="AX308" s="20">
        <v>2408.6</v>
      </c>
      <c r="AY308" s="83">
        <v>2083.85</v>
      </c>
      <c r="AZ308" s="83">
        <v>2381.7399999999998</v>
      </c>
      <c r="BA308" s="83">
        <v>1264.6099999999999</v>
      </c>
      <c r="BB308" s="8">
        <f t="shared" ref="BB308:BB315" si="221">SUM(AP308:BA308)</f>
        <v>20688.78</v>
      </c>
      <c r="BC308" s="24">
        <v>2676.42</v>
      </c>
      <c r="BD308" s="24">
        <v>1290.33</v>
      </c>
      <c r="BE308" s="24">
        <v>1938.82</v>
      </c>
      <c r="BF308" s="24">
        <v>1286.3699999999999</v>
      </c>
      <c r="BG308" s="24">
        <v>2371.0700000000002</v>
      </c>
      <c r="BH308" s="24">
        <v>300.39</v>
      </c>
      <c r="BI308" s="24">
        <v>1554.73</v>
      </c>
      <c r="BN308" s="83"/>
      <c r="BO308" s="8">
        <f t="shared" ref="BO308:BO315" si="222">SUM(BC308:BN308)</f>
        <v>11418.13</v>
      </c>
    </row>
    <row r="309" spans="2:67" x14ac:dyDescent="0.2">
      <c r="B309" s="3" t="s">
        <v>405</v>
      </c>
      <c r="C309" s="23">
        <v>2743.74</v>
      </c>
      <c r="D309" s="24">
        <v>23729.65</v>
      </c>
      <c r="E309" s="24">
        <v>19448.330000000002</v>
      </c>
      <c r="F309" s="24">
        <v>17094.23</v>
      </c>
      <c r="G309" s="24">
        <v>12059.25</v>
      </c>
      <c r="H309" s="24">
        <v>34307.1</v>
      </c>
      <c r="I309" s="24">
        <v>19525.3</v>
      </c>
      <c r="J309" s="24">
        <v>21157.52</v>
      </c>
      <c r="K309" s="24">
        <v>22750.1</v>
      </c>
      <c r="L309" s="24">
        <v>23800.29</v>
      </c>
      <c r="M309" s="24">
        <v>28689.57</v>
      </c>
      <c r="N309" s="24">
        <v>59369.91</v>
      </c>
      <c r="O309" s="24">
        <f t="shared" si="218"/>
        <v>284674.99</v>
      </c>
      <c r="P309" s="24">
        <v>-3843.79</v>
      </c>
      <c r="Q309" s="24">
        <v>25746.9</v>
      </c>
      <c r="R309" s="24">
        <v>17332.689999999999</v>
      </c>
      <c r="S309" s="24">
        <v>32806.82</v>
      </c>
      <c r="T309" s="24">
        <v>30268.27</v>
      </c>
      <c r="U309" s="24">
        <v>25908.65</v>
      </c>
      <c r="V309" s="24">
        <v>25376.32</v>
      </c>
      <c r="W309" s="20">
        <v>27817.09</v>
      </c>
      <c r="X309" s="20">
        <v>28252.39</v>
      </c>
      <c r="Y309" s="83">
        <v>34715.33</v>
      </c>
      <c r="Z309" s="83">
        <v>30020.85</v>
      </c>
      <c r="AA309" s="83">
        <v>58070.73</v>
      </c>
      <c r="AB309" s="8">
        <f t="shared" si="219"/>
        <v>332472.25</v>
      </c>
      <c r="AC309" s="24">
        <v>24437.52</v>
      </c>
      <c r="AD309" s="24">
        <v>2720.44</v>
      </c>
      <c r="AE309" s="24">
        <v>20562.16</v>
      </c>
      <c r="AF309" s="24">
        <v>28191.74</v>
      </c>
      <c r="AG309" s="24">
        <v>24918.25</v>
      </c>
      <c r="AH309" s="24">
        <v>27482.11</v>
      </c>
      <c r="AI309" s="24">
        <v>23093.79</v>
      </c>
      <c r="AJ309" s="20">
        <v>26921.52</v>
      </c>
      <c r="AK309" s="20">
        <v>27923.56</v>
      </c>
      <c r="AL309" s="83">
        <v>26043.13</v>
      </c>
      <c r="AM309" s="83">
        <v>29809.84</v>
      </c>
      <c r="AN309" s="83">
        <v>52166.63</v>
      </c>
      <c r="AO309" s="8">
        <f t="shared" si="220"/>
        <v>314270.69</v>
      </c>
      <c r="AP309" s="24">
        <v>-3067.39</v>
      </c>
      <c r="AQ309" s="24">
        <v>27059.84</v>
      </c>
      <c r="AR309" s="24">
        <f>VLOOKUP(B309,'[1]Sheet1 (2)'!$B$2:$C$397,2,0)</f>
        <v>24821.99</v>
      </c>
      <c r="AS309" s="24">
        <f>VLOOKUP(B309,'[2]Sheet1 (2)'!$B$2:$C$404,2,0)</f>
        <v>23348.28</v>
      </c>
      <c r="AT309" s="24">
        <v>20698.34</v>
      </c>
      <c r="AU309" s="24">
        <v>23409.54</v>
      </c>
      <c r="AV309" s="24">
        <v>21749.040000000001</v>
      </c>
      <c r="AW309" s="20">
        <v>22861.75</v>
      </c>
      <c r="AX309" s="20">
        <v>17388.54</v>
      </c>
      <c r="AY309" s="83">
        <v>19684.189999999999</v>
      </c>
      <c r="AZ309" s="83">
        <v>32859.86</v>
      </c>
      <c r="BA309" s="83">
        <v>48699.95</v>
      </c>
      <c r="BB309" s="8">
        <f t="shared" si="221"/>
        <v>279513.93000000005</v>
      </c>
      <c r="BC309" s="24">
        <v>4789.2700000000004</v>
      </c>
      <c r="BD309" s="24">
        <v>18046.95</v>
      </c>
      <c r="BE309" s="24">
        <v>34480.04</v>
      </c>
      <c r="BF309" s="24">
        <v>27369.21</v>
      </c>
      <c r="BG309" s="24">
        <v>19915.27</v>
      </c>
      <c r="BH309" s="24">
        <v>20735.7</v>
      </c>
      <c r="BI309" s="24">
        <v>16670.849999999999</v>
      </c>
      <c r="BN309" s="83"/>
      <c r="BO309" s="8">
        <f t="shared" si="222"/>
        <v>142007.29</v>
      </c>
    </row>
    <row r="310" spans="2:67" x14ac:dyDescent="0.2">
      <c r="B310" s="3" t="s">
        <v>1527</v>
      </c>
      <c r="C310" s="23"/>
      <c r="K310" s="24">
        <v>3978.18</v>
      </c>
      <c r="L310" s="24">
        <v>3899.74</v>
      </c>
      <c r="M310" s="24">
        <v>2939.07</v>
      </c>
      <c r="N310" s="24">
        <v>11477.66</v>
      </c>
      <c r="O310" s="24">
        <f t="shared" si="218"/>
        <v>22294.65</v>
      </c>
      <c r="P310" s="24">
        <v>0</v>
      </c>
      <c r="Q310" s="24">
        <v>0</v>
      </c>
      <c r="R310" s="24">
        <v>0</v>
      </c>
      <c r="S310" s="24">
        <v>0</v>
      </c>
      <c r="T310" s="24">
        <v>0</v>
      </c>
      <c r="U310" s="24">
        <v>0</v>
      </c>
      <c r="V310" s="24">
        <v>0</v>
      </c>
      <c r="W310" s="20">
        <v>0</v>
      </c>
      <c r="X310" s="20">
        <v>15384.88</v>
      </c>
      <c r="Y310" s="83">
        <v>11195.65</v>
      </c>
      <c r="Z310" s="83">
        <v>0</v>
      </c>
      <c r="AA310" s="83">
        <v>0</v>
      </c>
      <c r="AB310" s="8">
        <f t="shared" si="219"/>
        <v>26580.53</v>
      </c>
      <c r="AC310" s="24">
        <v>0</v>
      </c>
      <c r="AD310" s="24">
        <v>0</v>
      </c>
      <c r="AE310" s="24">
        <v>3169.48</v>
      </c>
      <c r="AF310" s="24">
        <v>1991.18</v>
      </c>
      <c r="AG310" s="24">
        <v>-366.57</v>
      </c>
      <c r="AH310" s="24">
        <v>6965.91</v>
      </c>
      <c r="AI310" s="24">
        <v>13075.85</v>
      </c>
      <c r="AJ310" s="20">
        <v>11555.58</v>
      </c>
      <c r="AK310" s="20">
        <v>15793.21</v>
      </c>
      <c r="AL310" s="83">
        <v>6220.56</v>
      </c>
      <c r="AM310" s="83">
        <v>6125.59</v>
      </c>
      <c r="AN310" s="83">
        <v>14571.2</v>
      </c>
      <c r="AO310" s="8">
        <f t="shared" si="220"/>
        <v>79101.989999999991</v>
      </c>
      <c r="AP310" s="24">
        <v>0</v>
      </c>
      <c r="AQ310" s="24">
        <v>5899.62</v>
      </c>
      <c r="AR310" s="24">
        <f>VLOOKUP(B310,'[1]Sheet1 (2)'!$B$2:$C$397,2,0)</f>
        <v>10005.299999999999</v>
      </c>
      <c r="AS310" s="24">
        <f>VLOOKUP(B310,'[2]Sheet1 (2)'!$B$2:$C$404,2,0)</f>
        <v>1695.92</v>
      </c>
      <c r="AT310" s="24">
        <v>1730.21</v>
      </c>
      <c r="AU310" s="24">
        <v>0</v>
      </c>
      <c r="AV310" s="24">
        <v>1757.09</v>
      </c>
      <c r="AW310" s="20">
        <v>1769.2</v>
      </c>
      <c r="AX310" s="20">
        <v>1730.63</v>
      </c>
      <c r="AY310" s="83">
        <v>1713.77</v>
      </c>
      <c r="AZ310" s="83">
        <v>1702.31</v>
      </c>
      <c r="BA310" s="83">
        <v>3399.54</v>
      </c>
      <c r="BB310" s="8">
        <f t="shared" si="221"/>
        <v>31403.59</v>
      </c>
      <c r="BC310" s="24">
        <v>1697.84</v>
      </c>
      <c r="BD310" s="24">
        <v>1698.35</v>
      </c>
      <c r="BE310" s="24">
        <v>1683</v>
      </c>
      <c r="BF310" s="24">
        <v>3315.23</v>
      </c>
      <c r="BG310" s="24">
        <v>1518.09</v>
      </c>
      <c r="BH310" s="24">
        <v>1511.5</v>
      </c>
      <c r="BI310" s="24">
        <v>-45.22</v>
      </c>
      <c r="BN310" s="83"/>
      <c r="BO310" s="8">
        <f t="shared" si="222"/>
        <v>11378.79</v>
      </c>
    </row>
    <row r="311" spans="2:67" x14ac:dyDescent="0.2">
      <c r="B311" s="3" t="s">
        <v>406</v>
      </c>
      <c r="C311" s="23">
        <v>28.84</v>
      </c>
      <c r="D311" s="24">
        <v>9.7100000000000009</v>
      </c>
      <c r="E311" s="24">
        <v>9.2100000000000009</v>
      </c>
      <c r="F311" s="24">
        <v>8.15</v>
      </c>
      <c r="G311" s="24">
        <v>8.0399999999999991</v>
      </c>
      <c r="H311" s="24">
        <v>8.0500000000000007</v>
      </c>
      <c r="I311" s="24">
        <v>8.89</v>
      </c>
      <c r="J311" s="24">
        <v>11.58</v>
      </c>
      <c r="K311" s="24">
        <v>10.44</v>
      </c>
      <c r="L311" s="24">
        <v>9.85</v>
      </c>
      <c r="M311" s="24">
        <v>9</v>
      </c>
      <c r="N311" s="24">
        <v>7.8</v>
      </c>
      <c r="O311" s="24">
        <f t="shared" si="218"/>
        <v>129.56</v>
      </c>
      <c r="P311" s="24">
        <v>10.33</v>
      </c>
      <c r="Q311" s="24">
        <v>9.52</v>
      </c>
      <c r="R311" s="24">
        <v>10.23</v>
      </c>
      <c r="S311" s="24">
        <v>8.35</v>
      </c>
      <c r="T311" s="24">
        <v>9.57</v>
      </c>
      <c r="U311" s="24">
        <v>10.07</v>
      </c>
      <c r="V311" s="24">
        <v>9.2200000000000006</v>
      </c>
      <c r="W311" s="20">
        <v>12.31</v>
      </c>
      <c r="X311" s="20">
        <v>11.01</v>
      </c>
      <c r="Y311" s="83">
        <v>8.5399999999999991</v>
      </c>
      <c r="Z311" s="83">
        <v>10.08</v>
      </c>
      <c r="AA311" s="83">
        <v>9.85</v>
      </c>
      <c r="AB311" s="8">
        <f t="shared" si="219"/>
        <v>119.08</v>
      </c>
      <c r="AC311" s="24">
        <v>11.07</v>
      </c>
      <c r="AD311" s="24">
        <v>8.9</v>
      </c>
      <c r="AE311" s="24">
        <v>10.26</v>
      </c>
      <c r="AF311" s="24">
        <v>8.36</v>
      </c>
      <c r="AG311" s="24">
        <v>59.88</v>
      </c>
      <c r="AH311" s="24">
        <v>4.4400000000000004</v>
      </c>
      <c r="AI311" s="24">
        <v>-102.91</v>
      </c>
      <c r="AJ311" s="20">
        <v>0</v>
      </c>
      <c r="AK311" s="20">
        <v>0</v>
      </c>
      <c r="AL311" s="83">
        <v>0</v>
      </c>
      <c r="AM311" s="83">
        <v>0</v>
      </c>
      <c r="AN311" s="83">
        <v>0</v>
      </c>
      <c r="AO311" s="8">
        <f t="shared" si="220"/>
        <v>0</v>
      </c>
      <c r="AP311" s="24">
        <v>0</v>
      </c>
      <c r="AQ311" s="24">
        <v>0</v>
      </c>
      <c r="AR311" s="24">
        <v>0</v>
      </c>
      <c r="AS311" s="24">
        <v>0</v>
      </c>
      <c r="AT311" s="24">
        <v>0</v>
      </c>
      <c r="AU311" s="24">
        <v>0</v>
      </c>
      <c r="AV311" s="24">
        <v>0</v>
      </c>
      <c r="AW311" s="20">
        <v>0</v>
      </c>
      <c r="AX311" s="20">
        <v>0</v>
      </c>
      <c r="AY311" s="83">
        <v>0</v>
      </c>
      <c r="AZ311" s="83">
        <v>0</v>
      </c>
      <c r="BA311" s="83">
        <v>0</v>
      </c>
      <c r="BB311" s="8">
        <f t="shared" si="221"/>
        <v>0</v>
      </c>
      <c r="BC311" s="24">
        <v>0</v>
      </c>
      <c r="BD311" s="24">
        <v>0</v>
      </c>
      <c r="BE311" s="24">
        <v>0</v>
      </c>
      <c r="BF311" s="24">
        <v>0</v>
      </c>
      <c r="BG311" s="24">
        <v>0</v>
      </c>
      <c r="BH311" s="24">
        <v>0</v>
      </c>
      <c r="BI311" s="24">
        <v>0</v>
      </c>
      <c r="BN311" s="83"/>
      <c r="BO311" s="8">
        <f t="shared" si="222"/>
        <v>0</v>
      </c>
    </row>
    <row r="312" spans="2:67" x14ac:dyDescent="0.2">
      <c r="B312" s="3" t="s">
        <v>407</v>
      </c>
      <c r="C312" s="23"/>
      <c r="E312" s="24">
        <v>111.42</v>
      </c>
      <c r="F312" s="24">
        <v>62.79</v>
      </c>
      <c r="G312" s="24">
        <v>0</v>
      </c>
      <c r="H312" s="24">
        <v>0</v>
      </c>
      <c r="I312" s="24">
        <v>0</v>
      </c>
      <c r="J312" s="24">
        <v>0</v>
      </c>
      <c r="K312" s="24">
        <v>0</v>
      </c>
      <c r="L312" s="24">
        <v>0</v>
      </c>
      <c r="M312" s="24">
        <v>191.28</v>
      </c>
      <c r="N312" s="24">
        <v>76.89</v>
      </c>
      <c r="O312" s="24">
        <f t="shared" si="218"/>
        <v>442.38</v>
      </c>
      <c r="P312" s="24">
        <v>32.99</v>
      </c>
      <c r="Q312" s="24">
        <v>357.17</v>
      </c>
      <c r="R312" s="24">
        <v>0</v>
      </c>
      <c r="S312" s="24">
        <v>60.51</v>
      </c>
      <c r="T312" s="24">
        <v>80.709999999999994</v>
      </c>
      <c r="U312" s="24">
        <v>72.349999999999994</v>
      </c>
      <c r="V312" s="24">
        <v>56.35</v>
      </c>
      <c r="W312" s="20">
        <v>52.45</v>
      </c>
      <c r="X312" s="20">
        <v>0</v>
      </c>
      <c r="Y312" s="83">
        <v>0</v>
      </c>
      <c r="Z312" s="83">
        <v>0</v>
      </c>
      <c r="AA312" s="83">
        <v>137.38999999999999</v>
      </c>
      <c r="AB312" s="8">
        <f t="shared" si="219"/>
        <v>849.92000000000007</v>
      </c>
      <c r="AC312" s="24">
        <v>0</v>
      </c>
      <c r="AD312" s="24">
        <v>0</v>
      </c>
      <c r="AE312" s="24">
        <v>0</v>
      </c>
      <c r="AF312" s="24">
        <v>31.5</v>
      </c>
      <c r="AG312" s="24">
        <v>336.1</v>
      </c>
      <c r="AH312" s="24">
        <v>0</v>
      </c>
      <c r="AI312" s="24">
        <v>79.959999999999994</v>
      </c>
      <c r="AJ312" s="20">
        <v>0</v>
      </c>
      <c r="AK312" s="20">
        <v>0</v>
      </c>
      <c r="AL312" s="83">
        <v>0</v>
      </c>
      <c r="AM312" s="83">
        <v>219.86</v>
      </c>
      <c r="AN312" s="83">
        <v>58.39</v>
      </c>
      <c r="AO312" s="8">
        <f t="shared" si="220"/>
        <v>725.81000000000006</v>
      </c>
      <c r="AP312" s="24">
        <v>30.83</v>
      </c>
      <c r="AQ312" s="24">
        <v>0</v>
      </c>
      <c r="AR312" s="24">
        <f>VLOOKUP(B312,'[1]Sheet1 (2)'!$B$2:$C$397,2,0)</f>
        <v>30.08</v>
      </c>
      <c r="AS312" s="24">
        <f>VLOOKUP(B312,'[2]Sheet1 (2)'!$B$2:$C$404,2,0)</f>
        <v>0</v>
      </c>
      <c r="AT312" s="24">
        <v>184.2</v>
      </c>
      <c r="AU312" s="24">
        <v>0</v>
      </c>
      <c r="AV312" s="24">
        <v>252.8</v>
      </c>
      <c r="AW312" s="20">
        <v>176.46</v>
      </c>
      <c r="AX312" s="20">
        <v>232.49</v>
      </c>
      <c r="AY312" s="83">
        <v>96.23</v>
      </c>
      <c r="AZ312" s="83">
        <v>0</v>
      </c>
      <c r="BA312" s="83">
        <v>99.6</v>
      </c>
      <c r="BB312" s="8">
        <f t="shared" si="221"/>
        <v>1102.69</v>
      </c>
      <c r="BC312" s="24">
        <v>236.71</v>
      </c>
      <c r="BD312" s="24">
        <v>0</v>
      </c>
      <c r="BE312" s="24">
        <v>333.64</v>
      </c>
      <c r="BF312" s="24">
        <v>185.39</v>
      </c>
      <c r="BG312" s="24">
        <v>0</v>
      </c>
      <c r="BH312" s="24">
        <v>189.34</v>
      </c>
      <c r="BI312" s="24">
        <v>0</v>
      </c>
      <c r="BN312" s="83"/>
      <c r="BO312" s="8">
        <f t="shared" si="222"/>
        <v>945.08</v>
      </c>
    </row>
    <row r="313" spans="2:67" x14ac:dyDescent="0.2">
      <c r="B313" s="3" t="s">
        <v>686</v>
      </c>
      <c r="C313" s="23">
        <v>494.67</v>
      </c>
      <c r="D313" s="24">
        <v>0</v>
      </c>
      <c r="E313" s="24">
        <v>70.209999999999994</v>
      </c>
      <c r="F313" s="24">
        <v>0</v>
      </c>
      <c r="G313" s="24">
        <v>0</v>
      </c>
      <c r="H313" s="24">
        <v>0</v>
      </c>
      <c r="I313" s="24">
        <v>0</v>
      </c>
      <c r="J313" s="24">
        <v>384.63</v>
      </c>
      <c r="K313" s="24">
        <v>0</v>
      </c>
      <c r="L313" s="24">
        <v>0</v>
      </c>
      <c r="M313" s="24">
        <v>0</v>
      </c>
      <c r="N313" s="24">
        <v>0</v>
      </c>
      <c r="O313" s="24">
        <f t="shared" si="218"/>
        <v>949.51</v>
      </c>
      <c r="P313" s="24">
        <v>0</v>
      </c>
      <c r="Q313" s="24">
        <v>0</v>
      </c>
      <c r="R313" s="24">
        <v>148.97999999999999</v>
      </c>
      <c r="S313" s="24">
        <v>0</v>
      </c>
      <c r="T313" s="24">
        <v>0</v>
      </c>
      <c r="U313" s="24">
        <v>0</v>
      </c>
      <c r="V313" s="24">
        <v>0</v>
      </c>
      <c r="W313" s="20">
        <v>242.45</v>
      </c>
      <c r="X313" s="20">
        <v>0</v>
      </c>
      <c r="Y313" s="83">
        <v>0</v>
      </c>
      <c r="Z313" s="83">
        <v>0</v>
      </c>
      <c r="AA313" s="83">
        <v>0</v>
      </c>
      <c r="AB313" s="8">
        <f t="shared" si="219"/>
        <v>391.42999999999995</v>
      </c>
      <c r="AC313" s="24">
        <v>0</v>
      </c>
      <c r="AD313" s="24">
        <v>0</v>
      </c>
      <c r="AE313" s="24">
        <v>38.92</v>
      </c>
      <c r="AF313" s="24">
        <v>100.96</v>
      </c>
      <c r="AG313" s="24">
        <v>0</v>
      </c>
      <c r="AH313" s="24">
        <v>65.02</v>
      </c>
      <c r="AI313" s="24">
        <v>0</v>
      </c>
      <c r="AJ313" s="20">
        <v>0</v>
      </c>
      <c r="AK313" s="20">
        <v>0</v>
      </c>
      <c r="AL313" s="83">
        <v>0</v>
      </c>
      <c r="AM313" s="83">
        <v>0</v>
      </c>
      <c r="AN313" s="83">
        <v>0</v>
      </c>
      <c r="AO313" s="8">
        <f t="shared" si="220"/>
        <v>204.89999999999998</v>
      </c>
      <c r="AP313" s="24">
        <v>0</v>
      </c>
      <c r="AQ313" s="24">
        <v>0</v>
      </c>
      <c r="AR313" s="24">
        <v>0</v>
      </c>
      <c r="AS313" s="24">
        <v>0</v>
      </c>
      <c r="AT313" s="24">
        <v>0</v>
      </c>
      <c r="AU313" s="24">
        <v>0</v>
      </c>
      <c r="AV313" s="24">
        <v>0</v>
      </c>
      <c r="AW313" s="20">
        <v>0</v>
      </c>
      <c r="AX313" s="20">
        <v>0</v>
      </c>
      <c r="AY313" s="83">
        <v>0</v>
      </c>
      <c r="AZ313" s="83">
        <v>0</v>
      </c>
      <c r="BA313" s="83">
        <v>0</v>
      </c>
      <c r="BB313" s="8">
        <f t="shared" si="221"/>
        <v>0</v>
      </c>
      <c r="BC313" s="24">
        <v>0</v>
      </c>
      <c r="BD313" s="24">
        <v>0</v>
      </c>
      <c r="BE313" s="24">
        <v>0</v>
      </c>
      <c r="BF313" s="24">
        <v>0</v>
      </c>
      <c r="BG313" s="24">
        <v>0</v>
      </c>
      <c r="BH313" s="24">
        <v>0</v>
      </c>
      <c r="BI313" s="24">
        <v>0</v>
      </c>
      <c r="BN313" s="83"/>
      <c r="BO313" s="8">
        <f t="shared" si="222"/>
        <v>0</v>
      </c>
    </row>
    <row r="314" spans="2:67" x14ac:dyDescent="0.2">
      <c r="B314" s="3" t="s">
        <v>1642</v>
      </c>
      <c r="C314" s="23"/>
      <c r="P314" s="24">
        <v>0</v>
      </c>
      <c r="Q314" s="24">
        <v>0</v>
      </c>
      <c r="R314" s="24">
        <v>0</v>
      </c>
      <c r="S314" s="24">
        <v>0</v>
      </c>
      <c r="T314" s="24">
        <v>0</v>
      </c>
      <c r="U314" s="24">
        <v>0</v>
      </c>
      <c r="V314" s="24">
        <v>0</v>
      </c>
      <c r="W314" s="20">
        <v>492.67</v>
      </c>
      <c r="X314" s="20">
        <v>0</v>
      </c>
      <c r="Y314" s="83">
        <v>0</v>
      </c>
      <c r="Z314" s="83">
        <v>0</v>
      </c>
      <c r="AA314" s="83">
        <v>0</v>
      </c>
      <c r="AB314" s="8">
        <f t="shared" si="219"/>
        <v>492.67</v>
      </c>
      <c r="AC314" s="24">
        <v>0</v>
      </c>
      <c r="AD314" s="24">
        <v>0</v>
      </c>
      <c r="AE314" s="24">
        <v>0</v>
      </c>
      <c r="AF314" s="24">
        <v>0</v>
      </c>
      <c r="AG314" s="24">
        <v>0</v>
      </c>
      <c r="AH314" s="24">
        <v>0</v>
      </c>
      <c r="AI314" s="24">
        <v>0</v>
      </c>
      <c r="AJ314" s="20">
        <v>0</v>
      </c>
      <c r="AK314" s="20">
        <v>0</v>
      </c>
      <c r="AL314" s="83">
        <v>0</v>
      </c>
      <c r="AM314" s="83">
        <v>0</v>
      </c>
      <c r="AN314" s="83">
        <v>0</v>
      </c>
      <c r="AO314" s="8">
        <f t="shared" si="220"/>
        <v>0</v>
      </c>
      <c r="AP314" s="24">
        <v>0</v>
      </c>
      <c r="AQ314" s="24">
        <v>0</v>
      </c>
      <c r="AR314" s="24">
        <f>VLOOKUP(B314,'[1]Sheet1 (2)'!$B$2:$C$397,2,0)</f>
        <v>4579.93</v>
      </c>
      <c r="AS314" s="24">
        <f>VLOOKUP(B314,'[2]Sheet1 (2)'!$B$2:$C$404,2,0)</f>
        <v>-9159.86</v>
      </c>
      <c r="AT314" s="24">
        <v>0</v>
      </c>
      <c r="AU314" s="24">
        <v>0</v>
      </c>
      <c r="AV314" s="24">
        <v>0</v>
      </c>
      <c r="AW314" s="20">
        <v>0</v>
      </c>
      <c r="AX314" s="20">
        <v>4579.93</v>
      </c>
      <c r="AY314" s="83">
        <v>0</v>
      </c>
      <c r="AZ314" s="83">
        <v>0</v>
      </c>
      <c r="BA314" s="83">
        <v>0</v>
      </c>
      <c r="BB314" s="8">
        <f t="shared" si="221"/>
        <v>0</v>
      </c>
      <c r="BC314" s="24">
        <v>0</v>
      </c>
      <c r="BD314" s="24">
        <v>0</v>
      </c>
      <c r="BE314" s="24">
        <v>0</v>
      </c>
      <c r="BF314" s="24">
        <v>0</v>
      </c>
      <c r="BG314" s="24">
        <v>0</v>
      </c>
      <c r="BH314" s="24">
        <v>0</v>
      </c>
      <c r="BI314" s="24">
        <v>0</v>
      </c>
      <c r="BN314" s="83"/>
      <c r="BO314" s="8">
        <f t="shared" si="222"/>
        <v>0</v>
      </c>
    </row>
    <row r="315" spans="2:67" x14ac:dyDescent="0.2">
      <c r="B315" s="3" t="s">
        <v>931</v>
      </c>
      <c r="C315" s="23"/>
      <c r="U315" s="24">
        <v>1401.68</v>
      </c>
      <c r="V315" s="24">
        <v>0</v>
      </c>
      <c r="W315" s="20">
        <v>0</v>
      </c>
      <c r="X315" s="20">
        <v>0</v>
      </c>
      <c r="Y315" s="83">
        <v>0</v>
      </c>
      <c r="Z315" s="83">
        <v>0</v>
      </c>
      <c r="AA315" s="83">
        <v>0</v>
      </c>
      <c r="AB315" s="8">
        <f t="shared" si="219"/>
        <v>1401.68</v>
      </c>
      <c r="AC315" s="24">
        <v>0</v>
      </c>
      <c r="AD315" s="24">
        <v>0</v>
      </c>
      <c r="AE315" s="24">
        <v>0</v>
      </c>
      <c r="AF315" s="24">
        <v>0</v>
      </c>
      <c r="AG315" s="24">
        <v>0</v>
      </c>
      <c r="AH315" s="24">
        <v>0</v>
      </c>
      <c r="AI315" s="24">
        <v>0</v>
      </c>
      <c r="AJ315" s="20">
        <v>0</v>
      </c>
      <c r="AK315" s="20">
        <v>0</v>
      </c>
      <c r="AL315" s="83">
        <v>0</v>
      </c>
      <c r="AM315" s="83">
        <v>0</v>
      </c>
      <c r="AN315" s="83">
        <v>0</v>
      </c>
      <c r="AO315" s="8">
        <f t="shared" si="220"/>
        <v>0</v>
      </c>
      <c r="AP315" s="24">
        <v>0</v>
      </c>
      <c r="AQ315" s="24">
        <v>0</v>
      </c>
      <c r="AR315" s="24">
        <v>0</v>
      </c>
      <c r="AS315" s="24">
        <v>0</v>
      </c>
      <c r="AT315" s="24">
        <v>0</v>
      </c>
      <c r="AU315" s="24">
        <v>0</v>
      </c>
      <c r="AV315" s="24">
        <v>0</v>
      </c>
      <c r="AW315" s="20">
        <v>0</v>
      </c>
      <c r="AX315" s="20">
        <v>0</v>
      </c>
      <c r="AY315" s="83">
        <v>0</v>
      </c>
      <c r="AZ315" s="83">
        <v>0</v>
      </c>
      <c r="BA315" s="83">
        <v>0</v>
      </c>
      <c r="BB315" s="8">
        <f t="shared" si="221"/>
        <v>0</v>
      </c>
      <c r="BC315" s="24">
        <v>0</v>
      </c>
      <c r="BD315" s="24">
        <v>0</v>
      </c>
      <c r="BE315" s="24">
        <v>0</v>
      </c>
      <c r="BF315" s="24">
        <v>0</v>
      </c>
      <c r="BG315" s="24">
        <v>0</v>
      </c>
      <c r="BH315" s="24">
        <v>0</v>
      </c>
      <c r="BI315" s="24">
        <v>0</v>
      </c>
      <c r="BN315" s="83"/>
      <c r="BO315" s="8">
        <f t="shared" si="222"/>
        <v>0</v>
      </c>
    </row>
    <row r="316" spans="2:67" x14ac:dyDescent="0.2">
      <c r="B316" s="6" t="s">
        <v>1562</v>
      </c>
      <c r="C316" s="7">
        <f t="shared" ref="C316:N316" si="223">SUM(C308:C315)</f>
        <v>4807.01</v>
      </c>
      <c r="D316" s="7">
        <f t="shared" si="223"/>
        <v>24793.98</v>
      </c>
      <c r="E316" s="7">
        <f t="shared" si="223"/>
        <v>20616.609999999997</v>
      </c>
      <c r="F316" s="7">
        <f t="shared" si="223"/>
        <v>19476.52</v>
      </c>
      <c r="G316" s="7">
        <f t="shared" si="223"/>
        <v>12877.78</v>
      </c>
      <c r="H316" s="7">
        <f t="shared" si="223"/>
        <v>36387.78</v>
      </c>
      <c r="I316" s="7">
        <f t="shared" si="223"/>
        <v>22149.39</v>
      </c>
      <c r="J316" s="7">
        <f t="shared" si="223"/>
        <v>22153.790000000005</v>
      </c>
      <c r="K316" s="7">
        <f t="shared" si="223"/>
        <v>30039.8</v>
      </c>
      <c r="L316" s="7">
        <f t="shared" si="223"/>
        <v>28629.190000000002</v>
      </c>
      <c r="M316" s="7">
        <f t="shared" si="223"/>
        <v>34204.300000000003</v>
      </c>
      <c r="N316" s="7">
        <f t="shared" si="223"/>
        <v>73469.810000000012</v>
      </c>
      <c r="O316" s="7">
        <f>SUM(C316:N316)</f>
        <v>329605.96000000002</v>
      </c>
      <c r="P316" s="7">
        <f t="shared" ref="P316:AT316" si="224">SUM(P308:P315)</f>
        <v>-2169.8200000000002</v>
      </c>
      <c r="Q316" s="7">
        <f t="shared" si="224"/>
        <v>28328.06</v>
      </c>
      <c r="R316" s="7">
        <f t="shared" si="224"/>
        <v>18841.039999999997</v>
      </c>
      <c r="S316" s="7">
        <f t="shared" si="224"/>
        <v>34923.199999999997</v>
      </c>
      <c r="T316" s="7">
        <f t="shared" si="224"/>
        <v>31204.21</v>
      </c>
      <c r="U316" s="7">
        <f t="shared" si="224"/>
        <v>29118.78</v>
      </c>
      <c r="V316" s="7">
        <f t="shared" si="224"/>
        <v>28815.69</v>
      </c>
      <c r="W316" s="63">
        <f t="shared" si="224"/>
        <v>28784.58</v>
      </c>
      <c r="X316" s="63">
        <f t="shared" si="224"/>
        <v>44889.840000000004</v>
      </c>
      <c r="Y316" s="63">
        <f t="shared" si="224"/>
        <v>47596.180000000008</v>
      </c>
      <c r="Z316" s="63">
        <f t="shared" si="224"/>
        <v>31856.59</v>
      </c>
      <c r="AA316" s="63">
        <f t="shared" si="224"/>
        <v>60041.4</v>
      </c>
      <c r="AB316" s="63">
        <f t="shared" si="224"/>
        <v>382229.74999999994</v>
      </c>
      <c r="AC316" s="63">
        <f t="shared" si="224"/>
        <v>26034.02</v>
      </c>
      <c r="AD316" s="63">
        <f t="shared" si="224"/>
        <v>4245.95</v>
      </c>
      <c r="AE316" s="63">
        <f t="shared" si="224"/>
        <v>24036.439999999995</v>
      </c>
      <c r="AF316" s="63">
        <f t="shared" si="224"/>
        <v>33013.24</v>
      </c>
      <c r="AG316" s="63">
        <f t="shared" si="224"/>
        <v>25175.75</v>
      </c>
      <c r="AH316" s="63">
        <f t="shared" si="224"/>
        <v>35852.200000000004</v>
      </c>
      <c r="AI316" s="63">
        <f t="shared" si="224"/>
        <v>38102.46</v>
      </c>
      <c r="AJ316" s="63">
        <f t="shared" si="224"/>
        <v>41070.71</v>
      </c>
      <c r="AK316" s="63">
        <f t="shared" si="224"/>
        <v>45514.559999999998</v>
      </c>
      <c r="AL316" s="63">
        <f t="shared" si="224"/>
        <v>34568.769999999997</v>
      </c>
      <c r="AM316" s="63">
        <f t="shared" si="224"/>
        <v>36351.5</v>
      </c>
      <c r="AN316" s="63">
        <f t="shared" si="224"/>
        <v>69082.849999999991</v>
      </c>
      <c r="AO316" s="63">
        <f t="shared" si="224"/>
        <v>413048.45</v>
      </c>
      <c r="AP316" s="63">
        <f t="shared" si="224"/>
        <v>-2351.4899999999998</v>
      </c>
      <c r="AQ316" s="63">
        <f t="shared" si="224"/>
        <v>35653.96</v>
      </c>
      <c r="AR316" s="63">
        <f t="shared" si="224"/>
        <v>42342.04</v>
      </c>
      <c r="AS316" s="63">
        <f t="shared" si="224"/>
        <v>16274.32</v>
      </c>
      <c r="AT316" s="63">
        <f t="shared" si="224"/>
        <v>23619.94</v>
      </c>
      <c r="AU316" s="63">
        <f t="shared" ref="AU316:BO316" si="225">SUM(AU308:AU315)</f>
        <v>25446.23</v>
      </c>
      <c r="AV316" s="63">
        <f t="shared" si="225"/>
        <v>26018.58</v>
      </c>
      <c r="AW316" s="63">
        <f t="shared" si="225"/>
        <v>25379.57</v>
      </c>
      <c r="AX316" s="63">
        <f t="shared" si="225"/>
        <v>26340.190000000002</v>
      </c>
      <c r="AY316" s="63">
        <f t="shared" si="225"/>
        <v>23578.039999999997</v>
      </c>
      <c r="AZ316" s="63">
        <f t="shared" si="225"/>
        <v>36943.909999999996</v>
      </c>
      <c r="BA316" s="63">
        <f t="shared" si="225"/>
        <v>53463.7</v>
      </c>
      <c r="BB316" s="63">
        <f t="shared" si="225"/>
        <v>332708.99000000011</v>
      </c>
      <c r="BC316" s="63">
        <f t="shared" si="225"/>
        <v>9400.24</v>
      </c>
      <c r="BD316" s="63">
        <f t="shared" si="225"/>
        <v>21035.629999999997</v>
      </c>
      <c r="BE316" s="63">
        <f t="shared" si="225"/>
        <v>38435.5</v>
      </c>
      <c r="BF316" s="63">
        <f t="shared" si="225"/>
        <v>32156.199999999997</v>
      </c>
      <c r="BG316" s="63">
        <f t="shared" si="225"/>
        <v>23804.43</v>
      </c>
      <c r="BH316" s="63">
        <f t="shared" si="225"/>
        <v>22736.93</v>
      </c>
      <c r="BI316" s="63">
        <f t="shared" si="225"/>
        <v>18180.359999999997</v>
      </c>
      <c r="BJ316" s="63">
        <f t="shared" si="225"/>
        <v>0</v>
      </c>
      <c r="BK316" s="63">
        <f t="shared" si="225"/>
        <v>0</v>
      </c>
      <c r="BL316" s="63">
        <f t="shared" si="225"/>
        <v>0</v>
      </c>
      <c r="BM316" s="63">
        <f t="shared" si="225"/>
        <v>0</v>
      </c>
      <c r="BN316" s="63">
        <f t="shared" si="225"/>
        <v>0</v>
      </c>
      <c r="BO316" s="63">
        <f t="shared" si="225"/>
        <v>165749.29</v>
      </c>
    </row>
    <row r="317" spans="2:67" x14ac:dyDescent="0.2">
      <c r="B317" s="3" t="s">
        <v>409</v>
      </c>
      <c r="C317" s="23">
        <v>3504.81</v>
      </c>
      <c r="D317" s="24">
        <v>3504.45</v>
      </c>
      <c r="E317" s="24">
        <v>3491.04</v>
      </c>
      <c r="F317" s="24">
        <v>8157.43</v>
      </c>
      <c r="G317" s="24">
        <v>5809.07</v>
      </c>
      <c r="H317" s="24">
        <v>5811.55</v>
      </c>
      <c r="I317" s="24">
        <v>6032.67</v>
      </c>
      <c r="J317" s="24">
        <v>5829.38</v>
      </c>
      <c r="K317" s="24">
        <v>6008.6</v>
      </c>
      <c r="L317" s="24">
        <v>5916.27</v>
      </c>
      <c r="M317" s="24">
        <v>5866.75</v>
      </c>
      <c r="N317" s="24">
        <v>6222.03</v>
      </c>
      <c r="O317" s="24">
        <f t="shared" ref="O317:O329" si="226">SUBTOTAL(9,C317:N317)</f>
        <v>66154.049999999988</v>
      </c>
      <c r="P317" s="24">
        <v>5950.37</v>
      </c>
      <c r="Q317" s="24">
        <v>5974.94</v>
      </c>
      <c r="R317" s="24">
        <v>6472.44</v>
      </c>
      <c r="S317" s="24">
        <v>6472.51</v>
      </c>
      <c r="T317" s="24">
        <v>4989.8999999999996</v>
      </c>
      <c r="U317" s="24">
        <v>4517.91</v>
      </c>
      <c r="V317" s="24">
        <v>4993.6099999999997</v>
      </c>
      <c r="W317" s="20">
        <v>4804.33</v>
      </c>
      <c r="X317" s="20">
        <v>4907.41</v>
      </c>
      <c r="Y317" s="83">
        <v>4807.1499999999996</v>
      </c>
      <c r="Z317" s="83">
        <v>4626.4399999999996</v>
      </c>
      <c r="AA317" s="83">
        <v>4823.67</v>
      </c>
      <c r="AB317" s="8">
        <f t="shared" ref="AB317:AB329" si="227">SUM(P317:AA317)</f>
        <v>63340.680000000015</v>
      </c>
      <c r="AC317" s="24">
        <v>4473.51</v>
      </c>
      <c r="AD317" s="24">
        <v>4428.7</v>
      </c>
      <c r="AE317" s="24">
        <v>4601.5200000000004</v>
      </c>
      <c r="AF317" s="24">
        <v>5215.74</v>
      </c>
      <c r="AG317" s="24">
        <v>6291.91</v>
      </c>
      <c r="AH317" s="24">
        <v>5234.96</v>
      </c>
      <c r="AI317" s="24">
        <v>5390.53</v>
      </c>
      <c r="AJ317" s="20">
        <v>5691.4</v>
      </c>
      <c r="AK317" s="20">
        <v>5629.84</v>
      </c>
      <c r="AL317" s="83">
        <v>5693.81</v>
      </c>
      <c r="AM317" s="83">
        <v>6317.88</v>
      </c>
      <c r="AN317" s="83">
        <v>6791.67</v>
      </c>
      <c r="AO317" s="8">
        <f t="shared" ref="AO317:AO329" si="228">SUM(AC317:AN317)</f>
        <v>65761.47</v>
      </c>
      <c r="AP317" s="24">
        <v>6732.16</v>
      </c>
      <c r="AQ317" s="24">
        <v>6651.06</v>
      </c>
      <c r="AR317" s="24">
        <f>VLOOKUP(B317,'[1]Sheet1 (2)'!$B$2:$C$397,2,0)</f>
        <v>6683.52</v>
      </c>
      <c r="AS317" s="24">
        <f>VLOOKUP(B317,'[2]Sheet1 (2)'!$B$2:$C$404,2,0)</f>
        <v>6920.14</v>
      </c>
      <c r="AT317" s="24">
        <v>7023.73</v>
      </c>
      <c r="AU317" s="24">
        <v>8784.9599999999991</v>
      </c>
      <c r="AV317" s="24">
        <v>8793.35</v>
      </c>
      <c r="AW317" s="20">
        <v>8821.7000000000007</v>
      </c>
      <c r="AX317" s="20">
        <v>8802.23</v>
      </c>
      <c r="AY317" s="83">
        <v>8699.89</v>
      </c>
      <c r="AZ317" s="83">
        <v>9566.66</v>
      </c>
      <c r="BA317" s="83">
        <v>10033.98</v>
      </c>
      <c r="BB317" s="8">
        <f t="shared" ref="BB317:BB329" si="229">SUM(AP317:BA317)</f>
        <v>97513.37999999999</v>
      </c>
      <c r="BC317" s="24">
        <v>10068.370000000001</v>
      </c>
      <c r="BD317" s="24">
        <v>11702.11</v>
      </c>
      <c r="BE317" s="24">
        <v>32573.42</v>
      </c>
      <c r="BF317" s="24">
        <v>11808.96</v>
      </c>
      <c r="BG317" s="24">
        <v>11808.96</v>
      </c>
      <c r="BH317" s="24">
        <v>11732.04</v>
      </c>
      <c r="BI317" s="24">
        <v>10998.19</v>
      </c>
      <c r="BN317" s="83"/>
      <c r="BO317" s="8">
        <f t="shared" ref="BO317:BO329" si="230">SUM(BC317:BN317)</f>
        <v>100692.05000000002</v>
      </c>
    </row>
    <row r="318" spans="2:67" x14ac:dyDescent="0.2">
      <c r="B318" s="3" t="s">
        <v>995</v>
      </c>
      <c r="C318" s="23">
        <v>8.25</v>
      </c>
      <c r="D318" s="24">
        <v>8.26</v>
      </c>
      <c r="E318" s="24">
        <v>8.25</v>
      </c>
      <c r="F318" s="24">
        <v>8.25</v>
      </c>
      <c r="G318" s="24">
        <v>0</v>
      </c>
      <c r="H318" s="24">
        <v>0</v>
      </c>
      <c r="I318" s="24">
        <v>0</v>
      </c>
      <c r="J318" s="24">
        <v>0</v>
      </c>
      <c r="K318" s="24">
        <v>0</v>
      </c>
      <c r="L318" s="24">
        <v>0</v>
      </c>
      <c r="M318" s="24">
        <v>0</v>
      </c>
      <c r="N318" s="24">
        <v>0</v>
      </c>
      <c r="O318" s="24">
        <f t="shared" si="226"/>
        <v>33.01</v>
      </c>
      <c r="P318" s="24">
        <v>0</v>
      </c>
      <c r="Q318" s="24">
        <v>0</v>
      </c>
      <c r="R318" s="24">
        <v>0</v>
      </c>
      <c r="S318" s="24">
        <v>0</v>
      </c>
      <c r="T318" s="24">
        <v>0</v>
      </c>
      <c r="U318" s="24">
        <v>0</v>
      </c>
      <c r="V318" s="24">
        <v>0</v>
      </c>
      <c r="W318" s="20">
        <v>0</v>
      </c>
      <c r="X318" s="20">
        <v>0</v>
      </c>
      <c r="Y318" s="83">
        <v>0</v>
      </c>
      <c r="Z318" s="83">
        <v>0</v>
      </c>
      <c r="AA318" s="83">
        <v>0</v>
      </c>
      <c r="AB318" s="8">
        <f t="shared" si="227"/>
        <v>0</v>
      </c>
      <c r="AC318" s="24">
        <v>0</v>
      </c>
      <c r="AD318" s="24">
        <v>0</v>
      </c>
      <c r="AE318" s="24">
        <v>0</v>
      </c>
      <c r="AF318" s="24">
        <v>0</v>
      </c>
      <c r="AG318" s="24">
        <v>0</v>
      </c>
      <c r="AH318" s="24">
        <v>0</v>
      </c>
      <c r="AI318" s="24">
        <v>0</v>
      </c>
      <c r="AJ318" s="20">
        <v>0</v>
      </c>
      <c r="AK318" s="20">
        <v>0</v>
      </c>
      <c r="AL318" s="83">
        <v>0</v>
      </c>
      <c r="AM318" s="83">
        <v>0</v>
      </c>
      <c r="AN318" s="83">
        <v>0</v>
      </c>
      <c r="AO318" s="8">
        <f t="shared" si="228"/>
        <v>0</v>
      </c>
      <c r="AP318" s="24">
        <v>0</v>
      </c>
      <c r="AQ318" s="24">
        <v>0</v>
      </c>
      <c r="AR318" s="24">
        <v>0</v>
      </c>
      <c r="AS318" s="24">
        <v>0</v>
      </c>
      <c r="AT318" s="24">
        <v>0</v>
      </c>
      <c r="AU318" s="24">
        <v>0</v>
      </c>
      <c r="AV318" s="24">
        <v>0</v>
      </c>
      <c r="AW318" s="20">
        <v>0</v>
      </c>
      <c r="AX318" s="20">
        <v>0</v>
      </c>
      <c r="AY318" s="83">
        <v>0</v>
      </c>
      <c r="AZ318" s="83">
        <v>0</v>
      </c>
      <c r="BA318" s="83">
        <v>0</v>
      </c>
      <c r="BB318" s="8">
        <f t="shared" si="229"/>
        <v>0</v>
      </c>
      <c r="BC318" s="24">
        <v>0</v>
      </c>
      <c r="BD318" s="24">
        <v>0</v>
      </c>
      <c r="BE318" s="24">
        <v>0</v>
      </c>
      <c r="BF318" s="24">
        <v>0</v>
      </c>
      <c r="BG318" s="24">
        <v>0</v>
      </c>
      <c r="BH318" s="24">
        <v>0</v>
      </c>
      <c r="BI318" s="24">
        <v>0</v>
      </c>
      <c r="BN318" s="83"/>
      <c r="BO318" s="8">
        <f t="shared" si="230"/>
        <v>0</v>
      </c>
    </row>
    <row r="319" spans="2:67" x14ac:dyDescent="0.2">
      <c r="B319" s="3" t="s">
        <v>410</v>
      </c>
      <c r="C319" s="23">
        <v>34.97</v>
      </c>
      <c r="D319" s="24">
        <v>48.75</v>
      </c>
      <c r="E319" s="24">
        <v>95.57</v>
      </c>
      <c r="F319" s="24">
        <v>72.17</v>
      </c>
      <c r="G319" s="24">
        <v>72.17</v>
      </c>
      <c r="H319" s="24">
        <v>72.150000000000006</v>
      </c>
      <c r="I319" s="24">
        <v>72.16</v>
      </c>
      <c r="J319" s="24">
        <v>440.17</v>
      </c>
      <c r="K319" s="24">
        <v>154.35</v>
      </c>
      <c r="L319" s="24">
        <v>258.75</v>
      </c>
      <c r="M319" s="24">
        <v>206.56</v>
      </c>
      <c r="N319" s="24">
        <v>225.76</v>
      </c>
      <c r="O319" s="24">
        <f t="shared" si="226"/>
        <v>1753.5299999999997</v>
      </c>
      <c r="P319" s="24">
        <v>177.98</v>
      </c>
      <c r="Q319" s="24">
        <v>202</v>
      </c>
      <c r="R319" s="24">
        <v>202.03</v>
      </c>
      <c r="S319" s="24">
        <v>195.13</v>
      </c>
      <c r="T319" s="24">
        <v>195.11</v>
      </c>
      <c r="U319" s="24">
        <v>195.12</v>
      </c>
      <c r="V319" s="24">
        <v>195.14</v>
      </c>
      <c r="W319" s="20">
        <v>195.14</v>
      </c>
      <c r="X319" s="20">
        <v>195.12</v>
      </c>
      <c r="Y319" s="83">
        <v>195.11</v>
      </c>
      <c r="Z319" s="83">
        <v>195.14</v>
      </c>
      <c r="AA319" s="83">
        <v>195.11</v>
      </c>
      <c r="AB319" s="8">
        <f t="shared" si="227"/>
        <v>2338.1299999999997</v>
      </c>
      <c r="AC319" s="24">
        <v>195.12</v>
      </c>
      <c r="AD319" s="24">
        <v>195.1</v>
      </c>
      <c r="AE319" s="24">
        <v>195.14</v>
      </c>
      <c r="AF319" s="24">
        <v>195.14</v>
      </c>
      <c r="AG319" s="24">
        <v>195.12</v>
      </c>
      <c r="AH319" s="24">
        <v>195.1</v>
      </c>
      <c r="AI319" s="24">
        <v>195.14</v>
      </c>
      <c r="AJ319" s="20">
        <v>195.13</v>
      </c>
      <c r="AK319" s="20">
        <v>195.11</v>
      </c>
      <c r="AL319" s="83">
        <v>195.14</v>
      </c>
      <c r="AM319" s="83">
        <v>183.44</v>
      </c>
      <c r="AN319" s="83">
        <v>176.5</v>
      </c>
      <c r="AO319" s="8">
        <f t="shared" si="228"/>
        <v>2311.1800000000003</v>
      </c>
      <c r="AP319" s="24">
        <v>176.53</v>
      </c>
      <c r="AQ319" s="24">
        <v>164.83</v>
      </c>
      <c r="AR319" s="24">
        <f>VLOOKUP(B319,'[1]Sheet1 (2)'!$B$2:$C$397,2,0)</f>
        <v>124.31</v>
      </c>
      <c r="AS319" s="24">
        <f>VLOOKUP(B319,'[2]Sheet1 (2)'!$B$2:$C$404,2,0)</f>
        <v>124.35</v>
      </c>
      <c r="AT319" s="24">
        <v>124.35</v>
      </c>
      <c r="AU319" s="24">
        <v>82.64</v>
      </c>
      <c r="AV319" s="24">
        <v>82.64</v>
      </c>
      <c r="AW319" s="20">
        <v>82.66</v>
      </c>
      <c r="AX319" s="20">
        <v>30.42</v>
      </c>
      <c r="AY319" s="83">
        <v>24.03</v>
      </c>
      <c r="AZ319" s="83">
        <v>24.03</v>
      </c>
      <c r="BA319" s="83">
        <v>0</v>
      </c>
      <c r="BB319" s="8">
        <f t="shared" si="229"/>
        <v>1040.79</v>
      </c>
      <c r="BC319" s="24">
        <v>0</v>
      </c>
      <c r="BD319" s="24">
        <v>0</v>
      </c>
      <c r="BE319" s="24">
        <v>0</v>
      </c>
      <c r="BF319" s="24">
        <v>0</v>
      </c>
      <c r="BG319" s="24">
        <v>0</v>
      </c>
      <c r="BH319" s="24">
        <v>0</v>
      </c>
      <c r="BI319" s="24">
        <v>0</v>
      </c>
      <c r="BN319" s="83"/>
      <c r="BO319" s="8">
        <f t="shared" si="230"/>
        <v>0</v>
      </c>
    </row>
    <row r="320" spans="2:67" x14ac:dyDescent="0.2">
      <c r="B320" s="3" t="s">
        <v>411</v>
      </c>
      <c r="C320" s="23">
        <v>2065.9299999999998</v>
      </c>
      <c r="D320" s="24">
        <v>2143.91</v>
      </c>
      <c r="E320" s="24">
        <v>2214.42</v>
      </c>
      <c r="F320" s="24">
        <v>2214.38</v>
      </c>
      <c r="G320" s="24">
        <v>2367.81</v>
      </c>
      <c r="H320" s="24">
        <v>2252.06</v>
      </c>
      <c r="I320" s="24">
        <v>2750.85</v>
      </c>
      <c r="J320" s="24">
        <v>2415.64</v>
      </c>
      <c r="K320" s="24">
        <v>2506.8000000000002</v>
      </c>
      <c r="L320" s="24">
        <v>2972.52</v>
      </c>
      <c r="M320" s="24">
        <v>2668.87</v>
      </c>
      <c r="N320" s="24">
        <v>3055.86</v>
      </c>
      <c r="O320" s="24">
        <f t="shared" si="226"/>
        <v>29629.05</v>
      </c>
      <c r="P320" s="24">
        <v>2749.99</v>
      </c>
      <c r="Q320" s="24">
        <v>2749.79</v>
      </c>
      <c r="R320" s="24">
        <v>3117.36</v>
      </c>
      <c r="S320" s="24">
        <v>3025.98</v>
      </c>
      <c r="T320" s="24">
        <v>4234.29</v>
      </c>
      <c r="U320" s="24">
        <v>4121.67</v>
      </c>
      <c r="V320" s="24">
        <v>4245.75</v>
      </c>
      <c r="W320" s="20">
        <v>4496</v>
      </c>
      <c r="X320" s="20">
        <v>4885.32</v>
      </c>
      <c r="Y320" s="83">
        <v>4577.13</v>
      </c>
      <c r="Z320" s="83">
        <v>4600.34</v>
      </c>
      <c r="AA320" s="83">
        <v>4586.3</v>
      </c>
      <c r="AB320" s="8">
        <f t="shared" si="227"/>
        <v>47389.919999999998</v>
      </c>
      <c r="AC320" s="24">
        <v>4709</v>
      </c>
      <c r="AD320" s="24">
        <v>5371.06</v>
      </c>
      <c r="AE320" s="24">
        <v>5072.03</v>
      </c>
      <c r="AF320" s="24">
        <v>6140.58</v>
      </c>
      <c r="AG320" s="24">
        <v>6012.79</v>
      </c>
      <c r="AH320" s="24">
        <v>5866.03</v>
      </c>
      <c r="AI320" s="24">
        <v>6107.15</v>
      </c>
      <c r="AJ320" s="20">
        <v>6007.35</v>
      </c>
      <c r="AK320" s="20">
        <v>5802.84</v>
      </c>
      <c r="AL320" s="83">
        <v>5888.77</v>
      </c>
      <c r="AM320" s="83">
        <v>5823.77</v>
      </c>
      <c r="AN320" s="83">
        <v>5753.74</v>
      </c>
      <c r="AO320" s="8">
        <f t="shared" si="228"/>
        <v>68555.110000000015</v>
      </c>
      <c r="AP320" s="24">
        <v>5853.66</v>
      </c>
      <c r="AQ320" s="24">
        <v>5689.57</v>
      </c>
      <c r="AR320" s="24">
        <f>VLOOKUP(B320,'[1]Sheet1 (2)'!$B$2:$C$397,2,0)</f>
        <v>5280.71</v>
      </c>
      <c r="AS320" s="24">
        <f>VLOOKUP(B320,'[2]Sheet1 (2)'!$B$2:$C$404,2,0)</f>
        <v>5281.05</v>
      </c>
      <c r="AT320" s="24">
        <v>5280.92</v>
      </c>
      <c r="AU320" s="24">
        <v>5744.53</v>
      </c>
      <c r="AV320" s="24">
        <v>5714.58</v>
      </c>
      <c r="AW320" s="20">
        <v>5714.78</v>
      </c>
      <c r="AX320" s="20">
        <v>5680.97</v>
      </c>
      <c r="AY320" s="83">
        <v>5740.32</v>
      </c>
      <c r="AZ320" s="83">
        <v>5296.87</v>
      </c>
      <c r="BA320" s="83">
        <v>5804.25</v>
      </c>
      <c r="BB320" s="8">
        <f t="shared" si="229"/>
        <v>67082.209999999992</v>
      </c>
      <c r="BC320" s="24">
        <v>5923.49</v>
      </c>
      <c r="BD320" s="24">
        <v>6154.33</v>
      </c>
      <c r="BE320" s="24">
        <v>6154.24</v>
      </c>
      <c r="BF320" s="24">
        <v>6066.78</v>
      </c>
      <c r="BG320" s="24">
        <v>6066.52</v>
      </c>
      <c r="BH320" s="24">
        <v>6034.62</v>
      </c>
      <c r="BI320" s="24">
        <v>6034.6</v>
      </c>
      <c r="BN320" s="83"/>
      <c r="BO320" s="8">
        <f t="shared" si="230"/>
        <v>42434.579999999994</v>
      </c>
    </row>
    <row r="321" spans="2:67" x14ac:dyDescent="0.2">
      <c r="B321" s="3" t="s">
        <v>412</v>
      </c>
      <c r="C321" s="23">
        <v>409.3</v>
      </c>
      <c r="D321" s="24">
        <v>274.55</v>
      </c>
      <c r="E321" s="24">
        <v>274.51</v>
      </c>
      <c r="F321" s="24">
        <v>274.52999999999997</v>
      </c>
      <c r="G321" s="24">
        <v>274.51</v>
      </c>
      <c r="H321" s="24">
        <v>274.57</v>
      </c>
      <c r="I321" s="24">
        <v>274.52999999999997</v>
      </c>
      <c r="J321" s="24">
        <v>274.51</v>
      </c>
      <c r="K321" s="24">
        <v>274.54000000000002</v>
      </c>
      <c r="L321" s="24">
        <v>274.55</v>
      </c>
      <c r="M321" s="24">
        <v>252.42</v>
      </c>
      <c r="N321" s="24">
        <v>278.47000000000003</v>
      </c>
      <c r="O321" s="24">
        <f t="shared" si="226"/>
        <v>3410.9900000000007</v>
      </c>
      <c r="P321" s="24">
        <v>278.5</v>
      </c>
      <c r="Q321" s="24">
        <v>278.54000000000002</v>
      </c>
      <c r="R321" s="24">
        <v>278.5</v>
      </c>
      <c r="S321" s="24">
        <v>277.49</v>
      </c>
      <c r="T321" s="24">
        <v>251.45</v>
      </c>
      <c r="U321" s="24">
        <v>251.41</v>
      </c>
      <c r="V321" s="24">
        <v>251.44</v>
      </c>
      <c r="W321" s="20">
        <v>176.36</v>
      </c>
      <c r="X321" s="20">
        <v>247.95</v>
      </c>
      <c r="Y321" s="83">
        <v>200.22</v>
      </c>
      <c r="Z321" s="83">
        <v>197.07</v>
      </c>
      <c r="AA321" s="83">
        <v>197.07</v>
      </c>
      <c r="AB321" s="8">
        <f t="shared" si="227"/>
        <v>2886</v>
      </c>
      <c r="AC321" s="24">
        <v>197.07</v>
      </c>
      <c r="AD321" s="24">
        <v>197.05</v>
      </c>
      <c r="AE321" s="24">
        <v>2563.7399999999998</v>
      </c>
      <c r="AF321" s="24">
        <v>1512.14</v>
      </c>
      <c r="AG321" s="24">
        <v>1161.3399999999999</v>
      </c>
      <c r="AH321" s="24">
        <v>1161.3399999999999</v>
      </c>
      <c r="AI321" s="24">
        <v>1161.3599999999999</v>
      </c>
      <c r="AJ321" s="20">
        <v>1161.3399999999999</v>
      </c>
      <c r="AK321" s="20">
        <v>1180.43</v>
      </c>
      <c r="AL321" s="83">
        <v>1178.71</v>
      </c>
      <c r="AM321" s="83">
        <v>1204.6600000000001</v>
      </c>
      <c r="AN321" s="83">
        <v>1125.72</v>
      </c>
      <c r="AO321" s="8">
        <f t="shared" si="228"/>
        <v>13804.9</v>
      </c>
      <c r="AP321" s="24">
        <v>1324.55</v>
      </c>
      <c r="AQ321" s="24">
        <v>1324.53</v>
      </c>
      <c r="AR321" s="24">
        <f>VLOOKUP(B321,'[1]Sheet1 (2)'!$B$2:$C$397,2,0)</f>
        <v>1873.44</v>
      </c>
      <c r="AS321" s="24">
        <f>VLOOKUP(B321,'[2]Sheet1 (2)'!$B$2:$C$404,2,0)</f>
        <v>1873.52</v>
      </c>
      <c r="AT321" s="24">
        <v>1873.43</v>
      </c>
      <c r="AU321" s="24">
        <v>1873.5</v>
      </c>
      <c r="AV321" s="24">
        <v>1873.45</v>
      </c>
      <c r="AW321" s="20">
        <v>1873.52</v>
      </c>
      <c r="AX321" s="20">
        <v>1873.41</v>
      </c>
      <c r="AY321" s="83">
        <v>1873.53</v>
      </c>
      <c r="AZ321" s="83">
        <v>1967.17</v>
      </c>
      <c r="BA321" s="83">
        <v>1967.2</v>
      </c>
      <c r="BB321" s="8">
        <f t="shared" si="229"/>
        <v>21571.250000000004</v>
      </c>
      <c r="BC321" s="24">
        <v>1967.18</v>
      </c>
      <c r="BD321" s="24">
        <v>1967.21</v>
      </c>
      <c r="BE321" s="24">
        <v>1979.56</v>
      </c>
      <c r="BF321" s="24">
        <v>1979.65</v>
      </c>
      <c r="BG321" s="24">
        <v>1979.54</v>
      </c>
      <c r="BH321" s="24">
        <v>1979.61</v>
      </c>
      <c r="BI321" s="24">
        <v>1979.56</v>
      </c>
      <c r="BN321" s="83"/>
      <c r="BO321" s="8">
        <f t="shared" si="230"/>
        <v>13832.31</v>
      </c>
    </row>
    <row r="322" spans="2:67" x14ac:dyDescent="0.2">
      <c r="B322" s="3" t="s">
        <v>413</v>
      </c>
      <c r="C322" s="23">
        <v>1687.53</v>
      </c>
      <c r="D322" s="24">
        <v>1655.48</v>
      </c>
      <c r="E322" s="24">
        <v>1712.91</v>
      </c>
      <c r="F322" s="24">
        <v>1706.07</v>
      </c>
      <c r="G322" s="24">
        <v>2280.94</v>
      </c>
      <c r="H322" s="24">
        <v>2187.16</v>
      </c>
      <c r="I322" s="24">
        <v>2130.23</v>
      </c>
      <c r="J322" s="24">
        <v>2887.76</v>
      </c>
      <c r="K322" s="24">
        <v>2231.54</v>
      </c>
      <c r="L322" s="24">
        <v>6574.29</v>
      </c>
      <c r="M322" s="24">
        <v>3061.46</v>
      </c>
      <c r="N322" s="24">
        <v>9976.07</v>
      </c>
      <c r="O322" s="24">
        <f t="shared" si="226"/>
        <v>38091.440000000002</v>
      </c>
      <c r="P322" s="24">
        <v>4205</v>
      </c>
      <c r="Q322" s="24">
        <v>4266.05</v>
      </c>
      <c r="R322" s="24">
        <v>4404.07</v>
      </c>
      <c r="S322" s="24">
        <v>4947.96</v>
      </c>
      <c r="T322" s="24">
        <v>5335.67</v>
      </c>
      <c r="U322" s="24">
        <v>5382.44</v>
      </c>
      <c r="V322" s="24">
        <v>5340.21</v>
      </c>
      <c r="W322" s="20">
        <v>5402.03</v>
      </c>
      <c r="X322" s="20">
        <v>5214.13</v>
      </c>
      <c r="Y322" s="83">
        <v>5397.92</v>
      </c>
      <c r="Z322" s="83">
        <v>6169.54</v>
      </c>
      <c r="AA322" s="83">
        <v>6432.43</v>
      </c>
      <c r="AB322" s="8">
        <f t="shared" si="227"/>
        <v>62497.45</v>
      </c>
      <c r="AC322" s="24">
        <v>5757.06</v>
      </c>
      <c r="AD322" s="24">
        <v>5836.85</v>
      </c>
      <c r="AE322" s="24">
        <v>6174.66</v>
      </c>
      <c r="AF322" s="24">
        <v>6375.2</v>
      </c>
      <c r="AG322" s="24">
        <v>7567.93</v>
      </c>
      <c r="AH322" s="24">
        <v>6509.84</v>
      </c>
      <c r="AI322" s="24">
        <v>7192.64</v>
      </c>
      <c r="AJ322" s="20">
        <v>6736.52</v>
      </c>
      <c r="AK322" s="20">
        <v>6907.95</v>
      </c>
      <c r="AL322" s="83">
        <v>7043.32</v>
      </c>
      <c r="AM322" s="83">
        <v>7038.3</v>
      </c>
      <c r="AN322" s="83">
        <v>7591.38</v>
      </c>
      <c r="AO322" s="8">
        <f t="shared" si="228"/>
        <v>80731.650000000009</v>
      </c>
      <c r="AP322" s="24">
        <v>7504.17</v>
      </c>
      <c r="AQ322" s="24">
        <v>7482.66</v>
      </c>
      <c r="AR322" s="24">
        <f>VLOOKUP(B322,'[1]Sheet1 (2)'!$B$2:$C$397,2,0)</f>
        <v>7506.86</v>
      </c>
      <c r="AS322" s="24">
        <f>VLOOKUP(B322,'[2]Sheet1 (2)'!$B$2:$C$404,2,0)</f>
        <v>7513</v>
      </c>
      <c r="AT322" s="24">
        <v>7512.84</v>
      </c>
      <c r="AU322" s="24">
        <v>7538.7</v>
      </c>
      <c r="AV322" s="24">
        <v>7585.78</v>
      </c>
      <c r="AW322" s="20">
        <v>7739.58</v>
      </c>
      <c r="AX322" s="20">
        <v>7632.39</v>
      </c>
      <c r="AY322" s="83">
        <v>7761.61</v>
      </c>
      <c r="AZ322" s="83">
        <v>7796.35</v>
      </c>
      <c r="BA322" s="83">
        <v>7984.21</v>
      </c>
      <c r="BB322" s="8">
        <f t="shared" si="229"/>
        <v>91558.150000000009</v>
      </c>
      <c r="BC322" s="24">
        <v>8153.43</v>
      </c>
      <c r="BD322" s="24">
        <v>8287.7000000000007</v>
      </c>
      <c r="BE322" s="24">
        <v>8475.4500000000007</v>
      </c>
      <c r="BF322" s="24">
        <v>8723.81</v>
      </c>
      <c r="BG322" s="24">
        <v>8547.17</v>
      </c>
      <c r="BH322" s="24">
        <v>8617.8700000000008</v>
      </c>
      <c r="BI322" s="24">
        <v>8694.44</v>
      </c>
      <c r="BN322" s="83"/>
      <c r="BO322" s="8">
        <f t="shared" si="230"/>
        <v>59499.87</v>
      </c>
    </row>
    <row r="323" spans="2:67" x14ac:dyDescent="0.2">
      <c r="B323" s="3" t="s">
        <v>414</v>
      </c>
      <c r="C323" s="23">
        <v>1114.78</v>
      </c>
      <c r="D323" s="24">
        <v>1114.76</v>
      </c>
      <c r="E323" s="24">
        <v>1114.78</v>
      </c>
      <c r="F323" s="24">
        <v>1114.78</v>
      </c>
      <c r="G323" s="24">
        <v>1114.77</v>
      </c>
      <c r="H323" s="24">
        <v>1114.75</v>
      </c>
      <c r="I323" s="24">
        <v>1114.79</v>
      </c>
      <c r="J323" s="24">
        <v>1114.76</v>
      </c>
      <c r="K323" s="24">
        <v>1114.78</v>
      </c>
      <c r="L323" s="24">
        <v>1114.76</v>
      </c>
      <c r="M323" s="24">
        <v>1114.8399999999999</v>
      </c>
      <c r="N323" s="24">
        <v>1114.78</v>
      </c>
      <c r="O323" s="24">
        <f t="shared" si="226"/>
        <v>13377.33</v>
      </c>
      <c r="P323" s="24">
        <v>1114.78</v>
      </c>
      <c r="Q323" s="24">
        <v>1114.76</v>
      </c>
      <c r="R323" s="24">
        <v>1114.78</v>
      </c>
      <c r="S323" s="24">
        <v>1114.75</v>
      </c>
      <c r="T323" s="24">
        <v>1114.8</v>
      </c>
      <c r="U323" s="24">
        <v>1114.75</v>
      </c>
      <c r="V323" s="24">
        <v>1114.79</v>
      </c>
      <c r="W323" s="20">
        <v>1114.76</v>
      </c>
      <c r="X323" s="20">
        <v>1114.78</v>
      </c>
      <c r="Y323" s="83">
        <v>1114.76</v>
      </c>
      <c r="Z323" s="83">
        <v>1114.78</v>
      </c>
      <c r="AA323" s="83">
        <v>960.29</v>
      </c>
      <c r="AB323" s="8">
        <f t="shared" si="227"/>
        <v>13222.780000000002</v>
      </c>
      <c r="AC323" s="24">
        <v>1114.78</v>
      </c>
      <c r="AD323" s="24">
        <v>1114.76</v>
      </c>
      <c r="AE323" s="24">
        <v>1173.56</v>
      </c>
      <c r="AF323" s="24">
        <v>1144.18</v>
      </c>
      <c r="AG323" s="24">
        <v>1144.1500000000001</v>
      </c>
      <c r="AH323" s="24">
        <v>1179.3699999999999</v>
      </c>
      <c r="AI323" s="24">
        <v>1179.4100000000001</v>
      </c>
      <c r="AJ323" s="20">
        <v>1179.3800000000001</v>
      </c>
      <c r="AK323" s="20">
        <v>1179.3800000000001</v>
      </c>
      <c r="AL323" s="83">
        <v>1179.3800000000001</v>
      </c>
      <c r="AM323" s="83">
        <v>1179.4000000000001</v>
      </c>
      <c r="AN323" s="83">
        <v>1179.42</v>
      </c>
      <c r="AO323" s="8">
        <f t="shared" si="228"/>
        <v>13947.170000000002</v>
      </c>
      <c r="AP323" s="24">
        <v>1179.4000000000001</v>
      </c>
      <c r="AQ323" s="24">
        <v>1179.3800000000001</v>
      </c>
      <c r="AR323" s="24">
        <f>VLOOKUP(B323,'[1]Sheet1 (2)'!$B$2:$C$397,2,0)</f>
        <v>1179.4000000000001</v>
      </c>
      <c r="AS323" s="24">
        <f>VLOOKUP(B323,'[2]Sheet1 (2)'!$B$2:$C$404,2,0)</f>
        <v>1179.3499999999999</v>
      </c>
      <c r="AT323" s="24">
        <v>1179.42</v>
      </c>
      <c r="AU323" s="24">
        <v>1179.3699999999999</v>
      </c>
      <c r="AV323" s="24">
        <v>1179.4100000000001</v>
      </c>
      <c r="AW323" s="20">
        <v>1179.3599999999999</v>
      </c>
      <c r="AX323" s="20">
        <v>1179.4000000000001</v>
      </c>
      <c r="AY323" s="83">
        <v>1179.3800000000001</v>
      </c>
      <c r="AZ323" s="83">
        <v>1179.3900000000001</v>
      </c>
      <c r="BA323" s="83">
        <v>1179.3599999999999</v>
      </c>
      <c r="BB323" s="8">
        <f t="shared" si="229"/>
        <v>14152.620000000003</v>
      </c>
      <c r="BC323" s="24">
        <v>1179.4000000000001</v>
      </c>
      <c r="BD323" s="24">
        <v>1179.3800000000001</v>
      </c>
      <c r="BE323" s="24">
        <v>1179.4000000000001</v>
      </c>
      <c r="BF323" s="24">
        <v>1179.3800000000001</v>
      </c>
      <c r="BG323" s="24">
        <v>1179.3900000000001</v>
      </c>
      <c r="BH323" s="24">
        <v>1179.3699999999999</v>
      </c>
      <c r="BI323" s="24">
        <v>1179.42</v>
      </c>
      <c r="BN323" s="83"/>
      <c r="BO323" s="8">
        <f t="shared" si="230"/>
        <v>8255.7400000000016</v>
      </c>
    </row>
    <row r="324" spans="2:67" x14ac:dyDescent="0.2">
      <c r="B324" s="3" t="s">
        <v>415</v>
      </c>
      <c r="C324" s="23">
        <v>55.58</v>
      </c>
      <c r="D324" s="24">
        <v>55.59</v>
      </c>
      <c r="E324" s="24">
        <v>55.58</v>
      </c>
      <c r="F324" s="24">
        <v>55.59</v>
      </c>
      <c r="G324" s="24">
        <v>55.58</v>
      </c>
      <c r="H324" s="24">
        <v>55.58</v>
      </c>
      <c r="I324" s="24">
        <v>55.59</v>
      </c>
      <c r="J324" s="24">
        <v>55.58</v>
      </c>
      <c r="K324" s="24">
        <v>55.58</v>
      </c>
      <c r="L324" s="24">
        <v>55.59</v>
      </c>
      <c r="M324" s="24">
        <v>55.58</v>
      </c>
      <c r="N324" s="24">
        <v>55.59</v>
      </c>
      <c r="O324" s="24">
        <f t="shared" si="226"/>
        <v>667.0100000000001</v>
      </c>
      <c r="P324" s="24">
        <v>55.58</v>
      </c>
      <c r="Q324" s="24">
        <v>55.59</v>
      </c>
      <c r="R324" s="24">
        <v>55.58</v>
      </c>
      <c r="S324" s="24">
        <v>55.58</v>
      </c>
      <c r="T324" s="24">
        <v>55.59</v>
      </c>
      <c r="U324" s="24">
        <v>511.43</v>
      </c>
      <c r="V324" s="24">
        <v>511.45</v>
      </c>
      <c r="W324" s="20">
        <v>511.44</v>
      </c>
      <c r="X324" s="20">
        <v>511.44</v>
      </c>
      <c r="Y324" s="83">
        <v>511.43</v>
      </c>
      <c r="Z324" s="83">
        <v>1032.26</v>
      </c>
      <c r="AA324" s="83">
        <v>1555.33</v>
      </c>
      <c r="AB324" s="8">
        <f t="shared" si="227"/>
        <v>5422.7</v>
      </c>
      <c r="AC324" s="24">
        <v>1499.74</v>
      </c>
      <c r="AD324" s="24">
        <v>2481.5</v>
      </c>
      <c r="AE324" s="24">
        <v>2481.4699999999998</v>
      </c>
      <c r="AF324" s="24">
        <v>2481.4899999999998</v>
      </c>
      <c r="AG324" s="24">
        <v>2481.48</v>
      </c>
      <c r="AH324" s="24">
        <v>2481.4899999999998</v>
      </c>
      <c r="AI324" s="24">
        <v>2481.4699999999998</v>
      </c>
      <c r="AJ324" s="20">
        <v>2481.4899999999998</v>
      </c>
      <c r="AK324" s="20">
        <v>2481.48</v>
      </c>
      <c r="AL324" s="83">
        <v>2481.48</v>
      </c>
      <c r="AM324" s="83">
        <v>2481.4899999999998</v>
      </c>
      <c r="AN324" s="83">
        <v>2481.4699999999998</v>
      </c>
      <c r="AO324" s="8">
        <f t="shared" si="228"/>
        <v>28796.049999999996</v>
      </c>
      <c r="AP324" s="24">
        <v>2481.4699999999998</v>
      </c>
      <c r="AQ324" s="24">
        <v>-89.58</v>
      </c>
      <c r="AR324" s="24">
        <f>VLOOKUP(B324,'[1]Sheet1 (2)'!$B$2:$C$397,2,0)</f>
        <v>1195.95</v>
      </c>
      <c r="AS324" s="24">
        <f>VLOOKUP(B324,'[2]Sheet1 (2)'!$B$2:$C$404,2,0)</f>
        <v>6338.09</v>
      </c>
      <c r="AT324" s="24">
        <v>2481.48</v>
      </c>
      <c r="AU324" s="24">
        <v>2481.4899999999998</v>
      </c>
      <c r="AV324" s="24">
        <v>2481.4699999999998</v>
      </c>
      <c r="AW324" s="20">
        <v>2481.5</v>
      </c>
      <c r="AX324" s="20">
        <v>2481.48</v>
      </c>
      <c r="AY324" s="83">
        <v>2481.48</v>
      </c>
      <c r="AZ324" s="83">
        <v>2481.48</v>
      </c>
      <c r="BA324" s="83">
        <v>2481.5</v>
      </c>
      <c r="BB324" s="8">
        <f t="shared" si="229"/>
        <v>29777.809999999998</v>
      </c>
      <c r="BC324" s="24">
        <v>2481.4699999999998</v>
      </c>
      <c r="BD324" s="24">
        <v>2481.4899999999998</v>
      </c>
      <c r="BE324" s="24">
        <v>2481.4899999999998</v>
      </c>
      <c r="BF324" s="24">
        <v>2481.48</v>
      </c>
      <c r="BG324" s="24">
        <v>2477.0700000000002</v>
      </c>
      <c r="BH324" s="24">
        <v>2325.09</v>
      </c>
      <c r="BI324" s="24">
        <v>2321.77</v>
      </c>
      <c r="BN324" s="83"/>
      <c r="BO324" s="8">
        <f t="shared" si="230"/>
        <v>17049.859999999997</v>
      </c>
    </row>
    <row r="325" spans="2:67" x14ac:dyDescent="0.2">
      <c r="B325" s="3" t="s">
        <v>416</v>
      </c>
      <c r="C325" s="23">
        <v>5433.31</v>
      </c>
      <c r="D325" s="24">
        <v>2430.16</v>
      </c>
      <c r="E325" s="24">
        <v>1700.92</v>
      </c>
      <c r="F325" s="24">
        <v>1700.93</v>
      </c>
      <c r="G325" s="24">
        <v>1700.94</v>
      </c>
      <c r="H325" s="24">
        <v>1700.94</v>
      </c>
      <c r="I325" s="24">
        <v>1700.94</v>
      </c>
      <c r="J325" s="24">
        <v>1700.94</v>
      </c>
      <c r="K325" s="24">
        <v>1700.92</v>
      </c>
      <c r="L325" s="24">
        <v>1700.93</v>
      </c>
      <c r="M325" s="24">
        <v>3185.84</v>
      </c>
      <c r="N325" s="24">
        <v>2311.0100000000002</v>
      </c>
      <c r="O325" s="24">
        <f t="shared" si="226"/>
        <v>26967.78</v>
      </c>
      <c r="P325" s="24">
        <v>2388.4899999999998</v>
      </c>
      <c r="Q325" s="24">
        <v>2388.52</v>
      </c>
      <c r="R325" s="24">
        <v>2388.4699999999998</v>
      </c>
      <c r="S325" s="24">
        <v>2388.52</v>
      </c>
      <c r="T325" s="24">
        <v>2388.48</v>
      </c>
      <c r="U325" s="24">
        <v>3161.6</v>
      </c>
      <c r="V325" s="24">
        <v>3161.59</v>
      </c>
      <c r="W325" s="20">
        <v>3161.58</v>
      </c>
      <c r="X325" s="20">
        <v>3161.6</v>
      </c>
      <c r="Y325" s="83">
        <v>4609.84</v>
      </c>
      <c r="Z325" s="83">
        <v>4165.2</v>
      </c>
      <c r="AA325" s="83">
        <v>5202.97</v>
      </c>
      <c r="AB325" s="8">
        <f t="shared" si="227"/>
        <v>38566.86</v>
      </c>
      <c r="AC325" s="24">
        <v>4659.33</v>
      </c>
      <c r="AD325" s="24">
        <v>4659.34</v>
      </c>
      <c r="AE325" s="24">
        <v>4654.96</v>
      </c>
      <c r="AF325" s="24">
        <v>4658.79</v>
      </c>
      <c r="AG325" s="24">
        <v>4657.97</v>
      </c>
      <c r="AH325" s="24">
        <v>4653.74</v>
      </c>
      <c r="AI325" s="24">
        <v>12770.36</v>
      </c>
      <c r="AJ325" s="20">
        <v>12771.32</v>
      </c>
      <c r="AK325" s="20">
        <v>12771.85</v>
      </c>
      <c r="AL325" s="83">
        <v>30458.69</v>
      </c>
      <c r="AM325" s="83">
        <v>17194.18</v>
      </c>
      <c r="AN325" s="83">
        <v>20506.2</v>
      </c>
      <c r="AO325" s="8">
        <f t="shared" si="228"/>
        <v>134416.73000000001</v>
      </c>
      <c r="AP325" s="24">
        <v>17860.47</v>
      </c>
      <c r="AQ325" s="24">
        <v>2886.44</v>
      </c>
      <c r="AR325" s="24">
        <f>VLOOKUP(B325,'[1]Sheet1 (2)'!$B$2:$C$397,2,0)</f>
        <v>17039.259999999998</v>
      </c>
      <c r="AS325" s="24">
        <f>VLOOKUP(B325,'[2]Sheet1 (2)'!$B$2:$C$404,2,0)</f>
        <v>45999.65</v>
      </c>
      <c r="AT325" s="24">
        <v>-5328.54</v>
      </c>
      <c r="AU325" s="24">
        <v>18062.63</v>
      </c>
      <c r="AV325" s="24">
        <v>18062.68</v>
      </c>
      <c r="AW325" s="20">
        <v>18357.349999999999</v>
      </c>
      <c r="AX325" s="20">
        <v>18357.45</v>
      </c>
      <c r="AY325" s="83">
        <v>20708.900000000001</v>
      </c>
      <c r="AZ325" s="83">
        <v>16972.45</v>
      </c>
      <c r="BA325" s="83">
        <v>18212.189999999999</v>
      </c>
      <c r="BB325" s="8">
        <f t="shared" si="229"/>
        <v>207190.93000000005</v>
      </c>
      <c r="BC325" s="24">
        <v>17655.05</v>
      </c>
      <c r="BD325" s="24">
        <v>17917.45</v>
      </c>
      <c r="BE325" s="24">
        <v>20543.98</v>
      </c>
      <c r="BF325" s="24">
        <v>20543.96</v>
      </c>
      <c r="BG325" s="24">
        <v>20500.55</v>
      </c>
      <c r="BH325" s="24">
        <v>19727.62</v>
      </c>
      <c r="BI325" s="24">
        <v>20567.98</v>
      </c>
      <c r="BN325" s="83"/>
      <c r="BO325" s="8">
        <f t="shared" si="230"/>
        <v>137456.59</v>
      </c>
    </row>
    <row r="326" spans="2:67" x14ac:dyDescent="0.2">
      <c r="B326" s="3" t="s">
        <v>417</v>
      </c>
      <c r="C326" s="23">
        <v>2916.44</v>
      </c>
      <c r="D326" s="24">
        <v>2916.44</v>
      </c>
      <c r="E326" s="24">
        <v>2916.44</v>
      </c>
      <c r="F326" s="24">
        <v>2916.44</v>
      </c>
      <c r="G326" s="24">
        <v>2916.44</v>
      </c>
      <c r="H326" s="24">
        <v>2435.7199999999998</v>
      </c>
      <c r="I326" s="24">
        <v>2435.7399999999998</v>
      </c>
      <c r="J326" s="24">
        <v>2435.73</v>
      </c>
      <c r="K326" s="24">
        <v>2435.7399999999998</v>
      </c>
      <c r="L326" s="24">
        <v>2435.73</v>
      </c>
      <c r="M326" s="24">
        <v>2435.7399999999998</v>
      </c>
      <c r="N326" s="24">
        <v>2983.45</v>
      </c>
      <c r="O326" s="24">
        <f t="shared" si="226"/>
        <v>32180.050000000007</v>
      </c>
      <c r="P326" s="24">
        <v>2983.46</v>
      </c>
      <c r="Q326" s="24">
        <v>2983.44</v>
      </c>
      <c r="R326" s="24">
        <v>2983.45</v>
      </c>
      <c r="S326" s="24">
        <v>2983.45</v>
      </c>
      <c r="T326" s="24">
        <v>2983.44</v>
      </c>
      <c r="U326" s="24">
        <v>2983.44</v>
      </c>
      <c r="V326" s="24">
        <v>3543.8</v>
      </c>
      <c r="W326" s="20">
        <v>5299.24</v>
      </c>
      <c r="X326" s="20">
        <v>5682.31</v>
      </c>
      <c r="Y326" s="83">
        <v>7500.66</v>
      </c>
      <c r="Z326" s="83">
        <v>7500.65</v>
      </c>
      <c r="AA326" s="83">
        <v>8618.67</v>
      </c>
      <c r="AB326" s="8">
        <f t="shared" si="227"/>
        <v>56046.01</v>
      </c>
      <c r="AC326" s="24">
        <v>10651.89</v>
      </c>
      <c r="AD326" s="24">
        <v>10268.84</v>
      </c>
      <c r="AE326" s="24">
        <v>11495.22</v>
      </c>
      <c r="AF326" s="24">
        <v>11495.26</v>
      </c>
      <c r="AG326" s="24">
        <v>11024.06</v>
      </c>
      <c r="AH326" s="24">
        <v>4753.58</v>
      </c>
      <c r="AI326" s="24">
        <v>11561.7</v>
      </c>
      <c r="AJ326" s="20">
        <v>11561.71</v>
      </c>
      <c r="AK326" s="20">
        <v>14766.03</v>
      </c>
      <c r="AL326" s="83">
        <v>14766.03</v>
      </c>
      <c r="AM326" s="83">
        <v>13454.05</v>
      </c>
      <c r="AN326" s="83">
        <v>13454.01</v>
      </c>
      <c r="AO326" s="8">
        <f t="shared" si="228"/>
        <v>139252.38</v>
      </c>
      <c r="AP326" s="24">
        <v>11627.55</v>
      </c>
      <c r="AQ326" s="24">
        <v>11627.58</v>
      </c>
      <c r="AR326" s="24">
        <f>VLOOKUP(B326,'[1]Sheet1 (2)'!$B$2:$C$397,2,0)</f>
        <v>11943.45</v>
      </c>
      <c r="AS326" s="24">
        <f>VLOOKUP(B326,'[2]Sheet1 (2)'!$B$2:$C$404,2,0)</f>
        <v>9381.18</v>
      </c>
      <c r="AT326" s="24">
        <v>6502.06</v>
      </c>
      <c r="AU326" s="24">
        <v>6502.04</v>
      </c>
      <c r="AV326" s="24">
        <v>6502.03</v>
      </c>
      <c r="AW326" s="20">
        <v>4675.22</v>
      </c>
      <c r="AX326" s="20">
        <v>4675.18</v>
      </c>
      <c r="AY326" s="83">
        <v>6871.97</v>
      </c>
      <c r="AZ326" s="83">
        <v>7206.37</v>
      </c>
      <c r="BA326" s="83">
        <v>7692.53</v>
      </c>
      <c r="BB326" s="8">
        <f t="shared" si="229"/>
        <v>95207.16</v>
      </c>
      <c r="BC326" s="24">
        <v>7692.56</v>
      </c>
      <c r="BD326" s="24">
        <v>7692.56</v>
      </c>
      <c r="BE326" s="24">
        <v>7692.55</v>
      </c>
      <c r="BF326" s="24">
        <v>7692.57</v>
      </c>
      <c r="BG326" s="24">
        <v>7692.56</v>
      </c>
      <c r="BH326" s="24">
        <v>5495.8</v>
      </c>
      <c r="BI326" s="24">
        <v>5289.39</v>
      </c>
      <c r="BN326" s="83"/>
      <c r="BO326" s="8">
        <f t="shared" si="230"/>
        <v>49247.990000000005</v>
      </c>
    </row>
    <row r="327" spans="2:67" x14ac:dyDescent="0.2">
      <c r="B327" s="3" t="s">
        <v>689</v>
      </c>
      <c r="C327" s="23">
        <v>60617.71</v>
      </c>
      <c r="D327" s="24">
        <v>0</v>
      </c>
      <c r="E327" s="24">
        <v>0</v>
      </c>
      <c r="F327" s="24">
        <v>0</v>
      </c>
      <c r="G327" s="24">
        <v>313280.7</v>
      </c>
      <c r="H327" s="24">
        <v>-340086.72</v>
      </c>
      <c r="I327" s="24">
        <v>434125.31</v>
      </c>
      <c r="J327" s="24">
        <v>58188.47</v>
      </c>
      <c r="K327" s="24">
        <v>58188.47</v>
      </c>
      <c r="L327" s="24">
        <v>58188.47</v>
      </c>
      <c r="M327" s="24">
        <v>58188.47</v>
      </c>
      <c r="N327" s="24">
        <v>58188.44</v>
      </c>
      <c r="O327" s="24">
        <f t="shared" si="226"/>
        <v>758879.32000000007</v>
      </c>
      <c r="P327" s="24">
        <v>0</v>
      </c>
      <c r="Q327" s="24">
        <v>0</v>
      </c>
      <c r="R327" s="24">
        <v>204174.63</v>
      </c>
      <c r="S327" s="24">
        <v>71218.61</v>
      </c>
      <c r="T327" s="24">
        <v>71916.009999999995</v>
      </c>
      <c r="U327" s="24">
        <v>69461.850000000006</v>
      </c>
      <c r="V327" s="24">
        <v>69461.850000000006</v>
      </c>
      <c r="W327" s="20">
        <v>69461.850000000006</v>
      </c>
      <c r="X327" s="20">
        <v>69461.850000000006</v>
      </c>
      <c r="Y327" s="83">
        <v>69461.850000000006</v>
      </c>
      <c r="Z327" s="83">
        <v>69461.850000000006</v>
      </c>
      <c r="AA327" s="83">
        <v>69461.850000000006</v>
      </c>
      <c r="AB327" s="8">
        <f t="shared" si="227"/>
        <v>833542.19999999984</v>
      </c>
      <c r="AC327" s="24">
        <v>0</v>
      </c>
      <c r="AD327" s="24">
        <v>0</v>
      </c>
      <c r="AE327" s="24">
        <v>184228.68</v>
      </c>
      <c r="AF327" s="24">
        <v>61409.56</v>
      </c>
      <c r="AG327" s="24">
        <v>61409.56</v>
      </c>
      <c r="AH327" s="24">
        <v>61409.56</v>
      </c>
      <c r="AI327" s="24">
        <v>61409.56</v>
      </c>
      <c r="AJ327" s="20">
        <v>61409.56</v>
      </c>
      <c r="AK327" s="20">
        <v>61409.56</v>
      </c>
      <c r="AL327" s="83">
        <v>61409.56</v>
      </c>
      <c r="AM327" s="83">
        <v>61409.56</v>
      </c>
      <c r="AN327" s="83">
        <v>61409.52</v>
      </c>
      <c r="AO327" s="8">
        <f t="shared" si="228"/>
        <v>736914.68000000017</v>
      </c>
      <c r="AP327" s="24">
        <v>0</v>
      </c>
      <c r="AQ327" s="24">
        <v>129828.48</v>
      </c>
      <c r="AR327" s="24">
        <f>VLOOKUP(B327,'[1]Sheet1 (2)'!$B$2:$C$397,2,0)</f>
        <v>64914.22</v>
      </c>
      <c r="AS327" s="24">
        <f>VLOOKUP(B327,'[2]Sheet1 (2)'!$B$2:$C$404,2,0)</f>
        <v>64914.26</v>
      </c>
      <c r="AT327" s="24">
        <v>64914.22</v>
      </c>
      <c r="AU327" s="24">
        <v>64914.26</v>
      </c>
      <c r="AV327" s="24">
        <v>64914.21</v>
      </c>
      <c r="AW327" s="20">
        <v>64914.26</v>
      </c>
      <c r="AX327" s="20">
        <v>64914.21</v>
      </c>
      <c r="AY327" s="83">
        <v>64914.26</v>
      </c>
      <c r="AZ327" s="83">
        <v>64914.21</v>
      </c>
      <c r="BA327" s="83">
        <v>64914.26</v>
      </c>
      <c r="BB327" s="8">
        <f t="shared" si="229"/>
        <v>778970.85000000009</v>
      </c>
      <c r="BC327" s="24">
        <v>0</v>
      </c>
      <c r="BD327" s="24">
        <v>133654.93</v>
      </c>
      <c r="BE327" s="24">
        <v>66827.460000000006</v>
      </c>
      <c r="BF327" s="24">
        <v>66827.490000000005</v>
      </c>
      <c r="BG327" s="24">
        <v>66827.45</v>
      </c>
      <c r="BH327" s="24">
        <v>66827.490000000005</v>
      </c>
      <c r="BI327" s="24">
        <v>66827.45</v>
      </c>
      <c r="BN327" s="83"/>
      <c r="BO327" s="8">
        <f t="shared" si="230"/>
        <v>467792.27</v>
      </c>
    </row>
    <row r="328" spans="2:67" x14ac:dyDescent="0.2">
      <c r="B328" s="3" t="s">
        <v>418</v>
      </c>
      <c r="C328" s="23">
        <v>10835.77</v>
      </c>
      <c r="D328" s="24">
        <v>7844.79</v>
      </c>
      <c r="E328" s="24">
        <v>7844.79</v>
      </c>
      <c r="F328" s="24">
        <v>7844.79</v>
      </c>
      <c r="G328" s="24">
        <v>19889.43</v>
      </c>
      <c r="H328" s="24">
        <v>10855.95</v>
      </c>
      <c r="I328" s="24">
        <v>10855.95</v>
      </c>
      <c r="J328" s="24">
        <v>10855.95</v>
      </c>
      <c r="K328" s="24">
        <v>10855.95</v>
      </c>
      <c r="L328" s="24">
        <v>21290.91</v>
      </c>
      <c r="M328" s="24">
        <v>14334.27</v>
      </c>
      <c r="N328" s="24">
        <v>25883.15</v>
      </c>
      <c r="O328" s="24">
        <f t="shared" si="226"/>
        <v>159191.69999999998</v>
      </c>
      <c r="P328" s="24">
        <v>18519.04</v>
      </c>
      <c r="Q328" s="24">
        <v>18519.04</v>
      </c>
      <c r="R328" s="24">
        <v>16715.16</v>
      </c>
      <c r="S328" s="24">
        <v>15632.77</v>
      </c>
      <c r="T328" s="24">
        <v>15416.29</v>
      </c>
      <c r="U328" s="24">
        <v>15415.66</v>
      </c>
      <c r="V328" s="24">
        <v>24947.8</v>
      </c>
      <c r="W328" s="20">
        <v>18593.46</v>
      </c>
      <c r="X328" s="20">
        <v>62810.28</v>
      </c>
      <c r="Y328" s="83">
        <v>25962.93</v>
      </c>
      <c r="Z328" s="83">
        <v>21220.89</v>
      </c>
      <c r="AA328" s="83">
        <v>21220.89</v>
      </c>
      <c r="AB328" s="8">
        <f t="shared" si="227"/>
        <v>274974.21000000002</v>
      </c>
      <c r="AC328" s="24">
        <v>21220.89</v>
      </c>
      <c r="AD328" s="24">
        <v>26198.05</v>
      </c>
      <c r="AE328" s="24">
        <v>22203.89</v>
      </c>
      <c r="AF328" s="24">
        <v>22203.89</v>
      </c>
      <c r="AG328" s="24">
        <v>22203.89</v>
      </c>
      <c r="AH328" s="24">
        <v>19026.72</v>
      </c>
      <c r="AI328" s="24">
        <v>60248.160000000003</v>
      </c>
      <c r="AJ328" s="20">
        <v>22418.639999999999</v>
      </c>
      <c r="AK328" s="20">
        <v>22418.639999999999</v>
      </c>
      <c r="AL328" s="83">
        <v>22418.639999999999</v>
      </c>
      <c r="AM328" s="83">
        <v>31449.919999999998</v>
      </c>
      <c r="AN328" s="83">
        <v>24758.78</v>
      </c>
      <c r="AO328" s="8">
        <f t="shared" si="228"/>
        <v>316770.11</v>
      </c>
      <c r="AP328" s="24">
        <v>475.85</v>
      </c>
      <c r="AQ328" s="24">
        <v>25170.05</v>
      </c>
      <c r="AR328" s="24">
        <f>VLOOKUP(B328,'[1]Sheet1 (2)'!$B$2:$C$397,2,0)</f>
        <v>25170.11</v>
      </c>
      <c r="AS328" s="24">
        <f>VLOOKUP(B328,'[2]Sheet1 (2)'!$B$2:$C$404,2,0)</f>
        <v>21926.43</v>
      </c>
      <c r="AT328" s="24">
        <v>21926.46</v>
      </c>
      <c r="AU328" s="24">
        <v>21926.43</v>
      </c>
      <c r="AV328" s="24">
        <v>21926.560000000001</v>
      </c>
      <c r="AW328" s="20">
        <v>21926.44</v>
      </c>
      <c r="AX328" s="20">
        <v>21926.51</v>
      </c>
      <c r="AY328" s="83">
        <v>21926.48</v>
      </c>
      <c r="AZ328" s="83">
        <v>21926.52</v>
      </c>
      <c r="BA328" s="83">
        <v>21926.43</v>
      </c>
      <c r="BB328" s="8">
        <f t="shared" si="229"/>
        <v>248154.27</v>
      </c>
      <c r="BC328" s="24">
        <v>21926.59</v>
      </c>
      <c r="BD328" s="24">
        <v>14794.9</v>
      </c>
      <c r="BE328" s="24">
        <v>14794.88</v>
      </c>
      <c r="BF328" s="24">
        <v>18039.52</v>
      </c>
      <c r="BG328" s="24">
        <v>15605.99</v>
      </c>
      <c r="BH328" s="24">
        <v>15606.07</v>
      </c>
      <c r="BI328" s="24">
        <v>15606.06</v>
      </c>
      <c r="BN328" s="83"/>
      <c r="BO328" s="8">
        <f t="shared" si="230"/>
        <v>116374.01000000001</v>
      </c>
    </row>
    <row r="329" spans="2:67" x14ac:dyDescent="0.2">
      <c r="B329" s="3" t="s">
        <v>419</v>
      </c>
      <c r="C329" s="23">
        <v>5356.49</v>
      </c>
      <c r="D329" s="24">
        <v>5490.86</v>
      </c>
      <c r="E329" s="24">
        <v>5602.86</v>
      </c>
      <c r="F329" s="24">
        <v>5507.52</v>
      </c>
      <c r="G329" s="24">
        <v>5513.52</v>
      </c>
      <c r="H329" s="24">
        <v>5823.64</v>
      </c>
      <c r="I329" s="24">
        <v>5264.86</v>
      </c>
      <c r="J329" s="24">
        <v>5176.59</v>
      </c>
      <c r="K329" s="24">
        <v>5051.2700000000004</v>
      </c>
      <c r="L329" s="24">
        <v>4515.4799999999996</v>
      </c>
      <c r="M329" s="24">
        <v>4391.7</v>
      </c>
      <c r="N329" s="24">
        <v>10946.65</v>
      </c>
      <c r="O329" s="24">
        <f t="shared" si="226"/>
        <v>68641.439999999988</v>
      </c>
      <c r="P329" s="24">
        <v>8257.59</v>
      </c>
      <c r="Q329" s="24">
        <v>4325.99</v>
      </c>
      <c r="R329" s="24">
        <v>3531.36</v>
      </c>
      <c r="S329" s="24">
        <v>12160.26</v>
      </c>
      <c r="T329" s="24">
        <v>8539.9699999999993</v>
      </c>
      <c r="U329" s="24">
        <v>10958.62</v>
      </c>
      <c r="V329" s="24">
        <v>7642.8</v>
      </c>
      <c r="W329" s="20">
        <v>6921.16</v>
      </c>
      <c r="X329" s="20">
        <v>9241.48</v>
      </c>
      <c r="Y329" s="83">
        <v>5214.1400000000003</v>
      </c>
      <c r="Z329" s="83">
        <v>6162.99</v>
      </c>
      <c r="AA329" s="83">
        <v>29581.5</v>
      </c>
      <c r="AB329" s="8">
        <f t="shared" si="227"/>
        <v>112537.86</v>
      </c>
      <c r="AC329" s="24">
        <v>9603.61</v>
      </c>
      <c r="AD329" s="24">
        <v>9394.2900000000009</v>
      </c>
      <c r="AE329" s="24">
        <v>10627.04</v>
      </c>
      <c r="AF329" s="24">
        <v>10287.11</v>
      </c>
      <c r="AG329" s="24">
        <v>9474.94</v>
      </c>
      <c r="AH329" s="24">
        <v>9354.6200000000008</v>
      </c>
      <c r="AI329" s="24">
        <v>10139.33</v>
      </c>
      <c r="AJ329" s="20">
        <v>8669.5</v>
      </c>
      <c r="AK329" s="20">
        <v>9569.76</v>
      </c>
      <c r="AL329" s="83">
        <v>6688.07</v>
      </c>
      <c r="AM329" s="83">
        <v>-1568.27</v>
      </c>
      <c r="AN329" s="83">
        <v>11265.32</v>
      </c>
      <c r="AO329" s="8">
        <f t="shared" si="228"/>
        <v>103505.31999999998</v>
      </c>
      <c r="AP329" s="24">
        <v>7758.02</v>
      </c>
      <c r="AQ329" s="24">
        <v>8173.67</v>
      </c>
      <c r="AR329" s="24">
        <f>VLOOKUP(B329,'[1]Sheet1 (2)'!$B$2:$C$397,2,0)</f>
        <v>7943.67</v>
      </c>
      <c r="AS329" s="24">
        <f>VLOOKUP(B329,'[2]Sheet1 (2)'!$B$2:$C$404,2,0)</f>
        <v>7996.15</v>
      </c>
      <c r="AT329" s="24">
        <v>8047.18</v>
      </c>
      <c r="AU329" s="24">
        <v>7929.99</v>
      </c>
      <c r="AV329" s="24">
        <v>8032.78</v>
      </c>
      <c r="AW329" s="20">
        <v>8111.19</v>
      </c>
      <c r="AX329" s="20">
        <v>8582.2999999999993</v>
      </c>
      <c r="AY329" s="83">
        <v>8194.93</v>
      </c>
      <c r="AZ329" s="83">
        <v>8901.2199999999993</v>
      </c>
      <c r="BA329" s="83">
        <v>8571.39</v>
      </c>
      <c r="BB329" s="8">
        <f t="shared" si="229"/>
        <v>98242.49</v>
      </c>
      <c r="BC329" s="24">
        <v>8617.9699999999993</v>
      </c>
      <c r="BD329" s="24">
        <v>8518.94</v>
      </c>
      <c r="BE329" s="24">
        <v>8623.7199999999993</v>
      </c>
      <c r="BF329" s="24">
        <v>8796.2199999999993</v>
      </c>
      <c r="BG329" s="24">
        <v>8680.68</v>
      </c>
      <c r="BH329" s="24">
        <v>8669.8700000000008</v>
      </c>
      <c r="BI329" s="24">
        <v>8665.24</v>
      </c>
      <c r="BN329" s="83"/>
      <c r="BO329" s="8">
        <f t="shared" si="230"/>
        <v>60572.639999999999</v>
      </c>
    </row>
    <row r="330" spans="2:67" x14ac:dyDescent="0.2">
      <c r="B330" s="6" t="s">
        <v>1563</v>
      </c>
      <c r="C330" s="7">
        <f t="shared" ref="C330:N330" si="231">SUM(C317:C329)</f>
        <v>94040.87000000001</v>
      </c>
      <c r="D330" s="7">
        <f t="shared" si="231"/>
        <v>27488</v>
      </c>
      <c r="E330" s="7">
        <f t="shared" si="231"/>
        <v>27032.070000000003</v>
      </c>
      <c r="F330" s="7">
        <f t="shared" si="231"/>
        <v>31572.880000000001</v>
      </c>
      <c r="G330" s="7">
        <f t="shared" si="231"/>
        <v>355275.88</v>
      </c>
      <c r="H330" s="7">
        <f t="shared" si="231"/>
        <v>-307502.64999999997</v>
      </c>
      <c r="I330" s="7">
        <f t="shared" si="231"/>
        <v>466813.62</v>
      </c>
      <c r="J330" s="7">
        <f t="shared" si="231"/>
        <v>91375.48</v>
      </c>
      <c r="K330" s="7">
        <f t="shared" si="231"/>
        <v>90578.540000000008</v>
      </c>
      <c r="L330" s="7">
        <f t="shared" si="231"/>
        <v>105298.25</v>
      </c>
      <c r="M330" s="7">
        <f t="shared" si="231"/>
        <v>95762.5</v>
      </c>
      <c r="N330" s="7">
        <f t="shared" si="231"/>
        <v>121241.26000000001</v>
      </c>
      <c r="O330" s="7">
        <f>SUM(C330:N330)</f>
        <v>1198976.7</v>
      </c>
      <c r="P330" s="7">
        <f t="shared" ref="P330:AT330" si="232">SUM(P317:P329)</f>
        <v>46680.78</v>
      </c>
      <c r="Q330" s="7">
        <f t="shared" si="232"/>
        <v>42858.659999999996</v>
      </c>
      <c r="R330" s="7">
        <f t="shared" si="232"/>
        <v>245437.83</v>
      </c>
      <c r="S330" s="7">
        <f t="shared" si="232"/>
        <v>120473.01</v>
      </c>
      <c r="T330" s="7">
        <f t="shared" si="232"/>
        <v>117421</v>
      </c>
      <c r="U330" s="7">
        <f t="shared" si="232"/>
        <v>118075.9</v>
      </c>
      <c r="V330" s="7">
        <f t="shared" si="232"/>
        <v>125410.23000000001</v>
      </c>
      <c r="W330" s="63">
        <f t="shared" si="232"/>
        <v>120137.35</v>
      </c>
      <c r="X330" s="63">
        <f t="shared" si="232"/>
        <v>167433.67000000001</v>
      </c>
      <c r="Y330" s="63">
        <f t="shared" si="232"/>
        <v>129553.14</v>
      </c>
      <c r="Z330" s="63">
        <f t="shared" si="232"/>
        <v>126447.15000000001</v>
      </c>
      <c r="AA330" s="63">
        <f t="shared" si="232"/>
        <v>152836.08000000002</v>
      </c>
      <c r="AB330" s="63">
        <f t="shared" si="232"/>
        <v>1512764.8</v>
      </c>
      <c r="AC330" s="63">
        <f t="shared" si="232"/>
        <v>64082</v>
      </c>
      <c r="AD330" s="63">
        <f t="shared" si="232"/>
        <v>70145.540000000008</v>
      </c>
      <c r="AE330" s="63">
        <f t="shared" si="232"/>
        <v>255471.91</v>
      </c>
      <c r="AF330" s="63">
        <f t="shared" si="232"/>
        <v>133119.08000000002</v>
      </c>
      <c r="AG330" s="63">
        <f t="shared" si="232"/>
        <v>133625.13999999998</v>
      </c>
      <c r="AH330" s="63">
        <f t="shared" si="232"/>
        <v>121826.34999999999</v>
      </c>
      <c r="AI330" s="63">
        <f t="shared" si="232"/>
        <v>179836.80999999997</v>
      </c>
      <c r="AJ330" s="63">
        <f t="shared" si="232"/>
        <v>140283.34</v>
      </c>
      <c r="AK330" s="63">
        <f t="shared" si="232"/>
        <v>144312.87</v>
      </c>
      <c r="AL330" s="63">
        <f t="shared" si="232"/>
        <v>159401.60000000001</v>
      </c>
      <c r="AM330" s="63">
        <f t="shared" si="232"/>
        <v>146168.38</v>
      </c>
      <c r="AN330" s="63">
        <f t="shared" si="232"/>
        <v>156493.73000000001</v>
      </c>
      <c r="AO330" s="63">
        <f t="shared" si="232"/>
        <v>1704766.7500000002</v>
      </c>
      <c r="AP330" s="63">
        <f t="shared" si="232"/>
        <v>62973.83</v>
      </c>
      <c r="AQ330" s="63">
        <f t="shared" si="232"/>
        <v>200088.67</v>
      </c>
      <c r="AR330" s="63">
        <f t="shared" si="232"/>
        <v>150854.9</v>
      </c>
      <c r="AS330" s="63">
        <f t="shared" si="232"/>
        <v>179447.16999999998</v>
      </c>
      <c r="AT330" s="63">
        <f t="shared" si="232"/>
        <v>121537.54999999999</v>
      </c>
      <c r="AU330" s="63">
        <f t="shared" ref="AU330:BO330" si="233">SUM(AU317:AU329)</f>
        <v>147020.53999999998</v>
      </c>
      <c r="AV330" s="63">
        <f t="shared" si="233"/>
        <v>147148.94</v>
      </c>
      <c r="AW330" s="63">
        <f t="shared" si="233"/>
        <v>145877.56</v>
      </c>
      <c r="AX330" s="63">
        <f t="shared" si="233"/>
        <v>146135.94999999998</v>
      </c>
      <c r="AY330" s="63">
        <f t="shared" si="233"/>
        <v>150376.78</v>
      </c>
      <c r="AZ330" s="63">
        <f t="shared" si="233"/>
        <v>148232.72</v>
      </c>
      <c r="BA330" s="63">
        <f t="shared" si="233"/>
        <v>150767.29999999999</v>
      </c>
      <c r="BB330" s="63">
        <f t="shared" si="233"/>
        <v>1750461.9100000001</v>
      </c>
      <c r="BC330" s="63">
        <f t="shared" si="233"/>
        <v>85665.51</v>
      </c>
      <c r="BD330" s="63">
        <f t="shared" si="233"/>
        <v>214350.99999999997</v>
      </c>
      <c r="BE330" s="63">
        <f t="shared" si="233"/>
        <v>171326.15</v>
      </c>
      <c r="BF330" s="63">
        <f t="shared" si="233"/>
        <v>154139.82</v>
      </c>
      <c r="BG330" s="63">
        <f t="shared" si="233"/>
        <v>151365.87999999998</v>
      </c>
      <c r="BH330" s="63">
        <f t="shared" si="233"/>
        <v>148195.45000000001</v>
      </c>
      <c r="BI330" s="63">
        <f t="shared" si="233"/>
        <v>148164.09999999998</v>
      </c>
      <c r="BJ330" s="63">
        <f t="shared" si="233"/>
        <v>0</v>
      </c>
      <c r="BK330" s="63">
        <f t="shared" si="233"/>
        <v>0</v>
      </c>
      <c r="BL330" s="63">
        <f t="shared" si="233"/>
        <v>0</v>
      </c>
      <c r="BM330" s="63">
        <f t="shared" si="233"/>
        <v>0</v>
      </c>
      <c r="BN330" s="63">
        <f t="shared" si="233"/>
        <v>0</v>
      </c>
      <c r="BO330" s="63">
        <f t="shared" si="233"/>
        <v>1073207.9099999999</v>
      </c>
    </row>
    <row r="331" spans="2:67" x14ac:dyDescent="0.2">
      <c r="B331" s="3" t="s">
        <v>421</v>
      </c>
      <c r="C331" s="23">
        <v>9127.73</v>
      </c>
      <c r="D331" s="24">
        <v>17636.5</v>
      </c>
      <c r="E331" s="24">
        <v>16285.21</v>
      </c>
      <c r="F331" s="24">
        <v>7019.49</v>
      </c>
      <c r="G331" s="24">
        <v>6347.44</v>
      </c>
      <c r="H331" s="24">
        <v>-7743.02</v>
      </c>
      <c r="I331" s="24">
        <v>6227.08</v>
      </c>
      <c r="J331" s="24">
        <v>11022.21</v>
      </c>
      <c r="K331" s="24">
        <v>2850.06</v>
      </c>
      <c r="L331" s="24">
        <v>10285.92</v>
      </c>
      <c r="M331" s="24">
        <v>3814.77</v>
      </c>
      <c r="N331" s="24">
        <v>46018.27</v>
      </c>
      <c r="O331" s="24">
        <f>SUBTOTAL(9,C331:N331)</f>
        <v>128891.66</v>
      </c>
      <c r="P331" s="24">
        <v>-6847.81</v>
      </c>
      <c r="Q331" s="24">
        <v>10388.59</v>
      </c>
      <c r="R331" s="24">
        <v>16658.080000000002</v>
      </c>
      <c r="S331" s="24">
        <v>15810.06</v>
      </c>
      <c r="T331" s="24">
        <v>16120.67</v>
      </c>
      <c r="U331" s="24">
        <v>35567.39</v>
      </c>
      <c r="V331" s="24">
        <v>32670.83</v>
      </c>
      <c r="W331" s="20">
        <v>39426.559999999998</v>
      </c>
      <c r="X331" s="20">
        <v>49027.34</v>
      </c>
      <c r="Y331" s="83">
        <v>20641.05</v>
      </c>
      <c r="Z331" s="83">
        <v>15866.83</v>
      </c>
      <c r="AA331" s="83">
        <v>20424.29</v>
      </c>
      <c r="AB331" s="8">
        <f t="shared" ref="AB331:AB339" si="234">SUM(P331:AA331)</f>
        <v>265753.87999999995</v>
      </c>
      <c r="AC331" s="24">
        <v>17915.22</v>
      </c>
      <c r="AD331" s="24">
        <v>19139.63</v>
      </c>
      <c r="AE331" s="24">
        <v>17865.009999999998</v>
      </c>
      <c r="AF331" s="24">
        <v>25447.06</v>
      </c>
      <c r="AG331" s="24">
        <v>56970.84</v>
      </c>
      <c r="AH331" s="24">
        <v>8647.7099999999991</v>
      </c>
      <c r="AI331" s="24">
        <v>50992.14</v>
      </c>
      <c r="AJ331" s="20">
        <v>-2605.85</v>
      </c>
      <c r="AK331" s="20">
        <v>17704.59</v>
      </c>
      <c r="AL331" s="83">
        <v>20336.2</v>
      </c>
      <c r="AM331" s="83">
        <v>16300.67</v>
      </c>
      <c r="AN331" s="83">
        <v>29085.13</v>
      </c>
      <c r="AO331" s="8">
        <f t="shared" ref="AO331:AO339" si="235">SUM(AC331:AN331)</f>
        <v>277798.34999999998</v>
      </c>
      <c r="AP331" s="24">
        <v>24089.919999999998</v>
      </c>
      <c r="AQ331" s="24">
        <v>-1310.85</v>
      </c>
      <c r="AR331" s="24">
        <f>VLOOKUP(B331,'[1]Sheet1 (2)'!$B$2:$C$397,2,0)</f>
        <v>19762.87</v>
      </c>
      <c r="AS331" s="24">
        <f>VLOOKUP(B331,'[2]Sheet1 (2)'!$B$2:$C$404,2,0)</f>
        <v>5853.02</v>
      </c>
      <c r="AT331" s="24">
        <v>14823.53</v>
      </c>
      <c r="AU331" s="24">
        <v>14861.7</v>
      </c>
      <c r="AV331" s="24">
        <v>2478.88</v>
      </c>
      <c r="AW331" s="20">
        <v>13759.73</v>
      </c>
      <c r="AX331" s="20">
        <v>8171.5</v>
      </c>
      <c r="AY331" s="83">
        <v>3345.82</v>
      </c>
      <c r="AZ331" s="83">
        <v>15677.06</v>
      </c>
      <c r="BA331" s="83">
        <v>18288.91</v>
      </c>
      <c r="BB331" s="8">
        <f t="shared" ref="BB331:BB339" si="236">SUM(AP331:BA331)</f>
        <v>139802.09</v>
      </c>
      <c r="BC331" s="24">
        <v>5778.86</v>
      </c>
      <c r="BD331" s="24">
        <v>847.17</v>
      </c>
      <c r="BE331" s="24">
        <v>8129</v>
      </c>
      <c r="BF331" s="24">
        <v>4287.55</v>
      </c>
      <c r="BG331" s="24">
        <v>6432.95</v>
      </c>
      <c r="BH331" s="24">
        <v>5978.23</v>
      </c>
      <c r="BI331" s="24">
        <v>-604.36</v>
      </c>
      <c r="BN331" s="83"/>
      <c r="BO331" s="8">
        <f t="shared" ref="BO331:BO339" si="237">SUM(BC331:BN331)</f>
        <v>30849.399999999998</v>
      </c>
    </row>
    <row r="332" spans="2:67" x14ac:dyDescent="0.2">
      <c r="B332" s="3" t="s">
        <v>422</v>
      </c>
      <c r="C332" s="23">
        <v>4172.96</v>
      </c>
      <c r="D332" s="24">
        <v>4622.4399999999996</v>
      </c>
      <c r="E332" s="24">
        <v>1228.6099999999999</v>
      </c>
      <c r="F332" s="24">
        <v>1440.56</v>
      </c>
      <c r="G332" s="24">
        <v>4071.95</v>
      </c>
      <c r="H332" s="24">
        <v>10216.15</v>
      </c>
      <c r="I332" s="24">
        <v>4580.2700000000004</v>
      </c>
      <c r="J332" s="24">
        <v>5874.73</v>
      </c>
      <c r="K332" s="24">
        <v>2785.96</v>
      </c>
      <c r="L332" s="24">
        <v>4823</v>
      </c>
      <c r="M332" s="24">
        <v>4191.3</v>
      </c>
      <c r="N332" s="24">
        <v>7113.29</v>
      </c>
      <c r="O332" s="24">
        <f>SUBTOTAL(9,C332:N332)</f>
        <v>55121.22</v>
      </c>
      <c r="P332" s="24">
        <v>5649.7</v>
      </c>
      <c r="Q332" s="24">
        <v>2242.81</v>
      </c>
      <c r="R332" s="24">
        <v>4596.75</v>
      </c>
      <c r="S332" s="24">
        <v>3362.09</v>
      </c>
      <c r="T332" s="24">
        <v>3895.07</v>
      </c>
      <c r="U332" s="24">
        <v>4292.0600000000004</v>
      </c>
      <c r="V332" s="24">
        <v>6606.65</v>
      </c>
      <c r="W332" s="20">
        <v>14697.01</v>
      </c>
      <c r="X332" s="20">
        <v>16389.86</v>
      </c>
      <c r="Y332" s="83">
        <v>2948.83</v>
      </c>
      <c r="Z332" s="83">
        <v>1470.92</v>
      </c>
      <c r="AA332" s="83">
        <v>8563.98</v>
      </c>
      <c r="AB332" s="8">
        <f t="shared" si="234"/>
        <v>74715.73000000001</v>
      </c>
      <c r="AC332" s="24">
        <v>6108.56</v>
      </c>
      <c r="AD332" s="24">
        <v>485.38</v>
      </c>
      <c r="AE332" s="24">
        <v>8231.39</v>
      </c>
      <c r="AF332" s="24">
        <v>1405.1</v>
      </c>
      <c r="AG332" s="24">
        <v>1084.8499999999999</v>
      </c>
      <c r="AH332" s="24">
        <v>1508.67</v>
      </c>
      <c r="AI332" s="24">
        <v>1859.43</v>
      </c>
      <c r="AJ332" s="20">
        <v>1095.29</v>
      </c>
      <c r="AK332" s="20">
        <v>3319.24</v>
      </c>
      <c r="AL332" s="83">
        <v>8269.2800000000007</v>
      </c>
      <c r="AM332" s="83">
        <v>2047.82</v>
      </c>
      <c r="AN332" s="83">
        <v>1604.27</v>
      </c>
      <c r="AO332" s="8">
        <f t="shared" si="235"/>
        <v>37019.279999999992</v>
      </c>
      <c r="AP332" s="24">
        <v>-87.51</v>
      </c>
      <c r="AQ332" s="24">
        <v>1433.57</v>
      </c>
      <c r="AR332" s="24">
        <f>VLOOKUP(B332,'[1]Sheet1 (2)'!$B$2:$C$397,2,0)</f>
        <v>454.48</v>
      </c>
      <c r="AS332" s="24">
        <f>VLOOKUP(B332,'[2]Sheet1 (2)'!$B$2:$C$404,2,0)</f>
        <v>257.77</v>
      </c>
      <c r="AT332" s="24">
        <v>2864.18</v>
      </c>
      <c r="AU332" s="24">
        <v>130.04</v>
      </c>
      <c r="AV332" s="24">
        <v>447.16</v>
      </c>
      <c r="AW332" s="20">
        <v>451.99</v>
      </c>
      <c r="AX332" s="20">
        <v>1448.16</v>
      </c>
      <c r="AY332" s="83">
        <v>649.37</v>
      </c>
      <c r="AZ332" s="83">
        <v>1493.25</v>
      </c>
      <c r="BA332" s="83">
        <v>2268.94</v>
      </c>
      <c r="BB332" s="8">
        <f t="shared" si="236"/>
        <v>11811.4</v>
      </c>
      <c r="BC332" s="24">
        <v>791.67</v>
      </c>
      <c r="BD332" s="24">
        <v>123.37</v>
      </c>
      <c r="BE332" s="24">
        <v>1244.43</v>
      </c>
      <c r="BF332" s="24">
        <v>950.77</v>
      </c>
      <c r="BG332" s="24">
        <v>1186.28</v>
      </c>
      <c r="BH332" s="24">
        <v>20.27</v>
      </c>
      <c r="BI332" s="24">
        <v>0</v>
      </c>
      <c r="BN332" s="83"/>
      <c r="BO332" s="8">
        <f t="shared" si="237"/>
        <v>4316.7900000000009</v>
      </c>
    </row>
    <row r="333" spans="2:67" x14ac:dyDescent="0.2">
      <c r="B333" s="3" t="s">
        <v>423</v>
      </c>
      <c r="C333" s="23">
        <v>6431.37</v>
      </c>
      <c r="D333" s="24">
        <v>7007.37</v>
      </c>
      <c r="E333" s="24">
        <v>2187.21</v>
      </c>
      <c r="F333" s="24">
        <v>256.56</v>
      </c>
      <c r="G333" s="24">
        <v>2622.95</v>
      </c>
      <c r="H333" s="24">
        <v>3024.29</v>
      </c>
      <c r="I333" s="24">
        <v>2055.1</v>
      </c>
      <c r="J333" s="24">
        <v>2706.39</v>
      </c>
      <c r="K333" s="24">
        <v>12927.93</v>
      </c>
      <c r="L333" s="24">
        <v>1300.81</v>
      </c>
      <c r="M333" s="24">
        <v>11774.81</v>
      </c>
      <c r="N333" s="24">
        <v>8461.44</v>
      </c>
      <c r="O333" s="24">
        <f>SUBTOTAL(9,C333:N333)</f>
        <v>60756.229999999996</v>
      </c>
      <c r="P333" s="24">
        <v>1414.28</v>
      </c>
      <c r="Q333" s="24">
        <v>2619.9</v>
      </c>
      <c r="R333" s="24">
        <v>6670.17</v>
      </c>
      <c r="S333" s="24">
        <v>4458.45</v>
      </c>
      <c r="T333" s="24">
        <v>8510.2999999999993</v>
      </c>
      <c r="U333" s="24">
        <v>14232.08</v>
      </c>
      <c r="V333" s="24">
        <v>5348.03</v>
      </c>
      <c r="W333" s="20">
        <v>16635.57</v>
      </c>
      <c r="X333" s="20">
        <v>3711.09</v>
      </c>
      <c r="Y333" s="83">
        <v>777.78</v>
      </c>
      <c r="Z333" s="83">
        <v>2827.41</v>
      </c>
      <c r="AA333" s="83">
        <v>10088.92</v>
      </c>
      <c r="AB333" s="8">
        <f t="shared" si="234"/>
        <v>77293.98</v>
      </c>
      <c r="AC333" s="24">
        <v>2794.04</v>
      </c>
      <c r="AD333" s="24">
        <v>4712.45</v>
      </c>
      <c r="AE333" s="24">
        <v>6734.69</v>
      </c>
      <c r="AF333" s="24">
        <v>10793.27</v>
      </c>
      <c r="AG333" s="24">
        <v>3941.41</v>
      </c>
      <c r="AH333" s="24">
        <v>7965.29</v>
      </c>
      <c r="AI333" s="24">
        <v>11621.93</v>
      </c>
      <c r="AJ333" s="20">
        <v>925.13</v>
      </c>
      <c r="AK333" s="20">
        <v>5044.87</v>
      </c>
      <c r="AL333" s="83">
        <v>6690.93</v>
      </c>
      <c r="AM333" s="83">
        <v>3797.43</v>
      </c>
      <c r="AN333" s="83">
        <v>6711.86</v>
      </c>
      <c r="AO333" s="8">
        <f t="shared" si="235"/>
        <v>71733.3</v>
      </c>
      <c r="AP333" s="24">
        <v>5457.7</v>
      </c>
      <c r="AQ333" s="24">
        <v>5121.1000000000004</v>
      </c>
      <c r="AR333" s="24">
        <f>VLOOKUP(B333,'[1]Sheet1 (2)'!$B$2:$C$397,2,0)</f>
        <v>4143.26</v>
      </c>
      <c r="AS333" s="24">
        <f>VLOOKUP(B333,'[2]Sheet1 (2)'!$B$2:$C$404,2,0)</f>
        <v>7713.46</v>
      </c>
      <c r="AT333" s="24">
        <v>3702.24</v>
      </c>
      <c r="AU333" s="24">
        <v>1819.66</v>
      </c>
      <c r="AV333" s="24">
        <v>6596.45</v>
      </c>
      <c r="AW333" s="20">
        <v>479.79</v>
      </c>
      <c r="AX333" s="20">
        <v>11804.5</v>
      </c>
      <c r="AY333" s="83">
        <v>-1226.9100000000001</v>
      </c>
      <c r="AZ333" s="83">
        <v>4517.6400000000003</v>
      </c>
      <c r="BA333" s="83">
        <v>3968.77</v>
      </c>
      <c r="BB333" s="8">
        <f t="shared" si="236"/>
        <v>54097.659999999996</v>
      </c>
      <c r="BC333" s="24">
        <v>201.06</v>
      </c>
      <c r="BD333" s="24">
        <v>1305.5999999999999</v>
      </c>
      <c r="BE333" s="24">
        <v>8241.93</v>
      </c>
      <c r="BF333" s="24">
        <v>4748.46</v>
      </c>
      <c r="BG333" s="24">
        <v>2532.16</v>
      </c>
      <c r="BH333" s="24">
        <v>2424.9499999999998</v>
      </c>
      <c r="BI333" s="24">
        <v>1407.42</v>
      </c>
      <c r="BN333" s="83"/>
      <c r="BO333" s="8">
        <f t="shared" si="237"/>
        <v>20861.580000000002</v>
      </c>
    </row>
    <row r="334" spans="2:67" x14ac:dyDescent="0.2">
      <c r="B334" s="3" t="s">
        <v>424</v>
      </c>
      <c r="C334" s="23">
        <v>2832.61</v>
      </c>
      <c r="D334" s="24">
        <v>2340.66</v>
      </c>
      <c r="E334" s="24">
        <v>2890.3</v>
      </c>
      <c r="F334" s="24">
        <v>2080.67</v>
      </c>
      <c r="G334" s="24">
        <v>3650.96</v>
      </c>
      <c r="H334" s="24">
        <v>2893.08</v>
      </c>
      <c r="I334" s="24">
        <v>8755.6299999999992</v>
      </c>
      <c r="J334" s="24">
        <v>3015.23</v>
      </c>
      <c r="K334" s="24">
        <v>2381.5</v>
      </c>
      <c r="L334" s="24">
        <v>4068.62</v>
      </c>
      <c r="M334" s="24">
        <v>5813.93</v>
      </c>
      <c r="N334" s="24">
        <v>6959.71</v>
      </c>
      <c r="O334" s="24">
        <f>SUBTOTAL(9,C334:N334)</f>
        <v>47682.899999999994</v>
      </c>
      <c r="P334" s="24">
        <v>2698.49</v>
      </c>
      <c r="Q334" s="24">
        <v>9507.5</v>
      </c>
      <c r="R334" s="24">
        <v>3409.34</v>
      </c>
      <c r="S334" s="24">
        <v>11040.94</v>
      </c>
      <c r="T334" s="24">
        <v>1243.57</v>
      </c>
      <c r="U334" s="24">
        <v>11371.79</v>
      </c>
      <c r="V334" s="24">
        <v>3776.02</v>
      </c>
      <c r="W334" s="20">
        <v>7223.53</v>
      </c>
      <c r="X334" s="20">
        <v>-556.69000000000005</v>
      </c>
      <c r="Y334" s="83">
        <v>12351.38</v>
      </c>
      <c r="Z334" s="83">
        <v>6535.09</v>
      </c>
      <c r="AA334" s="83">
        <v>10117.049999999999</v>
      </c>
      <c r="AB334" s="8">
        <f t="shared" si="234"/>
        <v>78718.009999999995</v>
      </c>
      <c r="AC334" s="24">
        <v>4280.3999999999996</v>
      </c>
      <c r="AD334" s="24">
        <v>-1471.59</v>
      </c>
      <c r="AE334" s="24">
        <v>2917.95</v>
      </c>
      <c r="AF334" s="24">
        <v>3586.43</v>
      </c>
      <c r="AG334" s="24">
        <v>2083.1</v>
      </c>
      <c r="AH334" s="24">
        <v>2147.64</v>
      </c>
      <c r="AI334" s="24">
        <v>9798.4500000000007</v>
      </c>
      <c r="AJ334" s="20">
        <v>-6902.65</v>
      </c>
      <c r="AK334" s="20">
        <v>1277.24</v>
      </c>
      <c r="AL334" s="83">
        <v>3470.04</v>
      </c>
      <c r="AM334" s="83">
        <v>3194.4</v>
      </c>
      <c r="AN334" s="83">
        <v>5705.51</v>
      </c>
      <c r="AO334" s="8">
        <f t="shared" si="235"/>
        <v>30086.92</v>
      </c>
      <c r="AP334" s="24">
        <v>-5.32</v>
      </c>
      <c r="AQ334" s="24">
        <v>10930.69</v>
      </c>
      <c r="AR334" s="24">
        <f>VLOOKUP(B334,'[1]Sheet1 (2)'!$B$2:$C$397,2,0)</f>
        <v>9665</v>
      </c>
      <c r="AS334" s="24">
        <f>VLOOKUP(B334,'[2]Sheet1 (2)'!$B$2:$C$404,2,0)</f>
        <v>389.97</v>
      </c>
      <c r="AT334" s="24">
        <v>770.01</v>
      </c>
      <c r="AU334" s="24">
        <v>1478.91</v>
      </c>
      <c r="AV334" s="24">
        <v>3811.48</v>
      </c>
      <c r="AW334" s="20">
        <v>1724.24</v>
      </c>
      <c r="AX334" s="20">
        <v>3507.27</v>
      </c>
      <c r="AY334" s="83">
        <v>710.47</v>
      </c>
      <c r="AZ334" s="83">
        <v>1800.54</v>
      </c>
      <c r="BA334" s="83">
        <v>3987.68</v>
      </c>
      <c r="BB334" s="8">
        <f t="shared" si="236"/>
        <v>38770.94</v>
      </c>
      <c r="BC334" s="24">
        <v>966.97</v>
      </c>
      <c r="BD334" s="24">
        <v>1689.52</v>
      </c>
      <c r="BE334" s="24">
        <v>4075.27</v>
      </c>
      <c r="BF334" s="24">
        <v>1174.24</v>
      </c>
      <c r="BG334" s="24">
        <v>309.08999999999997</v>
      </c>
      <c r="BH334" s="24">
        <v>492.91</v>
      </c>
      <c r="BI334" s="24">
        <v>128.66</v>
      </c>
      <c r="BN334" s="83"/>
      <c r="BO334" s="8">
        <f t="shared" si="237"/>
        <v>8836.66</v>
      </c>
    </row>
    <row r="335" spans="2:67" x14ac:dyDescent="0.2">
      <c r="B335" s="3" t="s">
        <v>1790</v>
      </c>
      <c r="C335" s="108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>
        <v>0</v>
      </c>
      <c r="Q335" s="75">
        <v>0</v>
      </c>
      <c r="R335" s="75">
        <v>0</v>
      </c>
      <c r="S335" s="75">
        <v>0</v>
      </c>
      <c r="T335" s="75">
        <v>0</v>
      </c>
      <c r="U335" s="75">
        <v>0</v>
      </c>
      <c r="V335" s="75">
        <v>0</v>
      </c>
      <c r="W335" s="75">
        <v>0</v>
      </c>
      <c r="X335" s="75">
        <v>0</v>
      </c>
      <c r="Y335" s="75">
        <v>0</v>
      </c>
      <c r="Z335" s="109">
        <v>5922.97</v>
      </c>
      <c r="AA335" s="109">
        <v>12896.75</v>
      </c>
      <c r="AB335" s="8">
        <f t="shared" si="234"/>
        <v>18819.72</v>
      </c>
      <c r="AC335" s="75">
        <v>0</v>
      </c>
      <c r="AD335" s="75">
        <v>22929.39</v>
      </c>
      <c r="AE335" s="75">
        <v>6595.87</v>
      </c>
      <c r="AF335" s="75">
        <v>28717.26</v>
      </c>
      <c r="AG335" s="75">
        <v>79580.05</v>
      </c>
      <c r="AH335" s="75">
        <v>-144890.95000000001</v>
      </c>
      <c r="AI335" s="75">
        <v>1950.8</v>
      </c>
      <c r="AJ335" s="20">
        <v>21333.62</v>
      </c>
      <c r="AK335" s="20">
        <v>91059.73</v>
      </c>
      <c r="AL335" s="83">
        <v>-41202.910000000003</v>
      </c>
      <c r="AM335" s="83">
        <v>18833</v>
      </c>
      <c r="AN335" s="83">
        <v>553314.41</v>
      </c>
      <c r="AO335" s="8">
        <f t="shared" si="235"/>
        <v>638220.27</v>
      </c>
      <c r="AP335" s="24">
        <v>6404.68</v>
      </c>
      <c r="AQ335" s="24">
        <v>5050.6400000000003</v>
      </c>
      <c r="AR335" s="24">
        <f>VLOOKUP(B335,'[1]Sheet1 (2)'!$B$2:$C$397,2,0)</f>
        <v>-220604.03</v>
      </c>
      <c r="AS335" s="24">
        <f>VLOOKUP(B335,'[2]Sheet1 (2)'!$B$2:$C$404,2,0)</f>
        <v>33274.199999999997</v>
      </c>
      <c r="AT335" s="24">
        <v>-25904.05</v>
      </c>
      <c r="AU335" s="24">
        <v>15959.73</v>
      </c>
      <c r="AV335" s="24">
        <v>359.43</v>
      </c>
      <c r="AW335" s="20">
        <v>30282.2</v>
      </c>
      <c r="AX335" s="20">
        <v>-11289.84</v>
      </c>
      <c r="AY335" s="83">
        <v>21847.05</v>
      </c>
      <c r="AZ335" s="83">
        <v>49040.44</v>
      </c>
      <c r="BA335" s="83">
        <v>100917.04</v>
      </c>
      <c r="BB335" s="8">
        <f t="shared" si="236"/>
        <v>5337.4900000000052</v>
      </c>
      <c r="BC335" s="24">
        <v>8596.52</v>
      </c>
      <c r="BD335" s="24">
        <v>8614.5499999999993</v>
      </c>
      <c r="BE335" s="24">
        <v>8590.9699999999993</v>
      </c>
      <c r="BF335" s="24">
        <v>7197.08</v>
      </c>
      <c r="BG335" s="24">
        <v>-33906.17</v>
      </c>
      <c r="BH335" s="24">
        <v>1356.68</v>
      </c>
      <c r="BI335" s="24">
        <v>9696.69</v>
      </c>
      <c r="BN335" s="83"/>
      <c r="BO335" s="8">
        <f t="shared" si="237"/>
        <v>10146.320000000005</v>
      </c>
    </row>
    <row r="336" spans="2:67" x14ac:dyDescent="0.2">
      <c r="B336" s="3" t="s">
        <v>1437</v>
      </c>
      <c r="C336" s="23">
        <v>0</v>
      </c>
      <c r="D336" s="24">
        <v>0</v>
      </c>
      <c r="E336" s="24">
        <v>0</v>
      </c>
      <c r="F336" s="24">
        <v>0</v>
      </c>
      <c r="G336" s="24">
        <v>0</v>
      </c>
      <c r="H336" s="24">
        <v>27.4</v>
      </c>
      <c r="I336" s="24">
        <v>-27.4</v>
      </c>
      <c r="J336" s="24">
        <v>0</v>
      </c>
      <c r="K336" s="24">
        <v>14.16</v>
      </c>
      <c r="L336" s="24">
        <v>-14.16</v>
      </c>
      <c r="M336" s="24">
        <v>0</v>
      </c>
      <c r="N336" s="24">
        <v>0</v>
      </c>
      <c r="O336" s="24">
        <f>SUBTOTAL(9,C336:N336)</f>
        <v>0</v>
      </c>
      <c r="P336" s="24">
        <v>0</v>
      </c>
      <c r="Q336" s="24">
        <v>0</v>
      </c>
      <c r="R336" s="24">
        <v>0</v>
      </c>
      <c r="S336" s="24">
        <v>0</v>
      </c>
      <c r="T336" s="24">
        <v>0</v>
      </c>
      <c r="U336" s="24">
        <v>0</v>
      </c>
      <c r="V336" s="24">
        <v>0</v>
      </c>
      <c r="W336" s="20">
        <v>0</v>
      </c>
      <c r="X336" s="20">
        <v>0</v>
      </c>
      <c r="Y336" s="83">
        <v>0</v>
      </c>
      <c r="Z336" s="83">
        <v>0</v>
      </c>
      <c r="AA336" s="83">
        <v>0</v>
      </c>
      <c r="AB336" s="8">
        <f t="shared" si="234"/>
        <v>0</v>
      </c>
      <c r="AC336" s="24">
        <v>0</v>
      </c>
      <c r="AD336" s="24">
        <v>0</v>
      </c>
      <c r="AE336" s="24">
        <v>0</v>
      </c>
      <c r="AF336" s="24">
        <v>0</v>
      </c>
      <c r="AG336" s="24">
        <v>0</v>
      </c>
      <c r="AH336" s="24">
        <v>0</v>
      </c>
      <c r="AI336" s="24">
        <v>0</v>
      </c>
      <c r="AJ336" s="20">
        <v>0</v>
      </c>
      <c r="AK336" s="20">
        <v>0</v>
      </c>
      <c r="AL336" s="83">
        <v>0</v>
      </c>
      <c r="AM336" s="83">
        <v>0</v>
      </c>
      <c r="AN336" s="83">
        <v>0</v>
      </c>
      <c r="AO336" s="8">
        <f t="shared" si="235"/>
        <v>0</v>
      </c>
      <c r="AP336" s="24">
        <v>0</v>
      </c>
      <c r="AQ336" s="24">
        <v>0</v>
      </c>
      <c r="AR336" s="24">
        <v>0</v>
      </c>
      <c r="AS336" s="24">
        <v>0</v>
      </c>
      <c r="AT336" s="24">
        <v>130.99</v>
      </c>
      <c r="AU336" s="24">
        <v>0</v>
      </c>
      <c r="AV336" s="24">
        <v>0</v>
      </c>
      <c r="AW336" s="20">
        <v>0</v>
      </c>
      <c r="AX336" s="20">
        <v>0</v>
      </c>
      <c r="AY336" s="83">
        <v>0</v>
      </c>
      <c r="AZ336" s="83">
        <v>0</v>
      </c>
      <c r="BA336" s="83">
        <v>0</v>
      </c>
      <c r="BB336" s="8">
        <f t="shared" si="236"/>
        <v>130.99</v>
      </c>
      <c r="BC336" s="24">
        <v>0</v>
      </c>
      <c r="BD336" s="24">
        <v>0</v>
      </c>
      <c r="BE336" s="24">
        <v>0</v>
      </c>
      <c r="BF336" s="24">
        <v>0</v>
      </c>
      <c r="BG336" s="24">
        <v>0</v>
      </c>
      <c r="BH336" s="24">
        <v>0</v>
      </c>
      <c r="BI336" s="24">
        <v>0</v>
      </c>
      <c r="BN336" s="83"/>
      <c r="BO336" s="8">
        <f t="shared" si="237"/>
        <v>0</v>
      </c>
    </row>
    <row r="337" spans="2:67" x14ac:dyDescent="0.2">
      <c r="B337" s="3" t="s">
        <v>588</v>
      </c>
      <c r="C337" s="23">
        <v>104.5</v>
      </c>
      <c r="D337" s="24">
        <v>27.89</v>
      </c>
      <c r="E337" s="24">
        <v>0</v>
      </c>
      <c r="F337" s="24">
        <v>0</v>
      </c>
      <c r="G337" s="24">
        <v>17.059999999999999</v>
      </c>
      <c r="H337" s="24">
        <v>169.36</v>
      </c>
      <c r="I337" s="24">
        <v>1573.12</v>
      </c>
      <c r="J337" s="24">
        <v>161.93</v>
      </c>
      <c r="K337" s="24">
        <v>405.7</v>
      </c>
      <c r="L337" s="24">
        <v>2251.38</v>
      </c>
      <c r="M337" s="24">
        <v>63.69</v>
      </c>
      <c r="N337" s="24">
        <v>1120.81</v>
      </c>
      <c r="O337" s="24">
        <f>SUBTOTAL(9,C337:N337)</f>
        <v>5895.4399999999987</v>
      </c>
      <c r="P337" s="24">
        <v>0</v>
      </c>
      <c r="Q337" s="24">
        <v>1042.76</v>
      </c>
      <c r="R337" s="24">
        <v>0</v>
      </c>
      <c r="S337" s="24">
        <v>1167.1300000000001</v>
      </c>
      <c r="T337" s="24">
        <v>1784.9</v>
      </c>
      <c r="U337" s="24">
        <v>4380.54</v>
      </c>
      <c r="V337" s="24">
        <v>965.92</v>
      </c>
      <c r="W337" s="20">
        <v>118.65</v>
      </c>
      <c r="X337" s="20">
        <v>2160.3200000000002</v>
      </c>
      <c r="Y337" s="83">
        <v>940.84</v>
      </c>
      <c r="Z337" s="83">
        <v>9198.3700000000008</v>
      </c>
      <c r="AA337" s="83">
        <v>5519.3</v>
      </c>
      <c r="AB337" s="8">
        <f t="shared" si="234"/>
        <v>27278.73</v>
      </c>
      <c r="AC337" s="24">
        <v>0</v>
      </c>
      <c r="AD337" s="24">
        <v>1340.26</v>
      </c>
      <c r="AE337" s="24">
        <v>1415.71</v>
      </c>
      <c r="AF337" s="24">
        <v>370.85</v>
      </c>
      <c r="AG337" s="24">
        <v>12717.02</v>
      </c>
      <c r="AH337" s="24">
        <v>2304.92</v>
      </c>
      <c r="AI337" s="24">
        <v>690.68</v>
      </c>
      <c r="AJ337" s="20">
        <v>0</v>
      </c>
      <c r="AK337" s="20">
        <v>640.5</v>
      </c>
      <c r="AL337" s="83">
        <v>390.54</v>
      </c>
      <c r="AM337" s="83">
        <v>69.44</v>
      </c>
      <c r="AN337" s="83">
        <v>0</v>
      </c>
      <c r="AO337" s="8">
        <f t="shared" si="235"/>
        <v>19939.920000000002</v>
      </c>
      <c r="AP337" s="24">
        <v>324.52</v>
      </c>
      <c r="AQ337" s="24">
        <v>2904.23</v>
      </c>
      <c r="AR337" s="24">
        <f>VLOOKUP(B337,'[1]Sheet1 (2)'!$B$2:$C$397,2,0)</f>
        <v>102.26</v>
      </c>
      <c r="AS337" s="24">
        <f>VLOOKUP(B337,'[2]Sheet1 (2)'!$B$2:$C$404,2,0)</f>
        <v>10181.469999999999</v>
      </c>
      <c r="AT337" s="24">
        <v>0</v>
      </c>
      <c r="AU337" s="24">
        <v>0</v>
      </c>
      <c r="AV337" s="24">
        <v>193.99</v>
      </c>
      <c r="AW337" s="20">
        <v>442.46</v>
      </c>
      <c r="AX337" s="20">
        <v>-4504</v>
      </c>
      <c r="AY337" s="83">
        <v>1629.2</v>
      </c>
      <c r="AZ337" s="83">
        <v>0</v>
      </c>
      <c r="BA337" s="83">
        <v>402.87</v>
      </c>
      <c r="BB337" s="8">
        <f t="shared" si="236"/>
        <v>11677</v>
      </c>
      <c r="BC337" s="24">
        <v>0</v>
      </c>
      <c r="BD337" s="24">
        <v>0</v>
      </c>
      <c r="BE337" s="24">
        <v>0</v>
      </c>
      <c r="BF337" s="24">
        <v>110.18</v>
      </c>
      <c r="BG337" s="24">
        <v>0</v>
      </c>
      <c r="BH337" s="24">
        <v>0</v>
      </c>
      <c r="BI337" s="24">
        <v>0</v>
      </c>
      <c r="BN337" s="83"/>
      <c r="BO337" s="8">
        <f t="shared" si="237"/>
        <v>110.18</v>
      </c>
    </row>
    <row r="338" spans="2:67" x14ac:dyDescent="0.2">
      <c r="B338" s="3" t="s">
        <v>425</v>
      </c>
      <c r="C338" s="23">
        <v>330.94</v>
      </c>
      <c r="D338" s="24">
        <v>898.23</v>
      </c>
      <c r="E338" s="24">
        <v>915.63</v>
      </c>
      <c r="F338" s="24">
        <v>381.58</v>
      </c>
      <c r="G338" s="24">
        <v>672.05</v>
      </c>
      <c r="H338" s="24">
        <v>0</v>
      </c>
      <c r="I338" s="24">
        <v>1970.77</v>
      </c>
      <c r="J338" s="24">
        <v>1328.5</v>
      </c>
      <c r="K338" s="24">
        <v>1328.41</v>
      </c>
      <c r="L338" s="24">
        <v>1984.36</v>
      </c>
      <c r="M338" s="24">
        <v>76.66</v>
      </c>
      <c r="N338" s="24">
        <v>2842.27</v>
      </c>
      <c r="O338" s="24">
        <f>SUBTOTAL(9,C338:N338)</f>
        <v>12729.400000000001</v>
      </c>
      <c r="P338" s="24">
        <v>1206.1400000000001</v>
      </c>
      <c r="Q338" s="24">
        <v>1746.18</v>
      </c>
      <c r="R338" s="24">
        <v>1470.78</v>
      </c>
      <c r="S338" s="24">
        <v>436.38</v>
      </c>
      <c r="T338" s="24">
        <v>0</v>
      </c>
      <c r="U338" s="24">
        <v>4058.93</v>
      </c>
      <c r="V338" s="24">
        <v>173.25</v>
      </c>
      <c r="W338" s="20">
        <v>201.53</v>
      </c>
      <c r="X338" s="20">
        <v>2541.79</v>
      </c>
      <c r="Y338" s="83">
        <v>6188.94</v>
      </c>
      <c r="Z338" s="83">
        <v>2259.1</v>
      </c>
      <c r="AA338" s="83">
        <v>23855.37</v>
      </c>
      <c r="AB338" s="8">
        <f t="shared" si="234"/>
        <v>44138.39</v>
      </c>
      <c r="AC338" s="24">
        <v>10249.209999999999</v>
      </c>
      <c r="AD338" s="24">
        <v>-6313.9</v>
      </c>
      <c r="AE338" s="24">
        <v>14483.04</v>
      </c>
      <c r="AF338" s="24">
        <v>7051.17</v>
      </c>
      <c r="AG338" s="24">
        <v>3557.04</v>
      </c>
      <c r="AH338" s="24">
        <v>1933.01</v>
      </c>
      <c r="AI338" s="24">
        <v>8783.64</v>
      </c>
      <c r="AJ338" s="20">
        <v>11493.13</v>
      </c>
      <c r="AK338" s="20">
        <v>7636.86</v>
      </c>
      <c r="AL338" s="83">
        <v>6608.76</v>
      </c>
      <c r="AM338" s="83">
        <v>-754.44</v>
      </c>
      <c r="AN338" s="83">
        <v>6681.76</v>
      </c>
      <c r="AO338" s="8">
        <f t="shared" si="235"/>
        <v>71409.279999999984</v>
      </c>
      <c r="AP338" s="24">
        <v>2993.54</v>
      </c>
      <c r="AQ338" s="24">
        <v>3002.63</v>
      </c>
      <c r="AR338" s="24">
        <f>VLOOKUP(B338,'[1]Sheet1 (2)'!$B$2:$C$397,2,0)</f>
        <v>1629.58</v>
      </c>
      <c r="AS338" s="24">
        <f>VLOOKUP(B338,'[2]Sheet1 (2)'!$B$2:$C$404,2,0)</f>
        <v>5160.93</v>
      </c>
      <c r="AT338" s="24">
        <v>5319.85</v>
      </c>
      <c r="AU338" s="24">
        <v>2718.61</v>
      </c>
      <c r="AV338" s="24">
        <v>4188.47</v>
      </c>
      <c r="AW338" s="20">
        <v>5068.05</v>
      </c>
      <c r="AX338" s="20">
        <v>7708.97</v>
      </c>
      <c r="AY338" s="83">
        <v>435.33</v>
      </c>
      <c r="AZ338" s="83">
        <v>2077.35</v>
      </c>
      <c r="BA338" s="83">
        <v>4065.17</v>
      </c>
      <c r="BB338" s="8">
        <f t="shared" si="236"/>
        <v>44368.479999999996</v>
      </c>
      <c r="BC338" s="24">
        <v>1425.56</v>
      </c>
      <c r="BD338" s="24">
        <v>632.86</v>
      </c>
      <c r="BE338" s="24">
        <v>2118.5700000000002</v>
      </c>
      <c r="BF338" s="24">
        <v>256.13</v>
      </c>
      <c r="BG338" s="24">
        <v>2722.55</v>
      </c>
      <c r="BH338" s="24">
        <v>1569.53</v>
      </c>
      <c r="BI338" s="24">
        <v>0</v>
      </c>
      <c r="BN338" s="83"/>
      <c r="BO338" s="8">
        <f t="shared" si="237"/>
        <v>8725.2000000000007</v>
      </c>
    </row>
    <row r="339" spans="2:67" x14ac:dyDescent="0.2">
      <c r="B339" s="3" t="s">
        <v>795</v>
      </c>
      <c r="C339" s="23">
        <v>-7152.42</v>
      </c>
      <c r="D339" s="24">
        <v>11681.2</v>
      </c>
      <c r="E339" s="24">
        <v>23152.25</v>
      </c>
      <c r="F339" s="24">
        <v>-16960.71</v>
      </c>
      <c r="G339" s="24">
        <v>31287.51</v>
      </c>
      <c r="H339" s="24">
        <v>-4921.2</v>
      </c>
      <c r="I339" s="24">
        <v>17194.12</v>
      </c>
      <c r="J339" s="24">
        <v>8695.67</v>
      </c>
      <c r="K339" s="24">
        <v>8672.84</v>
      </c>
      <c r="L339" s="24">
        <v>8273.14</v>
      </c>
      <c r="M339" s="24">
        <v>8216.18</v>
      </c>
      <c r="N339" s="24">
        <v>16437.63</v>
      </c>
      <c r="O339" s="24">
        <f>SUBTOTAL(9,C339:N339)</f>
        <v>104576.20999999999</v>
      </c>
      <c r="P339" s="24">
        <v>0</v>
      </c>
      <c r="Q339" s="24">
        <v>0</v>
      </c>
      <c r="R339" s="24">
        <v>0</v>
      </c>
      <c r="S339" s="24">
        <v>9266.84</v>
      </c>
      <c r="T339" s="24">
        <v>9394.14</v>
      </c>
      <c r="U339" s="24">
        <v>4634.04</v>
      </c>
      <c r="V339" s="24">
        <v>4554.88</v>
      </c>
      <c r="W339" s="20">
        <v>4527.7</v>
      </c>
      <c r="X339" s="20">
        <v>5581.43</v>
      </c>
      <c r="Y339" s="83">
        <v>4395.99</v>
      </c>
      <c r="Z339" s="83">
        <v>4400.76</v>
      </c>
      <c r="AA339" s="83">
        <v>8925.64</v>
      </c>
      <c r="AB339" s="8">
        <f t="shared" si="234"/>
        <v>55681.42</v>
      </c>
      <c r="AC339" s="24">
        <v>0</v>
      </c>
      <c r="AD339" s="24">
        <v>5806.47</v>
      </c>
      <c r="AE339" s="24">
        <v>5770.66</v>
      </c>
      <c r="AF339" s="24">
        <v>5588.37</v>
      </c>
      <c r="AG339" s="24">
        <v>5663.7</v>
      </c>
      <c r="AH339" s="24">
        <v>5542.64</v>
      </c>
      <c r="AI339" s="24">
        <v>5574.3</v>
      </c>
      <c r="AJ339" s="20">
        <v>5851.78</v>
      </c>
      <c r="AK339" s="20">
        <v>5903.93</v>
      </c>
      <c r="AL339" s="83">
        <v>5824.73</v>
      </c>
      <c r="AM339" s="83">
        <v>5756.02</v>
      </c>
      <c r="AN339" s="83">
        <v>11286.89</v>
      </c>
      <c r="AO339" s="8">
        <f t="shared" si="235"/>
        <v>68569.490000000005</v>
      </c>
      <c r="AP339" s="24">
        <v>0</v>
      </c>
      <c r="AQ339" s="24">
        <v>4621.3599999999997</v>
      </c>
      <c r="AR339" s="24">
        <f>VLOOKUP(B339,'[1]Sheet1 (2)'!$B$2:$C$397,2,0)</f>
        <v>4610.03</v>
      </c>
      <c r="AS339" s="24">
        <f>VLOOKUP(B339,'[2]Sheet1 (2)'!$B$2:$C$404,2,0)</f>
        <v>4475.6099999999997</v>
      </c>
      <c r="AT339" s="24">
        <v>4579.4399999999996</v>
      </c>
      <c r="AU339" s="24">
        <v>4616.54</v>
      </c>
      <c r="AV339" s="24">
        <v>4629.33</v>
      </c>
      <c r="AW339" s="20">
        <v>4589.5</v>
      </c>
      <c r="AX339" s="20">
        <v>4567.2</v>
      </c>
      <c r="AY339" s="83">
        <v>4533.6099999999997</v>
      </c>
      <c r="AZ339" s="83">
        <v>9006.5300000000007</v>
      </c>
      <c r="BA339" s="83">
        <v>4473.84</v>
      </c>
      <c r="BB339" s="8">
        <f t="shared" si="236"/>
        <v>54702.989999999991</v>
      </c>
      <c r="BC339" s="24">
        <v>5950.43</v>
      </c>
      <c r="BD339" s="24">
        <v>0</v>
      </c>
      <c r="BE339" s="24">
        <v>11812.89</v>
      </c>
      <c r="BF339" s="24">
        <v>5792.05</v>
      </c>
      <c r="BG339" s="24">
        <v>5614.92</v>
      </c>
      <c r="BH339" s="24">
        <v>5560.84</v>
      </c>
      <c r="BI339" s="24">
        <v>5522.11</v>
      </c>
      <c r="BN339" s="83"/>
      <c r="BO339" s="8">
        <f t="shared" si="237"/>
        <v>40253.240000000005</v>
      </c>
    </row>
    <row r="340" spans="2:67" x14ac:dyDescent="0.2">
      <c r="B340" s="6" t="s">
        <v>1564</v>
      </c>
      <c r="C340" s="7">
        <f t="shared" ref="C340:N340" si="238">SUM(C331:C339)</f>
        <v>15847.689999999997</v>
      </c>
      <c r="D340" s="7">
        <f t="shared" si="238"/>
        <v>44214.289999999994</v>
      </c>
      <c r="E340" s="7">
        <f t="shared" si="238"/>
        <v>46659.21</v>
      </c>
      <c r="F340" s="7">
        <f t="shared" si="238"/>
        <v>-5781.85</v>
      </c>
      <c r="G340" s="7">
        <f t="shared" si="238"/>
        <v>48669.919999999998</v>
      </c>
      <c r="H340" s="7">
        <f t="shared" si="238"/>
        <v>3666.0600000000004</v>
      </c>
      <c r="I340" s="7">
        <f t="shared" si="238"/>
        <v>42328.69</v>
      </c>
      <c r="J340" s="7">
        <f t="shared" si="238"/>
        <v>32804.659999999996</v>
      </c>
      <c r="K340" s="7">
        <f t="shared" si="238"/>
        <v>31366.560000000001</v>
      </c>
      <c r="L340" s="7">
        <f t="shared" si="238"/>
        <v>32973.07</v>
      </c>
      <c r="M340" s="7">
        <f t="shared" si="238"/>
        <v>33951.339999999997</v>
      </c>
      <c r="N340" s="7">
        <f t="shared" si="238"/>
        <v>88953.420000000013</v>
      </c>
      <c r="O340" s="7">
        <f>SUM(C340:N340)</f>
        <v>415653.06000000006</v>
      </c>
      <c r="P340" s="7">
        <f t="shared" ref="P340:AT340" si="239">SUM(P331:P339)</f>
        <v>4120.7999999999993</v>
      </c>
      <c r="Q340" s="7">
        <f t="shared" si="239"/>
        <v>27547.739999999998</v>
      </c>
      <c r="R340" s="7">
        <f t="shared" si="239"/>
        <v>32805.120000000003</v>
      </c>
      <c r="S340" s="7">
        <f t="shared" si="239"/>
        <v>45541.89</v>
      </c>
      <c r="T340" s="7">
        <f t="shared" si="239"/>
        <v>40948.65</v>
      </c>
      <c r="U340" s="7">
        <f t="shared" si="239"/>
        <v>78536.829999999987</v>
      </c>
      <c r="V340" s="7">
        <f t="shared" si="239"/>
        <v>54095.579999999994</v>
      </c>
      <c r="W340" s="63">
        <f t="shared" si="239"/>
        <v>82830.549999999988</v>
      </c>
      <c r="X340" s="63">
        <f t="shared" si="239"/>
        <v>78855.139999999985</v>
      </c>
      <c r="Y340" s="63">
        <f t="shared" si="239"/>
        <v>48244.80999999999</v>
      </c>
      <c r="Z340" s="63">
        <f t="shared" si="239"/>
        <v>48481.450000000004</v>
      </c>
      <c r="AA340" s="63">
        <f t="shared" si="239"/>
        <v>100391.3</v>
      </c>
      <c r="AB340" s="63">
        <f t="shared" si="239"/>
        <v>642399.86</v>
      </c>
      <c r="AC340" s="63">
        <f t="shared" si="239"/>
        <v>41347.43</v>
      </c>
      <c r="AD340" s="63">
        <f t="shared" si="239"/>
        <v>46628.090000000004</v>
      </c>
      <c r="AE340" s="63">
        <f t="shared" si="239"/>
        <v>64014.319999999992</v>
      </c>
      <c r="AF340" s="63">
        <f t="shared" si="239"/>
        <v>82959.509999999995</v>
      </c>
      <c r="AG340" s="63">
        <f t="shared" si="239"/>
        <v>165598.01</v>
      </c>
      <c r="AH340" s="63">
        <f t="shared" si="239"/>
        <v>-114841.07000000002</v>
      </c>
      <c r="AI340" s="63">
        <f t="shared" si="239"/>
        <v>91271.37</v>
      </c>
      <c r="AJ340" s="63">
        <f t="shared" si="239"/>
        <v>31190.449999999997</v>
      </c>
      <c r="AK340" s="63">
        <f t="shared" si="239"/>
        <v>132586.96</v>
      </c>
      <c r="AL340" s="63">
        <f t="shared" si="239"/>
        <v>10387.57</v>
      </c>
      <c r="AM340" s="63">
        <f t="shared" si="239"/>
        <v>49244.340000000011</v>
      </c>
      <c r="AN340" s="63">
        <f t="shared" si="239"/>
        <v>614389.83000000007</v>
      </c>
      <c r="AO340" s="63">
        <f t="shared" si="239"/>
        <v>1214776.8099999998</v>
      </c>
      <c r="AP340" s="63">
        <f t="shared" si="239"/>
        <v>39177.53</v>
      </c>
      <c r="AQ340" s="63">
        <f t="shared" si="239"/>
        <v>31753.370000000003</v>
      </c>
      <c r="AR340" s="63">
        <f t="shared" si="239"/>
        <v>-180236.55</v>
      </c>
      <c r="AS340" s="63">
        <f t="shared" si="239"/>
        <v>67306.429999999993</v>
      </c>
      <c r="AT340" s="63">
        <f t="shared" si="239"/>
        <v>6286.189999999996</v>
      </c>
      <c r="AU340" s="63">
        <f t="shared" ref="AU340:BO340" si="240">SUM(AU331:AU339)</f>
        <v>41585.19</v>
      </c>
      <c r="AV340" s="63">
        <f t="shared" si="240"/>
        <v>22705.190000000002</v>
      </c>
      <c r="AW340" s="63">
        <f t="shared" si="240"/>
        <v>56797.96</v>
      </c>
      <c r="AX340" s="63">
        <f t="shared" si="240"/>
        <v>21413.760000000002</v>
      </c>
      <c r="AY340" s="63">
        <f t="shared" si="240"/>
        <v>31923.940000000002</v>
      </c>
      <c r="AZ340" s="63">
        <f t="shared" si="240"/>
        <v>83612.81</v>
      </c>
      <c r="BA340" s="63">
        <f t="shared" si="240"/>
        <v>138373.22</v>
      </c>
      <c r="BB340" s="63">
        <f t="shared" si="240"/>
        <v>360699.04</v>
      </c>
      <c r="BC340" s="63">
        <f t="shared" si="240"/>
        <v>23711.070000000003</v>
      </c>
      <c r="BD340" s="63">
        <f t="shared" si="240"/>
        <v>13213.07</v>
      </c>
      <c r="BE340" s="63">
        <f t="shared" si="240"/>
        <v>44213.06</v>
      </c>
      <c r="BF340" s="63">
        <f t="shared" si="240"/>
        <v>24516.46</v>
      </c>
      <c r="BG340" s="63">
        <f t="shared" si="240"/>
        <v>-15108.22</v>
      </c>
      <c r="BH340" s="63">
        <f t="shared" si="240"/>
        <v>17403.410000000003</v>
      </c>
      <c r="BI340" s="63">
        <f t="shared" si="240"/>
        <v>16150.52</v>
      </c>
      <c r="BJ340" s="63">
        <f t="shared" si="240"/>
        <v>0</v>
      </c>
      <c r="BK340" s="63">
        <f t="shared" si="240"/>
        <v>0</v>
      </c>
      <c r="BL340" s="63">
        <f t="shared" si="240"/>
        <v>0</v>
      </c>
      <c r="BM340" s="63">
        <f t="shared" si="240"/>
        <v>0</v>
      </c>
      <c r="BN340" s="63">
        <f t="shared" si="240"/>
        <v>0</v>
      </c>
      <c r="BO340" s="63">
        <f t="shared" si="240"/>
        <v>124099.37000000001</v>
      </c>
    </row>
    <row r="341" spans="2:67" x14ac:dyDescent="0.2">
      <c r="B341" s="3" t="s">
        <v>427</v>
      </c>
      <c r="C341" s="23">
        <v>0</v>
      </c>
      <c r="D341" s="23">
        <v>190.9</v>
      </c>
      <c r="E341" s="24">
        <v>0</v>
      </c>
      <c r="F341" s="24">
        <v>0</v>
      </c>
      <c r="G341" s="24">
        <v>0</v>
      </c>
      <c r="H341" s="24">
        <v>0</v>
      </c>
      <c r="I341" s="24">
        <v>182.69</v>
      </c>
      <c r="J341" s="24">
        <v>625.5</v>
      </c>
      <c r="K341" s="24">
        <v>196.75</v>
      </c>
      <c r="L341" s="24">
        <v>0</v>
      </c>
      <c r="M341" s="24">
        <v>209.44</v>
      </c>
      <c r="N341" s="24">
        <v>263.99</v>
      </c>
      <c r="O341" s="24">
        <f>SUBTOTAL(9,C341:N341)</f>
        <v>1669.2700000000002</v>
      </c>
      <c r="P341" s="24">
        <v>273.94</v>
      </c>
      <c r="Q341" s="24">
        <v>269.72000000000003</v>
      </c>
      <c r="R341" s="24">
        <v>0</v>
      </c>
      <c r="S341" s="24">
        <v>0</v>
      </c>
      <c r="T341" s="24">
        <v>278.43</v>
      </c>
      <c r="U341" s="24">
        <v>278.45</v>
      </c>
      <c r="V341" s="24">
        <v>94.76</v>
      </c>
      <c r="W341" s="20">
        <v>92.96</v>
      </c>
      <c r="X341" s="20">
        <v>270.56</v>
      </c>
      <c r="Y341" s="83">
        <v>120.59</v>
      </c>
      <c r="Z341" s="83">
        <v>299.57</v>
      </c>
      <c r="AA341" s="83">
        <v>549.25</v>
      </c>
      <c r="AB341" s="8">
        <f>SUM(P341:AA341)</f>
        <v>2528.23</v>
      </c>
      <c r="AC341" s="24">
        <v>0</v>
      </c>
      <c r="AD341" s="24">
        <v>12.96</v>
      </c>
      <c r="AE341" s="24">
        <v>20.28</v>
      </c>
      <c r="AF341" s="24">
        <v>0</v>
      </c>
      <c r="AG341" s="24">
        <v>268.36</v>
      </c>
      <c r="AH341" s="24">
        <v>251.25</v>
      </c>
      <c r="AI341" s="24">
        <v>0</v>
      </c>
      <c r="AJ341" s="20">
        <v>273.02999999999997</v>
      </c>
      <c r="AK341" s="20">
        <v>284.42</v>
      </c>
      <c r="AL341" s="83">
        <v>0</v>
      </c>
      <c r="AM341" s="83">
        <v>998.39</v>
      </c>
      <c r="AN341" s="83">
        <v>884.44</v>
      </c>
      <c r="AO341" s="8">
        <f>SUM(AC341:AN341)</f>
        <v>2993.13</v>
      </c>
      <c r="AP341" s="24">
        <v>0</v>
      </c>
      <c r="AQ341" s="24">
        <v>267.76</v>
      </c>
      <c r="AR341" s="24">
        <f>VLOOKUP(B341,'[1]Sheet1 (2)'!$B$2:$C$397,2,0)</f>
        <v>274.67</v>
      </c>
      <c r="AS341" s="24">
        <f>VLOOKUP(B341,'[2]Sheet1 (2)'!$B$2:$C$404,2,0)</f>
        <v>265.3</v>
      </c>
      <c r="AT341" s="24">
        <v>277.5</v>
      </c>
      <c r="AU341" s="24">
        <v>0</v>
      </c>
      <c r="AV341" s="24">
        <v>0</v>
      </c>
      <c r="AW341" s="20">
        <v>556.02</v>
      </c>
      <c r="AX341" s="20">
        <v>273.24</v>
      </c>
      <c r="AY341" s="83">
        <v>272.89</v>
      </c>
      <c r="AZ341" s="83">
        <v>270.77999999999997</v>
      </c>
      <c r="BA341" s="83">
        <v>270.74</v>
      </c>
      <c r="BB341" s="8">
        <f>SUM(AP341:BA341)</f>
        <v>2728.8999999999996</v>
      </c>
      <c r="BC341" s="24">
        <v>151.38999999999999</v>
      </c>
      <c r="BD341" s="24">
        <v>0</v>
      </c>
      <c r="BE341" s="24">
        <v>0</v>
      </c>
      <c r="BF341" s="24">
        <v>262.89</v>
      </c>
      <c r="BG341" s="24">
        <v>255.06</v>
      </c>
      <c r="BH341" s="24">
        <v>274.43</v>
      </c>
      <c r="BI341" s="24">
        <v>0</v>
      </c>
      <c r="BN341" s="83"/>
      <c r="BO341" s="8">
        <f>SUM(BC341:BN341)</f>
        <v>943.77</v>
      </c>
    </row>
    <row r="342" spans="2:67" x14ac:dyDescent="0.2">
      <c r="B342" s="3" t="s">
        <v>428</v>
      </c>
      <c r="C342" s="23">
        <v>-347.23</v>
      </c>
      <c r="D342" s="24">
        <v>948.61</v>
      </c>
      <c r="E342" s="24">
        <v>1048.31</v>
      </c>
      <c r="F342" s="24">
        <v>989.03</v>
      </c>
      <c r="G342" s="24">
        <v>0</v>
      </c>
      <c r="H342" s="24">
        <v>0</v>
      </c>
      <c r="I342" s="24">
        <v>985.64</v>
      </c>
      <c r="J342" s="24">
        <v>1024.0899999999999</v>
      </c>
      <c r="K342" s="24">
        <v>1108.8699999999999</v>
      </c>
      <c r="L342" s="24">
        <v>1046.33</v>
      </c>
      <c r="M342" s="24">
        <v>1087.27</v>
      </c>
      <c r="N342" s="24">
        <v>2665.53</v>
      </c>
      <c r="O342" s="24">
        <f>SUBTOTAL(9,C342:N342)</f>
        <v>10556.45</v>
      </c>
      <c r="P342" s="24">
        <v>-15.92</v>
      </c>
      <c r="Q342" s="24">
        <v>0</v>
      </c>
      <c r="R342" s="24">
        <v>956.11</v>
      </c>
      <c r="S342" s="24">
        <v>0</v>
      </c>
      <c r="T342" s="24">
        <v>1842.51</v>
      </c>
      <c r="U342" s="24">
        <v>892.78</v>
      </c>
      <c r="V342" s="24">
        <v>1106.1099999999999</v>
      </c>
      <c r="W342" s="20">
        <v>1057.52</v>
      </c>
      <c r="X342" s="20">
        <v>1111.6600000000001</v>
      </c>
      <c r="Y342" s="83">
        <v>898.28</v>
      </c>
      <c r="Z342" s="83">
        <v>1140.46</v>
      </c>
      <c r="AA342" s="83">
        <v>3067.43</v>
      </c>
      <c r="AB342" s="8">
        <f>SUM(P342:AA342)</f>
        <v>12056.939999999999</v>
      </c>
      <c r="AC342" s="24">
        <v>0</v>
      </c>
      <c r="AD342" s="24">
        <v>-228.66</v>
      </c>
      <c r="AE342" s="24">
        <v>0</v>
      </c>
      <c r="AF342" s="24">
        <v>2680.59</v>
      </c>
      <c r="AG342" s="24">
        <v>-4.47</v>
      </c>
      <c r="AH342" s="24">
        <v>4095.31</v>
      </c>
      <c r="AI342" s="24">
        <v>1430.1</v>
      </c>
      <c r="AJ342" s="20">
        <v>942.56</v>
      </c>
      <c r="AK342" s="20">
        <v>869.95</v>
      </c>
      <c r="AL342" s="83">
        <v>444.16</v>
      </c>
      <c r="AM342" s="83">
        <v>858.8</v>
      </c>
      <c r="AN342" s="83">
        <v>1335.76</v>
      </c>
      <c r="AO342" s="8">
        <f>SUM(AC342:AN342)</f>
        <v>12424.1</v>
      </c>
      <c r="AP342" s="24">
        <v>-103.47</v>
      </c>
      <c r="AQ342" s="24">
        <v>822.05</v>
      </c>
      <c r="AR342" s="24">
        <f>VLOOKUP(B342,'[1]Sheet1 (2)'!$B$2:$C$397,2,0)</f>
        <v>2150.1</v>
      </c>
      <c r="AS342" s="24">
        <f>VLOOKUP(B342,'[2]Sheet1 (2)'!$B$2:$C$404,2,0)</f>
        <v>1717.49</v>
      </c>
      <c r="AT342" s="24">
        <v>1555.51</v>
      </c>
      <c r="AU342" s="24">
        <v>2355.6</v>
      </c>
      <c r="AV342" s="24">
        <v>1235</v>
      </c>
      <c r="AW342" s="20">
        <v>1995.19</v>
      </c>
      <c r="AX342" s="20">
        <v>3474.9</v>
      </c>
      <c r="AY342" s="83">
        <v>2166.2199999999998</v>
      </c>
      <c r="AZ342" s="83">
        <v>1509.16</v>
      </c>
      <c r="BA342" s="83">
        <v>2220.0100000000002</v>
      </c>
      <c r="BB342" s="8">
        <f>SUM(AP342:BA342)</f>
        <v>21097.760000000002</v>
      </c>
      <c r="BC342" s="24">
        <v>394.78</v>
      </c>
      <c r="BD342" s="24">
        <v>2162.15</v>
      </c>
      <c r="BE342" s="24">
        <v>2677.41</v>
      </c>
      <c r="BF342" s="24">
        <v>1032.79</v>
      </c>
      <c r="BG342" s="24">
        <v>1510.83</v>
      </c>
      <c r="BH342" s="24">
        <v>2211.9499999999998</v>
      </c>
      <c r="BI342" s="24">
        <v>884.01</v>
      </c>
      <c r="BN342" s="83"/>
      <c r="BO342" s="8">
        <f>SUM(BC342:BN342)</f>
        <v>10873.92</v>
      </c>
    </row>
    <row r="343" spans="2:67" x14ac:dyDescent="0.2">
      <c r="B343" s="3" t="s">
        <v>429</v>
      </c>
      <c r="C343" s="23">
        <v>7237.53</v>
      </c>
      <c r="D343" s="24">
        <v>6915.55</v>
      </c>
      <c r="E343" s="24">
        <v>5521.75</v>
      </c>
      <c r="F343" s="24">
        <v>6384.86</v>
      </c>
      <c r="G343" s="24">
        <v>6410.39</v>
      </c>
      <c r="H343" s="24">
        <v>11557.27</v>
      </c>
      <c r="I343" s="24">
        <v>0</v>
      </c>
      <c r="J343" s="24">
        <v>0</v>
      </c>
      <c r="K343" s="24">
        <v>5362.15</v>
      </c>
      <c r="L343" s="24">
        <v>5857.48</v>
      </c>
      <c r="M343" s="24">
        <v>5476.85</v>
      </c>
      <c r="N343" s="24">
        <v>16969.22</v>
      </c>
      <c r="O343" s="24">
        <f>SUBTOTAL(9,C343:N343)</f>
        <v>77693.050000000017</v>
      </c>
      <c r="P343" s="24">
        <v>-392.93</v>
      </c>
      <c r="Q343" s="24">
        <v>0</v>
      </c>
      <c r="R343" s="24">
        <v>6211.17</v>
      </c>
      <c r="S343" s="24">
        <v>0</v>
      </c>
      <c r="T343" s="24">
        <v>11582.35</v>
      </c>
      <c r="U343" s="24">
        <v>5675.58</v>
      </c>
      <c r="V343" s="24">
        <v>5704.18</v>
      </c>
      <c r="W343" s="20">
        <v>4651.9399999999996</v>
      </c>
      <c r="X343" s="20">
        <v>5769.52</v>
      </c>
      <c r="Y343" s="83">
        <v>5097.7700000000004</v>
      </c>
      <c r="Z343" s="83">
        <v>5678.61</v>
      </c>
      <c r="AA343" s="83">
        <v>16341.12</v>
      </c>
      <c r="AB343" s="8">
        <f>SUM(P343:AA343)</f>
        <v>66319.31</v>
      </c>
      <c r="AC343" s="24">
        <v>0</v>
      </c>
      <c r="AD343" s="24">
        <v>-383.03</v>
      </c>
      <c r="AE343" s="24">
        <v>0</v>
      </c>
      <c r="AF343" s="24">
        <v>11295.03</v>
      </c>
      <c r="AG343" s="24">
        <v>89.82</v>
      </c>
      <c r="AH343" s="24">
        <v>16040.62</v>
      </c>
      <c r="AI343" s="24">
        <v>5587.84</v>
      </c>
      <c r="AJ343" s="20">
        <v>5502.71</v>
      </c>
      <c r="AK343" s="20">
        <v>5608.61</v>
      </c>
      <c r="AL343" s="83">
        <v>5786.49</v>
      </c>
      <c r="AM343" s="83">
        <v>5124.88</v>
      </c>
      <c r="AN343" s="83">
        <v>10872.22</v>
      </c>
      <c r="AO343" s="8">
        <f>SUM(AC343:AN343)</f>
        <v>65525.19</v>
      </c>
      <c r="AP343" s="24">
        <v>-671.96</v>
      </c>
      <c r="AQ343" s="24">
        <v>5337.39</v>
      </c>
      <c r="AR343" s="24">
        <f>VLOOKUP(B343,'[1]Sheet1 (2)'!$B$2:$C$397,2,0)</f>
        <v>5154.76</v>
      </c>
      <c r="AS343" s="24">
        <f>VLOOKUP(B343,'[2]Sheet1 (2)'!$B$2:$C$404,2,0)</f>
        <v>4193.99</v>
      </c>
      <c r="AT343" s="24">
        <v>4806.4799999999996</v>
      </c>
      <c r="AU343" s="24">
        <v>4550.6899999999996</v>
      </c>
      <c r="AV343" s="24">
        <v>5406.13</v>
      </c>
      <c r="AW343" s="20">
        <v>5088.95</v>
      </c>
      <c r="AX343" s="20">
        <v>5724.18</v>
      </c>
      <c r="AY343" s="83">
        <v>5103.8</v>
      </c>
      <c r="AZ343" s="83">
        <v>5567.72</v>
      </c>
      <c r="BA343" s="83">
        <v>10646.26</v>
      </c>
      <c r="BB343" s="8">
        <f>SUM(AP343:BA343)</f>
        <v>60908.390000000007</v>
      </c>
      <c r="BC343" s="24">
        <v>-346.51</v>
      </c>
      <c r="BD343" s="24">
        <v>5090.79</v>
      </c>
      <c r="BE343" s="24">
        <v>5517.52</v>
      </c>
      <c r="BF343" s="24">
        <v>4376.07</v>
      </c>
      <c r="BG343" s="24">
        <v>5082.6499999999996</v>
      </c>
      <c r="BH343" s="24">
        <v>5904.56</v>
      </c>
      <c r="BI343" s="24">
        <v>8607</v>
      </c>
      <c r="BN343" s="83"/>
      <c r="BO343" s="8">
        <f>SUM(BC343:BN343)</f>
        <v>34232.080000000002</v>
      </c>
    </row>
    <row r="344" spans="2:67" x14ac:dyDescent="0.2">
      <c r="B344" s="3" t="s">
        <v>430</v>
      </c>
      <c r="C344" s="23">
        <v>378.03</v>
      </c>
      <c r="D344" s="24">
        <v>2376.1</v>
      </c>
      <c r="E344" s="24">
        <v>2244.91</v>
      </c>
      <c r="F344" s="24">
        <v>3260.24</v>
      </c>
      <c r="G344" s="24">
        <v>-1207.78</v>
      </c>
      <c r="H344" s="24">
        <v>374.26</v>
      </c>
      <c r="I344" s="24">
        <v>3574.36</v>
      </c>
      <c r="J344" s="24">
        <v>7068.92</v>
      </c>
      <c r="K344" s="24">
        <v>232.17</v>
      </c>
      <c r="L344" s="24">
        <v>4439.1499999999996</v>
      </c>
      <c r="M344" s="24">
        <v>198.67</v>
      </c>
      <c r="N344" s="24">
        <v>15489</v>
      </c>
      <c r="O344" s="24">
        <f>SUBTOTAL(9,C344:N344)</f>
        <v>38428.03</v>
      </c>
      <c r="P344" s="24">
        <v>-662.86</v>
      </c>
      <c r="Q344" s="24">
        <v>0</v>
      </c>
      <c r="R344" s="24">
        <v>4746.8</v>
      </c>
      <c r="S344" s="24">
        <v>0</v>
      </c>
      <c r="T344" s="24">
        <v>8758.5499999999993</v>
      </c>
      <c r="U344" s="24">
        <v>7899.09</v>
      </c>
      <c r="V344" s="24">
        <v>0</v>
      </c>
      <c r="W344" s="20">
        <v>1127.8399999999999</v>
      </c>
      <c r="X344" s="20">
        <v>6264</v>
      </c>
      <c r="Y344" s="83">
        <v>3850.96</v>
      </c>
      <c r="Z344" s="83">
        <v>11749.32</v>
      </c>
      <c r="AA344" s="83">
        <v>20017.740000000002</v>
      </c>
      <c r="AB344" s="8">
        <f>SUM(P344:AA344)</f>
        <v>63751.44</v>
      </c>
      <c r="AC344" s="24">
        <v>0</v>
      </c>
      <c r="AD344" s="24">
        <v>-5177.58</v>
      </c>
      <c r="AE344" s="24">
        <v>5.32</v>
      </c>
      <c r="AF344" s="24">
        <v>6379.15</v>
      </c>
      <c r="AG344" s="24">
        <v>-9.58</v>
      </c>
      <c r="AH344" s="24">
        <v>16031.62</v>
      </c>
      <c r="AI344" s="24">
        <v>8618.6299999999992</v>
      </c>
      <c r="AJ344" s="20">
        <v>2690.11</v>
      </c>
      <c r="AK344" s="20">
        <v>2298.5300000000002</v>
      </c>
      <c r="AL344" s="83">
        <v>3396.89</v>
      </c>
      <c r="AM344" s="83">
        <v>7505.42</v>
      </c>
      <c r="AN344" s="83">
        <v>10389.82</v>
      </c>
      <c r="AO344" s="8">
        <f>SUM(AC344:AN344)</f>
        <v>52128.329999999994</v>
      </c>
      <c r="AP344" s="24">
        <v>-1798.49</v>
      </c>
      <c r="AQ344" s="24">
        <v>2513.9299999999998</v>
      </c>
      <c r="AR344" s="24">
        <f>VLOOKUP(B344,'[1]Sheet1 (2)'!$B$2:$C$397,2,0)</f>
        <v>5713.83</v>
      </c>
      <c r="AS344" s="24">
        <f>VLOOKUP(B344,'[2]Sheet1 (2)'!$B$2:$C$404,2,0)</f>
        <v>1692.3</v>
      </c>
      <c r="AT344" s="24">
        <v>2439.6</v>
      </c>
      <c r="AU344" s="24">
        <v>2259.48</v>
      </c>
      <c r="AV344" s="24">
        <v>5330.92</v>
      </c>
      <c r="AW344" s="20">
        <v>0</v>
      </c>
      <c r="AX344" s="20">
        <v>4721.97</v>
      </c>
      <c r="AY344" s="83">
        <v>1034.02</v>
      </c>
      <c r="AZ344" s="83">
        <v>4866.3599999999997</v>
      </c>
      <c r="BA344" s="83">
        <v>-10113.719999999999</v>
      </c>
      <c r="BB344" s="8">
        <f>SUM(AP344:BA344)</f>
        <v>18660.200000000004</v>
      </c>
      <c r="BC344" s="24">
        <v>20.38</v>
      </c>
      <c r="BD344" s="24">
        <v>1923.89</v>
      </c>
      <c r="BE344" s="24">
        <v>1497.7</v>
      </c>
      <c r="BF344" s="24">
        <v>4873.4799999999996</v>
      </c>
      <c r="BG344" s="24">
        <v>17.5</v>
      </c>
      <c r="BH344" s="24">
        <v>2763.2</v>
      </c>
      <c r="BI344" s="24">
        <v>2319.14</v>
      </c>
      <c r="BN344" s="83"/>
      <c r="BO344" s="8">
        <f>SUM(BC344:BN344)</f>
        <v>13415.29</v>
      </c>
    </row>
    <row r="345" spans="2:67" x14ac:dyDescent="0.2">
      <c r="B345" s="6" t="s">
        <v>1565</v>
      </c>
      <c r="C345" s="7">
        <f t="shared" ref="C345:N345" si="241">SUM(C341:C344)</f>
        <v>7268.329999999999</v>
      </c>
      <c r="D345" s="7">
        <f t="shared" si="241"/>
        <v>10431.16</v>
      </c>
      <c r="E345" s="7">
        <f t="shared" si="241"/>
        <v>8814.9699999999993</v>
      </c>
      <c r="F345" s="7">
        <f t="shared" si="241"/>
        <v>10634.13</v>
      </c>
      <c r="G345" s="7">
        <f t="shared" si="241"/>
        <v>5202.6100000000006</v>
      </c>
      <c r="H345" s="7">
        <f t="shared" si="241"/>
        <v>11931.53</v>
      </c>
      <c r="I345" s="7">
        <f t="shared" si="241"/>
        <v>4742.6900000000005</v>
      </c>
      <c r="J345" s="7">
        <f t="shared" si="241"/>
        <v>8718.51</v>
      </c>
      <c r="K345" s="7">
        <f t="shared" si="241"/>
        <v>6899.94</v>
      </c>
      <c r="L345" s="7">
        <f t="shared" si="241"/>
        <v>11342.96</v>
      </c>
      <c r="M345" s="7">
        <f t="shared" si="241"/>
        <v>6972.2300000000005</v>
      </c>
      <c r="N345" s="7">
        <f t="shared" si="241"/>
        <v>35387.740000000005</v>
      </c>
      <c r="O345" s="7">
        <f>SUM(C345:N345)</f>
        <v>128346.79999999999</v>
      </c>
      <c r="P345" s="7">
        <f t="shared" ref="P345:AT345" si="242">SUM(P341:P344)</f>
        <v>-797.77</v>
      </c>
      <c r="Q345" s="7">
        <f t="shared" si="242"/>
        <v>269.72000000000003</v>
      </c>
      <c r="R345" s="7">
        <f t="shared" si="242"/>
        <v>11914.08</v>
      </c>
      <c r="S345" s="7">
        <f t="shared" si="242"/>
        <v>0</v>
      </c>
      <c r="T345" s="7">
        <f t="shared" si="242"/>
        <v>22461.84</v>
      </c>
      <c r="U345" s="7">
        <f t="shared" si="242"/>
        <v>14745.9</v>
      </c>
      <c r="V345" s="7">
        <f t="shared" si="242"/>
        <v>6905.05</v>
      </c>
      <c r="W345" s="63">
        <f t="shared" si="242"/>
        <v>6930.26</v>
      </c>
      <c r="X345" s="63">
        <f t="shared" si="242"/>
        <v>13415.740000000002</v>
      </c>
      <c r="Y345" s="63">
        <f t="shared" si="242"/>
        <v>9967.6</v>
      </c>
      <c r="Z345" s="63">
        <f t="shared" si="242"/>
        <v>18867.96</v>
      </c>
      <c r="AA345" s="63">
        <f t="shared" si="242"/>
        <v>39975.54</v>
      </c>
      <c r="AB345" s="63">
        <f t="shared" si="242"/>
        <v>144655.91999999998</v>
      </c>
      <c r="AC345" s="63">
        <f t="shared" si="242"/>
        <v>0</v>
      </c>
      <c r="AD345" s="63">
        <f t="shared" si="242"/>
        <v>-5776.3099999999995</v>
      </c>
      <c r="AE345" s="63">
        <f t="shared" si="242"/>
        <v>25.6</v>
      </c>
      <c r="AF345" s="63">
        <f t="shared" si="242"/>
        <v>20354.77</v>
      </c>
      <c r="AG345" s="63">
        <f t="shared" si="242"/>
        <v>344.13</v>
      </c>
      <c r="AH345" s="63">
        <f t="shared" si="242"/>
        <v>36418.800000000003</v>
      </c>
      <c r="AI345" s="63">
        <f t="shared" si="242"/>
        <v>15636.57</v>
      </c>
      <c r="AJ345" s="63">
        <f t="shared" si="242"/>
        <v>9408.41</v>
      </c>
      <c r="AK345" s="63">
        <f t="shared" si="242"/>
        <v>9061.51</v>
      </c>
      <c r="AL345" s="63">
        <f t="shared" si="242"/>
        <v>9627.5399999999991</v>
      </c>
      <c r="AM345" s="63">
        <f t="shared" si="242"/>
        <v>14487.49</v>
      </c>
      <c r="AN345" s="63">
        <f t="shared" si="242"/>
        <v>23482.239999999998</v>
      </c>
      <c r="AO345" s="63">
        <f t="shared" si="242"/>
        <v>133070.75</v>
      </c>
      <c r="AP345" s="63">
        <f t="shared" si="242"/>
        <v>-2573.92</v>
      </c>
      <c r="AQ345" s="63">
        <f t="shared" si="242"/>
        <v>8941.130000000001</v>
      </c>
      <c r="AR345" s="63">
        <f t="shared" si="242"/>
        <v>13293.36</v>
      </c>
      <c r="AS345" s="63">
        <f t="shared" si="242"/>
        <v>7869.08</v>
      </c>
      <c r="AT345" s="63">
        <f t="shared" si="242"/>
        <v>9079.09</v>
      </c>
      <c r="AU345" s="63">
        <f t="shared" ref="AU345:BO345" si="243">SUM(AU341:AU344)</f>
        <v>9165.7699999999986</v>
      </c>
      <c r="AV345" s="63">
        <f t="shared" si="243"/>
        <v>11972.05</v>
      </c>
      <c r="AW345" s="63">
        <f t="shared" si="243"/>
        <v>7640.16</v>
      </c>
      <c r="AX345" s="63">
        <f t="shared" si="243"/>
        <v>14194.29</v>
      </c>
      <c r="AY345" s="63">
        <f t="shared" si="243"/>
        <v>8576.93</v>
      </c>
      <c r="AZ345" s="63">
        <f t="shared" si="243"/>
        <v>12214.02</v>
      </c>
      <c r="BA345" s="63">
        <f t="shared" si="243"/>
        <v>3023.2900000000009</v>
      </c>
      <c r="BB345" s="63">
        <f t="shared" si="243"/>
        <v>103395.25000000003</v>
      </c>
      <c r="BC345" s="63">
        <f t="shared" si="243"/>
        <v>220.03999999999996</v>
      </c>
      <c r="BD345" s="63">
        <f t="shared" si="243"/>
        <v>9176.83</v>
      </c>
      <c r="BE345" s="63">
        <f t="shared" si="243"/>
        <v>9692.630000000001</v>
      </c>
      <c r="BF345" s="63">
        <f t="shared" si="243"/>
        <v>10545.23</v>
      </c>
      <c r="BG345" s="63">
        <f t="shared" si="243"/>
        <v>6866.0399999999991</v>
      </c>
      <c r="BH345" s="63">
        <f t="shared" si="243"/>
        <v>11154.14</v>
      </c>
      <c r="BI345" s="63">
        <f t="shared" si="243"/>
        <v>11810.15</v>
      </c>
      <c r="BJ345" s="63">
        <f t="shared" si="243"/>
        <v>0</v>
      </c>
      <c r="BK345" s="63">
        <f t="shared" si="243"/>
        <v>0</v>
      </c>
      <c r="BL345" s="63">
        <f t="shared" si="243"/>
        <v>0</v>
      </c>
      <c r="BM345" s="63">
        <f t="shared" si="243"/>
        <v>0</v>
      </c>
      <c r="BN345" s="63">
        <f t="shared" si="243"/>
        <v>0</v>
      </c>
      <c r="BO345" s="63">
        <f t="shared" si="243"/>
        <v>59465.060000000005</v>
      </c>
    </row>
    <row r="346" spans="2:67" x14ac:dyDescent="0.2">
      <c r="B346" s="3" t="s">
        <v>432</v>
      </c>
      <c r="C346" s="23">
        <v>-104275.76</v>
      </c>
      <c r="D346" s="24">
        <v>-94722.559999999998</v>
      </c>
      <c r="E346" s="24">
        <v>-109243.57</v>
      </c>
      <c r="F346" s="24">
        <v>-99811.07</v>
      </c>
      <c r="G346" s="24">
        <v>-132633.47</v>
      </c>
      <c r="H346" s="24">
        <v>-86701.03</v>
      </c>
      <c r="I346" s="24">
        <v>-109477.07</v>
      </c>
      <c r="J346" s="24">
        <v>-124187.72</v>
      </c>
      <c r="K346" s="24">
        <v>-122318.18</v>
      </c>
      <c r="L346" s="24">
        <v>-123320.84</v>
      </c>
      <c r="M346" s="24">
        <v>-124036.45</v>
      </c>
      <c r="N346" s="24">
        <v>-122177.41</v>
      </c>
      <c r="O346" s="24">
        <f>SUBTOTAL(9,C346:N346)</f>
        <v>-1352905.13</v>
      </c>
      <c r="P346" s="24">
        <v>-128397.63</v>
      </c>
      <c r="Q346" s="24">
        <v>-150052.79999999999</v>
      </c>
      <c r="R346" s="24">
        <v>-121327.2</v>
      </c>
      <c r="S346" s="24">
        <v>-120043.87</v>
      </c>
      <c r="T346" s="24">
        <v>-164976.34</v>
      </c>
      <c r="U346" s="24">
        <v>-139845.97</v>
      </c>
      <c r="V346" s="24">
        <v>-136635.84</v>
      </c>
      <c r="W346" s="20">
        <v>-152701.54999999999</v>
      </c>
      <c r="X346" s="20">
        <v>-146526.29</v>
      </c>
      <c r="Y346" s="83">
        <v>-146070.54999999999</v>
      </c>
      <c r="Z346" s="83">
        <v>-123242.56</v>
      </c>
      <c r="AA346" s="83">
        <v>-136058.13</v>
      </c>
      <c r="AB346" s="8">
        <f>SUM(P346:AA346)</f>
        <v>-1665878.73</v>
      </c>
      <c r="AC346" s="24">
        <v>-150284.81</v>
      </c>
      <c r="AD346" s="24">
        <v>-146541.46</v>
      </c>
      <c r="AE346" s="24">
        <v>-120595.91</v>
      </c>
      <c r="AF346" s="24">
        <v>-118366.78</v>
      </c>
      <c r="AG346" s="24">
        <v>-156692.82999999999</v>
      </c>
      <c r="AH346" s="24">
        <v>-111472.65</v>
      </c>
      <c r="AI346" s="24">
        <v>-139326.56</v>
      </c>
      <c r="AJ346" s="20">
        <v>-134647.69</v>
      </c>
      <c r="AK346" s="20">
        <v>-141005.24</v>
      </c>
      <c r="AL346" s="83">
        <v>-145987.48000000001</v>
      </c>
      <c r="AM346" s="83">
        <v>-105939.31</v>
      </c>
      <c r="AN346" s="83">
        <v>-108155.03</v>
      </c>
      <c r="AO346" s="8">
        <f>SUM(AC346:AN346)</f>
        <v>-1579015.75</v>
      </c>
      <c r="AP346" s="24">
        <v>-94224.639999999999</v>
      </c>
      <c r="AQ346" s="24">
        <v>-120708.57</v>
      </c>
      <c r="AR346" s="24">
        <f>VLOOKUP(B346,'[1]Sheet1 (2)'!$B$2:$C$397,2,0)</f>
        <v>-68247.31</v>
      </c>
      <c r="AS346" s="24">
        <f>VLOOKUP(B346,'[2]Sheet1 (2)'!$B$2:$C$404,2,0)</f>
        <v>-83730.740000000005</v>
      </c>
      <c r="AT346" s="24">
        <v>-101556.38</v>
      </c>
      <c r="AU346" s="24">
        <v>-95951.38</v>
      </c>
      <c r="AV346" s="24">
        <v>-106370.44</v>
      </c>
      <c r="AW346" s="20">
        <v>-103550.06</v>
      </c>
      <c r="AX346" s="20">
        <v>-106995.83</v>
      </c>
      <c r="AY346" s="83">
        <v>-111105.79</v>
      </c>
      <c r="AZ346" s="83">
        <v>-105553.82</v>
      </c>
      <c r="BA346" s="83">
        <v>-104442.84</v>
      </c>
      <c r="BB346" s="8">
        <f>SUM(AP346:BA346)</f>
        <v>-1202437.8</v>
      </c>
      <c r="BC346" s="24">
        <v>-105430.3</v>
      </c>
      <c r="BD346" s="24">
        <v>-97727.88</v>
      </c>
      <c r="BE346" s="24">
        <v>-97838.17</v>
      </c>
      <c r="BF346" s="24">
        <v>-100342.14</v>
      </c>
      <c r="BG346" s="24">
        <v>-100594.45</v>
      </c>
      <c r="BH346" s="24">
        <v>-84856.23</v>
      </c>
      <c r="BI346" s="24">
        <v>-96839.64</v>
      </c>
      <c r="BN346" s="83"/>
      <c r="BO346" s="8">
        <f>SUM(BC346:BN346)</f>
        <v>-683628.81</v>
      </c>
    </row>
    <row r="347" spans="2:67" x14ac:dyDescent="0.2">
      <c r="B347" s="6" t="s">
        <v>1566</v>
      </c>
      <c r="C347" s="7">
        <f t="shared" ref="C347:N347" si="244">SUM(C346)</f>
        <v>-104275.76</v>
      </c>
      <c r="D347" s="7">
        <f t="shared" si="244"/>
        <v>-94722.559999999998</v>
      </c>
      <c r="E347" s="7">
        <f t="shared" si="244"/>
        <v>-109243.57</v>
      </c>
      <c r="F347" s="7">
        <f t="shared" si="244"/>
        <v>-99811.07</v>
      </c>
      <c r="G347" s="7">
        <f t="shared" si="244"/>
        <v>-132633.47</v>
      </c>
      <c r="H347" s="7">
        <f t="shared" si="244"/>
        <v>-86701.03</v>
      </c>
      <c r="I347" s="7">
        <f t="shared" si="244"/>
        <v>-109477.07</v>
      </c>
      <c r="J347" s="7">
        <f t="shared" si="244"/>
        <v>-124187.72</v>
      </c>
      <c r="K347" s="7">
        <f t="shared" si="244"/>
        <v>-122318.18</v>
      </c>
      <c r="L347" s="7">
        <f t="shared" si="244"/>
        <v>-123320.84</v>
      </c>
      <c r="M347" s="7">
        <f t="shared" si="244"/>
        <v>-124036.45</v>
      </c>
      <c r="N347" s="7">
        <f t="shared" si="244"/>
        <v>-122177.41</v>
      </c>
      <c r="O347" s="7">
        <f>SUM(C347:N347)</f>
        <v>-1352905.13</v>
      </c>
      <c r="P347" s="7">
        <f t="shared" ref="P347:AT347" si="245">SUM(P346)</f>
        <v>-128397.63</v>
      </c>
      <c r="Q347" s="7">
        <f t="shared" si="245"/>
        <v>-150052.79999999999</v>
      </c>
      <c r="R347" s="7">
        <f t="shared" si="245"/>
        <v>-121327.2</v>
      </c>
      <c r="S347" s="7">
        <f t="shared" si="245"/>
        <v>-120043.87</v>
      </c>
      <c r="T347" s="7">
        <f t="shared" si="245"/>
        <v>-164976.34</v>
      </c>
      <c r="U347" s="7">
        <f t="shared" si="245"/>
        <v>-139845.97</v>
      </c>
      <c r="V347" s="7">
        <f t="shared" si="245"/>
        <v>-136635.84</v>
      </c>
      <c r="W347" s="63">
        <f t="shared" si="245"/>
        <v>-152701.54999999999</v>
      </c>
      <c r="X347" s="63">
        <f t="shared" si="245"/>
        <v>-146526.29</v>
      </c>
      <c r="Y347" s="63">
        <f t="shared" si="245"/>
        <v>-146070.54999999999</v>
      </c>
      <c r="Z347" s="63">
        <f t="shared" si="245"/>
        <v>-123242.56</v>
      </c>
      <c r="AA347" s="63">
        <f t="shared" si="245"/>
        <v>-136058.13</v>
      </c>
      <c r="AB347" s="63">
        <f t="shared" si="245"/>
        <v>-1665878.73</v>
      </c>
      <c r="AC347" s="63">
        <f t="shared" si="245"/>
        <v>-150284.81</v>
      </c>
      <c r="AD347" s="63">
        <f t="shared" si="245"/>
        <v>-146541.46</v>
      </c>
      <c r="AE347" s="63">
        <f t="shared" si="245"/>
        <v>-120595.91</v>
      </c>
      <c r="AF347" s="63">
        <f t="shared" si="245"/>
        <v>-118366.78</v>
      </c>
      <c r="AG347" s="63">
        <f t="shared" si="245"/>
        <v>-156692.82999999999</v>
      </c>
      <c r="AH347" s="63">
        <f t="shared" si="245"/>
        <v>-111472.65</v>
      </c>
      <c r="AI347" s="63">
        <f t="shared" si="245"/>
        <v>-139326.56</v>
      </c>
      <c r="AJ347" s="63">
        <f t="shared" si="245"/>
        <v>-134647.69</v>
      </c>
      <c r="AK347" s="63">
        <f t="shared" si="245"/>
        <v>-141005.24</v>
      </c>
      <c r="AL347" s="63">
        <f t="shared" si="245"/>
        <v>-145987.48000000001</v>
      </c>
      <c r="AM347" s="63">
        <f t="shared" si="245"/>
        <v>-105939.31</v>
      </c>
      <c r="AN347" s="63">
        <f t="shared" si="245"/>
        <v>-108155.03</v>
      </c>
      <c r="AO347" s="63">
        <f t="shared" si="245"/>
        <v>-1579015.75</v>
      </c>
      <c r="AP347" s="63">
        <f t="shared" si="245"/>
        <v>-94224.639999999999</v>
      </c>
      <c r="AQ347" s="63">
        <f t="shared" si="245"/>
        <v>-120708.57</v>
      </c>
      <c r="AR347" s="63">
        <f t="shared" si="245"/>
        <v>-68247.31</v>
      </c>
      <c r="AS347" s="63">
        <f t="shared" si="245"/>
        <v>-83730.740000000005</v>
      </c>
      <c r="AT347" s="63">
        <f t="shared" si="245"/>
        <v>-101556.38</v>
      </c>
      <c r="AU347" s="63">
        <f t="shared" ref="AU347:BO347" si="246">SUM(AU346)</f>
        <v>-95951.38</v>
      </c>
      <c r="AV347" s="63">
        <f t="shared" si="246"/>
        <v>-106370.44</v>
      </c>
      <c r="AW347" s="63">
        <f t="shared" si="246"/>
        <v>-103550.06</v>
      </c>
      <c r="AX347" s="63">
        <f t="shared" si="246"/>
        <v>-106995.83</v>
      </c>
      <c r="AY347" s="63">
        <f t="shared" si="246"/>
        <v>-111105.79</v>
      </c>
      <c r="AZ347" s="63">
        <f t="shared" si="246"/>
        <v>-105553.82</v>
      </c>
      <c r="BA347" s="63">
        <f t="shared" si="246"/>
        <v>-104442.84</v>
      </c>
      <c r="BB347" s="63">
        <f t="shared" si="246"/>
        <v>-1202437.8</v>
      </c>
      <c r="BC347" s="63">
        <f t="shared" si="246"/>
        <v>-105430.3</v>
      </c>
      <c r="BD347" s="63">
        <f t="shared" si="246"/>
        <v>-97727.88</v>
      </c>
      <c r="BE347" s="63">
        <f t="shared" si="246"/>
        <v>-97838.17</v>
      </c>
      <c r="BF347" s="63">
        <f t="shared" si="246"/>
        <v>-100342.14</v>
      </c>
      <c r="BG347" s="63">
        <f t="shared" si="246"/>
        <v>-100594.45</v>
      </c>
      <c r="BH347" s="63">
        <f t="shared" si="246"/>
        <v>-84856.23</v>
      </c>
      <c r="BI347" s="63">
        <f t="shared" si="246"/>
        <v>-96839.64</v>
      </c>
      <c r="BJ347" s="63">
        <f t="shared" si="246"/>
        <v>0</v>
      </c>
      <c r="BK347" s="63">
        <f t="shared" si="246"/>
        <v>0</v>
      </c>
      <c r="BL347" s="63">
        <f t="shared" si="246"/>
        <v>0</v>
      </c>
      <c r="BM347" s="63">
        <f t="shared" si="246"/>
        <v>0</v>
      </c>
      <c r="BN347" s="63">
        <f t="shared" si="246"/>
        <v>0</v>
      </c>
      <c r="BO347" s="63">
        <f t="shared" si="246"/>
        <v>-683628.81</v>
      </c>
    </row>
    <row r="348" spans="2:67" s="9" customFormat="1" ht="12.75" x14ac:dyDescent="0.2">
      <c r="B348" s="13" t="s">
        <v>1551</v>
      </c>
      <c r="C348" s="14">
        <f t="shared" ref="C348:N348" si="247">C347+C345+C340+C330+C316+C307+C305+C302+C298+C290+C286+C276+C273+C268+C261+C257+C245+C234</f>
        <v>35208.749999999971</v>
      </c>
      <c r="D348" s="14">
        <f t="shared" si="247"/>
        <v>301719.67</v>
      </c>
      <c r="E348" s="14">
        <f t="shared" si="247"/>
        <v>432137.43</v>
      </c>
      <c r="F348" s="14">
        <f t="shared" si="247"/>
        <v>221173.12</v>
      </c>
      <c r="G348" s="14">
        <f t="shared" si="247"/>
        <v>627553.22</v>
      </c>
      <c r="H348" s="14">
        <f t="shared" si="247"/>
        <v>141442.78999999992</v>
      </c>
      <c r="I348" s="14">
        <f t="shared" si="247"/>
        <v>863641</v>
      </c>
      <c r="J348" s="14">
        <f t="shared" si="247"/>
        <v>447313.58999999997</v>
      </c>
      <c r="K348" s="14">
        <f t="shared" si="247"/>
        <v>460178.76000000007</v>
      </c>
      <c r="L348" s="14">
        <f t="shared" si="247"/>
        <v>390539.49</v>
      </c>
      <c r="M348" s="14">
        <f t="shared" si="247"/>
        <v>369755.08</v>
      </c>
      <c r="N348" s="14">
        <f t="shared" si="247"/>
        <v>835226.14999999991</v>
      </c>
      <c r="O348" s="14">
        <f>SUM(C348:N348)</f>
        <v>5125889.0500000007</v>
      </c>
      <c r="P348" s="14">
        <f t="shared" ref="P348:AT348" si="248">P347+P345+P340+P330+P316+P307+P305+P302+P298+P290+P286+P276+P273+P268+P261+P257+P245+P234</f>
        <v>168570.22000000003</v>
      </c>
      <c r="Q348" s="14">
        <f t="shared" si="248"/>
        <v>301119.19999999995</v>
      </c>
      <c r="R348" s="14">
        <f t="shared" si="248"/>
        <v>626702.67999999993</v>
      </c>
      <c r="S348" s="14">
        <f t="shared" si="248"/>
        <v>494742.16999999993</v>
      </c>
      <c r="T348" s="14">
        <f t="shared" si="248"/>
        <v>421147.56000000006</v>
      </c>
      <c r="U348" s="14">
        <f t="shared" si="248"/>
        <v>518825.02999999997</v>
      </c>
      <c r="V348" s="14">
        <f t="shared" si="248"/>
        <v>547854.57999999996</v>
      </c>
      <c r="W348" s="41">
        <f t="shared" si="248"/>
        <v>516606.59</v>
      </c>
      <c r="X348" s="41">
        <f t="shared" si="248"/>
        <v>643991.15</v>
      </c>
      <c r="Y348" s="41">
        <f t="shared" si="248"/>
        <v>462333.07000000007</v>
      </c>
      <c r="Z348" s="41">
        <f t="shared" si="248"/>
        <v>482486.89999999997</v>
      </c>
      <c r="AA348" s="41">
        <f t="shared" si="248"/>
        <v>775764.25</v>
      </c>
      <c r="AB348" s="41">
        <f t="shared" si="248"/>
        <v>5960143.4000000004</v>
      </c>
      <c r="AC348" s="41">
        <f t="shared" si="248"/>
        <v>302833.87</v>
      </c>
      <c r="AD348" s="41">
        <f t="shared" si="248"/>
        <v>322028.22000000003</v>
      </c>
      <c r="AE348" s="41">
        <f t="shared" si="248"/>
        <v>668228.96</v>
      </c>
      <c r="AF348" s="41">
        <f t="shared" si="248"/>
        <v>703999.99</v>
      </c>
      <c r="AG348" s="41">
        <f t="shared" si="248"/>
        <v>612967.68000000005</v>
      </c>
      <c r="AH348" s="41">
        <f t="shared" si="248"/>
        <v>404661.74</v>
      </c>
      <c r="AI348" s="41">
        <f t="shared" si="248"/>
        <v>598700.72</v>
      </c>
      <c r="AJ348" s="41">
        <f t="shared" si="248"/>
        <v>571171.09</v>
      </c>
      <c r="AK348" s="41">
        <f t="shared" si="248"/>
        <v>663223.58000000007</v>
      </c>
      <c r="AL348" s="41">
        <f t="shared" si="248"/>
        <v>479440.63</v>
      </c>
      <c r="AM348" s="41">
        <f t="shared" si="248"/>
        <v>523506.97</v>
      </c>
      <c r="AN348" s="41">
        <f t="shared" si="248"/>
        <v>1308519.5</v>
      </c>
      <c r="AO348" s="41">
        <f t="shared" si="248"/>
        <v>7159282.9500000011</v>
      </c>
      <c r="AP348" s="41">
        <f t="shared" si="248"/>
        <v>310029.68000000005</v>
      </c>
      <c r="AQ348" s="41">
        <f t="shared" si="248"/>
        <v>585427.52</v>
      </c>
      <c r="AR348" s="41">
        <f t="shared" si="248"/>
        <v>354337.93</v>
      </c>
      <c r="AS348" s="41">
        <f t="shared" si="248"/>
        <v>552917.64999999991</v>
      </c>
      <c r="AT348" s="41">
        <f t="shared" si="248"/>
        <v>513247.91000000003</v>
      </c>
      <c r="AU348" s="41">
        <f t="shared" ref="AU348:BB348" si="249">AU347+AU345+AU340+AU330+AU316+AU307+AU305+AU302+AU298+AU290+AU286+AU276+AU273+AU268+AU261+AU257+AU245+AU234</f>
        <v>540267.87000000011</v>
      </c>
      <c r="AV348" s="41">
        <f t="shared" si="249"/>
        <v>550069.53999999992</v>
      </c>
      <c r="AW348" s="41">
        <f t="shared" si="249"/>
        <v>628044.47</v>
      </c>
      <c r="AX348" s="41">
        <f t="shared" si="249"/>
        <v>511340.64999999997</v>
      </c>
      <c r="AY348" s="41">
        <f t="shared" si="249"/>
        <v>486975.37000000011</v>
      </c>
      <c r="AZ348" s="41">
        <f t="shared" si="249"/>
        <v>543834.70000000007</v>
      </c>
      <c r="BA348" s="41">
        <f t="shared" si="249"/>
        <v>687486.46</v>
      </c>
      <c r="BB348" s="41">
        <f t="shared" si="249"/>
        <v>6263979.7500000019</v>
      </c>
      <c r="BC348" s="41">
        <f t="shared" ref="BC348" si="250">BC347+BC345+BC340+BC330+BC316+BC307+BC305+BC302+BC298+BC290+BC286+BC276+BC273+BC268+BC261+BC257+BC245+BC234</f>
        <v>307764.82</v>
      </c>
      <c r="BD348" s="41">
        <f t="shared" ref="BD348" si="251">BD347+BD345+BD340+BD330+BD316+BD307+BD305+BD302+BD298+BD290+BD286+BD276+BD273+BD268+BD261+BD257+BD245+BD234</f>
        <v>497577.21999999986</v>
      </c>
      <c r="BE348" s="41">
        <f t="shared" ref="BE348" si="252">BE347+BE345+BE340+BE330+BE316+BE307+BE305+BE302+BE298+BE290+BE286+BE276+BE273+BE268+BE261+BE257+BE245+BE234</f>
        <v>711645</v>
      </c>
      <c r="BF348" s="41">
        <f t="shared" ref="BF348:BI348" si="253">BF347+BF345+BF340+BF330+BF316+BF307+BF305+BF302+BF298+BF290+BF286+BF276+BF273+BF268+BF261+BF257+BF245+BF234</f>
        <v>462638.54</v>
      </c>
      <c r="BG348" s="41">
        <f t="shared" si="253"/>
        <v>426676.06</v>
      </c>
      <c r="BH348" s="41">
        <f t="shared" si="253"/>
        <v>499140.14</v>
      </c>
      <c r="BI348" s="41">
        <f t="shared" si="253"/>
        <v>441054.97000000003</v>
      </c>
      <c r="BJ348" s="41">
        <f t="shared" ref="BJ348:BO348" si="254">BJ347+BJ345+BJ340+BJ330+BJ316+BJ307+BJ305+BJ302+BJ298+BJ290+BJ286+BJ276+BJ273+BJ268+BJ261+BJ257+BJ245+BJ234</f>
        <v>0</v>
      </c>
      <c r="BK348" s="41">
        <f t="shared" si="254"/>
        <v>0</v>
      </c>
      <c r="BL348" s="41">
        <f t="shared" si="254"/>
        <v>0</v>
      </c>
      <c r="BM348" s="41">
        <f t="shared" si="254"/>
        <v>0</v>
      </c>
      <c r="BN348" s="41">
        <f t="shared" si="254"/>
        <v>0</v>
      </c>
      <c r="BO348" s="41">
        <f t="shared" si="254"/>
        <v>3346496.75</v>
      </c>
    </row>
    <row r="349" spans="2:67" s="105" customFormat="1" x14ac:dyDescent="0.2">
      <c r="B349" s="105" t="s">
        <v>1894</v>
      </c>
      <c r="C349" s="182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0"/>
      <c r="X349" s="110"/>
      <c r="Y349" s="112"/>
      <c r="Z349" s="112"/>
      <c r="AA349" s="112"/>
      <c r="AB349" s="183"/>
      <c r="AC349" s="111"/>
      <c r="AD349" s="111"/>
      <c r="AE349" s="111"/>
      <c r="AF349" s="111"/>
      <c r="AG349" s="111"/>
      <c r="AH349" s="111"/>
      <c r="AI349" s="111"/>
      <c r="AJ349" s="110"/>
      <c r="AK349" s="110"/>
      <c r="AL349" s="112"/>
      <c r="AM349" s="112"/>
      <c r="AN349" s="112"/>
      <c r="AO349" s="183"/>
      <c r="AP349" s="111">
        <v>0</v>
      </c>
      <c r="AQ349" s="111">
        <v>0</v>
      </c>
      <c r="AR349" s="111">
        <v>0</v>
      </c>
      <c r="AS349" s="111">
        <v>0</v>
      </c>
      <c r="AT349" s="111">
        <v>0</v>
      </c>
      <c r="AU349" s="111">
        <v>0</v>
      </c>
      <c r="AV349" s="111">
        <v>0</v>
      </c>
      <c r="AW349" s="111">
        <v>0</v>
      </c>
      <c r="AX349" s="111">
        <v>0</v>
      </c>
      <c r="AY349" s="111">
        <v>0</v>
      </c>
      <c r="AZ349" s="111">
        <v>0</v>
      </c>
      <c r="BA349" s="111">
        <v>0</v>
      </c>
      <c r="BB349" s="183">
        <f>SUM(AP349:BA349)</f>
        <v>0</v>
      </c>
      <c r="BC349" s="111">
        <v>10.029999999999999</v>
      </c>
      <c r="BD349" s="24">
        <v>0</v>
      </c>
      <c r="BE349" s="24">
        <v>0</v>
      </c>
      <c r="BF349" s="24">
        <v>0</v>
      </c>
      <c r="BG349" s="24">
        <v>0</v>
      </c>
      <c r="BH349" s="24">
        <v>0</v>
      </c>
      <c r="BI349" s="24">
        <v>0</v>
      </c>
      <c r="BJ349" s="111"/>
      <c r="BK349" s="111"/>
      <c r="BL349" s="111"/>
      <c r="BM349" s="111"/>
      <c r="BN349" s="111"/>
      <c r="BO349" s="183">
        <f>SUM(BC349:BN349)</f>
        <v>10.029999999999999</v>
      </c>
    </row>
    <row r="350" spans="2:67" x14ac:dyDescent="0.2">
      <c r="B350" s="6" t="s">
        <v>1895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>
        <f t="shared" ref="AP350:BA350" si="255">SUM(AP349)</f>
        <v>0</v>
      </c>
      <c r="AQ350" s="63">
        <f t="shared" si="255"/>
        <v>0</v>
      </c>
      <c r="AR350" s="63">
        <f t="shared" si="255"/>
        <v>0</v>
      </c>
      <c r="AS350" s="63">
        <f t="shared" si="255"/>
        <v>0</v>
      </c>
      <c r="AT350" s="63">
        <f t="shared" si="255"/>
        <v>0</v>
      </c>
      <c r="AU350" s="63">
        <f t="shared" si="255"/>
        <v>0</v>
      </c>
      <c r="AV350" s="63">
        <f t="shared" si="255"/>
        <v>0</v>
      </c>
      <c r="AW350" s="63">
        <f t="shared" si="255"/>
        <v>0</v>
      </c>
      <c r="AX350" s="63">
        <f t="shared" si="255"/>
        <v>0</v>
      </c>
      <c r="AY350" s="63">
        <f t="shared" si="255"/>
        <v>0</v>
      </c>
      <c r="AZ350" s="63">
        <f t="shared" si="255"/>
        <v>0</v>
      </c>
      <c r="BA350" s="63">
        <f t="shared" si="255"/>
        <v>0</v>
      </c>
      <c r="BB350" s="63">
        <f>SUM(BB349)</f>
        <v>0</v>
      </c>
      <c r="BC350" s="63">
        <f t="shared" ref="BC350" si="256">SUM(BC349)</f>
        <v>10.029999999999999</v>
      </c>
      <c r="BD350" s="63">
        <f t="shared" ref="BD350" si="257">SUM(BD349)</f>
        <v>0</v>
      </c>
      <c r="BE350" s="63">
        <f t="shared" ref="BE350" si="258">SUM(BE349)</f>
        <v>0</v>
      </c>
      <c r="BF350" s="63">
        <f t="shared" ref="BF350:BI350" si="259">SUM(BF349)</f>
        <v>0</v>
      </c>
      <c r="BG350" s="63">
        <f t="shared" si="259"/>
        <v>0</v>
      </c>
      <c r="BH350" s="63">
        <f t="shared" si="259"/>
        <v>0</v>
      </c>
      <c r="BI350" s="63">
        <f t="shared" si="259"/>
        <v>0</v>
      </c>
      <c r="BJ350" s="63">
        <f t="shared" ref="BJ350:BO350" si="260">SUM(BJ349)</f>
        <v>0</v>
      </c>
      <c r="BK350" s="63">
        <f t="shared" si="260"/>
        <v>0</v>
      </c>
      <c r="BL350" s="63">
        <f t="shared" si="260"/>
        <v>0</v>
      </c>
      <c r="BM350" s="63">
        <f t="shared" si="260"/>
        <v>0</v>
      </c>
      <c r="BN350" s="63">
        <f t="shared" si="260"/>
        <v>0</v>
      </c>
      <c r="BO350" s="63">
        <f t="shared" si="260"/>
        <v>10.029999999999999</v>
      </c>
    </row>
    <row r="351" spans="2:67" x14ac:dyDescent="0.2">
      <c r="B351" s="3" t="s">
        <v>796</v>
      </c>
      <c r="C351" s="23"/>
      <c r="E351" s="24">
        <v>-21155.360000000001</v>
      </c>
      <c r="F351" s="24">
        <v>-12679.1</v>
      </c>
      <c r="G351" s="24">
        <v>0</v>
      </c>
      <c r="H351" s="24">
        <v>-5598.32</v>
      </c>
      <c r="I351" s="24">
        <v>0</v>
      </c>
      <c r="J351" s="24">
        <v>0</v>
      </c>
      <c r="K351" s="24">
        <v>0</v>
      </c>
      <c r="L351" s="24">
        <v>0</v>
      </c>
      <c r="M351" s="24">
        <v>0</v>
      </c>
      <c r="N351" s="24">
        <v>0</v>
      </c>
      <c r="O351" s="24">
        <f>SUBTOTAL(9,C351:N351)</f>
        <v>-39432.78</v>
      </c>
      <c r="P351" s="24">
        <v>0</v>
      </c>
      <c r="Q351" s="24">
        <v>0</v>
      </c>
      <c r="R351" s="24">
        <v>0</v>
      </c>
      <c r="S351" s="24">
        <v>-11441.36</v>
      </c>
      <c r="T351" s="24">
        <v>-3936.71</v>
      </c>
      <c r="U351" s="24">
        <v>0</v>
      </c>
      <c r="V351" s="24">
        <v>0</v>
      </c>
      <c r="W351" s="20">
        <v>0</v>
      </c>
      <c r="X351" s="20">
        <v>0</v>
      </c>
      <c r="Y351" s="83">
        <v>-13781.19</v>
      </c>
      <c r="Z351" s="83">
        <v>-17376.62</v>
      </c>
      <c r="AA351" s="83">
        <v>0</v>
      </c>
      <c r="AB351" s="8">
        <f t="shared" ref="AB351:AB356" si="261">SUM(P351:AA351)</f>
        <v>-46535.880000000005</v>
      </c>
      <c r="AC351" s="24">
        <v>-6644.67</v>
      </c>
      <c r="AD351" s="24">
        <v>-3647.24</v>
      </c>
      <c r="AE351" s="24">
        <v>-15349.5</v>
      </c>
      <c r="AF351" s="24">
        <v>-5861.39</v>
      </c>
      <c r="AG351" s="24">
        <v>0</v>
      </c>
      <c r="AH351" s="24">
        <v>0</v>
      </c>
      <c r="AI351" s="24">
        <v>0</v>
      </c>
      <c r="AJ351" s="20">
        <v>0</v>
      </c>
      <c r="AK351" s="20">
        <v>0</v>
      </c>
      <c r="AL351" s="83">
        <v>0</v>
      </c>
      <c r="AM351" s="83">
        <v>0</v>
      </c>
      <c r="AN351" s="83">
        <v>0</v>
      </c>
      <c r="AO351" s="8">
        <f t="shared" ref="AO351:AO356" si="262">SUM(AC351:AN351)</f>
        <v>-31502.799999999999</v>
      </c>
      <c r="AP351" s="24">
        <v>0</v>
      </c>
      <c r="AQ351" s="24">
        <v>0</v>
      </c>
      <c r="AR351" s="24">
        <v>0</v>
      </c>
      <c r="AS351" s="24">
        <v>0</v>
      </c>
      <c r="AT351" s="24">
        <v>-5815.96</v>
      </c>
      <c r="AU351" s="24">
        <v>0</v>
      </c>
      <c r="AV351" s="24">
        <v>0</v>
      </c>
      <c r="AW351" s="20">
        <v>0</v>
      </c>
      <c r="AX351" s="20">
        <v>-19396.72</v>
      </c>
      <c r="AY351" s="83">
        <v>0</v>
      </c>
      <c r="AZ351" s="83">
        <v>0</v>
      </c>
      <c r="BA351" s="83">
        <v>-14433.73</v>
      </c>
      <c r="BB351" s="8">
        <f t="shared" ref="BB351:BB356" si="263">SUM(AP351:BA351)</f>
        <v>-39646.410000000003</v>
      </c>
      <c r="BC351" s="24">
        <v>0</v>
      </c>
      <c r="BD351" s="24">
        <v>0</v>
      </c>
      <c r="BE351" s="24">
        <v>0</v>
      </c>
      <c r="BF351" s="24">
        <v>0</v>
      </c>
      <c r="BG351" s="24">
        <v>-5590.19</v>
      </c>
      <c r="BH351" s="24">
        <v>0</v>
      </c>
      <c r="BI351" s="24">
        <v>0</v>
      </c>
      <c r="BN351" s="83"/>
      <c r="BO351" s="8">
        <f t="shared" ref="BO351:BO356" si="264">SUM(BC351:BN351)</f>
        <v>-5590.19</v>
      </c>
    </row>
    <row r="352" spans="2:67" x14ac:dyDescent="0.2">
      <c r="B352" s="3" t="s">
        <v>870</v>
      </c>
      <c r="C352" s="23"/>
      <c r="E352" s="24">
        <v>633.54</v>
      </c>
      <c r="F352" s="24">
        <v>0</v>
      </c>
      <c r="G352" s="24">
        <v>12498.32</v>
      </c>
      <c r="H352" s="24">
        <v>9.08</v>
      </c>
      <c r="I352" s="24">
        <v>367.68</v>
      </c>
      <c r="J352" s="24">
        <v>0</v>
      </c>
      <c r="K352" s="24">
        <v>0</v>
      </c>
      <c r="L352" s="24">
        <v>0</v>
      </c>
      <c r="M352" s="24">
        <v>10955.56</v>
      </c>
      <c r="N352" s="24">
        <v>3044.53</v>
      </c>
      <c r="O352" s="24">
        <f>SUBTOTAL(9,C352:N352)</f>
        <v>27508.71</v>
      </c>
      <c r="P352" s="24">
        <v>0</v>
      </c>
      <c r="Q352" s="24">
        <v>0</v>
      </c>
      <c r="R352" s="24">
        <v>0</v>
      </c>
      <c r="S352" s="24">
        <v>0</v>
      </c>
      <c r="T352" s="24">
        <v>635.22</v>
      </c>
      <c r="U352" s="24">
        <v>0</v>
      </c>
      <c r="V352" s="24">
        <v>0</v>
      </c>
      <c r="W352" s="20">
        <v>0</v>
      </c>
      <c r="X352" s="20">
        <v>0</v>
      </c>
      <c r="Y352" s="83">
        <v>177.36</v>
      </c>
      <c r="Z352" s="83">
        <v>2669.47</v>
      </c>
      <c r="AA352" s="83">
        <v>0</v>
      </c>
      <c r="AB352" s="8">
        <f t="shared" si="261"/>
        <v>3482.0499999999997</v>
      </c>
      <c r="AC352" s="24">
        <v>0</v>
      </c>
      <c r="AD352" s="24">
        <v>576.29999999999995</v>
      </c>
      <c r="AE352" s="24">
        <v>0</v>
      </c>
      <c r="AF352" s="24">
        <v>0</v>
      </c>
      <c r="AG352" s="24">
        <v>0</v>
      </c>
      <c r="AH352" s="24">
        <v>0</v>
      </c>
      <c r="AI352" s="24">
        <v>0</v>
      </c>
      <c r="AJ352" s="20">
        <v>354.52</v>
      </c>
      <c r="AK352" s="20">
        <v>0</v>
      </c>
      <c r="AL352" s="83">
        <v>11.76</v>
      </c>
      <c r="AM352" s="83">
        <v>382.34</v>
      </c>
      <c r="AN352" s="83">
        <v>4816.45</v>
      </c>
      <c r="AO352" s="8">
        <f t="shared" si="262"/>
        <v>6141.37</v>
      </c>
      <c r="AP352" s="24">
        <v>0</v>
      </c>
      <c r="AQ352" s="24">
        <v>0</v>
      </c>
      <c r="AR352" s="24">
        <v>0</v>
      </c>
      <c r="AS352" s="24">
        <v>0</v>
      </c>
      <c r="AT352" s="24">
        <v>0</v>
      </c>
      <c r="AU352" s="24">
        <v>0</v>
      </c>
      <c r="AV352" s="24">
        <v>0</v>
      </c>
      <c r="AW352" s="20">
        <v>0</v>
      </c>
      <c r="AX352" s="20">
        <v>0</v>
      </c>
      <c r="AY352" s="83">
        <v>380.54</v>
      </c>
      <c r="AZ352" s="83">
        <v>39290.47</v>
      </c>
      <c r="BA352" s="83">
        <v>960.28</v>
      </c>
      <c r="BB352" s="8">
        <f t="shared" si="263"/>
        <v>40631.29</v>
      </c>
      <c r="BC352" s="24">
        <v>0</v>
      </c>
      <c r="BD352" s="24">
        <v>0</v>
      </c>
      <c r="BE352" s="24">
        <v>0</v>
      </c>
      <c r="BF352" s="24">
        <v>82.02</v>
      </c>
      <c r="BG352" s="24">
        <v>0</v>
      </c>
      <c r="BH352" s="24">
        <v>207.28</v>
      </c>
      <c r="BI352" s="24">
        <v>0</v>
      </c>
      <c r="BN352" s="83"/>
      <c r="BO352" s="8">
        <f t="shared" si="264"/>
        <v>289.3</v>
      </c>
    </row>
    <row r="353" spans="2:67" x14ac:dyDescent="0.2">
      <c r="B353" s="3" t="s">
        <v>590</v>
      </c>
      <c r="C353" s="23">
        <v>-98.26</v>
      </c>
      <c r="D353" s="24">
        <v>0</v>
      </c>
      <c r="E353" s="24">
        <v>0</v>
      </c>
      <c r="F353" s="24">
        <v>-4822.08</v>
      </c>
      <c r="G353" s="24">
        <v>0</v>
      </c>
      <c r="H353" s="24">
        <v>0</v>
      </c>
      <c r="I353" s="24">
        <v>0</v>
      </c>
      <c r="J353" s="24">
        <v>-2341.25</v>
      </c>
      <c r="K353" s="24">
        <v>0</v>
      </c>
      <c r="L353" s="24">
        <v>0</v>
      </c>
      <c r="M353" s="24">
        <v>0</v>
      </c>
      <c r="N353" s="24">
        <v>-17134.68</v>
      </c>
      <c r="O353" s="24">
        <f>SUBTOTAL(9,C353:N353)</f>
        <v>-24396.27</v>
      </c>
      <c r="P353" s="24">
        <v>0</v>
      </c>
      <c r="Q353" s="24">
        <v>-1182.32</v>
      </c>
      <c r="R353" s="24">
        <v>-1157.42</v>
      </c>
      <c r="S353" s="24">
        <v>0</v>
      </c>
      <c r="T353" s="24">
        <v>0</v>
      </c>
      <c r="U353" s="24">
        <v>-1186.1500000000001</v>
      </c>
      <c r="V353" s="24">
        <v>0</v>
      </c>
      <c r="W353" s="20">
        <v>0</v>
      </c>
      <c r="X353" s="20">
        <v>-4333.22</v>
      </c>
      <c r="Y353" s="83">
        <v>1257.9100000000001</v>
      </c>
      <c r="Z353" s="83">
        <v>-4701.54</v>
      </c>
      <c r="AA353" s="83">
        <v>-3185.64</v>
      </c>
      <c r="AB353" s="8">
        <f t="shared" si="261"/>
        <v>-14488.380000000001</v>
      </c>
      <c r="AC353" s="24">
        <v>-1308.8399999999999</v>
      </c>
      <c r="AD353" s="24">
        <v>0</v>
      </c>
      <c r="AE353" s="24">
        <v>-3308.47</v>
      </c>
      <c r="AF353" s="24">
        <v>-3026.96</v>
      </c>
      <c r="AG353" s="24">
        <v>0</v>
      </c>
      <c r="AH353" s="24">
        <v>-2998.86</v>
      </c>
      <c r="AI353" s="24">
        <v>0</v>
      </c>
      <c r="AJ353" s="20">
        <v>-31631.17</v>
      </c>
      <c r="AK353" s="20">
        <v>-4.3</v>
      </c>
      <c r="AL353" s="83">
        <v>-957.96</v>
      </c>
      <c r="AM353" s="83">
        <v>-563.69000000000005</v>
      </c>
      <c r="AN353" s="83">
        <v>-428.81</v>
      </c>
      <c r="AO353" s="8">
        <f t="shared" si="262"/>
        <v>-44229.06</v>
      </c>
      <c r="AP353" s="24">
        <v>542.09</v>
      </c>
      <c r="AQ353" s="24">
        <v>0</v>
      </c>
      <c r="AR353" s="24">
        <f>VLOOKUP(B353,'[1]Sheet1 (2)'!$B$2:$C$397,2,0)</f>
        <v>-45.65</v>
      </c>
      <c r="AS353" s="24">
        <f>VLOOKUP(B353,'[2]Sheet1 (2)'!$B$2:$C$404,2,0)</f>
        <v>-2306.7600000000002</v>
      </c>
      <c r="AT353" s="24">
        <v>-851.03</v>
      </c>
      <c r="AU353" s="24">
        <v>0</v>
      </c>
      <c r="AV353" s="24">
        <v>-1570.12</v>
      </c>
      <c r="AW353" s="20">
        <v>-22428.959999999999</v>
      </c>
      <c r="AX353" s="20">
        <v>0</v>
      </c>
      <c r="AY353" s="83">
        <v>-768.4</v>
      </c>
      <c r="AZ353" s="83">
        <v>0</v>
      </c>
      <c r="BA353" s="83">
        <v>-2302.1799999999998</v>
      </c>
      <c r="BB353" s="8">
        <f t="shared" si="263"/>
        <v>-29731.010000000002</v>
      </c>
      <c r="BC353" s="24">
        <v>759.11</v>
      </c>
      <c r="BD353" s="24">
        <v>-2752.26</v>
      </c>
      <c r="BE353" s="24">
        <v>-118.71</v>
      </c>
      <c r="BF353" s="24">
        <v>-3063.11</v>
      </c>
      <c r="BG353" s="24">
        <v>0</v>
      </c>
      <c r="BH353" s="24">
        <v>-1585.43</v>
      </c>
      <c r="BI353" s="24">
        <v>-906.54</v>
      </c>
      <c r="BN353" s="83"/>
      <c r="BO353" s="8">
        <f t="shared" si="264"/>
        <v>-7666.9400000000005</v>
      </c>
    </row>
    <row r="354" spans="2:67" x14ac:dyDescent="0.2">
      <c r="B354" s="3" t="s">
        <v>1310</v>
      </c>
      <c r="C354" s="23"/>
      <c r="E354" s="24">
        <v>7315.99</v>
      </c>
      <c r="F354" s="24">
        <v>0</v>
      </c>
      <c r="G354" s="24">
        <v>-7315.99</v>
      </c>
      <c r="H354" s="24">
        <v>5598.32</v>
      </c>
      <c r="I354" s="24">
        <v>0</v>
      </c>
      <c r="J354" s="24">
        <v>0</v>
      </c>
      <c r="K354" s="24">
        <v>0</v>
      </c>
      <c r="L354" s="24">
        <v>0</v>
      </c>
      <c r="M354" s="24">
        <v>0</v>
      </c>
      <c r="N354" s="24">
        <v>0</v>
      </c>
      <c r="O354" s="24">
        <f>SUBTOTAL(9,C354:N354)</f>
        <v>5598.32</v>
      </c>
      <c r="P354" s="24">
        <v>0</v>
      </c>
      <c r="Q354" s="24">
        <v>0</v>
      </c>
      <c r="R354" s="24">
        <v>0</v>
      </c>
      <c r="S354" s="24">
        <v>0</v>
      </c>
      <c r="T354" s="24">
        <v>0</v>
      </c>
      <c r="U354" s="24">
        <v>0</v>
      </c>
      <c r="V354" s="24">
        <v>0</v>
      </c>
      <c r="W354" s="20">
        <v>0</v>
      </c>
      <c r="X354" s="20">
        <v>0</v>
      </c>
      <c r="Y354" s="83">
        <v>0</v>
      </c>
      <c r="Z354" s="83">
        <v>0</v>
      </c>
      <c r="AA354" s="83">
        <v>0</v>
      </c>
      <c r="AB354" s="8">
        <f t="shared" si="261"/>
        <v>0</v>
      </c>
      <c r="AC354" s="24">
        <v>0</v>
      </c>
      <c r="AD354" s="24">
        <v>0</v>
      </c>
      <c r="AE354" s="24">
        <v>0</v>
      </c>
      <c r="AF354" s="24">
        <v>0</v>
      </c>
      <c r="AG354" s="24">
        <v>0</v>
      </c>
      <c r="AH354" s="24">
        <v>0</v>
      </c>
      <c r="AI354" s="24">
        <v>0</v>
      </c>
      <c r="AJ354" s="20">
        <v>0</v>
      </c>
      <c r="AK354" s="20">
        <v>0</v>
      </c>
      <c r="AL354" s="83">
        <v>0</v>
      </c>
      <c r="AM354" s="83">
        <v>0</v>
      </c>
      <c r="AN354" s="83">
        <v>0</v>
      </c>
      <c r="AO354" s="8">
        <f t="shared" si="262"/>
        <v>0</v>
      </c>
      <c r="AP354" s="24">
        <v>0</v>
      </c>
      <c r="AQ354" s="24">
        <v>0</v>
      </c>
      <c r="AR354" s="24">
        <v>0</v>
      </c>
      <c r="AS354" s="24">
        <v>0</v>
      </c>
      <c r="AT354" s="24">
        <v>0</v>
      </c>
      <c r="AU354" s="24">
        <v>0</v>
      </c>
      <c r="AV354" s="24">
        <v>0</v>
      </c>
      <c r="AW354" s="20">
        <v>0</v>
      </c>
      <c r="AX354" s="20">
        <v>0</v>
      </c>
      <c r="AY354" s="83">
        <v>0</v>
      </c>
      <c r="AZ354" s="83">
        <v>0</v>
      </c>
      <c r="BA354" s="83">
        <v>0</v>
      </c>
      <c r="BB354" s="8">
        <f t="shared" si="263"/>
        <v>0</v>
      </c>
      <c r="BC354" s="24">
        <v>0</v>
      </c>
      <c r="BD354" s="24">
        <v>0</v>
      </c>
      <c r="BE354" s="24">
        <v>0</v>
      </c>
      <c r="BF354" s="24">
        <v>0</v>
      </c>
      <c r="BG354" s="24">
        <v>0</v>
      </c>
      <c r="BH354" s="24">
        <v>0</v>
      </c>
      <c r="BI354" s="24">
        <v>0</v>
      </c>
      <c r="BN354" s="83"/>
      <c r="BO354" s="8">
        <f t="shared" si="264"/>
        <v>0</v>
      </c>
    </row>
    <row r="355" spans="2:67" x14ac:dyDescent="0.2">
      <c r="B355" s="3" t="s">
        <v>435</v>
      </c>
      <c r="C355" s="23"/>
      <c r="P355" s="24">
        <v>0.01</v>
      </c>
      <c r="Q355" s="24">
        <v>0.08</v>
      </c>
      <c r="R355" s="24">
        <v>0</v>
      </c>
      <c r="S355" s="24">
        <v>5111.3599999999997</v>
      </c>
      <c r="T355" s="24">
        <v>-5102.24</v>
      </c>
      <c r="U355" s="24">
        <v>0</v>
      </c>
      <c r="V355" s="24">
        <v>520.41999999999996</v>
      </c>
      <c r="W355" s="20">
        <v>-446.36</v>
      </c>
      <c r="X355" s="20">
        <v>0</v>
      </c>
      <c r="Y355" s="83">
        <v>0</v>
      </c>
      <c r="Z355" s="83">
        <v>-0.25</v>
      </c>
      <c r="AA355" s="83">
        <v>-259.25</v>
      </c>
      <c r="AB355" s="8">
        <f t="shared" si="261"/>
        <v>-176.23000000000002</v>
      </c>
      <c r="AC355" s="24">
        <v>-0.44</v>
      </c>
      <c r="AD355" s="24">
        <v>0.04</v>
      </c>
      <c r="AE355" s="24">
        <v>0</v>
      </c>
      <c r="AF355" s="24">
        <v>0</v>
      </c>
      <c r="AG355" s="24">
        <v>0.52</v>
      </c>
      <c r="AH355" s="24">
        <v>-0.05</v>
      </c>
      <c r="AI355" s="24">
        <v>0</v>
      </c>
      <c r="AJ355" s="20">
        <v>-0.19</v>
      </c>
      <c r="AK355" s="20">
        <v>0.51</v>
      </c>
      <c r="AL355" s="83">
        <v>0.38</v>
      </c>
      <c r="AM355" s="83">
        <v>0.03</v>
      </c>
      <c r="AN355" s="83">
        <v>1629.15</v>
      </c>
      <c r="AO355" s="8">
        <f t="shared" si="262"/>
        <v>1629.95</v>
      </c>
      <c r="AP355" s="24">
        <v>0</v>
      </c>
      <c r="AQ355" s="24">
        <v>-62.36</v>
      </c>
      <c r="AR355" s="24">
        <f>VLOOKUP(B355,'[1]Sheet1 (2)'!$B$2:$C$397,2,0)</f>
        <v>0</v>
      </c>
      <c r="AS355" s="24">
        <f>VLOOKUP(B355,'[2]Sheet1 (2)'!$B$2:$C$404,2,0)</f>
        <v>-178</v>
      </c>
      <c r="AT355" s="24">
        <v>0</v>
      </c>
      <c r="AU355" s="24">
        <v>0</v>
      </c>
      <c r="AV355" s="24">
        <v>0</v>
      </c>
      <c r="AW355" s="20">
        <v>0</v>
      </c>
      <c r="AX355" s="20">
        <v>0</v>
      </c>
      <c r="AY355" s="83">
        <v>0</v>
      </c>
      <c r="AZ355" s="83">
        <v>-99.65</v>
      </c>
      <c r="BA355" s="83">
        <v>-66.290000000000006</v>
      </c>
      <c r="BB355" s="8">
        <f t="shared" si="263"/>
        <v>-406.3</v>
      </c>
      <c r="BC355" s="24">
        <v>0</v>
      </c>
      <c r="BD355" s="24">
        <v>0</v>
      </c>
      <c r="BE355" s="24">
        <v>0</v>
      </c>
      <c r="BF355" s="24">
        <v>121.38</v>
      </c>
      <c r="BG355" s="24">
        <v>0</v>
      </c>
      <c r="BH355" s="24">
        <v>0</v>
      </c>
      <c r="BI355" s="24">
        <v>0</v>
      </c>
      <c r="BN355" s="83"/>
      <c r="BO355" s="8">
        <f t="shared" si="264"/>
        <v>121.38</v>
      </c>
    </row>
    <row r="356" spans="2:67" x14ac:dyDescent="0.2">
      <c r="B356" s="3" t="s">
        <v>436</v>
      </c>
      <c r="C356" s="23">
        <v>26750</v>
      </c>
      <c r="D356" s="24">
        <v>31144.080000000002</v>
      </c>
      <c r="E356" s="24">
        <v>23763.29</v>
      </c>
      <c r="F356" s="24">
        <v>77047.87</v>
      </c>
      <c r="G356" s="24">
        <v>57872.35</v>
      </c>
      <c r="H356" s="24">
        <v>22323.46</v>
      </c>
      <c r="I356" s="24">
        <v>143948.32999999999</v>
      </c>
      <c r="J356" s="24">
        <v>189621.66</v>
      </c>
      <c r="K356" s="24">
        <v>54816.04</v>
      </c>
      <c r="L356" s="24">
        <v>111416.41</v>
      </c>
      <c r="M356" s="24">
        <v>84219.04</v>
      </c>
      <c r="N356" s="24">
        <v>-12065.26</v>
      </c>
      <c r="O356" s="24">
        <f>SUBTOTAL(9,C356:N356)</f>
        <v>810857.27000000014</v>
      </c>
      <c r="P356" s="24">
        <v>87805.28</v>
      </c>
      <c r="Q356" s="24">
        <v>46363.92</v>
      </c>
      <c r="R356" s="24">
        <v>54627.8</v>
      </c>
      <c r="S356" s="24">
        <v>-589.47</v>
      </c>
      <c r="T356" s="24">
        <v>62928.24</v>
      </c>
      <c r="U356" s="24">
        <v>121977.75</v>
      </c>
      <c r="V356" s="24">
        <v>58703.77</v>
      </c>
      <c r="W356" s="20">
        <v>34136.379999999997</v>
      </c>
      <c r="X356" s="20">
        <v>44277.32</v>
      </c>
      <c r="Y356" s="83">
        <v>55074.26</v>
      </c>
      <c r="Z356" s="83">
        <v>-17363.75</v>
      </c>
      <c r="AA356" s="83">
        <v>27811.200000000001</v>
      </c>
      <c r="AB356" s="8">
        <f t="shared" si="261"/>
        <v>575752.69999999995</v>
      </c>
      <c r="AC356" s="24">
        <v>48354.16</v>
      </c>
      <c r="AD356" s="24">
        <v>4991.8599999999997</v>
      </c>
      <c r="AE356" s="24">
        <v>-6554.85</v>
      </c>
      <c r="AF356" s="24">
        <v>51637.24</v>
      </c>
      <c r="AG356" s="24">
        <v>48965.62</v>
      </c>
      <c r="AH356" s="24">
        <v>36301.26</v>
      </c>
      <c r="AI356" s="24">
        <v>22750.62</v>
      </c>
      <c r="AJ356" s="20">
        <v>34741.82</v>
      </c>
      <c r="AK356" s="20">
        <v>44358.84</v>
      </c>
      <c r="AL356" s="83">
        <v>-25224.01</v>
      </c>
      <c r="AM356" s="83">
        <v>25417.31</v>
      </c>
      <c r="AN356" s="83">
        <v>12099.7</v>
      </c>
      <c r="AO356" s="8">
        <f t="shared" si="262"/>
        <v>297839.57</v>
      </c>
      <c r="AP356" s="24">
        <v>13581.49</v>
      </c>
      <c r="AQ356" s="24">
        <v>2087.02</v>
      </c>
      <c r="AR356" s="24">
        <f>VLOOKUP(B356,'[1]Sheet1 (2)'!$B$2:$C$397,2,0)</f>
        <v>22450.97</v>
      </c>
      <c r="AS356" s="24">
        <f>VLOOKUP(B356,'[2]Sheet1 (2)'!$B$2:$C$404,2,0)</f>
        <v>30332.25</v>
      </c>
      <c r="AT356" s="24">
        <v>39292.800000000003</v>
      </c>
      <c r="AU356" s="24">
        <v>10760.71</v>
      </c>
      <c r="AV356" s="24">
        <v>20790.849999999999</v>
      </c>
      <c r="AW356" s="20">
        <v>14728.14</v>
      </c>
      <c r="AX356" s="20">
        <v>16594.54</v>
      </c>
      <c r="AY356" s="83">
        <v>56973.91</v>
      </c>
      <c r="AZ356" s="83">
        <v>20515.48</v>
      </c>
      <c r="BA356" s="83">
        <v>32399.56</v>
      </c>
      <c r="BB356" s="8">
        <f t="shared" si="263"/>
        <v>280507.72000000009</v>
      </c>
      <c r="BC356" s="24">
        <v>47257.95</v>
      </c>
      <c r="BD356" s="24">
        <v>29112.14</v>
      </c>
      <c r="BE356" s="24">
        <v>50522.7</v>
      </c>
      <c r="BF356" s="24">
        <v>30086.68</v>
      </c>
      <c r="BG356" s="24">
        <v>60948.35</v>
      </c>
      <c r="BH356" s="24">
        <v>17044.18</v>
      </c>
      <c r="BI356" s="24">
        <v>29438.42</v>
      </c>
      <c r="BN356" s="83"/>
      <c r="BO356" s="8">
        <f t="shared" si="264"/>
        <v>264410.42</v>
      </c>
    </row>
    <row r="357" spans="2:67" x14ac:dyDescent="0.2">
      <c r="B357" s="6" t="s">
        <v>1567</v>
      </c>
      <c r="C357" s="7">
        <f t="shared" ref="C357:N357" si="265">SUM(C351:C356)</f>
        <v>26651.74</v>
      </c>
      <c r="D357" s="7">
        <f t="shared" si="265"/>
        <v>31144.080000000002</v>
      </c>
      <c r="E357" s="7">
        <f t="shared" si="265"/>
        <v>10557.460000000001</v>
      </c>
      <c r="F357" s="7">
        <f t="shared" si="265"/>
        <v>59546.689999999995</v>
      </c>
      <c r="G357" s="7">
        <f t="shared" si="265"/>
        <v>63054.68</v>
      </c>
      <c r="H357" s="7">
        <f t="shared" si="265"/>
        <v>22332.54</v>
      </c>
      <c r="I357" s="7">
        <f t="shared" si="265"/>
        <v>144316.00999999998</v>
      </c>
      <c r="J357" s="7">
        <f t="shared" si="265"/>
        <v>187280.41</v>
      </c>
      <c r="K357" s="7">
        <f t="shared" si="265"/>
        <v>54816.04</v>
      </c>
      <c r="L357" s="7">
        <f t="shared" si="265"/>
        <v>111416.41</v>
      </c>
      <c r="M357" s="7">
        <f t="shared" si="265"/>
        <v>95174.599999999991</v>
      </c>
      <c r="N357" s="7">
        <f t="shared" si="265"/>
        <v>-26155.41</v>
      </c>
      <c r="O357" s="7">
        <f>SUM(C357:N357)</f>
        <v>780135.25</v>
      </c>
      <c r="P357" s="7">
        <f t="shared" ref="P357:AT357" si="266">SUM(P351:P356)</f>
        <v>87805.29</v>
      </c>
      <c r="Q357" s="7">
        <f t="shared" si="266"/>
        <v>45181.68</v>
      </c>
      <c r="R357" s="7">
        <f t="shared" si="266"/>
        <v>53470.380000000005</v>
      </c>
      <c r="S357" s="7">
        <f t="shared" si="266"/>
        <v>-6919.4700000000012</v>
      </c>
      <c r="T357" s="7">
        <f t="shared" si="266"/>
        <v>54524.509999999995</v>
      </c>
      <c r="U357" s="7">
        <f t="shared" si="266"/>
        <v>120791.6</v>
      </c>
      <c r="V357" s="7">
        <f t="shared" si="266"/>
        <v>59224.189999999995</v>
      </c>
      <c r="W357" s="63">
        <f t="shared" si="266"/>
        <v>33690.019999999997</v>
      </c>
      <c r="X357" s="63">
        <f t="shared" si="266"/>
        <v>39944.1</v>
      </c>
      <c r="Y357" s="63">
        <f t="shared" si="266"/>
        <v>42728.340000000004</v>
      </c>
      <c r="Z357" s="63">
        <f t="shared" si="266"/>
        <v>-36772.69</v>
      </c>
      <c r="AA357" s="63">
        <f t="shared" si="266"/>
        <v>24366.31</v>
      </c>
      <c r="AB357" s="63">
        <f t="shared" si="266"/>
        <v>518034.25999999995</v>
      </c>
      <c r="AC357" s="63">
        <f t="shared" si="266"/>
        <v>40400.210000000006</v>
      </c>
      <c r="AD357" s="63">
        <f t="shared" si="266"/>
        <v>1920.96</v>
      </c>
      <c r="AE357" s="63">
        <f t="shared" si="266"/>
        <v>-25212.82</v>
      </c>
      <c r="AF357" s="63">
        <f t="shared" si="266"/>
        <v>42748.89</v>
      </c>
      <c r="AG357" s="63">
        <f t="shared" si="266"/>
        <v>48966.14</v>
      </c>
      <c r="AH357" s="63">
        <f t="shared" si="266"/>
        <v>33302.35</v>
      </c>
      <c r="AI357" s="63">
        <f t="shared" si="266"/>
        <v>22750.62</v>
      </c>
      <c r="AJ357" s="63">
        <f t="shared" si="266"/>
        <v>3464.9800000000032</v>
      </c>
      <c r="AK357" s="63">
        <f t="shared" si="266"/>
        <v>44355.049999999996</v>
      </c>
      <c r="AL357" s="63">
        <f t="shared" si="266"/>
        <v>-26169.829999999998</v>
      </c>
      <c r="AM357" s="63">
        <f t="shared" si="266"/>
        <v>25235.99</v>
      </c>
      <c r="AN357" s="63">
        <f t="shared" si="266"/>
        <v>18116.489999999998</v>
      </c>
      <c r="AO357" s="63">
        <f t="shared" si="266"/>
        <v>229879.03000000003</v>
      </c>
      <c r="AP357" s="63">
        <f t="shared" si="266"/>
        <v>14123.58</v>
      </c>
      <c r="AQ357" s="63">
        <f t="shared" si="266"/>
        <v>2024.66</v>
      </c>
      <c r="AR357" s="63">
        <f t="shared" si="266"/>
        <v>22405.32</v>
      </c>
      <c r="AS357" s="63">
        <f t="shared" si="266"/>
        <v>27847.489999999998</v>
      </c>
      <c r="AT357" s="63">
        <f t="shared" si="266"/>
        <v>32625.810000000005</v>
      </c>
      <c r="AU357" s="63">
        <f t="shared" ref="AU357:BO357" si="267">SUM(AU351:AU356)</f>
        <v>10760.71</v>
      </c>
      <c r="AV357" s="63">
        <f t="shared" si="267"/>
        <v>19220.73</v>
      </c>
      <c r="AW357" s="63">
        <f t="shared" si="267"/>
        <v>-7700.82</v>
      </c>
      <c r="AX357" s="63">
        <f t="shared" si="267"/>
        <v>-2802.1800000000003</v>
      </c>
      <c r="AY357" s="63">
        <f t="shared" si="267"/>
        <v>56586.05</v>
      </c>
      <c r="AZ357" s="63">
        <f t="shared" si="267"/>
        <v>59706.3</v>
      </c>
      <c r="BA357" s="63">
        <f t="shared" si="267"/>
        <v>16557.64</v>
      </c>
      <c r="BB357" s="63">
        <f t="shared" si="267"/>
        <v>251355.2900000001</v>
      </c>
      <c r="BC357" s="63">
        <f t="shared" si="267"/>
        <v>48017.06</v>
      </c>
      <c r="BD357" s="63">
        <f t="shared" si="267"/>
        <v>26359.879999999997</v>
      </c>
      <c r="BE357" s="63">
        <f t="shared" si="267"/>
        <v>50403.99</v>
      </c>
      <c r="BF357" s="63">
        <f t="shared" si="267"/>
        <v>27226.97</v>
      </c>
      <c r="BG357" s="63">
        <f t="shared" si="267"/>
        <v>55358.159999999996</v>
      </c>
      <c r="BH357" s="63">
        <f t="shared" si="267"/>
        <v>15666.03</v>
      </c>
      <c r="BI357" s="63">
        <f t="shared" si="267"/>
        <v>28531.879999999997</v>
      </c>
      <c r="BJ357" s="63">
        <f t="shared" si="267"/>
        <v>0</v>
      </c>
      <c r="BK357" s="63">
        <f t="shared" si="267"/>
        <v>0</v>
      </c>
      <c r="BL357" s="63">
        <f t="shared" si="267"/>
        <v>0</v>
      </c>
      <c r="BM357" s="63">
        <f t="shared" si="267"/>
        <v>0</v>
      </c>
      <c r="BN357" s="63">
        <f t="shared" si="267"/>
        <v>0</v>
      </c>
      <c r="BO357" s="63">
        <f t="shared" si="267"/>
        <v>251563.96999999997</v>
      </c>
    </row>
    <row r="358" spans="2:67" x14ac:dyDescent="0.2">
      <c r="B358" s="3" t="s">
        <v>592</v>
      </c>
      <c r="C358" s="23">
        <v>0</v>
      </c>
      <c r="D358" s="23">
        <v>0</v>
      </c>
      <c r="E358" s="24">
        <v>0</v>
      </c>
      <c r="F358" s="24">
        <v>706.84</v>
      </c>
      <c r="G358" s="24">
        <v>1587.25</v>
      </c>
      <c r="H358" s="24">
        <v>683.73</v>
      </c>
      <c r="I358" s="24">
        <v>6868.05</v>
      </c>
      <c r="J358" s="24">
        <v>0</v>
      </c>
      <c r="K358" s="24">
        <v>140.91</v>
      </c>
      <c r="L358" s="24">
        <v>0</v>
      </c>
      <c r="M358" s="24">
        <v>-4244.1099999999997</v>
      </c>
      <c r="N358" s="24">
        <v>-9539.3700000000008</v>
      </c>
      <c r="O358" s="24">
        <f>SUBTOTAL(9,C358:N358)</f>
        <v>-3796.7</v>
      </c>
      <c r="P358" s="24">
        <v>0</v>
      </c>
      <c r="Q358" s="24">
        <v>256.44</v>
      </c>
      <c r="R358" s="24">
        <v>-18.309999999999999</v>
      </c>
      <c r="S358" s="24">
        <v>139.09</v>
      </c>
      <c r="T358" s="24">
        <v>362.9</v>
      </c>
      <c r="U358" s="24">
        <v>681.61</v>
      </c>
      <c r="V358" s="24">
        <v>2439.7399999999998</v>
      </c>
      <c r="W358" s="20">
        <v>0</v>
      </c>
      <c r="X358" s="20">
        <v>1753.65</v>
      </c>
      <c r="Y358" s="83">
        <v>0</v>
      </c>
      <c r="Z358" s="83">
        <v>-120.32</v>
      </c>
      <c r="AA358" s="83">
        <v>2568.33</v>
      </c>
      <c r="AB358" s="8">
        <f>SUM(P358:AA358)</f>
        <v>8063.13</v>
      </c>
      <c r="AC358" s="24">
        <v>867.67</v>
      </c>
      <c r="AD358" s="24">
        <v>0</v>
      </c>
      <c r="AE358" s="24">
        <v>0</v>
      </c>
      <c r="AF358" s="24">
        <v>0</v>
      </c>
      <c r="AG358" s="24">
        <v>-36.200000000000003</v>
      </c>
      <c r="AH358" s="24">
        <v>6.69</v>
      </c>
      <c r="AI358" s="24">
        <v>574.49</v>
      </c>
      <c r="AJ358" s="20">
        <v>-27.59</v>
      </c>
      <c r="AK358" s="20">
        <v>0</v>
      </c>
      <c r="AL358" s="83">
        <v>462.87</v>
      </c>
      <c r="AM358" s="83">
        <v>-129.07</v>
      </c>
      <c r="AN358" s="83">
        <v>0</v>
      </c>
      <c r="AO358" s="8">
        <f t="shared" ref="AO358:AO364" si="268">SUM(AC358:AN358)</f>
        <v>1718.8600000000004</v>
      </c>
      <c r="AP358" s="24">
        <v>13.94</v>
      </c>
      <c r="AQ358" s="24">
        <v>553.88</v>
      </c>
      <c r="AR358" s="24">
        <f>VLOOKUP(B358,'[1]Sheet1 (2)'!$B$2:$C$397,2,0)</f>
        <v>-553.88</v>
      </c>
      <c r="AS358" s="24">
        <f>VLOOKUP(B358,'[2]Sheet1 (2)'!$B$2:$C$404,2,0)</f>
        <v>0</v>
      </c>
      <c r="AT358" s="24">
        <v>0</v>
      </c>
      <c r="AU358" s="24">
        <v>0</v>
      </c>
      <c r="AV358" s="24">
        <v>0</v>
      </c>
      <c r="AW358" s="20">
        <v>0</v>
      </c>
      <c r="AX358" s="20">
        <v>-2.16</v>
      </c>
      <c r="AY358" s="83">
        <v>0</v>
      </c>
      <c r="AZ358" s="83">
        <v>112.62</v>
      </c>
      <c r="BA358" s="83">
        <v>0</v>
      </c>
      <c r="BB358" s="8">
        <f t="shared" ref="BB358:BB364" si="269">SUM(AP358:BA358)</f>
        <v>124.40000000000006</v>
      </c>
      <c r="BC358" s="24">
        <v>0</v>
      </c>
      <c r="BD358" s="24">
        <v>0</v>
      </c>
      <c r="BE358" s="24">
        <v>1122</v>
      </c>
      <c r="BF358" s="24">
        <v>553</v>
      </c>
      <c r="BG358" s="24">
        <v>594.62</v>
      </c>
      <c r="BH358" s="24">
        <v>1127.8499999999999</v>
      </c>
      <c r="BI358" s="24">
        <v>602</v>
      </c>
      <c r="BN358" s="83"/>
      <c r="BO358" s="8">
        <f t="shared" ref="BO358:BO364" si="270">SUM(BC358:BN358)</f>
        <v>3999.47</v>
      </c>
    </row>
    <row r="359" spans="2:67" x14ac:dyDescent="0.2">
      <c r="B359" s="3" t="s">
        <v>1836</v>
      </c>
      <c r="C359" s="23"/>
      <c r="D359" s="23"/>
      <c r="AA359" s="83"/>
      <c r="AB359" s="8"/>
      <c r="AC359" s="24">
        <v>0</v>
      </c>
      <c r="AD359" s="24">
        <v>0</v>
      </c>
      <c r="AE359" s="24">
        <v>0</v>
      </c>
      <c r="AF359" s="24">
        <v>0</v>
      </c>
      <c r="AG359" s="24">
        <v>0</v>
      </c>
      <c r="AH359" s="24">
        <v>0</v>
      </c>
      <c r="AI359" s="24">
        <v>0</v>
      </c>
      <c r="AJ359" s="24">
        <v>0</v>
      </c>
      <c r="AK359" s="24">
        <v>0</v>
      </c>
      <c r="AL359" s="24">
        <v>0</v>
      </c>
      <c r="AM359" s="83">
        <v>0</v>
      </c>
      <c r="AN359" s="83">
        <v>0</v>
      </c>
      <c r="AO359" s="8">
        <f t="shared" si="268"/>
        <v>0</v>
      </c>
      <c r="AP359" s="24">
        <v>0</v>
      </c>
      <c r="AQ359" s="24">
        <v>13.93</v>
      </c>
      <c r="AR359" s="24">
        <f>VLOOKUP(B359,'[1]Sheet1 (2)'!$B$2:$C$397,2,0)</f>
        <v>0</v>
      </c>
      <c r="AS359" s="24">
        <f>VLOOKUP(B359,'[2]Sheet1 (2)'!$B$2:$C$404,2,0)</f>
        <v>0</v>
      </c>
      <c r="AT359" s="24">
        <v>0</v>
      </c>
      <c r="AU359" s="24">
        <v>0</v>
      </c>
      <c r="AV359" s="24">
        <v>613.98</v>
      </c>
      <c r="AW359" s="20">
        <v>13.62</v>
      </c>
      <c r="AX359" s="20">
        <v>0</v>
      </c>
      <c r="AY359" s="83">
        <v>0</v>
      </c>
      <c r="AZ359" s="83">
        <v>0</v>
      </c>
      <c r="BA359" s="83">
        <v>0</v>
      </c>
      <c r="BB359" s="8">
        <f t="shared" si="269"/>
        <v>641.53</v>
      </c>
      <c r="BC359" s="24">
        <v>0</v>
      </c>
      <c r="BD359" s="24">
        <v>0</v>
      </c>
      <c r="BE359" s="24">
        <v>0</v>
      </c>
      <c r="BF359" s="24">
        <v>0</v>
      </c>
      <c r="BG359" s="24">
        <v>0</v>
      </c>
      <c r="BH359" s="24">
        <v>0</v>
      </c>
      <c r="BI359" s="24">
        <v>1.05</v>
      </c>
      <c r="BN359" s="83"/>
      <c r="BO359" s="8">
        <f t="shared" si="270"/>
        <v>1.05</v>
      </c>
    </row>
    <row r="360" spans="2:67" x14ac:dyDescent="0.2">
      <c r="B360" s="3" t="s">
        <v>1438</v>
      </c>
      <c r="C360" s="23">
        <v>0</v>
      </c>
      <c r="D360" s="23">
        <v>0</v>
      </c>
      <c r="E360" s="24">
        <v>0</v>
      </c>
      <c r="F360" s="24">
        <v>0</v>
      </c>
      <c r="G360" s="24">
        <v>0</v>
      </c>
      <c r="H360" s="24">
        <v>8.1</v>
      </c>
      <c r="I360" s="24">
        <v>0</v>
      </c>
      <c r="J360" s="24">
        <v>0</v>
      </c>
      <c r="K360" s="24">
        <v>0</v>
      </c>
      <c r="L360" s="24">
        <v>0</v>
      </c>
      <c r="M360" s="24">
        <v>0</v>
      </c>
      <c r="N360" s="24">
        <v>0</v>
      </c>
      <c r="O360" s="24">
        <f>SUBTOTAL(9,C360:N360)</f>
        <v>8.1</v>
      </c>
      <c r="P360" s="24">
        <v>0</v>
      </c>
      <c r="Q360" s="24">
        <v>0</v>
      </c>
      <c r="R360" s="24">
        <v>0</v>
      </c>
      <c r="S360" s="24">
        <v>0</v>
      </c>
      <c r="T360" s="24">
        <v>0</v>
      </c>
      <c r="U360" s="24">
        <v>0</v>
      </c>
      <c r="V360" s="24">
        <v>0</v>
      </c>
      <c r="W360" s="20">
        <v>0</v>
      </c>
      <c r="X360" s="20">
        <v>0</v>
      </c>
      <c r="Y360" s="83">
        <v>0</v>
      </c>
      <c r="Z360" s="83">
        <v>3.61</v>
      </c>
      <c r="AA360" s="83">
        <v>55118.879999999997</v>
      </c>
      <c r="AB360" s="8">
        <f>SUM(P360:AA360)</f>
        <v>55122.49</v>
      </c>
      <c r="AC360" s="24">
        <v>0</v>
      </c>
      <c r="AD360" s="24">
        <v>0</v>
      </c>
      <c r="AE360" s="24">
        <v>0</v>
      </c>
      <c r="AF360" s="24">
        <v>0</v>
      </c>
      <c r="AG360" s="24">
        <v>0</v>
      </c>
      <c r="AH360" s="24">
        <v>0</v>
      </c>
      <c r="AI360" s="24">
        <v>0</v>
      </c>
      <c r="AJ360" s="20">
        <v>0</v>
      </c>
      <c r="AK360" s="20">
        <v>0</v>
      </c>
      <c r="AL360" s="83">
        <v>807.01</v>
      </c>
      <c r="AM360" s="83">
        <v>0</v>
      </c>
      <c r="AN360" s="83">
        <v>0</v>
      </c>
      <c r="AO360" s="8">
        <f t="shared" si="268"/>
        <v>807.01</v>
      </c>
      <c r="AP360" s="24">
        <v>0</v>
      </c>
      <c r="AQ360" s="24">
        <v>0</v>
      </c>
      <c r="AR360" s="24">
        <v>0</v>
      </c>
      <c r="AS360" s="24">
        <v>0</v>
      </c>
      <c r="AT360" s="24">
        <v>0</v>
      </c>
      <c r="AU360" s="24">
        <v>0</v>
      </c>
      <c r="AV360" s="24">
        <v>0</v>
      </c>
      <c r="AW360" s="20">
        <v>0</v>
      </c>
      <c r="AX360" s="20">
        <v>0</v>
      </c>
      <c r="AY360" s="83">
        <v>0</v>
      </c>
      <c r="AZ360" s="83">
        <v>0</v>
      </c>
      <c r="BA360" s="83">
        <v>0</v>
      </c>
      <c r="BB360" s="8">
        <f t="shared" si="269"/>
        <v>0</v>
      </c>
      <c r="BC360" s="24">
        <v>0</v>
      </c>
      <c r="BD360" s="24">
        <v>0</v>
      </c>
      <c r="BE360" s="24">
        <v>0</v>
      </c>
      <c r="BF360" s="24">
        <v>0</v>
      </c>
      <c r="BG360" s="24">
        <v>0</v>
      </c>
      <c r="BH360" s="24">
        <v>0</v>
      </c>
      <c r="BI360" s="24">
        <v>0</v>
      </c>
      <c r="BN360" s="83"/>
      <c r="BO360" s="8">
        <f t="shared" si="270"/>
        <v>0</v>
      </c>
    </row>
    <row r="361" spans="2:67" x14ac:dyDescent="0.2">
      <c r="B361" s="3" t="s">
        <v>1311</v>
      </c>
      <c r="C361" s="23">
        <v>0</v>
      </c>
      <c r="D361" s="23">
        <v>0</v>
      </c>
      <c r="E361" s="24">
        <v>1673.69</v>
      </c>
      <c r="F361" s="24">
        <v>0</v>
      </c>
      <c r="G361" s="24">
        <v>0</v>
      </c>
      <c r="H361" s="24">
        <v>0</v>
      </c>
      <c r="I361" s="24">
        <v>0</v>
      </c>
      <c r="J361" s="24">
        <v>0</v>
      </c>
      <c r="K361" s="24">
        <v>0</v>
      </c>
      <c r="L361" s="24">
        <v>0</v>
      </c>
      <c r="M361" s="24">
        <v>0</v>
      </c>
      <c r="N361" s="24">
        <v>0</v>
      </c>
      <c r="O361" s="24">
        <f>SUBTOTAL(9,C361:N361)</f>
        <v>1673.69</v>
      </c>
      <c r="P361" s="24">
        <v>0</v>
      </c>
      <c r="Q361" s="24">
        <v>0</v>
      </c>
      <c r="R361" s="24">
        <v>0</v>
      </c>
      <c r="S361" s="24">
        <v>0</v>
      </c>
      <c r="T361" s="24">
        <v>0</v>
      </c>
      <c r="U361" s="24">
        <v>0</v>
      </c>
      <c r="V361" s="24">
        <v>0</v>
      </c>
      <c r="W361" s="20">
        <v>0</v>
      </c>
      <c r="X361" s="20">
        <v>0</v>
      </c>
      <c r="Y361" s="83">
        <v>0</v>
      </c>
      <c r="Z361" s="83">
        <v>0</v>
      </c>
      <c r="AA361" s="83">
        <v>0</v>
      </c>
      <c r="AB361" s="8">
        <f>SUM(P361:AA361)</f>
        <v>0</v>
      </c>
      <c r="AC361" s="24">
        <v>0</v>
      </c>
      <c r="AD361" s="24">
        <v>0</v>
      </c>
      <c r="AE361" s="24">
        <v>0</v>
      </c>
      <c r="AF361" s="24">
        <v>0</v>
      </c>
      <c r="AG361" s="24">
        <v>0</v>
      </c>
      <c r="AH361" s="24">
        <v>0</v>
      </c>
      <c r="AI361" s="24">
        <v>0</v>
      </c>
      <c r="AJ361" s="20">
        <v>0</v>
      </c>
      <c r="AK361" s="20">
        <v>0</v>
      </c>
      <c r="AL361" s="83">
        <v>0</v>
      </c>
      <c r="AM361" s="83">
        <v>4500.7</v>
      </c>
      <c r="AN361" s="83">
        <v>-378.21</v>
      </c>
      <c r="AO361" s="8">
        <f t="shared" si="268"/>
        <v>4122.49</v>
      </c>
      <c r="AP361" s="24">
        <v>0</v>
      </c>
      <c r="AQ361" s="24">
        <v>0</v>
      </c>
      <c r="AR361" s="24">
        <v>0</v>
      </c>
      <c r="AS361" s="24">
        <v>0</v>
      </c>
      <c r="AT361" s="24">
        <v>0</v>
      </c>
      <c r="AU361" s="24">
        <v>0</v>
      </c>
      <c r="AV361" s="24">
        <v>0</v>
      </c>
      <c r="AW361" s="20">
        <v>0</v>
      </c>
      <c r="AX361" s="20">
        <v>0</v>
      </c>
      <c r="AY361" s="83">
        <v>0</v>
      </c>
      <c r="AZ361" s="83">
        <v>0</v>
      </c>
      <c r="BA361" s="83">
        <v>0</v>
      </c>
      <c r="BB361" s="8">
        <f t="shared" si="269"/>
        <v>0</v>
      </c>
      <c r="BC361" s="24">
        <v>0</v>
      </c>
      <c r="BD361" s="24">
        <v>0</v>
      </c>
      <c r="BE361" s="24">
        <v>0</v>
      </c>
      <c r="BF361" s="24">
        <v>0</v>
      </c>
      <c r="BG361" s="24">
        <v>0</v>
      </c>
      <c r="BH361" s="24">
        <v>0</v>
      </c>
      <c r="BI361" s="24">
        <v>0</v>
      </c>
      <c r="BN361" s="83"/>
      <c r="BO361" s="8">
        <f t="shared" si="270"/>
        <v>0</v>
      </c>
    </row>
    <row r="362" spans="2:67" x14ac:dyDescent="0.2">
      <c r="B362" s="3" t="s">
        <v>438</v>
      </c>
      <c r="C362" s="23">
        <v>9806.14</v>
      </c>
      <c r="D362" s="24">
        <v>39351.730000000003</v>
      </c>
      <c r="E362" s="24">
        <v>40967.65</v>
      </c>
      <c r="F362" s="24">
        <v>-24468.47</v>
      </c>
      <c r="G362" s="24">
        <v>66299.73</v>
      </c>
      <c r="H362" s="24">
        <v>16345.21</v>
      </c>
      <c r="I362" s="24">
        <v>-39854.22</v>
      </c>
      <c r="J362" s="24">
        <v>12580.27</v>
      </c>
      <c r="K362" s="24">
        <v>85126.92</v>
      </c>
      <c r="L362" s="24">
        <v>47049.39</v>
      </c>
      <c r="M362" s="24">
        <v>-32600.31</v>
      </c>
      <c r="N362" s="24">
        <v>-28549.98</v>
      </c>
      <c r="O362" s="24">
        <f>SUBTOTAL(9,C362:N362)</f>
        <v>192054.05999999997</v>
      </c>
      <c r="P362" s="24">
        <v>1551.65</v>
      </c>
      <c r="Q362" s="24">
        <v>84527.35</v>
      </c>
      <c r="R362" s="24">
        <v>-142600.62</v>
      </c>
      <c r="S362" s="24">
        <v>86107.22</v>
      </c>
      <c r="T362" s="24">
        <v>24601.34</v>
      </c>
      <c r="U362" s="24">
        <v>-2375.5100000000002</v>
      </c>
      <c r="V362" s="24">
        <v>-21407.75</v>
      </c>
      <c r="W362" s="20">
        <v>87174.09</v>
      </c>
      <c r="X362" s="20">
        <v>9752.56</v>
      </c>
      <c r="Y362" s="83">
        <v>-55524.4</v>
      </c>
      <c r="Z362" s="83">
        <v>-23951.77</v>
      </c>
      <c r="AA362" s="83">
        <v>15627.1</v>
      </c>
      <c r="AB362" s="8">
        <f>SUM(P362:AA362)</f>
        <v>63481.259999999987</v>
      </c>
      <c r="AC362" s="24">
        <v>9513.42</v>
      </c>
      <c r="AD362" s="24">
        <v>88450.57</v>
      </c>
      <c r="AE362" s="24">
        <v>18388.21</v>
      </c>
      <c r="AF362" s="24">
        <v>-71531.23</v>
      </c>
      <c r="AG362" s="24">
        <v>114715.47</v>
      </c>
      <c r="AH362" s="24">
        <v>-1441.46</v>
      </c>
      <c r="AI362" s="24">
        <v>-6097.21</v>
      </c>
      <c r="AJ362" s="20">
        <v>30876.69</v>
      </c>
      <c r="AK362" s="20">
        <v>11244.49</v>
      </c>
      <c r="AL362" s="83">
        <v>1991.8</v>
      </c>
      <c r="AM362" s="83">
        <v>-13715.18</v>
      </c>
      <c r="AN362" s="83">
        <v>69843.27</v>
      </c>
      <c r="AO362" s="8">
        <f t="shared" si="268"/>
        <v>252238.84000000003</v>
      </c>
      <c r="AP362" s="24">
        <v>-51546.400000000001</v>
      </c>
      <c r="AQ362" s="24">
        <v>10407.91</v>
      </c>
      <c r="AR362" s="24">
        <f>VLOOKUP(B362,'[1]Sheet1 (2)'!$B$2:$C$397,2,0)</f>
        <v>4479.7</v>
      </c>
      <c r="AS362" s="24">
        <f>VLOOKUP(B362,'[2]Sheet1 (2)'!$B$2:$C$404,2,0)</f>
        <v>83355.839999999997</v>
      </c>
      <c r="AT362" s="24">
        <v>-30818.16</v>
      </c>
      <c r="AU362" s="24">
        <v>40047.089999999997</v>
      </c>
      <c r="AV362" s="24">
        <v>50104.959999999999</v>
      </c>
      <c r="AW362" s="20">
        <v>-25325.01</v>
      </c>
      <c r="AX362" s="20">
        <v>44122.67</v>
      </c>
      <c r="AY362" s="83">
        <v>3127.38</v>
      </c>
      <c r="AZ362" s="83">
        <v>37751.71</v>
      </c>
      <c r="BA362" s="83">
        <v>45153.02</v>
      </c>
      <c r="BB362" s="8">
        <f t="shared" si="269"/>
        <v>210860.70999999996</v>
      </c>
      <c r="BC362" s="24">
        <v>-19511.330000000002</v>
      </c>
      <c r="BD362" s="24">
        <v>43795.96</v>
      </c>
      <c r="BE362" s="24">
        <v>8091.3</v>
      </c>
      <c r="BF362" s="24">
        <v>-13595.11</v>
      </c>
      <c r="BG362" s="24">
        <v>-9433.36</v>
      </c>
      <c r="BH362" s="24">
        <v>85025.88</v>
      </c>
      <c r="BI362" s="24">
        <v>-23391.23</v>
      </c>
      <c r="BN362" s="83"/>
      <c r="BO362" s="8">
        <f t="shared" si="270"/>
        <v>70982.11</v>
      </c>
    </row>
    <row r="363" spans="2:67" x14ac:dyDescent="0.2">
      <c r="B363" s="3" t="s">
        <v>439</v>
      </c>
      <c r="C363" s="23">
        <v>1430.38</v>
      </c>
      <c r="D363" s="24">
        <v>2658.64</v>
      </c>
      <c r="E363" s="24">
        <v>-920.63</v>
      </c>
      <c r="F363" s="24">
        <v>2713.56</v>
      </c>
      <c r="G363" s="24">
        <v>1549.44</v>
      </c>
      <c r="H363" s="24">
        <v>2212.9499999999998</v>
      </c>
      <c r="I363" s="24">
        <v>-1205.8599999999999</v>
      </c>
      <c r="J363" s="24">
        <v>-5633.62</v>
      </c>
      <c r="K363" s="24">
        <v>11533.76</v>
      </c>
      <c r="L363" s="24">
        <v>2298.38</v>
      </c>
      <c r="M363" s="24">
        <v>8367.42</v>
      </c>
      <c r="N363" s="24">
        <v>2833.51</v>
      </c>
      <c r="O363" s="24">
        <f>SUBTOTAL(9,C363:N363)</f>
        <v>27837.93</v>
      </c>
      <c r="P363" s="24">
        <v>-4659.1899999999996</v>
      </c>
      <c r="Q363" s="24">
        <v>-9255.4699999999993</v>
      </c>
      <c r="R363" s="24">
        <v>14974.92</v>
      </c>
      <c r="S363" s="24">
        <v>6532.88</v>
      </c>
      <c r="T363" s="24">
        <v>-20148.11</v>
      </c>
      <c r="U363" s="24">
        <v>-2838.51</v>
      </c>
      <c r="V363" s="24">
        <v>7508.4</v>
      </c>
      <c r="W363" s="20">
        <v>-229</v>
      </c>
      <c r="X363" s="20">
        <v>-1593.85</v>
      </c>
      <c r="Y363" s="83">
        <v>14495.73</v>
      </c>
      <c r="Z363" s="83">
        <v>-6283.62</v>
      </c>
      <c r="AA363" s="83">
        <v>13208.66</v>
      </c>
      <c r="AB363" s="8">
        <f>SUM(P363:AA363)</f>
        <v>11712.839999999997</v>
      </c>
      <c r="AC363" s="24">
        <v>14227.6</v>
      </c>
      <c r="AD363" s="24">
        <v>2318.2199999999998</v>
      </c>
      <c r="AE363" s="24">
        <v>-15139.65</v>
      </c>
      <c r="AF363" s="24">
        <v>7994.45</v>
      </c>
      <c r="AG363" s="24">
        <v>127770.91</v>
      </c>
      <c r="AH363" s="24">
        <v>-106472.25</v>
      </c>
      <c r="AI363" s="24">
        <v>9877.18</v>
      </c>
      <c r="AJ363" s="20">
        <v>141835.4</v>
      </c>
      <c r="AK363" s="20">
        <v>-91636.11</v>
      </c>
      <c r="AL363" s="83">
        <v>117199.3</v>
      </c>
      <c r="AM363" s="83">
        <v>-58707.76</v>
      </c>
      <c r="AN363" s="83">
        <v>76282.97</v>
      </c>
      <c r="AO363" s="8">
        <f t="shared" si="268"/>
        <v>225550.25999999998</v>
      </c>
      <c r="AP363" s="24">
        <v>-4262.09</v>
      </c>
      <c r="AQ363" s="24">
        <v>-62045.24</v>
      </c>
      <c r="AR363" s="24">
        <f>VLOOKUP(B363,'[1]Sheet1 (2)'!$B$2:$C$397,2,0)</f>
        <v>193788.01</v>
      </c>
      <c r="AS363" s="24">
        <f>VLOOKUP(B363,'[2]Sheet1 (2)'!$B$2:$C$404,2,0)</f>
        <v>-37418.129999999997</v>
      </c>
      <c r="AT363" s="24">
        <v>98025.08</v>
      </c>
      <c r="AU363" s="24">
        <v>-132000.25</v>
      </c>
      <c r="AV363" s="24">
        <v>43120.51</v>
      </c>
      <c r="AW363" s="20">
        <v>-123142.18</v>
      </c>
      <c r="AX363" s="20">
        <v>-67161.320000000007</v>
      </c>
      <c r="AY363" s="83">
        <v>-17780.009999999998</v>
      </c>
      <c r="AZ363" s="83">
        <v>-33255.519999999997</v>
      </c>
      <c r="BA363" s="83">
        <v>21031.39</v>
      </c>
      <c r="BB363" s="8">
        <f t="shared" si="269"/>
        <v>-121099.74999999999</v>
      </c>
      <c r="BC363" s="24">
        <v>101041.17</v>
      </c>
      <c r="BD363" s="24">
        <v>-134905.91</v>
      </c>
      <c r="BE363" s="24">
        <v>-24806.32</v>
      </c>
      <c r="BF363" s="24">
        <v>-5054.5</v>
      </c>
      <c r="BG363" s="24">
        <v>122260.41</v>
      </c>
      <c r="BH363" s="24">
        <v>-83834.34</v>
      </c>
      <c r="BI363" s="24">
        <v>55936.49</v>
      </c>
      <c r="BN363" s="83"/>
      <c r="BO363" s="8">
        <f t="shared" si="270"/>
        <v>30637</v>
      </c>
    </row>
    <row r="364" spans="2:67" x14ac:dyDescent="0.2">
      <c r="B364" s="3" t="s">
        <v>440</v>
      </c>
      <c r="C364" s="23">
        <v>7785.86</v>
      </c>
      <c r="D364" s="24">
        <v>4647.68</v>
      </c>
      <c r="E364" s="24">
        <v>21080.03</v>
      </c>
      <c r="F364" s="24">
        <v>-11579.49</v>
      </c>
      <c r="G364" s="24">
        <v>27063.91</v>
      </c>
      <c r="H364" s="24">
        <v>-2648.97</v>
      </c>
      <c r="I364" s="24">
        <v>-12258.95</v>
      </c>
      <c r="J364" s="24">
        <v>25829.64</v>
      </c>
      <c r="K364" s="24">
        <v>3812.68</v>
      </c>
      <c r="L364" s="24">
        <v>1689.82</v>
      </c>
      <c r="M364" s="24">
        <v>-8555.89</v>
      </c>
      <c r="N364" s="24">
        <v>-3743.9</v>
      </c>
      <c r="O364" s="24">
        <f>SUBTOTAL(9,C364:N364)</f>
        <v>53122.420000000006</v>
      </c>
      <c r="P364" s="24">
        <v>-836.2</v>
      </c>
      <c r="Q364" s="24">
        <v>11026.24</v>
      </c>
      <c r="R364" s="24">
        <v>5023.21</v>
      </c>
      <c r="S364" s="24">
        <v>7113.47</v>
      </c>
      <c r="T364" s="24">
        <v>-20686.53</v>
      </c>
      <c r="U364" s="24">
        <v>-2438.4899999999998</v>
      </c>
      <c r="V364" s="24">
        <v>-23541.39</v>
      </c>
      <c r="W364" s="20">
        <v>-65236.01</v>
      </c>
      <c r="X364" s="20">
        <v>12989.42</v>
      </c>
      <c r="Y364" s="83">
        <v>-80459.61</v>
      </c>
      <c r="Z364" s="83">
        <v>-7355.22</v>
      </c>
      <c r="AA364" s="83">
        <v>43162.62</v>
      </c>
      <c r="AB364" s="8">
        <f>SUM(P364:AA364)</f>
        <v>-121238.49000000002</v>
      </c>
      <c r="AC364" s="24">
        <v>10918.48</v>
      </c>
      <c r="AD364" s="24">
        <v>-23950.62</v>
      </c>
      <c r="AE364" s="24">
        <v>12550.87</v>
      </c>
      <c r="AF364" s="24">
        <v>1273.1199999999999</v>
      </c>
      <c r="AG364" s="24">
        <v>-5866.8</v>
      </c>
      <c r="AH364" s="24">
        <v>278.39999999999998</v>
      </c>
      <c r="AI364" s="24">
        <v>1105.0999999999999</v>
      </c>
      <c r="AJ364" s="20">
        <v>1382.07</v>
      </c>
      <c r="AK364" s="20">
        <v>-2291.66</v>
      </c>
      <c r="AL364" s="83">
        <v>0</v>
      </c>
      <c r="AM364" s="83">
        <v>16048.05</v>
      </c>
      <c r="AN364" s="83">
        <v>24191.1</v>
      </c>
      <c r="AO364" s="8">
        <f t="shared" si="268"/>
        <v>35638.11</v>
      </c>
      <c r="AP364" s="24">
        <v>-3674.19</v>
      </c>
      <c r="AQ364" s="24">
        <v>-655.29999999999995</v>
      </c>
      <c r="AR364" s="24">
        <f>VLOOKUP(B364,'[1]Sheet1 (2)'!$B$2:$C$397,2,0)</f>
        <v>-7454.3</v>
      </c>
      <c r="AS364" s="24">
        <f>VLOOKUP(B364,'[2]Sheet1 (2)'!$B$2:$C$404,2,0)</f>
        <v>-74.430000000000007</v>
      </c>
      <c r="AT364" s="24">
        <v>-105.64</v>
      </c>
      <c r="AU364" s="24">
        <v>0</v>
      </c>
      <c r="AV364" s="24">
        <v>0</v>
      </c>
      <c r="AW364" s="20">
        <v>32.49</v>
      </c>
      <c r="AX364" s="20">
        <v>1443.51</v>
      </c>
      <c r="AY364" s="83">
        <v>38.090000000000003</v>
      </c>
      <c r="AZ364" s="83">
        <v>0.54</v>
      </c>
      <c r="BA364" s="83">
        <v>14171.75</v>
      </c>
      <c r="BB364" s="8">
        <f t="shared" si="269"/>
        <v>3722.5200000000004</v>
      </c>
      <c r="BC364" s="24">
        <v>-782.9</v>
      </c>
      <c r="BD364" s="24">
        <v>-118.57</v>
      </c>
      <c r="BE364" s="24">
        <v>0.08</v>
      </c>
      <c r="BF364" s="24">
        <v>0</v>
      </c>
      <c r="BG364" s="24">
        <v>5.64</v>
      </c>
      <c r="BH364" s="24">
        <v>40.020000000000003</v>
      </c>
      <c r="BI364" s="24">
        <v>5249.5</v>
      </c>
      <c r="BN364" s="83"/>
      <c r="BO364" s="8">
        <f t="shared" si="270"/>
        <v>4393.7700000000004</v>
      </c>
    </row>
    <row r="365" spans="2:67" x14ac:dyDescent="0.2">
      <c r="B365" s="6" t="s">
        <v>1568</v>
      </c>
      <c r="C365" s="7">
        <f t="shared" ref="C365:N365" si="271">SUM(C358:C364)</f>
        <v>19022.38</v>
      </c>
      <c r="D365" s="7">
        <f t="shared" si="271"/>
        <v>46658.05</v>
      </c>
      <c r="E365" s="7">
        <f t="shared" si="271"/>
        <v>62800.740000000005</v>
      </c>
      <c r="F365" s="7">
        <f t="shared" si="271"/>
        <v>-32627.559999999998</v>
      </c>
      <c r="G365" s="7">
        <f t="shared" si="271"/>
        <v>96500.33</v>
      </c>
      <c r="H365" s="7">
        <f t="shared" si="271"/>
        <v>16601.02</v>
      </c>
      <c r="I365" s="7">
        <f t="shared" si="271"/>
        <v>-46450.979999999996</v>
      </c>
      <c r="J365" s="7">
        <f t="shared" si="271"/>
        <v>32776.29</v>
      </c>
      <c r="K365" s="7">
        <f t="shared" si="271"/>
        <v>100614.26999999999</v>
      </c>
      <c r="L365" s="7">
        <f t="shared" si="271"/>
        <v>51037.59</v>
      </c>
      <c r="M365" s="7">
        <f t="shared" si="271"/>
        <v>-37032.89</v>
      </c>
      <c r="N365" s="7">
        <f t="shared" si="271"/>
        <v>-38999.74</v>
      </c>
      <c r="O365" s="7">
        <f>SUM(C365:N365)</f>
        <v>270899.5</v>
      </c>
      <c r="P365" s="7">
        <f t="shared" ref="P365:AS365" si="272">SUM(P358:P364)</f>
        <v>-3943.74</v>
      </c>
      <c r="Q365" s="7">
        <f t="shared" si="272"/>
        <v>86554.560000000012</v>
      </c>
      <c r="R365" s="7">
        <f t="shared" si="272"/>
        <v>-122620.79999999999</v>
      </c>
      <c r="S365" s="7">
        <f t="shared" si="272"/>
        <v>99892.66</v>
      </c>
      <c r="T365" s="7">
        <f t="shared" si="272"/>
        <v>-15870.399999999998</v>
      </c>
      <c r="U365" s="7">
        <f t="shared" si="272"/>
        <v>-6970.9</v>
      </c>
      <c r="V365" s="7">
        <f t="shared" si="272"/>
        <v>-35001</v>
      </c>
      <c r="W365" s="63">
        <f t="shared" si="272"/>
        <v>21709.079999999994</v>
      </c>
      <c r="X365" s="63">
        <f t="shared" si="272"/>
        <v>22901.78</v>
      </c>
      <c r="Y365" s="63">
        <f t="shared" si="272"/>
        <v>-121488.28</v>
      </c>
      <c r="Z365" s="63">
        <f t="shared" si="272"/>
        <v>-37707.32</v>
      </c>
      <c r="AA365" s="63">
        <f t="shared" si="272"/>
        <v>129685.59</v>
      </c>
      <c r="AB365" s="63">
        <f t="shared" si="272"/>
        <v>17141.229999999952</v>
      </c>
      <c r="AC365" s="63">
        <f t="shared" si="272"/>
        <v>35527.17</v>
      </c>
      <c r="AD365" s="63">
        <f t="shared" si="272"/>
        <v>66818.170000000013</v>
      </c>
      <c r="AE365" s="63">
        <f t="shared" si="272"/>
        <v>15799.43</v>
      </c>
      <c r="AF365" s="63">
        <f t="shared" si="272"/>
        <v>-62263.659999999996</v>
      </c>
      <c r="AG365" s="63">
        <f t="shared" si="272"/>
        <v>236583.38</v>
      </c>
      <c r="AH365" s="63">
        <f t="shared" si="272"/>
        <v>-107628.62000000001</v>
      </c>
      <c r="AI365" s="63">
        <f t="shared" si="272"/>
        <v>5459.5599999999995</v>
      </c>
      <c r="AJ365" s="63">
        <f t="shared" si="272"/>
        <v>174066.57</v>
      </c>
      <c r="AK365" s="63">
        <f t="shared" si="272"/>
        <v>-82683.28</v>
      </c>
      <c r="AL365" s="63">
        <f t="shared" si="272"/>
        <v>120460.98000000001</v>
      </c>
      <c r="AM365" s="63">
        <f t="shared" si="272"/>
        <v>-52003.259999999995</v>
      </c>
      <c r="AN365" s="63">
        <f t="shared" si="272"/>
        <v>169939.13</v>
      </c>
      <c r="AO365" s="63">
        <f t="shared" si="272"/>
        <v>520075.56999999995</v>
      </c>
      <c r="AP365" s="63">
        <f t="shared" si="272"/>
        <v>-59468.740000000005</v>
      </c>
      <c r="AQ365" s="63">
        <f t="shared" si="272"/>
        <v>-51724.82</v>
      </c>
      <c r="AR365" s="63">
        <f t="shared" si="272"/>
        <v>190259.53000000003</v>
      </c>
      <c r="AS365" s="63">
        <f t="shared" si="272"/>
        <v>45863.28</v>
      </c>
      <c r="AT365" s="63">
        <f t="shared" ref="AT365" si="273">SUM(AT358:AT364)</f>
        <v>67101.279999999999</v>
      </c>
      <c r="AU365" s="63">
        <f t="shared" ref="AU365" si="274">SUM(AU358:AU364)</f>
        <v>-91953.16</v>
      </c>
      <c r="AV365" s="63">
        <f t="shared" ref="AV365:BO365" si="275">SUM(AV358:AV364)</f>
        <v>93839.450000000012</v>
      </c>
      <c r="AW365" s="63">
        <f t="shared" si="275"/>
        <v>-148421.08000000002</v>
      </c>
      <c r="AX365" s="63">
        <f t="shared" si="275"/>
        <v>-21597.300000000014</v>
      </c>
      <c r="AY365" s="63">
        <f t="shared" si="275"/>
        <v>-14614.539999999997</v>
      </c>
      <c r="AZ365" s="63">
        <f t="shared" si="275"/>
        <v>4609.3500000000049</v>
      </c>
      <c r="BA365" s="63">
        <f t="shared" si="275"/>
        <v>80356.160000000003</v>
      </c>
      <c r="BB365" s="63">
        <f t="shared" si="275"/>
        <v>94249.409999999974</v>
      </c>
      <c r="BC365" s="63">
        <f t="shared" si="275"/>
        <v>80746.94</v>
      </c>
      <c r="BD365" s="63">
        <f t="shared" si="275"/>
        <v>-91228.520000000019</v>
      </c>
      <c r="BE365" s="63">
        <f t="shared" si="275"/>
        <v>-15592.94</v>
      </c>
      <c r="BF365" s="63">
        <f t="shared" si="275"/>
        <v>-18096.61</v>
      </c>
      <c r="BG365" s="63">
        <f t="shared" si="275"/>
        <v>113427.31</v>
      </c>
      <c r="BH365" s="63">
        <f t="shared" si="275"/>
        <v>2359.410000000014</v>
      </c>
      <c r="BI365" s="63">
        <f t="shared" si="275"/>
        <v>38397.81</v>
      </c>
      <c r="BJ365" s="63">
        <f t="shared" si="275"/>
        <v>0</v>
      </c>
      <c r="BK365" s="63">
        <f t="shared" si="275"/>
        <v>0</v>
      </c>
      <c r="BL365" s="63">
        <f t="shared" si="275"/>
        <v>0</v>
      </c>
      <c r="BM365" s="63">
        <f t="shared" si="275"/>
        <v>0</v>
      </c>
      <c r="BN365" s="63">
        <f t="shared" si="275"/>
        <v>0</v>
      </c>
      <c r="BO365" s="63">
        <f t="shared" si="275"/>
        <v>110013.40000000001</v>
      </c>
    </row>
    <row r="366" spans="2:67" s="9" customFormat="1" ht="12.75" x14ac:dyDescent="0.2">
      <c r="B366" s="13" t="s">
        <v>1569</v>
      </c>
      <c r="C366" s="14">
        <f t="shared" ref="C366:N366" si="276">C357+C365</f>
        <v>45674.12</v>
      </c>
      <c r="D366" s="14">
        <f t="shared" si="276"/>
        <v>77802.13</v>
      </c>
      <c r="E366" s="14">
        <f t="shared" si="276"/>
        <v>73358.200000000012</v>
      </c>
      <c r="F366" s="14">
        <f t="shared" si="276"/>
        <v>26919.129999999997</v>
      </c>
      <c r="G366" s="14">
        <f t="shared" si="276"/>
        <v>159555.01</v>
      </c>
      <c r="H366" s="14">
        <f t="shared" si="276"/>
        <v>38933.56</v>
      </c>
      <c r="I366" s="14">
        <f t="shared" si="276"/>
        <v>97865.029999999984</v>
      </c>
      <c r="J366" s="14">
        <f t="shared" si="276"/>
        <v>220056.7</v>
      </c>
      <c r="K366" s="14">
        <f t="shared" si="276"/>
        <v>155430.31</v>
      </c>
      <c r="L366" s="14">
        <f t="shared" si="276"/>
        <v>162454</v>
      </c>
      <c r="M366" s="14">
        <f t="shared" si="276"/>
        <v>58141.709999999992</v>
      </c>
      <c r="N366" s="14">
        <f t="shared" si="276"/>
        <v>-65155.149999999994</v>
      </c>
      <c r="O366" s="14">
        <f>SUM(C366:N366)</f>
        <v>1051034.75</v>
      </c>
      <c r="P366" s="14">
        <f t="shared" ref="P366:AS366" si="277">P357+P365</f>
        <v>83861.549999999988</v>
      </c>
      <c r="Q366" s="14">
        <f t="shared" si="277"/>
        <v>131736.24000000002</v>
      </c>
      <c r="R366" s="14">
        <f t="shared" si="277"/>
        <v>-69150.419999999984</v>
      </c>
      <c r="S366" s="14">
        <f t="shared" si="277"/>
        <v>92973.19</v>
      </c>
      <c r="T366" s="14">
        <f t="shared" si="277"/>
        <v>38654.11</v>
      </c>
      <c r="U366" s="14">
        <f t="shared" si="277"/>
        <v>113820.70000000001</v>
      </c>
      <c r="V366" s="14">
        <f t="shared" si="277"/>
        <v>24223.189999999995</v>
      </c>
      <c r="W366" s="41">
        <f t="shared" si="277"/>
        <v>55399.099999999991</v>
      </c>
      <c r="X366" s="41">
        <f t="shared" si="277"/>
        <v>62845.88</v>
      </c>
      <c r="Y366" s="41">
        <f t="shared" si="277"/>
        <v>-78759.94</v>
      </c>
      <c r="Z366" s="41">
        <f t="shared" si="277"/>
        <v>-74480.010000000009</v>
      </c>
      <c r="AA366" s="41">
        <f t="shared" si="277"/>
        <v>154051.9</v>
      </c>
      <c r="AB366" s="41">
        <f t="shared" si="277"/>
        <v>535175.48999999987</v>
      </c>
      <c r="AC366" s="41">
        <f t="shared" si="277"/>
        <v>75927.38</v>
      </c>
      <c r="AD366" s="41">
        <f t="shared" si="277"/>
        <v>68739.130000000019</v>
      </c>
      <c r="AE366" s="41">
        <f t="shared" si="277"/>
        <v>-9413.39</v>
      </c>
      <c r="AF366" s="41">
        <f t="shared" si="277"/>
        <v>-19514.769999999997</v>
      </c>
      <c r="AG366" s="41">
        <f t="shared" si="277"/>
        <v>285549.52</v>
      </c>
      <c r="AH366" s="41">
        <f t="shared" si="277"/>
        <v>-74326.270000000019</v>
      </c>
      <c r="AI366" s="41">
        <f t="shared" si="277"/>
        <v>28210.18</v>
      </c>
      <c r="AJ366" s="41">
        <f t="shared" si="277"/>
        <v>177531.55000000002</v>
      </c>
      <c r="AK366" s="41">
        <f t="shared" si="277"/>
        <v>-38328.230000000003</v>
      </c>
      <c r="AL366" s="41">
        <f t="shared" si="277"/>
        <v>94291.150000000009</v>
      </c>
      <c r="AM366" s="41">
        <f t="shared" si="277"/>
        <v>-26767.269999999993</v>
      </c>
      <c r="AN366" s="41">
        <f t="shared" si="277"/>
        <v>188055.62</v>
      </c>
      <c r="AO366" s="41">
        <f t="shared" si="277"/>
        <v>749954.6</v>
      </c>
      <c r="AP366" s="41">
        <f t="shared" si="277"/>
        <v>-45345.16</v>
      </c>
      <c r="AQ366" s="41">
        <f t="shared" si="277"/>
        <v>-49700.159999999996</v>
      </c>
      <c r="AR366" s="41">
        <f t="shared" si="277"/>
        <v>212664.85000000003</v>
      </c>
      <c r="AS366" s="41">
        <f t="shared" si="277"/>
        <v>73710.76999999999</v>
      </c>
      <c r="AT366" s="41">
        <f t="shared" ref="AT366" si="278">AT357+AT365</f>
        <v>99727.09</v>
      </c>
      <c r="AU366" s="41">
        <f t="shared" ref="AU366" si="279">AU357+AU365</f>
        <v>-81192.450000000012</v>
      </c>
      <c r="AV366" s="41">
        <f t="shared" ref="AV366:BA366" si="280">AV357+AV365</f>
        <v>113060.18000000001</v>
      </c>
      <c r="AW366" s="41">
        <f t="shared" si="280"/>
        <v>-156121.90000000002</v>
      </c>
      <c r="AX366" s="41">
        <f t="shared" si="280"/>
        <v>-24399.480000000014</v>
      </c>
      <c r="AY366" s="41">
        <f t="shared" si="280"/>
        <v>41971.510000000009</v>
      </c>
      <c r="AZ366" s="41">
        <f t="shared" si="280"/>
        <v>64315.650000000009</v>
      </c>
      <c r="BA366" s="41">
        <f t="shared" si="280"/>
        <v>96913.8</v>
      </c>
      <c r="BB366" s="41">
        <f>BB357+BB365+BB350</f>
        <v>345604.70000000007</v>
      </c>
      <c r="BC366" s="41">
        <f t="shared" ref="BC366" si="281">BC357+BC365+BC350</f>
        <v>128774.03</v>
      </c>
      <c r="BD366" s="41">
        <f t="shared" ref="BD366" si="282">BD357+BD365+BD350</f>
        <v>-64868.640000000021</v>
      </c>
      <c r="BE366" s="41">
        <f t="shared" ref="BE366" si="283">BE357+BE365+BE350</f>
        <v>34811.049999999996</v>
      </c>
      <c r="BF366" s="41">
        <f t="shared" ref="BF366:BI366" si="284">BF357+BF365+BF350</f>
        <v>9130.36</v>
      </c>
      <c r="BG366" s="41">
        <f t="shared" si="284"/>
        <v>168785.47</v>
      </c>
      <c r="BH366" s="41">
        <f t="shared" si="284"/>
        <v>18025.440000000013</v>
      </c>
      <c r="BI366" s="41">
        <f t="shared" si="284"/>
        <v>66929.69</v>
      </c>
      <c r="BJ366" s="41">
        <f t="shared" ref="BJ366:BO366" si="285">BJ357+BJ365+BJ350</f>
        <v>0</v>
      </c>
      <c r="BK366" s="41">
        <f t="shared" si="285"/>
        <v>0</v>
      </c>
      <c r="BL366" s="41">
        <f t="shared" si="285"/>
        <v>0</v>
      </c>
      <c r="BM366" s="41">
        <f t="shared" si="285"/>
        <v>0</v>
      </c>
      <c r="BN366" s="41">
        <f t="shared" si="285"/>
        <v>0</v>
      </c>
      <c r="BO366" s="41">
        <f t="shared" si="285"/>
        <v>361587.4</v>
      </c>
    </row>
    <row r="367" spans="2:67" s="30" customFormat="1" ht="12.75" x14ac:dyDescent="0.2">
      <c r="B367" s="28" t="s">
        <v>1570</v>
      </c>
      <c r="C367" s="29">
        <f t="shared" ref="C367:N367" si="286">C125+C179+C348+C366</f>
        <v>-2188985.1399999992</v>
      </c>
      <c r="D367" s="29">
        <f t="shared" si="286"/>
        <v>-1529578.8599999994</v>
      </c>
      <c r="E367" s="29">
        <f t="shared" si="286"/>
        <v>-1405909.4400000002</v>
      </c>
      <c r="F367" s="29">
        <f t="shared" si="286"/>
        <v>-1792963.2400000012</v>
      </c>
      <c r="G367" s="29">
        <f t="shared" si="286"/>
        <v>-1327229.77</v>
      </c>
      <c r="H367" s="29">
        <f t="shared" si="286"/>
        <v>-2843319.68</v>
      </c>
      <c r="I367" s="29">
        <f t="shared" si="286"/>
        <v>-1126843.1100000008</v>
      </c>
      <c r="J367" s="29">
        <f t="shared" si="286"/>
        <v>-1226159.1300000001</v>
      </c>
      <c r="K367" s="29">
        <f t="shared" si="286"/>
        <v>-2841441.8399999985</v>
      </c>
      <c r="L367" s="29">
        <f t="shared" si="286"/>
        <v>-1897822.2600000014</v>
      </c>
      <c r="M367" s="29">
        <f t="shared" si="286"/>
        <v>-2619060.6699999995</v>
      </c>
      <c r="N367" s="29">
        <f t="shared" si="286"/>
        <v>-2552181.6900000013</v>
      </c>
      <c r="O367" s="29">
        <f>SUM(C367:N367)</f>
        <v>-23351494.829999998</v>
      </c>
      <c r="P367" s="29">
        <f t="shared" ref="P367:AI367" si="287">P125+P179+P348+P366</f>
        <v>-2706427.6799999988</v>
      </c>
      <c r="Q367" s="29">
        <f t="shared" si="287"/>
        <v>-2191389.8100000005</v>
      </c>
      <c r="R367" s="29">
        <f t="shared" si="287"/>
        <v>-3821257.1000000006</v>
      </c>
      <c r="S367" s="29">
        <f t="shared" si="287"/>
        <v>-1640196.3200000003</v>
      </c>
      <c r="T367" s="29">
        <f t="shared" si="287"/>
        <v>-3198455.2699999991</v>
      </c>
      <c r="U367" s="29">
        <f t="shared" si="287"/>
        <v>-1914096.6599999988</v>
      </c>
      <c r="V367" s="29">
        <f t="shared" si="287"/>
        <v>-1485787.4900000016</v>
      </c>
      <c r="W367" s="29">
        <f t="shared" si="287"/>
        <v>-1809482.3000000019</v>
      </c>
      <c r="X367" s="66">
        <f t="shared" si="287"/>
        <v>-1163145.1299999994</v>
      </c>
      <c r="Y367" s="66">
        <f t="shared" si="287"/>
        <v>-1531627.5599999987</v>
      </c>
      <c r="Z367" s="66">
        <f t="shared" si="287"/>
        <v>-1005747.1499999992</v>
      </c>
      <c r="AA367" s="66">
        <f t="shared" si="287"/>
        <v>-1025207.3200000013</v>
      </c>
      <c r="AB367" s="66">
        <f t="shared" si="287"/>
        <v>-23492819.79000001</v>
      </c>
      <c r="AC367" s="66">
        <f t="shared" si="287"/>
        <v>-1567950.9300000002</v>
      </c>
      <c r="AD367" s="66">
        <f t="shared" si="287"/>
        <v>-1996729.7800000021</v>
      </c>
      <c r="AE367" s="66">
        <f t="shared" si="287"/>
        <v>-1618497.2600000005</v>
      </c>
      <c r="AF367" s="66">
        <f t="shared" si="287"/>
        <v>-1131494.4000000011</v>
      </c>
      <c r="AG367" s="66">
        <f t="shared" si="287"/>
        <v>-1424690.5199999986</v>
      </c>
      <c r="AH367" s="66">
        <f t="shared" si="287"/>
        <v>-1792781.0700000005</v>
      </c>
      <c r="AI367" s="66">
        <f t="shared" si="287"/>
        <v>-2232066.4099999997</v>
      </c>
      <c r="AJ367" s="66">
        <v>-531877.81000000064</v>
      </c>
      <c r="AK367" s="66">
        <v>-3762895.9099999978</v>
      </c>
      <c r="AL367" s="66">
        <v>-1326112.2700000009</v>
      </c>
      <c r="AM367" s="66">
        <v>-1503913.300000001</v>
      </c>
      <c r="AN367" s="66">
        <v>-749900.45999999915</v>
      </c>
      <c r="AO367" s="66">
        <f>AO125+AO179+AO348+AO366</f>
        <v>-19638820.910000004</v>
      </c>
      <c r="AP367" s="66">
        <v>-1475055.14</v>
      </c>
      <c r="AQ367" s="66">
        <v>-947212.5199999999</v>
      </c>
      <c r="AR367" s="66">
        <v>-228896.16000000085</v>
      </c>
      <c r="AS367" s="66">
        <f t="shared" ref="AS367:AX367" si="288">AS125+AS179+AS348+AS366</f>
        <v>-989229.7100000002</v>
      </c>
      <c r="AT367" s="66">
        <f t="shared" si="288"/>
        <v>-1036268.5199999985</v>
      </c>
      <c r="AU367" s="66">
        <f t="shared" si="288"/>
        <v>-991117.28000000073</v>
      </c>
      <c r="AV367" s="66">
        <f t="shared" si="288"/>
        <v>-999792.48000000056</v>
      </c>
      <c r="AW367" s="66">
        <f t="shared" si="288"/>
        <v>-1256649.2900000005</v>
      </c>
      <c r="AX367" s="66">
        <f t="shared" si="288"/>
        <v>-890098.64000000013</v>
      </c>
      <c r="AY367" s="66">
        <v>-976258.6800000004</v>
      </c>
      <c r="AZ367" s="66">
        <v>-942526.3</v>
      </c>
      <c r="BA367" s="66">
        <v>1462662.9099999988</v>
      </c>
      <c r="BB367" s="66">
        <f>BB125+BB179+BB348+BB366</f>
        <v>-9270441.8100000117</v>
      </c>
      <c r="BC367" s="66">
        <f>BC125+BC179+BC348+BC366</f>
        <v>-1068664.8400000005</v>
      </c>
      <c r="BD367" s="66">
        <f t="shared" ref="BD367:BO367" si="289">BD125+BD179+BD348+BD366</f>
        <v>-739810.48000000254</v>
      </c>
      <c r="BE367" s="66">
        <f t="shared" si="289"/>
        <v>-620906.9300000018</v>
      </c>
      <c r="BF367" s="66">
        <f t="shared" si="289"/>
        <v>-754557.88999999955</v>
      </c>
      <c r="BG367" s="66">
        <f t="shared" si="289"/>
        <v>-532033.92000000062</v>
      </c>
      <c r="BH367" s="66">
        <f t="shared" si="289"/>
        <v>-418939.03999999963</v>
      </c>
      <c r="BI367" s="66">
        <f t="shared" si="289"/>
        <v>-960095.74999999977</v>
      </c>
      <c r="BJ367" s="66">
        <f t="shared" si="289"/>
        <v>0</v>
      </c>
      <c r="BK367" s="66">
        <f t="shared" si="289"/>
        <v>0</v>
      </c>
      <c r="BL367" s="66">
        <f t="shared" si="289"/>
        <v>0</v>
      </c>
      <c r="BM367" s="66">
        <f t="shared" si="289"/>
        <v>0</v>
      </c>
      <c r="BN367" s="66">
        <f t="shared" si="289"/>
        <v>0</v>
      </c>
      <c r="BO367" s="66">
        <f t="shared" si="289"/>
        <v>-5095008.8500000071</v>
      </c>
    </row>
    <row r="368" spans="2:67" x14ac:dyDescent="0.2">
      <c r="B368" s="3" t="s">
        <v>443</v>
      </c>
      <c r="C368" s="23">
        <v>-0.33</v>
      </c>
      <c r="D368" s="24">
        <v>-0.37</v>
      </c>
      <c r="E368" s="24">
        <v>-0.27</v>
      </c>
      <c r="F368" s="24">
        <v>-6.9</v>
      </c>
      <c r="G368" s="24">
        <v>-0.35</v>
      </c>
      <c r="H368" s="24">
        <v>-0.28000000000000003</v>
      </c>
      <c r="I368" s="24">
        <v>-0.27</v>
      </c>
      <c r="J368" s="24">
        <v>-0.23</v>
      </c>
      <c r="K368" s="24">
        <v>-0.25</v>
      </c>
      <c r="L368" s="24">
        <v>-7.74</v>
      </c>
      <c r="M368" s="24">
        <v>-7.91</v>
      </c>
      <c r="N368" s="24">
        <v>-6.1</v>
      </c>
      <c r="O368" s="24">
        <f>SUBTOTAL(9,C368:N368)</f>
        <v>-31</v>
      </c>
      <c r="P368" s="24">
        <v>-0.31</v>
      </c>
      <c r="Q368" s="24">
        <v>-0.32</v>
      </c>
      <c r="R368" s="24">
        <v>-0.36</v>
      </c>
      <c r="S368" s="24">
        <v>-6.58</v>
      </c>
      <c r="T368" s="24">
        <v>-0.72</v>
      </c>
      <c r="U368" s="24">
        <v>-0.36</v>
      </c>
      <c r="V368" s="24">
        <v>-6.61</v>
      </c>
      <c r="W368" s="20">
        <v>-3.53</v>
      </c>
      <c r="X368" s="20">
        <v>-0.4</v>
      </c>
      <c r="Y368" s="83">
        <v>-0.47</v>
      </c>
      <c r="Z368" s="83">
        <v>-0.44</v>
      </c>
      <c r="AA368" s="83">
        <v>-11.97</v>
      </c>
      <c r="AB368" s="8">
        <f t="shared" ref="AB368:AB373" si="290">SUM(P368:AA368)</f>
        <v>-32.07</v>
      </c>
      <c r="AC368" s="24">
        <v>-0.5</v>
      </c>
      <c r="AD368" s="24">
        <v>-0.28999999999999998</v>
      </c>
      <c r="AE368" s="24">
        <v>-0.37</v>
      </c>
      <c r="AF368" s="24">
        <v>-1.0900000000000001</v>
      </c>
      <c r="AG368" s="24">
        <v>-0.38</v>
      </c>
      <c r="AH368" s="24">
        <v>-0.91</v>
      </c>
      <c r="AI368" s="24">
        <v>-1.36</v>
      </c>
      <c r="AJ368" s="20">
        <v>-5.0599999999999996</v>
      </c>
      <c r="AK368" s="20">
        <v>-12.15</v>
      </c>
      <c r="AL368" s="83">
        <v>-1.1200000000000001</v>
      </c>
      <c r="AM368" s="83">
        <v>-1.66</v>
      </c>
      <c r="AN368" s="83">
        <v>-1.48</v>
      </c>
      <c r="AO368" s="8">
        <f t="shared" ref="AO368:AO373" si="291">SUM(AC368:AN368)</f>
        <v>-26.37</v>
      </c>
      <c r="AP368" s="24">
        <v>-9.34</v>
      </c>
      <c r="AQ368" s="24">
        <v>-0.95</v>
      </c>
      <c r="AR368" s="24">
        <f>VLOOKUP(B368,'[1]Sheet1 (2)'!$B$2:$C$397,2,0)</f>
        <v>-1.18</v>
      </c>
      <c r="AS368" s="24">
        <f>VLOOKUP(B368,'[2]Sheet1 (2)'!$B$2:$C$404,2,0)</f>
        <v>-2.62</v>
      </c>
      <c r="AT368" s="24">
        <v>-4.6500000000000004</v>
      </c>
      <c r="AU368" s="24">
        <v>-0.7</v>
      </c>
      <c r="AV368" s="24">
        <v>-1.52</v>
      </c>
      <c r="AW368" s="20">
        <v>-0.82</v>
      </c>
      <c r="AX368" s="20">
        <v>-0.74</v>
      </c>
      <c r="AY368" s="83">
        <v>-0.54</v>
      </c>
      <c r="AZ368" s="83">
        <v>-0.62</v>
      </c>
      <c r="BA368" s="83">
        <v>-2.4</v>
      </c>
      <c r="BB368" s="8">
        <f t="shared" ref="BB368:BB372" si="292">SUM(AP368:BA368)</f>
        <v>-26.08</v>
      </c>
      <c r="BC368" s="24">
        <v>-0.31</v>
      </c>
      <c r="BD368" s="24">
        <v>-1.19</v>
      </c>
      <c r="BE368" s="24">
        <v>-2.66</v>
      </c>
      <c r="BF368" s="24">
        <v>-0.19</v>
      </c>
      <c r="BG368" s="24">
        <v>-2.38</v>
      </c>
      <c r="BH368" s="24">
        <v>-0.24</v>
      </c>
      <c r="BI368" s="24">
        <v>-0.1</v>
      </c>
      <c r="BN368" s="83"/>
      <c r="BO368" s="8">
        <f t="shared" ref="BO368:BO372" si="293">SUM(BC368:BN368)</f>
        <v>-7.07</v>
      </c>
    </row>
    <row r="369" spans="2:67" x14ac:dyDescent="0.2">
      <c r="B369" s="3" t="s">
        <v>692</v>
      </c>
      <c r="C369" s="23">
        <v>69.52</v>
      </c>
      <c r="D369" s="24">
        <v>76.760000000000005</v>
      </c>
      <c r="E369" s="24">
        <v>0</v>
      </c>
      <c r="F369" s="24">
        <v>13.93</v>
      </c>
      <c r="G369" s="24">
        <v>62.95</v>
      </c>
      <c r="H369" s="24">
        <v>0</v>
      </c>
      <c r="I369" s="24">
        <v>0</v>
      </c>
      <c r="J369" s="24">
        <v>0</v>
      </c>
      <c r="K369" s="24">
        <v>133.6</v>
      </c>
      <c r="L369" s="24">
        <v>0</v>
      </c>
      <c r="M369" s="24">
        <v>0</v>
      </c>
      <c r="N369" s="24">
        <v>0</v>
      </c>
      <c r="O369" s="24">
        <f>SUBTOTAL(9,C369:N369)</f>
        <v>356.76</v>
      </c>
      <c r="P369" s="24">
        <v>0</v>
      </c>
      <c r="Q369" s="24">
        <v>0</v>
      </c>
      <c r="R369" s="24">
        <v>65.569999999999993</v>
      </c>
      <c r="S369" s="24">
        <v>0</v>
      </c>
      <c r="T369" s="24">
        <v>0</v>
      </c>
      <c r="U369" s="24">
        <v>0</v>
      </c>
      <c r="V369" s="24">
        <v>40.21</v>
      </c>
      <c r="W369" s="20">
        <v>12.97</v>
      </c>
      <c r="X369" s="20">
        <v>0</v>
      </c>
      <c r="Y369" s="83">
        <v>34.51</v>
      </c>
      <c r="Z369" s="83">
        <v>12.77</v>
      </c>
      <c r="AA369" s="83">
        <v>100.92</v>
      </c>
      <c r="AB369" s="8">
        <f t="shared" si="290"/>
        <v>266.95</v>
      </c>
      <c r="AC369" s="24">
        <v>0</v>
      </c>
      <c r="AD369" s="24">
        <v>0</v>
      </c>
      <c r="AE369" s="24">
        <v>6.31</v>
      </c>
      <c r="AF369" s="24">
        <v>0</v>
      </c>
      <c r="AG369" s="24">
        <v>17</v>
      </c>
      <c r="AH369" s="24">
        <v>5.44</v>
      </c>
      <c r="AI369" s="24">
        <v>112.11</v>
      </c>
      <c r="AJ369" s="20">
        <v>10.94</v>
      </c>
      <c r="AK369" s="20">
        <v>10.74</v>
      </c>
      <c r="AL369" s="83">
        <v>11.8</v>
      </c>
      <c r="AM369" s="83">
        <v>9.82</v>
      </c>
      <c r="AN369" s="83">
        <v>14.73</v>
      </c>
      <c r="AO369" s="8">
        <f t="shared" si="291"/>
        <v>198.89000000000001</v>
      </c>
      <c r="AP369" s="24">
        <v>13.32</v>
      </c>
      <c r="AQ369" s="24">
        <v>9.7799999999999994</v>
      </c>
      <c r="AR369" s="24">
        <f>VLOOKUP(B369,'[1]Sheet1 (2)'!$B$2:$C$397,2,0)</f>
        <v>8.99</v>
      </c>
      <c r="AS369" s="24">
        <f>VLOOKUP(B369,'[2]Sheet1 (2)'!$B$2:$C$404,2,0)</f>
        <v>8.36</v>
      </c>
      <c r="AT369" s="24">
        <v>9.5</v>
      </c>
      <c r="AU369" s="24">
        <v>24.56</v>
      </c>
      <c r="AV369" s="24">
        <v>9.2200000000000006</v>
      </c>
      <c r="AW369" s="20">
        <v>8.8800000000000008</v>
      </c>
      <c r="AX369" s="20">
        <v>9.76</v>
      </c>
      <c r="AY369" s="83">
        <v>11.1</v>
      </c>
      <c r="AZ369" s="83">
        <v>19.489999999999998</v>
      </c>
      <c r="BA369" s="83">
        <v>23.21</v>
      </c>
      <c r="BB369" s="8">
        <f t="shared" si="292"/>
        <v>156.17000000000002</v>
      </c>
      <c r="BC369" s="24">
        <v>23.84</v>
      </c>
      <c r="BD369" s="24">
        <v>23.87</v>
      </c>
      <c r="BE369" s="24">
        <v>18.75</v>
      </c>
      <c r="BF369" s="24">
        <v>26.7</v>
      </c>
      <c r="BG369" s="24">
        <v>20.71</v>
      </c>
      <c r="BH369" s="24">
        <v>18.14</v>
      </c>
      <c r="BI369" s="24">
        <v>24.02</v>
      </c>
      <c r="BN369" s="83"/>
      <c r="BO369" s="8">
        <f t="shared" si="293"/>
        <v>156.03</v>
      </c>
    </row>
    <row r="370" spans="2:67" x14ac:dyDescent="0.2">
      <c r="B370" s="3" t="s">
        <v>1161</v>
      </c>
      <c r="C370" s="23">
        <v>0</v>
      </c>
      <c r="D370" s="23">
        <v>3.48</v>
      </c>
      <c r="E370" s="24">
        <v>0</v>
      </c>
      <c r="F370" s="24">
        <v>0</v>
      </c>
      <c r="G370" s="24">
        <v>0</v>
      </c>
      <c r="H370" s="24">
        <v>0</v>
      </c>
      <c r="I370" s="24">
        <v>0</v>
      </c>
      <c r="J370" s="24">
        <v>0</v>
      </c>
      <c r="K370" s="24">
        <v>0</v>
      </c>
      <c r="L370" s="24">
        <v>0</v>
      </c>
      <c r="M370" s="24">
        <v>0</v>
      </c>
      <c r="N370" s="24">
        <v>0</v>
      </c>
      <c r="O370" s="24">
        <f>SUBTOTAL(9,C370:N370)</f>
        <v>3.48</v>
      </c>
      <c r="P370" s="24">
        <v>0</v>
      </c>
      <c r="Q370" s="24">
        <v>0</v>
      </c>
      <c r="R370" s="24">
        <v>0</v>
      </c>
      <c r="S370" s="24">
        <v>0</v>
      </c>
      <c r="T370" s="24">
        <v>0</v>
      </c>
      <c r="U370" s="24">
        <v>0</v>
      </c>
      <c r="V370" s="24">
        <v>0</v>
      </c>
      <c r="W370" s="20">
        <v>0</v>
      </c>
      <c r="X370" s="20">
        <v>0</v>
      </c>
      <c r="Y370" s="83">
        <v>0</v>
      </c>
      <c r="Z370" s="83">
        <v>0</v>
      </c>
      <c r="AA370" s="83">
        <v>0</v>
      </c>
      <c r="AB370" s="8">
        <f t="shared" si="290"/>
        <v>0</v>
      </c>
      <c r="AC370" s="24">
        <v>0</v>
      </c>
      <c r="AD370" s="24">
        <v>0</v>
      </c>
      <c r="AE370" s="24">
        <v>0</v>
      </c>
      <c r="AF370" s="24">
        <v>0</v>
      </c>
      <c r="AG370" s="24">
        <v>0</v>
      </c>
      <c r="AH370" s="24">
        <v>0</v>
      </c>
      <c r="AI370" s="24">
        <v>0</v>
      </c>
      <c r="AJ370" s="20">
        <v>0</v>
      </c>
      <c r="AK370" s="20">
        <v>0</v>
      </c>
      <c r="AL370" s="83">
        <v>0</v>
      </c>
      <c r="AM370" s="83">
        <v>0</v>
      </c>
      <c r="AN370" s="83">
        <v>0</v>
      </c>
      <c r="AO370" s="8">
        <f t="shared" si="291"/>
        <v>0</v>
      </c>
      <c r="AP370" s="24">
        <v>0</v>
      </c>
      <c r="AQ370" s="24">
        <v>0</v>
      </c>
      <c r="AR370" s="24">
        <v>0</v>
      </c>
      <c r="AS370" s="24">
        <v>0</v>
      </c>
      <c r="AT370" s="24">
        <v>0</v>
      </c>
      <c r="AU370" s="24">
        <v>0</v>
      </c>
      <c r="AV370" s="24">
        <v>0</v>
      </c>
      <c r="AW370" s="20">
        <v>0</v>
      </c>
      <c r="AX370" s="20">
        <v>0</v>
      </c>
      <c r="AY370" s="83">
        <v>0</v>
      </c>
      <c r="AZ370" s="83">
        <v>0</v>
      </c>
      <c r="BA370" s="83">
        <v>0</v>
      </c>
      <c r="BB370" s="8">
        <f t="shared" si="292"/>
        <v>0</v>
      </c>
      <c r="BC370" s="24">
        <v>0</v>
      </c>
      <c r="BD370" s="24">
        <v>0</v>
      </c>
      <c r="BE370" s="24">
        <v>0</v>
      </c>
      <c r="BF370" s="24">
        <v>0</v>
      </c>
      <c r="BG370" s="24">
        <v>0</v>
      </c>
      <c r="BH370" s="24">
        <v>0</v>
      </c>
      <c r="BI370" s="24">
        <v>0</v>
      </c>
      <c r="BN370" s="83"/>
      <c r="BO370" s="8">
        <f t="shared" si="293"/>
        <v>0</v>
      </c>
    </row>
    <row r="371" spans="2:67" x14ac:dyDescent="0.2">
      <c r="B371" s="3" t="s">
        <v>446</v>
      </c>
      <c r="C371" s="23">
        <v>2583.69</v>
      </c>
      <c r="D371" s="24">
        <v>2071.25</v>
      </c>
      <c r="E371" s="24">
        <v>1824.86</v>
      </c>
      <c r="F371" s="24">
        <v>2053.16</v>
      </c>
      <c r="G371" s="24">
        <v>32139.040000000001</v>
      </c>
      <c r="H371" s="24">
        <v>2809.15</v>
      </c>
      <c r="I371" s="24">
        <v>5263.52</v>
      </c>
      <c r="J371" s="24">
        <v>4429.99</v>
      </c>
      <c r="K371" s="24">
        <v>3806.61</v>
      </c>
      <c r="L371" s="24">
        <v>5061.2</v>
      </c>
      <c r="M371" s="24">
        <v>2980.91</v>
      </c>
      <c r="N371" s="24">
        <v>9349.64</v>
      </c>
      <c r="O371" s="24">
        <f>SUBTOTAL(9,C371:N371)</f>
        <v>74373.01999999999</v>
      </c>
      <c r="P371" s="24">
        <v>4008.52</v>
      </c>
      <c r="Q371" s="24">
        <v>3990.7</v>
      </c>
      <c r="R371" s="24">
        <v>22427.119999999999</v>
      </c>
      <c r="S371" s="24">
        <v>9399.07</v>
      </c>
      <c r="T371" s="24">
        <v>8556.2000000000007</v>
      </c>
      <c r="U371" s="24">
        <v>7858.1</v>
      </c>
      <c r="V371" s="24">
        <v>7804.73</v>
      </c>
      <c r="W371" s="20">
        <v>6331.74</v>
      </c>
      <c r="X371" s="20">
        <v>12368.79</v>
      </c>
      <c r="Y371" s="83">
        <v>5220.55</v>
      </c>
      <c r="Z371" s="83">
        <v>4654.82</v>
      </c>
      <c r="AA371" s="83">
        <v>6417.9</v>
      </c>
      <c r="AB371" s="8">
        <f t="shared" si="290"/>
        <v>99038.239999999991</v>
      </c>
      <c r="AC371" s="24">
        <v>3642.21</v>
      </c>
      <c r="AD371" s="24">
        <v>5769.82</v>
      </c>
      <c r="AE371" s="24">
        <v>21400.16</v>
      </c>
      <c r="AF371" s="24">
        <v>9455.2000000000007</v>
      </c>
      <c r="AG371" s="24">
        <v>8255</v>
      </c>
      <c r="AH371" s="24">
        <v>7515.88</v>
      </c>
      <c r="AI371" s="24">
        <v>14705.7</v>
      </c>
      <c r="AJ371" s="20">
        <v>7250.17</v>
      </c>
      <c r="AK371" s="20">
        <v>8390.1200000000008</v>
      </c>
      <c r="AL371" s="83">
        <v>5898.08</v>
      </c>
      <c r="AM371" s="83">
        <v>7473.87</v>
      </c>
      <c r="AN371" s="83">
        <v>5648.36</v>
      </c>
      <c r="AO371" s="8">
        <f t="shared" si="291"/>
        <v>105404.56999999999</v>
      </c>
      <c r="AP371" s="24">
        <v>5056.38</v>
      </c>
      <c r="AQ371" s="24">
        <v>16601.34</v>
      </c>
      <c r="AR371" s="24">
        <f>VLOOKUP(B371,'[1]Sheet1 (2)'!$B$2:$C$397,2,0)</f>
        <v>9531.66</v>
      </c>
      <c r="AS371" s="24">
        <f>VLOOKUP(B371,'[2]Sheet1 (2)'!$B$2:$C$404,2,0)</f>
        <v>9374.56</v>
      </c>
      <c r="AT371" s="24">
        <v>9010.36</v>
      </c>
      <c r="AU371" s="24">
        <v>8227.44</v>
      </c>
      <c r="AV371" s="24">
        <v>7535.95</v>
      </c>
      <c r="AW371" s="20">
        <v>6894.26</v>
      </c>
      <c r="AX371" s="20">
        <v>6131.86</v>
      </c>
      <c r="AY371" s="83">
        <v>5469.96</v>
      </c>
      <c r="AZ371" s="83">
        <v>4821.7</v>
      </c>
      <c r="BA371" s="83">
        <v>4027</v>
      </c>
      <c r="BB371" s="8">
        <f t="shared" si="292"/>
        <v>92682.47</v>
      </c>
      <c r="BC371" s="24">
        <v>3359.9</v>
      </c>
      <c r="BD371" s="24">
        <v>15219.34</v>
      </c>
      <c r="BE371" s="24">
        <v>8113.49</v>
      </c>
      <c r="BF371" s="24">
        <v>8215.31</v>
      </c>
      <c r="BG371" s="24">
        <v>6733.43</v>
      </c>
      <c r="BH371" s="24">
        <v>6086.23</v>
      </c>
      <c r="BI371" s="24">
        <v>5365.81</v>
      </c>
      <c r="BN371" s="83"/>
      <c r="BO371" s="8">
        <f t="shared" si="293"/>
        <v>53093.509999999995</v>
      </c>
    </row>
    <row r="372" spans="2:67" x14ac:dyDescent="0.2">
      <c r="B372" s="3" t="s">
        <v>996</v>
      </c>
      <c r="C372" s="23">
        <v>-2863.58</v>
      </c>
      <c r="D372" s="24">
        <v>0</v>
      </c>
      <c r="E372" s="24">
        <v>-1319.42</v>
      </c>
      <c r="F372" s="24">
        <v>0</v>
      </c>
      <c r="G372" s="24">
        <v>0</v>
      </c>
      <c r="H372" s="24">
        <v>0</v>
      </c>
      <c r="I372" s="24">
        <v>0</v>
      </c>
      <c r="J372" s="24">
        <v>0</v>
      </c>
      <c r="K372" s="24">
        <v>0</v>
      </c>
      <c r="L372" s="24">
        <v>0</v>
      </c>
      <c r="M372" s="24">
        <v>-8733.4500000000007</v>
      </c>
      <c r="N372" s="24">
        <v>-1504.6</v>
      </c>
      <c r="O372" s="24">
        <f>SUBTOTAL(9,C372:N372)</f>
        <v>-14421.050000000001</v>
      </c>
      <c r="P372" s="24">
        <v>0</v>
      </c>
      <c r="Q372" s="24">
        <v>0</v>
      </c>
      <c r="R372" s="24">
        <v>0</v>
      </c>
      <c r="S372" s="24">
        <v>0</v>
      </c>
      <c r="T372" s="24">
        <v>0</v>
      </c>
      <c r="U372" s="24">
        <v>0</v>
      </c>
      <c r="V372" s="24">
        <v>0</v>
      </c>
      <c r="W372" s="20">
        <v>0</v>
      </c>
      <c r="X372" s="20">
        <v>0</v>
      </c>
      <c r="Y372" s="83">
        <v>0</v>
      </c>
      <c r="Z372" s="83">
        <v>0</v>
      </c>
      <c r="AA372" s="83">
        <v>0</v>
      </c>
      <c r="AB372" s="8">
        <f t="shared" si="290"/>
        <v>0</v>
      </c>
      <c r="AC372" s="24">
        <v>0</v>
      </c>
      <c r="AD372" s="24">
        <v>0</v>
      </c>
      <c r="AE372" s="24">
        <v>0</v>
      </c>
      <c r="AF372" s="24">
        <v>0</v>
      </c>
      <c r="AG372" s="24">
        <v>0</v>
      </c>
      <c r="AH372" s="24">
        <v>0</v>
      </c>
      <c r="AI372" s="24">
        <v>0</v>
      </c>
      <c r="AJ372" s="20">
        <v>0</v>
      </c>
      <c r="AK372" s="20">
        <v>0</v>
      </c>
      <c r="AL372" s="83">
        <v>0</v>
      </c>
      <c r="AM372" s="83">
        <v>0</v>
      </c>
      <c r="AN372" s="83">
        <v>0</v>
      </c>
      <c r="AO372" s="8">
        <f t="shared" si="291"/>
        <v>0</v>
      </c>
      <c r="AP372" s="24">
        <v>0</v>
      </c>
      <c r="AQ372" s="24">
        <v>0</v>
      </c>
      <c r="AR372" s="24">
        <v>0</v>
      </c>
      <c r="AS372" s="24">
        <v>0</v>
      </c>
      <c r="AT372" s="24">
        <v>0</v>
      </c>
      <c r="AU372" s="24">
        <v>0</v>
      </c>
      <c r="AV372" s="24">
        <v>0</v>
      </c>
      <c r="AW372" s="20">
        <v>0</v>
      </c>
      <c r="AX372" s="20">
        <v>0</v>
      </c>
      <c r="AY372" s="83">
        <v>0</v>
      </c>
      <c r="AZ372" s="83">
        <v>0</v>
      </c>
      <c r="BA372" s="83">
        <v>0</v>
      </c>
      <c r="BB372" s="8">
        <f t="shared" si="292"/>
        <v>0</v>
      </c>
      <c r="BC372" s="24">
        <v>0</v>
      </c>
      <c r="BD372" s="24">
        <v>0</v>
      </c>
      <c r="BE372" s="24">
        <v>0</v>
      </c>
      <c r="BF372" s="24">
        <v>0</v>
      </c>
      <c r="BG372" s="24">
        <v>0</v>
      </c>
      <c r="BH372" s="24">
        <v>0</v>
      </c>
      <c r="BI372" s="24">
        <v>0</v>
      </c>
      <c r="BN372" s="83"/>
      <c r="BO372" s="8">
        <f t="shared" si="293"/>
        <v>0</v>
      </c>
    </row>
    <row r="373" spans="2:67" s="25" customFormat="1" x14ac:dyDescent="0.2">
      <c r="B373" s="25" t="s">
        <v>1577</v>
      </c>
      <c r="C373" s="156">
        <v>-210.37</v>
      </c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>
        <v>439981.26400000002</v>
      </c>
      <c r="Q373" s="134">
        <v>541965.41720000003</v>
      </c>
      <c r="R373" s="134">
        <v>549803.71250000002</v>
      </c>
      <c r="S373" s="134">
        <v>592951.11320000002</v>
      </c>
      <c r="T373" s="134">
        <v>546823.94240000006</v>
      </c>
      <c r="U373" s="134">
        <v>454170.16310000001</v>
      </c>
      <c r="V373" s="134">
        <v>451636.74290000001</v>
      </c>
      <c r="W373" s="133">
        <v>432431.45850000001</v>
      </c>
      <c r="X373" s="133">
        <v>405617.71399999998</v>
      </c>
      <c r="Y373" s="135">
        <v>405599.86570000002</v>
      </c>
      <c r="Z373" s="135">
        <v>384520.13540000003</v>
      </c>
      <c r="AA373" s="25">
        <v>352683.11109999998</v>
      </c>
      <c r="AB373" s="157">
        <f t="shared" si="290"/>
        <v>5558184.6400000006</v>
      </c>
      <c r="AC373" s="134">
        <v>437867.11580000003</v>
      </c>
      <c r="AD373" s="134">
        <v>523652.29989999998</v>
      </c>
      <c r="AE373" s="134">
        <v>507078.53350000002</v>
      </c>
      <c r="AF373" s="134">
        <v>502800.12150000001</v>
      </c>
      <c r="AG373" s="134">
        <v>501766.9522</v>
      </c>
      <c r="AH373" s="134">
        <v>492682.78869999998</v>
      </c>
      <c r="AI373" s="134">
        <v>479061.777</v>
      </c>
      <c r="AJ373" s="133">
        <v>476336.74540000001</v>
      </c>
      <c r="AK373" s="133">
        <v>475615.1238</v>
      </c>
      <c r="AL373" s="135">
        <v>461080.57640000002</v>
      </c>
      <c r="AM373" s="135">
        <v>440004.59120000002</v>
      </c>
      <c r="AN373" s="135">
        <v>416850.41310000001</v>
      </c>
      <c r="AO373" s="157">
        <f t="shared" si="291"/>
        <v>5714797.0384999998</v>
      </c>
      <c r="AP373" s="134">
        <v>514021.90350000001</v>
      </c>
      <c r="AQ373" s="134">
        <v>557615.69059999997</v>
      </c>
      <c r="AR373" s="134">
        <v>543296.26749999996</v>
      </c>
      <c r="AS373" s="134">
        <v>513081.78629999998</v>
      </c>
      <c r="AT373" s="134">
        <v>463781.62560000003</v>
      </c>
      <c r="AU373" s="134">
        <v>421682.11609999998</v>
      </c>
      <c r="AV373" s="134">
        <v>382016.01510000002</v>
      </c>
      <c r="AW373" s="133">
        <v>341984.56439999997</v>
      </c>
      <c r="AX373" s="133">
        <v>309085.103</v>
      </c>
      <c r="AY373" s="135">
        <v>290986.54810000001</v>
      </c>
      <c r="AZ373" s="135">
        <v>282126.95600000001</v>
      </c>
      <c r="BA373" s="135">
        <v>304960.3322</v>
      </c>
      <c r="BB373" s="157">
        <f>SUM(AP373:BA373)</f>
        <v>4924638.9084000001</v>
      </c>
      <c r="BC373" s="134">
        <v>371434.82010000001</v>
      </c>
      <c r="BD373" s="134">
        <v>399219.31959999999</v>
      </c>
      <c r="BE373" s="134">
        <v>388899.27740000002</v>
      </c>
      <c r="BF373" s="134">
        <v>392507.37780000002</v>
      </c>
      <c r="BG373" s="134">
        <v>385932.29759999999</v>
      </c>
      <c r="BH373" s="134">
        <v>372799.01419999998</v>
      </c>
      <c r="BI373" s="134">
        <v>361217.22369999997</v>
      </c>
      <c r="BJ373" s="133"/>
      <c r="BK373" s="133"/>
      <c r="BL373" s="135"/>
      <c r="BM373" s="135"/>
      <c r="BN373" s="135"/>
      <c r="BO373" s="157">
        <f>SUM(BC373:BN373)</f>
        <v>2672009.3303999999</v>
      </c>
    </row>
    <row r="374" spans="2:67" s="9" customFormat="1" ht="12.75" x14ac:dyDescent="0.2">
      <c r="B374" s="13" t="s">
        <v>1579</v>
      </c>
      <c r="C374" s="14">
        <v>-210.37</v>
      </c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>
        <f t="shared" ref="P374:AT374" si="294">SUM(P368:P373)</f>
        <v>443989.47400000005</v>
      </c>
      <c r="Q374" s="14">
        <f t="shared" si="294"/>
        <v>545955.79720000003</v>
      </c>
      <c r="R374" s="14">
        <f t="shared" si="294"/>
        <v>572296.04249999998</v>
      </c>
      <c r="S374" s="14">
        <f t="shared" si="294"/>
        <v>602343.60320000001</v>
      </c>
      <c r="T374" s="14">
        <f t="shared" si="294"/>
        <v>555379.42240000004</v>
      </c>
      <c r="U374" s="14">
        <f t="shared" si="294"/>
        <v>462027.9031</v>
      </c>
      <c r="V374" s="14">
        <f t="shared" si="294"/>
        <v>459475.07290000003</v>
      </c>
      <c r="W374" s="41">
        <f t="shared" si="294"/>
        <v>438772.6385</v>
      </c>
      <c r="X374" s="41">
        <f t="shared" si="294"/>
        <v>417986.10399999999</v>
      </c>
      <c r="Y374" s="41">
        <f t="shared" si="294"/>
        <v>410854.45570000005</v>
      </c>
      <c r="Z374" s="41">
        <f t="shared" si="294"/>
        <v>389187.28540000005</v>
      </c>
      <c r="AA374" s="41">
        <f t="shared" si="294"/>
        <v>359189.96109999996</v>
      </c>
      <c r="AB374" s="41">
        <f t="shared" si="294"/>
        <v>5657457.7600000007</v>
      </c>
      <c r="AC374" s="41">
        <f t="shared" si="294"/>
        <v>441508.82580000005</v>
      </c>
      <c r="AD374" s="41">
        <f t="shared" si="294"/>
        <v>529421.82990000001</v>
      </c>
      <c r="AE374" s="41">
        <f t="shared" si="294"/>
        <v>528484.6335</v>
      </c>
      <c r="AF374" s="41">
        <f t="shared" si="294"/>
        <v>512254.23149999999</v>
      </c>
      <c r="AG374" s="41">
        <f t="shared" si="294"/>
        <v>510038.5722</v>
      </c>
      <c r="AH374" s="41">
        <f t="shared" si="294"/>
        <v>500203.19869999995</v>
      </c>
      <c r="AI374" s="41">
        <f t="shared" si="294"/>
        <v>493878.22700000001</v>
      </c>
      <c r="AJ374" s="41">
        <f t="shared" si="294"/>
        <v>483592.7954</v>
      </c>
      <c r="AK374" s="41">
        <f t="shared" si="294"/>
        <v>484003.83380000002</v>
      </c>
      <c r="AL374" s="41">
        <f t="shared" si="294"/>
        <v>466989.33640000003</v>
      </c>
      <c r="AM374" s="41">
        <f t="shared" si="294"/>
        <v>447486.62120000005</v>
      </c>
      <c r="AN374" s="41">
        <f t="shared" si="294"/>
        <v>422512.02309999999</v>
      </c>
      <c r="AO374" s="41">
        <f t="shared" si="294"/>
        <v>5820374.1284999996</v>
      </c>
      <c r="AP374" s="41">
        <f t="shared" si="294"/>
        <v>519082.2635</v>
      </c>
      <c r="AQ374" s="41">
        <f t="shared" si="294"/>
        <v>574225.86060000001</v>
      </c>
      <c r="AR374" s="41">
        <f t="shared" si="294"/>
        <v>552835.73749999993</v>
      </c>
      <c r="AS374" s="41">
        <f t="shared" si="294"/>
        <v>522462.08629999997</v>
      </c>
      <c r="AT374" s="41">
        <f t="shared" si="294"/>
        <v>472796.83560000005</v>
      </c>
      <c r="AU374" s="41">
        <f t="shared" ref="AU374:BO374" si="295">SUM(AU368:AU373)</f>
        <v>429933.41609999997</v>
      </c>
      <c r="AV374" s="41">
        <f t="shared" si="295"/>
        <v>389559.66510000004</v>
      </c>
      <c r="AW374" s="41">
        <f t="shared" si="295"/>
        <v>348886.88439999998</v>
      </c>
      <c r="AX374" s="41">
        <f t="shared" si="295"/>
        <v>315225.98300000001</v>
      </c>
      <c r="AY374" s="41">
        <f t="shared" si="295"/>
        <v>296467.06810000003</v>
      </c>
      <c r="AZ374" s="41">
        <f t="shared" si="295"/>
        <v>286967.52600000001</v>
      </c>
      <c r="BA374" s="41">
        <f t="shared" si="295"/>
        <v>309008.1422</v>
      </c>
      <c r="BB374" s="41">
        <f t="shared" si="295"/>
        <v>5017451.4683999997</v>
      </c>
      <c r="BC374" s="41">
        <f t="shared" si="295"/>
        <v>374818.2501</v>
      </c>
      <c r="BD374" s="41">
        <f t="shared" si="295"/>
        <v>414461.33960000001</v>
      </c>
      <c r="BE374" s="41">
        <f t="shared" si="295"/>
        <v>397028.85740000004</v>
      </c>
      <c r="BF374" s="41">
        <f t="shared" si="295"/>
        <v>400749.19780000002</v>
      </c>
      <c r="BG374" s="41">
        <f t="shared" si="295"/>
        <v>392684.0576</v>
      </c>
      <c r="BH374" s="41">
        <f t="shared" si="295"/>
        <v>378903.14419999998</v>
      </c>
      <c r="BI374" s="41">
        <f t="shared" si="295"/>
        <v>366606.95369999995</v>
      </c>
      <c r="BJ374" s="41">
        <f t="shared" si="295"/>
        <v>0</v>
      </c>
      <c r="BK374" s="41">
        <f t="shared" si="295"/>
        <v>0</v>
      </c>
      <c r="BL374" s="41">
        <f t="shared" si="295"/>
        <v>0</v>
      </c>
      <c r="BM374" s="41">
        <f t="shared" si="295"/>
        <v>0</v>
      </c>
      <c r="BN374" s="41">
        <f t="shared" si="295"/>
        <v>0</v>
      </c>
      <c r="BO374" s="41">
        <f t="shared" si="295"/>
        <v>2725251.8004000001</v>
      </c>
    </row>
    <row r="375" spans="2:67" s="30" customFormat="1" ht="12.75" x14ac:dyDescent="0.2">
      <c r="B375" s="28" t="s">
        <v>1578</v>
      </c>
      <c r="C375" s="29">
        <v>-210.37</v>
      </c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>
        <f t="shared" ref="P375:AK375" si="296">P367+P374</f>
        <v>-2262438.2059999988</v>
      </c>
      <c r="Q375" s="29">
        <f t="shared" si="296"/>
        <v>-1645434.0128000006</v>
      </c>
      <c r="R375" s="29">
        <f t="shared" si="296"/>
        <v>-3248961.0575000006</v>
      </c>
      <c r="S375" s="29">
        <f t="shared" si="296"/>
        <v>-1037852.7168000003</v>
      </c>
      <c r="T375" s="29">
        <f t="shared" si="296"/>
        <v>-2643075.847599999</v>
      </c>
      <c r="U375" s="29">
        <f t="shared" si="296"/>
        <v>-1452068.7568999988</v>
      </c>
      <c r="V375" s="29">
        <f t="shared" si="296"/>
        <v>-1026312.4171000016</v>
      </c>
      <c r="W375" s="66">
        <f t="shared" si="296"/>
        <v>-1370709.6615000018</v>
      </c>
      <c r="X375" s="66">
        <f t="shared" si="296"/>
        <v>-745159.02599999937</v>
      </c>
      <c r="Y375" s="66">
        <f t="shared" si="296"/>
        <v>-1120773.1042999986</v>
      </c>
      <c r="Z375" s="66">
        <f t="shared" si="296"/>
        <v>-616559.86459999916</v>
      </c>
      <c r="AA375" s="66">
        <f t="shared" si="296"/>
        <v>-666017.35890000139</v>
      </c>
      <c r="AB375" s="66">
        <f t="shared" si="296"/>
        <v>-17835362.030000009</v>
      </c>
      <c r="AC375" s="66">
        <f t="shared" si="296"/>
        <v>-1126442.1042000002</v>
      </c>
      <c r="AD375" s="66">
        <f t="shared" si="296"/>
        <v>-1467307.9501000021</v>
      </c>
      <c r="AE375" s="66">
        <f t="shared" si="296"/>
        <v>-1090012.6265000005</v>
      </c>
      <c r="AF375" s="66">
        <f t="shared" si="296"/>
        <v>-619240.16850000108</v>
      </c>
      <c r="AG375" s="66">
        <f t="shared" si="296"/>
        <v>-914651.94779999857</v>
      </c>
      <c r="AH375" s="66">
        <f t="shared" si="296"/>
        <v>-1292577.8713000007</v>
      </c>
      <c r="AI375" s="66">
        <f t="shared" si="296"/>
        <v>-1738188.1829999997</v>
      </c>
      <c r="AJ375" s="66">
        <f t="shared" si="296"/>
        <v>-48285.014600000635</v>
      </c>
      <c r="AK375" s="66">
        <f t="shared" si="296"/>
        <v>-3278892.0761999977</v>
      </c>
      <c r="AL375" s="66">
        <v>-859122.93360000092</v>
      </c>
      <c r="AM375" s="66">
        <f t="shared" ref="AM375:BB375" si="297">AM367+AM374</f>
        <v>-1056426.6788000008</v>
      </c>
      <c r="AN375" s="66">
        <f t="shared" si="297"/>
        <v>-327388.43689999916</v>
      </c>
      <c r="AO375" s="66">
        <f t="shared" si="297"/>
        <v>-13818446.781500004</v>
      </c>
      <c r="AP375" s="66">
        <f t="shared" si="297"/>
        <v>-955972.8764999999</v>
      </c>
      <c r="AQ375" s="66">
        <f t="shared" si="297"/>
        <v>-372986.65939999989</v>
      </c>
      <c r="AR375" s="66">
        <f t="shared" si="297"/>
        <v>323939.57749999908</v>
      </c>
      <c r="AS375" s="66">
        <f t="shared" si="297"/>
        <v>-466767.62370000023</v>
      </c>
      <c r="AT375" s="66">
        <f t="shared" si="297"/>
        <v>-563471.68439999851</v>
      </c>
      <c r="AU375" s="66">
        <f t="shared" si="297"/>
        <v>-561183.8639000007</v>
      </c>
      <c r="AV375" s="66">
        <f t="shared" si="297"/>
        <v>-610232.81490000058</v>
      </c>
      <c r="AW375" s="66">
        <f t="shared" si="297"/>
        <v>-907762.40560000052</v>
      </c>
      <c r="AX375" s="66">
        <f t="shared" si="297"/>
        <v>-574872.65700000012</v>
      </c>
      <c r="AY375" s="66">
        <f t="shared" si="297"/>
        <v>-679791.61190000037</v>
      </c>
      <c r="AZ375" s="66">
        <f t="shared" si="297"/>
        <v>-655558.77399999998</v>
      </c>
      <c r="BA375" s="66">
        <f t="shared" si="297"/>
        <v>1771671.0521999989</v>
      </c>
      <c r="BB375" s="66">
        <f t="shared" si="297"/>
        <v>-4252990.341600012</v>
      </c>
      <c r="BC375" s="66">
        <f>BC367+BC374</f>
        <v>-693846.58990000049</v>
      </c>
      <c r="BD375" s="66">
        <f t="shared" ref="BD375:BO375" si="298">BD367+BD374</f>
        <v>-325349.14040000254</v>
      </c>
      <c r="BE375" s="66">
        <f t="shared" si="298"/>
        <v>-223878.07260000176</v>
      </c>
      <c r="BF375" s="66">
        <f t="shared" si="298"/>
        <v>-353808.69219999952</v>
      </c>
      <c r="BG375" s="66">
        <f t="shared" si="298"/>
        <v>-139349.86240000062</v>
      </c>
      <c r="BH375" s="66">
        <f t="shared" si="298"/>
        <v>-40035.895799999649</v>
      </c>
      <c r="BI375" s="66">
        <f t="shared" si="298"/>
        <v>-593488.79629999981</v>
      </c>
      <c r="BJ375" s="66">
        <f t="shared" si="298"/>
        <v>0</v>
      </c>
      <c r="BK375" s="66">
        <f t="shared" si="298"/>
        <v>0</v>
      </c>
      <c r="BL375" s="66">
        <f t="shared" si="298"/>
        <v>0</v>
      </c>
      <c r="BM375" s="66">
        <f t="shared" si="298"/>
        <v>0</v>
      </c>
      <c r="BN375" s="66">
        <f t="shared" si="298"/>
        <v>0</v>
      </c>
      <c r="BO375" s="66">
        <f t="shared" si="298"/>
        <v>-2369757.049600007</v>
      </c>
    </row>
    <row r="376" spans="2:67" x14ac:dyDescent="0.2">
      <c r="B376" s="5"/>
      <c r="C376" s="23"/>
      <c r="AB376" s="93">
        <f t="shared" ref="AB376:BB376" si="299">AB375+AB377</f>
        <v>-203347.54860000685</v>
      </c>
      <c r="AC376" s="24">
        <f t="shared" si="299"/>
        <v>0</v>
      </c>
      <c r="AD376" s="24">
        <f t="shared" si="299"/>
        <v>-2.0954757928848267E-9</v>
      </c>
      <c r="AE376" s="24">
        <f t="shared" si="299"/>
        <v>0</v>
      </c>
      <c r="AF376" s="24">
        <f t="shared" si="299"/>
        <v>-1.0477378964424133E-9</v>
      </c>
      <c r="AG376" s="24">
        <f t="shared" si="299"/>
        <v>1.3969838619232178E-9</v>
      </c>
      <c r="AH376" s="24">
        <f t="shared" si="299"/>
        <v>0</v>
      </c>
      <c r="AI376" s="24">
        <f t="shared" si="299"/>
        <v>0</v>
      </c>
      <c r="AJ376" s="24">
        <f t="shared" si="299"/>
        <v>-6.3300831243395805E-10</v>
      </c>
      <c r="AK376" s="24">
        <f t="shared" si="299"/>
        <v>-35.649999997578561</v>
      </c>
      <c r="AL376" s="24">
        <f t="shared" si="299"/>
        <v>-53.560000000870787</v>
      </c>
      <c r="AM376" s="24">
        <f t="shared" si="299"/>
        <v>0</v>
      </c>
      <c r="AN376" s="24">
        <f t="shared" si="299"/>
        <v>-3.789999999164138</v>
      </c>
      <c r="AO376" s="125">
        <f t="shared" si="299"/>
        <v>-3.4700000043958426</v>
      </c>
      <c r="AP376" s="24">
        <f t="shared" si="299"/>
        <v>0</v>
      </c>
      <c r="AQ376" s="24">
        <f t="shared" si="299"/>
        <v>0</v>
      </c>
      <c r="AR376" s="24">
        <f t="shared" si="299"/>
        <v>-9.3132257461547852E-10</v>
      </c>
      <c r="AS376" s="24">
        <f t="shared" si="299"/>
        <v>0</v>
      </c>
      <c r="AT376" s="24">
        <f t="shared" si="299"/>
        <v>1.5133991837501526E-9</v>
      </c>
      <c r="AU376" s="24">
        <f t="shared" si="299"/>
        <v>0</v>
      </c>
      <c r="AV376" s="24">
        <f t="shared" si="299"/>
        <v>0</v>
      </c>
      <c r="AW376" s="24">
        <f t="shared" si="299"/>
        <v>0</v>
      </c>
      <c r="AX376" s="24">
        <f t="shared" si="299"/>
        <v>0</v>
      </c>
      <c r="AY376" s="24">
        <f t="shared" si="299"/>
        <v>0</v>
      </c>
      <c r="AZ376" s="24">
        <f t="shared" si="299"/>
        <v>0</v>
      </c>
      <c r="BA376" s="24">
        <f t="shared" si="299"/>
        <v>0</v>
      </c>
      <c r="BB376" s="24">
        <f t="shared" si="299"/>
        <v>-1.2107193470001221E-8</v>
      </c>
      <c r="BC376" s="24">
        <f t="shared" ref="BC376:BO376" si="300">BC375+BC377</f>
        <v>0</v>
      </c>
      <c r="BD376" s="24">
        <f t="shared" si="300"/>
        <v>-2.5611370801925659E-9</v>
      </c>
      <c r="BE376" s="24">
        <f t="shared" si="300"/>
        <v>-1.7462298274040222E-9</v>
      </c>
      <c r="BF376" s="24">
        <f t="shared" si="300"/>
        <v>4.6566128730773926E-10</v>
      </c>
      <c r="BG376" s="24">
        <f t="shared" si="300"/>
        <v>-6.1118043959140778E-10</v>
      </c>
      <c r="BH376" s="24">
        <f t="shared" si="300"/>
        <v>2.4738255888223648E-10</v>
      </c>
      <c r="BI376" s="24">
        <f t="shared" si="300"/>
        <v>0</v>
      </c>
      <c r="BJ376" s="24">
        <f t="shared" si="300"/>
        <v>0</v>
      </c>
      <c r="BK376" s="24">
        <f t="shared" si="300"/>
        <v>0</v>
      </c>
      <c r="BL376" s="24">
        <f t="shared" si="300"/>
        <v>0</v>
      </c>
      <c r="BM376" s="24">
        <f t="shared" si="300"/>
        <v>0</v>
      </c>
      <c r="BN376" s="24">
        <f t="shared" si="300"/>
        <v>0</v>
      </c>
      <c r="BO376" s="24">
        <f t="shared" si="300"/>
        <v>-6.9849193096160889E-9</v>
      </c>
    </row>
    <row r="377" spans="2:67" x14ac:dyDescent="0.2">
      <c r="B377" s="3" t="s">
        <v>1874</v>
      </c>
      <c r="C377" s="23"/>
      <c r="U377" s="94">
        <v>1441.3642368999997</v>
      </c>
      <c r="V377" s="95">
        <v>1016.8240871</v>
      </c>
      <c r="W377" s="73">
        <v>1360.2799915000001</v>
      </c>
      <c r="X377" s="92">
        <v>734.7835859999999</v>
      </c>
      <c r="Y377" s="83">
        <v>1090929.1043</v>
      </c>
      <c r="Z377" s="83">
        <v>606322.2746</v>
      </c>
      <c r="AA377" s="80">
        <v>646468.80889999995</v>
      </c>
      <c r="AB377" s="80">
        <v>17632014.481400002</v>
      </c>
      <c r="AC377" s="24">
        <v>1126442.1041999999</v>
      </c>
      <c r="AD377" s="24">
        <v>1467307.9501</v>
      </c>
      <c r="AE377" s="24">
        <v>1090012.6265</v>
      </c>
      <c r="AF377" s="24">
        <v>619240.16850000003</v>
      </c>
      <c r="AG377" s="24">
        <v>914651.94779999997</v>
      </c>
      <c r="AH377" s="24">
        <v>1292577.8713</v>
      </c>
      <c r="AI377" s="24">
        <v>1738188.183</v>
      </c>
      <c r="AJ377" s="24">
        <v>48285.014600000002</v>
      </c>
      <c r="AK377" s="24">
        <v>3278856.4262000001</v>
      </c>
      <c r="AL377" s="24">
        <v>859069.37360000005</v>
      </c>
      <c r="AM377" s="24">
        <v>1056426.6788000001</v>
      </c>
      <c r="AN377" s="24">
        <v>327384.64689999999</v>
      </c>
      <c r="AO377" s="125">
        <v>13818443.3115</v>
      </c>
      <c r="AP377" s="24">
        <v>955972.87650000001</v>
      </c>
      <c r="AQ377" s="24">
        <v>372986.6594</v>
      </c>
      <c r="AR377" s="24">
        <v>-323939.57750000001</v>
      </c>
      <c r="AS377" s="24">
        <v>466767.6237</v>
      </c>
      <c r="AT377" s="24">
        <v>563471.68440000003</v>
      </c>
      <c r="AU377" s="24">
        <v>561183.8639</v>
      </c>
      <c r="AV377" s="24">
        <v>610232.8149</v>
      </c>
      <c r="AW377" s="24">
        <v>907762.40560000006</v>
      </c>
      <c r="AX377" s="80">
        <v>574872.65700000001</v>
      </c>
      <c r="AY377" s="80">
        <v>679791.61190000002</v>
      </c>
      <c r="AZ377" s="80">
        <v>655558.77399999998</v>
      </c>
      <c r="BA377" s="80">
        <v>-1771671.0522</v>
      </c>
      <c r="BB377" s="80">
        <v>4252990.3415999999</v>
      </c>
      <c r="BC377" s="24">
        <v>693846.58990000002</v>
      </c>
      <c r="BD377" s="24">
        <v>325349.14039999997</v>
      </c>
      <c r="BE377" s="24">
        <v>223878.07260000001</v>
      </c>
      <c r="BF377" s="24">
        <v>353808.69219999999</v>
      </c>
      <c r="BG377" s="24">
        <v>139349.86240000001</v>
      </c>
      <c r="BH377" s="24">
        <v>40035.895799999897</v>
      </c>
      <c r="BI377" s="24">
        <v>593488.79630000005</v>
      </c>
      <c r="BJ377" s="24"/>
      <c r="BK377" s="80"/>
      <c r="BL377" s="80"/>
      <c r="BM377" s="80"/>
      <c r="BN377" s="80"/>
      <c r="BO377" s="80">
        <v>2369757.0496</v>
      </c>
    </row>
    <row r="378" spans="2:67" x14ac:dyDescent="0.2">
      <c r="B378" s="5"/>
      <c r="C378" s="23"/>
      <c r="W378" s="73"/>
      <c r="AC378" s="8">
        <f t="shared" ref="AC378:AO378" si="301">AC377-AC379</f>
        <v>-0.32000000006519258</v>
      </c>
      <c r="AD378" s="8">
        <f t="shared" si="301"/>
        <v>0</v>
      </c>
      <c r="AE378" s="8">
        <f t="shared" si="301"/>
        <v>0</v>
      </c>
      <c r="AF378" s="8">
        <f t="shared" si="301"/>
        <v>0</v>
      </c>
      <c r="AG378" s="8">
        <f t="shared" si="301"/>
        <v>0</v>
      </c>
      <c r="AH378" s="8">
        <f t="shared" si="301"/>
        <v>0</v>
      </c>
      <c r="AI378" s="8">
        <f t="shared" si="301"/>
        <v>0</v>
      </c>
      <c r="AJ378" s="8">
        <f t="shared" si="301"/>
        <v>0</v>
      </c>
      <c r="AK378" s="8">
        <f t="shared" si="301"/>
        <v>0</v>
      </c>
      <c r="AL378" s="8">
        <f t="shared" si="301"/>
        <v>0</v>
      </c>
      <c r="AM378" s="8">
        <f t="shared" si="301"/>
        <v>0</v>
      </c>
      <c r="AN378" s="8">
        <f t="shared" si="301"/>
        <v>0</v>
      </c>
      <c r="AO378" s="126">
        <f t="shared" si="301"/>
        <v>0</v>
      </c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</row>
    <row r="379" spans="2:67" s="80" customFormat="1" x14ac:dyDescent="0.2">
      <c r="B379" s="80" t="s">
        <v>1909</v>
      </c>
      <c r="C379" s="124"/>
      <c r="AC379" s="80">
        <v>1126442.4242</v>
      </c>
      <c r="AD379" s="80">
        <v>1467307.9501</v>
      </c>
      <c r="AE379" s="80">
        <v>1090012.6265</v>
      </c>
      <c r="AF379" s="80">
        <v>619240.16850000003</v>
      </c>
      <c r="AG379" s="80">
        <v>914651.94779999997</v>
      </c>
      <c r="AH379" s="80">
        <v>1292577.8713</v>
      </c>
      <c r="AI379" s="80">
        <v>1738188.183</v>
      </c>
      <c r="AJ379" s="80">
        <v>48285.014600000002</v>
      </c>
      <c r="AK379" s="80">
        <v>3278856.4262000001</v>
      </c>
      <c r="AL379" s="80">
        <v>859069.37360000005</v>
      </c>
      <c r="AM379" s="80">
        <v>1056426.6788000001</v>
      </c>
      <c r="AN379" s="80">
        <v>327384.64689999999</v>
      </c>
      <c r="AO379" s="119">
        <v>13818443.3115</v>
      </c>
      <c r="AP379" s="80">
        <f t="shared" ref="AP379:BB379" si="302">AP346+AP141</f>
        <v>-209383.08000000002</v>
      </c>
      <c r="AQ379" s="80">
        <f t="shared" si="302"/>
        <v>-268248.34999999998</v>
      </c>
      <c r="AR379" s="80">
        <f t="shared" si="302"/>
        <v>-151656.44</v>
      </c>
      <c r="AS379" s="80">
        <f t="shared" si="302"/>
        <v>-186059.49</v>
      </c>
      <c r="AT379" s="80">
        <f t="shared" si="302"/>
        <v>-225686.97</v>
      </c>
      <c r="AU379" s="80">
        <f t="shared" si="302"/>
        <v>-213226.56</v>
      </c>
      <c r="AV379" s="80">
        <f t="shared" si="302"/>
        <v>-236377.97</v>
      </c>
      <c r="AW379" s="80">
        <f t="shared" si="302"/>
        <v>-230108.97</v>
      </c>
      <c r="AX379" s="80">
        <f t="shared" si="302"/>
        <v>-237773.41999999998</v>
      </c>
      <c r="AY379" s="80">
        <f t="shared" si="302"/>
        <v>-246905.31</v>
      </c>
      <c r="AZ379" s="80">
        <f t="shared" si="302"/>
        <v>-234563.56</v>
      </c>
      <c r="BA379" s="80">
        <f t="shared" si="302"/>
        <v>-232091.08000000002</v>
      </c>
      <c r="BB379" s="80">
        <f t="shared" si="302"/>
        <v>-2672081.2000000002</v>
      </c>
      <c r="BC379" s="80">
        <v>-234290.25</v>
      </c>
      <c r="BD379" s="80">
        <v>-217173.03</v>
      </c>
      <c r="BE379" s="80">
        <v>-217426.63</v>
      </c>
      <c r="BF379" s="80">
        <v>-222982.15</v>
      </c>
      <c r="BG379" s="80">
        <v>-223549.18</v>
      </c>
      <c r="BH379" s="80">
        <v>-188592.15</v>
      </c>
      <c r="BI379" s="80">
        <v>-215215.35999999999</v>
      </c>
      <c r="BJ379" s="80">
        <f t="shared" ref="BJ379:BO379" si="303">BJ346+BJ141</f>
        <v>0</v>
      </c>
      <c r="BK379" s="80">
        <f t="shared" si="303"/>
        <v>0</v>
      </c>
      <c r="BL379" s="80">
        <f t="shared" si="303"/>
        <v>0</v>
      </c>
      <c r="BM379" s="80">
        <f t="shared" si="303"/>
        <v>0</v>
      </c>
      <c r="BN379" s="80">
        <f t="shared" si="303"/>
        <v>0</v>
      </c>
      <c r="BO379" s="80">
        <f t="shared" si="303"/>
        <v>-1519228.75</v>
      </c>
    </row>
    <row r="380" spans="2:67" x14ac:dyDescent="0.2">
      <c r="C380" s="23"/>
      <c r="AN380" s="80"/>
    </row>
    <row r="381" spans="2:67" x14ac:dyDescent="0.2">
      <c r="C381" s="23"/>
    </row>
    <row r="382" spans="2:67" x14ac:dyDescent="0.2">
      <c r="C382" s="23"/>
      <c r="P382" s="24">
        <f t="shared" ref="P382:Z382" si="304">(P44+P34)*-1</f>
        <v>7646715.6699999999</v>
      </c>
      <c r="Q382" s="24">
        <f t="shared" si="304"/>
        <v>5634971.9900000002</v>
      </c>
      <c r="R382" s="24">
        <f t="shared" si="304"/>
        <v>11665033.219999999</v>
      </c>
      <c r="S382" s="24">
        <f t="shared" si="304"/>
        <v>6294515.2800000003</v>
      </c>
      <c r="T382" s="24">
        <f t="shared" si="304"/>
        <v>8818010.0599999987</v>
      </c>
      <c r="U382" s="24">
        <f t="shared" si="304"/>
        <v>7649289.6499999994</v>
      </c>
      <c r="V382" s="24">
        <f t="shared" si="304"/>
        <v>6310205.3500000006</v>
      </c>
      <c r="W382" s="24">
        <f t="shared" si="304"/>
        <v>6672298.790000001</v>
      </c>
      <c r="X382" s="24">
        <f t="shared" si="304"/>
        <v>6782036.6299999999</v>
      </c>
      <c r="Y382" s="24">
        <f t="shared" si="304"/>
        <v>6479708.2799999984</v>
      </c>
      <c r="Z382" s="24">
        <f t="shared" si="304"/>
        <v>4763558.68</v>
      </c>
      <c r="AA382" s="24">
        <v>-78650500.900000006</v>
      </c>
      <c r="AJ382" s="24"/>
      <c r="AK382" s="24"/>
      <c r="AL382" s="24"/>
      <c r="AM382" s="24"/>
      <c r="AN382" s="24"/>
      <c r="AW382" s="24"/>
      <c r="AX382" s="24"/>
      <c r="AY382" s="24"/>
      <c r="AZ382" s="24"/>
      <c r="BA382" s="24"/>
      <c r="BJ382" s="24"/>
      <c r="BK382" s="24"/>
      <c r="BL382" s="24"/>
      <c r="BM382" s="24"/>
      <c r="BN382" s="24"/>
    </row>
    <row r="383" spans="2:67" x14ac:dyDescent="0.2">
      <c r="B383" s="5"/>
      <c r="C383" s="23"/>
    </row>
    <row r="384" spans="2:67" x14ac:dyDescent="0.2">
      <c r="C384" s="23"/>
    </row>
    <row r="385" spans="2:3" x14ac:dyDescent="0.2">
      <c r="C385" s="23"/>
    </row>
    <row r="386" spans="2:3" x14ac:dyDescent="0.2">
      <c r="C386" s="23"/>
    </row>
    <row r="387" spans="2:3" x14ac:dyDescent="0.2">
      <c r="C387" s="23"/>
    </row>
    <row r="388" spans="2:3" x14ac:dyDescent="0.2">
      <c r="C388" s="23"/>
    </row>
    <row r="389" spans="2:3" x14ac:dyDescent="0.2">
      <c r="C389" s="23"/>
    </row>
    <row r="390" spans="2:3" x14ac:dyDescent="0.2">
      <c r="B390" s="5"/>
      <c r="C390" s="23"/>
    </row>
  </sheetData>
  <autoFilter ref="B2:BO379" xr:uid="{EB7792D8-6C74-4EFE-B196-DC9975330FAF}"/>
  <conditionalFormatting sqref="B34:B1048576 B1:B32">
    <cfRule type="duplicateValues" dxfId="48" priority="7"/>
  </conditionalFormatting>
  <conditionalFormatting sqref="AC126:BO131">
    <cfRule type="cellIs" dxfId="47" priority="1" operator="greaterThan">
      <formula>0.3</formula>
    </cfRule>
  </conditionalFormatting>
  <pageMargins left="0.7" right="0.7" top="0.75" bottom="0.75" header="0.3" footer="0.3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2A82-4F9E-4053-9CB8-74050A58E751}">
  <dimension ref="A1:F467"/>
  <sheetViews>
    <sheetView topLeftCell="A89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5.5703125" style="3" bestFit="1" customWidth="1"/>
    <col min="6" max="6" width="8.7109375" style="3" bestFit="1" customWidth="1"/>
    <col min="7" max="16384" width="9.140625" style="3"/>
  </cols>
  <sheetData>
    <row r="1" spans="1:6" ht="4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1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VLOOKUP(B2,'Balance Sheet'!#REF!,2,0)</f>
        <v>#REF!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VLOOKUP(B3,'Balance Sheet'!#REF!,2,0)</f>
        <v>#REF!</v>
      </c>
    </row>
    <row r="4" spans="1:6" s="18" customFormat="1" x14ac:dyDescent="0.2">
      <c r="A4" s="18" t="s">
        <v>4</v>
      </c>
      <c r="B4" s="18" t="s">
        <v>5</v>
      </c>
      <c r="C4" s="19">
        <v>329.08</v>
      </c>
      <c r="D4" s="19">
        <v>329.08</v>
      </c>
      <c r="E4" s="19">
        <v>0</v>
      </c>
      <c r="F4" s="18" t="e">
        <f>VLOOKUP(B4,'Balance Sheet'!#REF!,2,0)</f>
        <v>#REF!</v>
      </c>
    </row>
    <row r="5" spans="1:6" s="18" customFormat="1" x14ac:dyDescent="0.2">
      <c r="A5" s="18" t="s">
        <v>4</v>
      </c>
      <c r="B5" s="18" t="s">
        <v>7</v>
      </c>
      <c r="C5" s="19">
        <v>610.44000000000005</v>
      </c>
      <c r="D5" s="19">
        <v>610.44000000000005</v>
      </c>
      <c r="E5" s="19">
        <v>0</v>
      </c>
      <c r="F5" s="18" t="e">
        <f>VLOOKUP(B5,'Balance Sheet'!#REF!,2,0)</f>
        <v>#REF!</v>
      </c>
    </row>
    <row r="6" spans="1:6" s="18" customFormat="1" x14ac:dyDescent="0.2">
      <c r="A6" s="18" t="s">
        <v>4</v>
      </c>
      <c r="B6" s="18" t="s">
        <v>8</v>
      </c>
      <c r="C6" s="19">
        <v>27542.03</v>
      </c>
      <c r="D6" s="19">
        <v>27542.03</v>
      </c>
      <c r="E6" s="19">
        <v>0</v>
      </c>
      <c r="F6" s="18" t="e">
        <f>VLOOKUP(B6,'Balance Sheet'!#REF!,2,0)</f>
        <v>#REF!</v>
      </c>
    </row>
    <row r="7" spans="1:6" s="18" customFormat="1" x14ac:dyDescent="0.2">
      <c r="A7" s="18" t="s">
        <v>4</v>
      </c>
      <c r="B7" s="18" t="s">
        <v>9</v>
      </c>
      <c r="C7" s="19">
        <v>-23245.09</v>
      </c>
      <c r="D7" s="19">
        <v>-23245.09</v>
      </c>
      <c r="E7" s="19">
        <v>0</v>
      </c>
      <c r="F7" s="18" t="e">
        <f>VLOOKUP(B7,'Balance Sheet'!#REF!,2,0)</f>
        <v>#REF!</v>
      </c>
    </row>
    <row r="8" spans="1:6" s="18" customFormat="1" x14ac:dyDescent="0.2">
      <c r="A8" s="18" t="s">
        <v>4</v>
      </c>
      <c r="B8" s="18" t="s">
        <v>10</v>
      </c>
      <c r="C8" s="19">
        <v>68.59</v>
      </c>
      <c r="D8" s="19">
        <v>68.59</v>
      </c>
      <c r="E8" s="19">
        <v>0</v>
      </c>
      <c r="F8" s="18" t="e">
        <f>VLOOKUP(B8,'Balance Sheet'!#REF!,2,0)</f>
        <v>#REF!</v>
      </c>
    </row>
    <row r="9" spans="1:6" s="18" customFormat="1" x14ac:dyDescent="0.2">
      <c r="A9" s="18" t="s">
        <v>4</v>
      </c>
      <c r="B9" s="18" t="s">
        <v>11</v>
      </c>
      <c r="C9" s="19">
        <v>2.69</v>
      </c>
      <c r="D9" s="19">
        <v>2.69</v>
      </c>
      <c r="E9" s="19">
        <v>0</v>
      </c>
      <c r="F9" s="18" t="e">
        <f>VLOOKUP(B9,'Balance Sheet'!#REF!,2,0)</f>
        <v>#REF!</v>
      </c>
    </row>
    <row r="10" spans="1:6" x14ac:dyDescent="0.2">
      <c r="A10" s="3" t="s">
        <v>4</v>
      </c>
      <c r="B10" s="3" t="s">
        <v>2</v>
      </c>
      <c r="C10" s="4">
        <v>5307.74</v>
      </c>
      <c r="D10" s="4">
        <v>5307.74</v>
      </c>
      <c r="E10" s="4">
        <v>0</v>
      </c>
      <c r="F10" s="3" t="e">
        <f>VLOOKUP(B10,'Balance Sheet'!#REF!,2,0)</f>
        <v>#REF!</v>
      </c>
    </row>
    <row r="11" spans="1:6" x14ac:dyDescent="0.2">
      <c r="A11" s="3" t="s">
        <v>12</v>
      </c>
      <c r="B11" s="3" t="s">
        <v>2</v>
      </c>
      <c r="C11" s="4">
        <v>5307.74</v>
      </c>
      <c r="D11" s="4">
        <v>5307.74</v>
      </c>
      <c r="E11" s="4">
        <v>0</v>
      </c>
      <c r="F11" s="3" t="e">
        <f>VLOOKUP(B11,'Balance Sheet'!#REF!,2,0)</f>
        <v>#REF!</v>
      </c>
    </row>
    <row r="12" spans="1:6" x14ac:dyDescent="0.2">
      <c r="A12" s="3" t="s">
        <v>13</v>
      </c>
      <c r="B12" s="3" t="s">
        <v>14</v>
      </c>
      <c r="C12" s="4">
        <v>13061995.42</v>
      </c>
      <c r="D12" s="4">
        <v>13061995.42</v>
      </c>
      <c r="E12" s="4">
        <v>0</v>
      </c>
      <c r="F12" s="3" t="e">
        <f>VLOOKUP(B12,'Balance Sheet'!#REF!,2,0)</f>
        <v>#REF!</v>
      </c>
    </row>
    <row r="13" spans="1:6" x14ac:dyDescent="0.2">
      <c r="A13" s="3" t="s">
        <v>13</v>
      </c>
      <c r="B13" s="3" t="s">
        <v>15</v>
      </c>
      <c r="C13" s="4">
        <v>-65935.64</v>
      </c>
      <c r="D13" s="4">
        <v>-65935.64</v>
      </c>
      <c r="E13" s="4">
        <v>0</v>
      </c>
      <c r="F13" s="3" t="e">
        <f>VLOOKUP(B13,'Balance Sheet'!#REF!,2,0)</f>
        <v>#REF!</v>
      </c>
    </row>
    <row r="14" spans="1:6" s="18" customFormat="1" x14ac:dyDescent="0.2">
      <c r="A14" s="18" t="s">
        <v>13</v>
      </c>
      <c r="B14" s="18" t="s">
        <v>16</v>
      </c>
      <c r="C14" s="19">
        <v>1608482</v>
      </c>
      <c r="D14" s="19">
        <v>1608482</v>
      </c>
      <c r="E14" s="19">
        <v>0</v>
      </c>
      <c r="F14" s="18" t="e">
        <f>VLOOKUP(B14,'Balance Sheet'!#REF!,2,0)</f>
        <v>#REF!</v>
      </c>
    </row>
    <row r="15" spans="1:6" s="18" customFormat="1" x14ac:dyDescent="0.2">
      <c r="A15" s="18" t="s">
        <v>13</v>
      </c>
      <c r="B15" s="18" t="s">
        <v>17</v>
      </c>
      <c r="C15" s="19">
        <v>-100611.35</v>
      </c>
      <c r="D15" s="19">
        <v>-100611.35</v>
      </c>
      <c r="E15" s="19">
        <v>0</v>
      </c>
      <c r="F15" s="18" t="e">
        <f>VLOOKUP(B15,'Balance Sheet'!#REF!,2,0)</f>
        <v>#REF!</v>
      </c>
    </row>
    <row r="16" spans="1:6" x14ac:dyDescent="0.2">
      <c r="A16" s="3" t="s">
        <v>13</v>
      </c>
      <c r="B16" s="3" t="s">
        <v>2</v>
      </c>
      <c r="C16" s="4">
        <v>14503930.43</v>
      </c>
      <c r="D16" s="4">
        <v>14503930.43</v>
      </c>
      <c r="E16" s="4">
        <v>0</v>
      </c>
      <c r="F16" s="3" t="e">
        <f>VLOOKUP(B16,'Balance Sheet'!#REF!,2,0)</f>
        <v>#REF!</v>
      </c>
    </row>
    <row r="17" spans="1:6" x14ac:dyDescent="0.2">
      <c r="A17" s="3" t="s">
        <v>18</v>
      </c>
      <c r="B17" s="3" t="s">
        <v>19</v>
      </c>
      <c r="C17" s="4">
        <v>-38389.61</v>
      </c>
      <c r="D17" s="4">
        <v>-38389.61</v>
      </c>
      <c r="E17" s="4">
        <v>0</v>
      </c>
      <c r="F17" s="3" t="e">
        <f>VLOOKUP(B17,'Balance Sheet'!#REF!,2,0)</f>
        <v>#REF!</v>
      </c>
    </row>
    <row r="18" spans="1:6" x14ac:dyDescent="0.2">
      <c r="A18" s="3" t="s">
        <v>18</v>
      </c>
      <c r="B18" s="3" t="s">
        <v>2</v>
      </c>
      <c r="C18" s="4">
        <v>-38389.61</v>
      </c>
      <c r="D18" s="4">
        <v>-38389.61</v>
      </c>
      <c r="E18" s="4">
        <v>0</v>
      </c>
      <c r="F18" s="3" t="e">
        <f>VLOOKUP(B18,'Balance Sheet'!#REF!,2,0)</f>
        <v>#REF!</v>
      </c>
    </row>
    <row r="19" spans="1:6" x14ac:dyDescent="0.2">
      <c r="A19" s="3" t="s">
        <v>20</v>
      </c>
      <c r="B19" s="3" t="s">
        <v>2</v>
      </c>
      <c r="C19" s="4">
        <v>14465540.82</v>
      </c>
      <c r="D19" s="4">
        <v>14465540.82</v>
      </c>
      <c r="E19" s="4">
        <v>0</v>
      </c>
      <c r="F19" s="3" t="e">
        <f>VLOOKUP(B19,'Balance Sheet'!#REF!,2,0)</f>
        <v>#REF!</v>
      </c>
    </row>
    <row r="20" spans="1:6" s="18" customFormat="1" x14ac:dyDescent="0.2">
      <c r="A20" s="18" t="s">
        <v>21</v>
      </c>
      <c r="B20" s="18" t="s">
        <v>22</v>
      </c>
      <c r="C20" s="19">
        <v>0.01</v>
      </c>
      <c r="D20" s="19">
        <v>0.01</v>
      </c>
      <c r="E20" s="19">
        <v>0</v>
      </c>
      <c r="F20" s="18" t="e">
        <f>VLOOKUP(B20,'Balance Sheet'!#REF!,2,0)</f>
        <v>#REF!</v>
      </c>
    </row>
    <row r="21" spans="1:6" s="18" customFormat="1" x14ac:dyDescent="0.2">
      <c r="A21" s="18" t="s">
        <v>21</v>
      </c>
      <c r="B21" s="18" t="s">
        <v>25</v>
      </c>
      <c r="C21" s="19">
        <v>2588.06</v>
      </c>
      <c r="D21" s="19">
        <v>2588.06</v>
      </c>
      <c r="E21" s="19">
        <v>0</v>
      </c>
      <c r="F21" s="18" t="e">
        <f>VLOOKUP(B21,'Balance Sheet'!#REF!,2,0)</f>
        <v>#REF!</v>
      </c>
    </row>
    <row r="22" spans="1:6" s="18" customFormat="1" x14ac:dyDescent="0.2">
      <c r="A22" s="18" t="s">
        <v>21</v>
      </c>
      <c r="B22" s="18" t="s">
        <v>26</v>
      </c>
      <c r="C22" s="19">
        <v>0.01</v>
      </c>
      <c r="D22" s="19">
        <v>0.01</v>
      </c>
      <c r="E22" s="19">
        <v>0</v>
      </c>
      <c r="F22" s="18" t="e">
        <f>VLOOKUP(B22,'Balance Sheet'!#REF!,2,0)</f>
        <v>#REF!</v>
      </c>
    </row>
    <row r="23" spans="1:6" x14ac:dyDescent="0.2">
      <c r="A23" s="3" t="s">
        <v>21</v>
      </c>
      <c r="B23" s="3" t="s">
        <v>27</v>
      </c>
      <c r="C23" s="4">
        <v>25403.68</v>
      </c>
      <c r="D23" s="4">
        <v>25403.68</v>
      </c>
      <c r="E23" s="4">
        <v>0</v>
      </c>
      <c r="F23" s="3" t="e">
        <f>VLOOKUP(B23,'Balance Sheet'!#REF!,2,0)</f>
        <v>#REF!</v>
      </c>
    </row>
    <row r="24" spans="1:6" x14ac:dyDescent="0.2">
      <c r="A24" s="3" t="s">
        <v>21</v>
      </c>
      <c r="B24" s="3" t="s">
        <v>28</v>
      </c>
      <c r="C24" s="4">
        <v>10538.29</v>
      </c>
      <c r="D24" s="4">
        <v>10538.29</v>
      </c>
      <c r="E24" s="4">
        <v>0</v>
      </c>
      <c r="F24" s="3" t="e">
        <f>VLOOKUP(B24,'Balance Sheet'!#REF!,2,0)</f>
        <v>#REF!</v>
      </c>
    </row>
    <row r="25" spans="1:6" s="18" customFormat="1" x14ac:dyDescent="0.2">
      <c r="A25" s="18" t="s">
        <v>21</v>
      </c>
      <c r="B25" s="18" t="s">
        <v>29</v>
      </c>
      <c r="C25" s="19">
        <v>19.350000000000001</v>
      </c>
      <c r="D25" s="19">
        <v>19.350000000000001</v>
      </c>
      <c r="E25" s="19">
        <v>0</v>
      </c>
      <c r="F25" s="18" t="e">
        <f>VLOOKUP(B25,'Balance Sheet'!#REF!,2,0)</f>
        <v>#REF!</v>
      </c>
    </row>
    <row r="26" spans="1:6" x14ac:dyDescent="0.2">
      <c r="A26" s="3" t="s">
        <v>21</v>
      </c>
      <c r="B26" s="3" t="s">
        <v>2</v>
      </c>
      <c r="C26" s="4">
        <v>38549.4</v>
      </c>
      <c r="D26" s="4">
        <v>38549.4</v>
      </c>
      <c r="E26" s="4">
        <v>0</v>
      </c>
      <c r="F26" s="3" t="e">
        <f>VLOOKUP(B26,'Balance Sheet'!#REF!,2,0)</f>
        <v>#REF!</v>
      </c>
    </row>
    <row r="27" spans="1:6" x14ac:dyDescent="0.2">
      <c r="A27" s="3" t="s">
        <v>30</v>
      </c>
      <c r="B27" s="3" t="s">
        <v>31</v>
      </c>
      <c r="C27" s="4">
        <v>17751.830000000002</v>
      </c>
      <c r="D27" s="4">
        <v>17751.830000000002</v>
      </c>
      <c r="E27" s="4">
        <v>0</v>
      </c>
      <c r="F27" s="3" t="e">
        <f>VLOOKUP(B27,'Balance Sheet'!#REF!,2,0)</f>
        <v>#REF!</v>
      </c>
    </row>
    <row r="28" spans="1:6" x14ac:dyDescent="0.2">
      <c r="A28" s="3" t="s">
        <v>30</v>
      </c>
      <c r="B28" s="3" t="s">
        <v>2</v>
      </c>
      <c r="C28" s="4">
        <v>17751.830000000002</v>
      </c>
      <c r="D28" s="4">
        <v>17751.830000000002</v>
      </c>
      <c r="E28" s="4">
        <v>0</v>
      </c>
      <c r="F28" s="3" t="e">
        <f>VLOOKUP(B28,'Balance Sheet'!#REF!,2,0)</f>
        <v>#REF!</v>
      </c>
    </row>
    <row r="29" spans="1:6" x14ac:dyDescent="0.2">
      <c r="A29" s="3" t="s">
        <v>32</v>
      </c>
      <c r="B29" s="3" t="s">
        <v>33</v>
      </c>
      <c r="C29" s="4">
        <v>55428.1</v>
      </c>
      <c r="D29" s="4">
        <v>55428.1</v>
      </c>
      <c r="E29" s="4">
        <v>0</v>
      </c>
      <c r="F29" s="3" t="e">
        <f>VLOOKUP(B29,'Balance Sheet'!#REF!,2,0)</f>
        <v>#REF!</v>
      </c>
    </row>
    <row r="30" spans="1:6" x14ac:dyDescent="0.2">
      <c r="A30" s="3" t="s">
        <v>32</v>
      </c>
      <c r="B30" s="3" t="s">
        <v>34</v>
      </c>
      <c r="C30" s="4">
        <v>-238.21</v>
      </c>
      <c r="D30" s="4">
        <v>-238.21</v>
      </c>
      <c r="E30" s="4">
        <v>0</v>
      </c>
      <c r="F30" s="3" t="e">
        <f>VLOOKUP(B30,'Balance Sheet'!#REF!,2,0)</f>
        <v>#REF!</v>
      </c>
    </row>
    <row r="31" spans="1:6" x14ac:dyDescent="0.2">
      <c r="A31" s="3" t="s">
        <v>32</v>
      </c>
      <c r="B31" s="3" t="s">
        <v>971</v>
      </c>
      <c r="C31" s="4">
        <v>601.35</v>
      </c>
      <c r="D31" s="4">
        <v>601.35</v>
      </c>
      <c r="E31" s="4">
        <v>0</v>
      </c>
      <c r="F31" s="3" t="e">
        <f>VLOOKUP(B31,'Balance Sheet'!#REF!,2,0)</f>
        <v>#REF!</v>
      </c>
    </row>
    <row r="32" spans="1:6" x14ac:dyDescent="0.2">
      <c r="A32" s="3" t="s">
        <v>32</v>
      </c>
      <c r="B32" s="3" t="s">
        <v>972</v>
      </c>
      <c r="C32" s="4">
        <v>-4.2699999999999996</v>
      </c>
      <c r="D32" s="4">
        <v>-4.2699999999999996</v>
      </c>
      <c r="E32" s="4">
        <v>0</v>
      </c>
      <c r="F32" s="3" t="e">
        <f>VLOOKUP(B32,'Balance Sheet'!#REF!,2,0)</f>
        <v>#REF!</v>
      </c>
    </row>
    <row r="33" spans="1:6" s="18" customFormat="1" x14ac:dyDescent="0.2">
      <c r="A33" s="18" t="s">
        <v>32</v>
      </c>
      <c r="B33" s="18" t="s">
        <v>35</v>
      </c>
      <c r="C33" s="19">
        <v>2597.52</v>
      </c>
      <c r="D33" s="19">
        <v>2597.52</v>
      </c>
      <c r="E33" s="19">
        <v>0</v>
      </c>
      <c r="F33" s="18" t="e">
        <f>VLOOKUP(B33,'Balance Sheet'!#REF!,2,0)</f>
        <v>#REF!</v>
      </c>
    </row>
    <row r="34" spans="1:6" s="18" customFormat="1" x14ac:dyDescent="0.2">
      <c r="A34" s="18" t="s">
        <v>32</v>
      </c>
      <c r="B34" s="18" t="s">
        <v>477</v>
      </c>
      <c r="C34" s="19">
        <v>2611.46</v>
      </c>
      <c r="D34" s="19">
        <v>2611.46</v>
      </c>
      <c r="E34" s="19">
        <v>0</v>
      </c>
      <c r="F34" s="18" t="e">
        <f>VLOOKUP(B34,'Balance Sheet'!#REF!,2,0)</f>
        <v>#REF!</v>
      </c>
    </row>
    <row r="35" spans="1:6" s="18" customFormat="1" x14ac:dyDescent="0.2">
      <c r="A35" s="18" t="s">
        <v>32</v>
      </c>
      <c r="B35" s="18" t="s">
        <v>478</v>
      </c>
      <c r="C35" s="19">
        <v>-5.3</v>
      </c>
      <c r="D35" s="19">
        <v>-5.3</v>
      </c>
      <c r="E35" s="19">
        <v>0</v>
      </c>
      <c r="F35" s="18" t="e">
        <f>VLOOKUP(B35,'Balance Sheet'!#REF!,2,0)</f>
        <v>#REF!</v>
      </c>
    </row>
    <row r="36" spans="1:6" x14ac:dyDescent="0.2">
      <c r="A36" s="3" t="s">
        <v>32</v>
      </c>
      <c r="B36" s="3" t="s">
        <v>36</v>
      </c>
      <c r="C36" s="4">
        <v>7323.97</v>
      </c>
      <c r="D36" s="4">
        <v>7323.97</v>
      </c>
      <c r="E36" s="4">
        <v>0</v>
      </c>
      <c r="F36" s="3" t="e">
        <f>VLOOKUP(B36,'Balance Sheet'!#REF!,2,0)</f>
        <v>#REF!</v>
      </c>
    </row>
    <row r="37" spans="1:6" s="18" customFormat="1" x14ac:dyDescent="0.2">
      <c r="A37" s="18" t="s">
        <v>32</v>
      </c>
      <c r="B37" s="18" t="s">
        <v>39</v>
      </c>
      <c r="C37" s="19">
        <v>2618.36</v>
      </c>
      <c r="D37" s="19">
        <v>2618.36</v>
      </c>
      <c r="E37" s="19">
        <v>0</v>
      </c>
      <c r="F37" s="18" t="e">
        <f>VLOOKUP(B37,'Balance Sheet'!#REF!,2,0)</f>
        <v>#REF!</v>
      </c>
    </row>
    <row r="38" spans="1:6" s="18" customFormat="1" x14ac:dyDescent="0.2">
      <c r="A38" s="18" t="s">
        <v>32</v>
      </c>
      <c r="B38" s="18" t="s">
        <v>42</v>
      </c>
      <c r="C38" s="19">
        <v>40.380000000000003</v>
      </c>
      <c r="D38" s="19">
        <v>40.380000000000003</v>
      </c>
      <c r="E38" s="19">
        <v>0</v>
      </c>
      <c r="F38" s="18" t="e">
        <f>VLOOKUP(B38,'Balance Sheet'!#REF!,2,0)</f>
        <v>#REF!</v>
      </c>
    </row>
    <row r="39" spans="1:6" x14ac:dyDescent="0.2">
      <c r="A39" s="3" t="s">
        <v>32</v>
      </c>
      <c r="B39" s="3" t="s">
        <v>2</v>
      </c>
      <c r="C39" s="4">
        <v>70973.36</v>
      </c>
      <c r="D39" s="4">
        <v>70973.36</v>
      </c>
      <c r="E39" s="4">
        <v>0</v>
      </c>
      <c r="F39" s="3" t="e">
        <f>VLOOKUP(B39,'Balance Sheet'!#REF!,2,0)</f>
        <v>#REF!</v>
      </c>
    </row>
    <row r="40" spans="1:6" x14ac:dyDescent="0.2">
      <c r="A40" s="3" t="s">
        <v>43</v>
      </c>
      <c r="B40" s="3" t="s">
        <v>2</v>
      </c>
      <c r="C40" s="4">
        <v>127274.59</v>
      </c>
      <c r="D40" s="4">
        <v>127274.59</v>
      </c>
      <c r="E40" s="4">
        <v>0</v>
      </c>
      <c r="F40" s="3" t="e">
        <f>VLOOKUP(B40,'Balance Sheet'!#REF!,2,0)</f>
        <v>#REF!</v>
      </c>
    </row>
    <row r="41" spans="1:6" s="18" customFormat="1" x14ac:dyDescent="0.2">
      <c r="A41" s="18" t="s">
        <v>44</v>
      </c>
      <c r="B41" s="18" t="s">
        <v>973</v>
      </c>
      <c r="C41" s="19">
        <v>-0.1</v>
      </c>
      <c r="D41" s="19">
        <v>-0.1</v>
      </c>
      <c r="E41" s="19">
        <v>0</v>
      </c>
      <c r="F41" s="18" t="e">
        <f>VLOOKUP(B41,'Balance Sheet'!#REF!,2,0)</f>
        <v>#REF!</v>
      </c>
    </row>
    <row r="42" spans="1:6" x14ac:dyDescent="0.2">
      <c r="A42" s="3" t="s">
        <v>44</v>
      </c>
      <c r="B42" s="3" t="s">
        <v>45</v>
      </c>
      <c r="C42" s="4">
        <v>13388.01</v>
      </c>
      <c r="D42" s="4">
        <v>13388.01</v>
      </c>
      <c r="E42" s="4">
        <v>0</v>
      </c>
      <c r="F42" s="3" t="e">
        <f>VLOOKUP(B42,'Balance Sheet'!#REF!,2,0)</f>
        <v>#REF!</v>
      </c>
    </row>
    <row r="43" spans="1:6" s="18" customFormat="1" x14ac:dyDescent="0.2">
      <c r="A43" s="18" t="s">
        <v>44</v>
      </c>
      <c r="B43" s="18" t="s">
        <v>46</v>
      </c>
      <c r="C43" s="19">
        <v>1668.98</v>
      </c>
      <c r="D43" s="19">
        <v>1668.98</v>
      </c>
      <c r="E43" s="19">
        <v>0</v>
      </c>
      <c r="F43" s="18" t="e">
        <f>VLOOKUP(B43,'Balance Sheet'!#REF!,2,0)</f>
        <v>#REF!</v>
      </c>
    </row>
    <row r="44" spans="1:6" x14ac:dyDescent="0.2">
      <c r="A44" s="3" t="s">
        <v>44</v>
      </c>
      <c r="B44" s="3" t="s">
        <v>2</v>
      </c>
      <c r="C44" s="4">
        <v>15056.89</v>
      </c>
      <c r="D44" s="4">
        <v>15056.89</v>
      </c>
      <c r="E44" s="4">
        <v>0</v>
      </c>
      <c r="F44" s="3" t="e">
        <f>VLOOKUP(B44,'Balance Sheet'!#REF!,2,0)</f>
        <v>#REF!</v>
      </c>
    </row>
    <row r="45" spans="1:6" x14ac:dyDescent="0.2">
      <c r="A45" s="3" t="s">
        <v>47</v>
      </c>
      <c r="B45" s="3" t="s">
        <v>48</v>
      </c>
      <c r="C45" s="4">
        <v>12826014.41</v>
      </c>
      <c r="D45" s="4">
        <v>12826014.41</v>
      </c>
      <c r="E45" s="4">
        <v>0</v>
      </c>
      <c r="F45" s="3" t="e">
        <f>VLOOKUP(B45,'Balance Sheet'!#REF!,2,0)</f>
        <v>#REF!</v>
      </c>
    </row>
    <row r="46" spans="1:6" s="18" customFormat="1" x14ac:dyDescent="0.2">
      <c r="A46" s="18" t="s">
        <v>47</v>
      </c>
      <c r="B46" s="18" t="s">
        <v>974</v>
      </c>
      <c r="C46" s="19">
        <v>-1140.94</v>
      </c>
      <c r="D46" s="19">
        <v>-1140.94</v>
      </c>
      <c r="E46" s="19">
        <v>0</v>
      </c>
      <c r="F46" s="18" t="e">
        <f>VLOOKUP(B46,'Balance Sheet'!#REF!,2,0)</f>
        <v>#REF!</v>
      </c>
    </row>
    <row r="47" spans="1:6" x14ac:dyDescent="0.2">
      <c r="A47" s="3" t="s">
        <v>47</v>
      </c>
      <c r="B47" s="3" t="s">
        <v>49</v>
      </c>
      <c r="C47" s="4">
        <v>36331.370000000003</v>
      </c>
      <c r="D47" s="4">
        <v>36331.370000000003</v>
      </c>
      <c r="E47" s="4">
        <v>0</v>
      </c>
      <c r="F47" s="3" t="e">
        <f>VLOOKUP(B47,'Balance Sheet'!#REF!,2,0)</f>
        <v>#REF!</v>
      </c>
    </row>
    <row r="48" spans="1:6" x14ac:dyDescent="0.2">
      <c r="A48" s="3" t="s">
        <v>47</v>
      </c>
      <c r="B48" s="3" t="s">
        <v>50</v>
      </c>
      <c r="C48" s="4">
        <v>909825</v>
      </c>
      <c r="D48" s="4">
        <v>909825</v>
      </c>
      <c r="E48" s="4">
        <v>0</v>
      </c>
      <c r="F48" s="3" t="e">
        <f>VLOOKUP(B48,'Balance Sheet'!#REF!,2,0)</f>
        <v>#REF!</v>
      </c>
    </row>
    <row r="49" spans="1:6" x14ac:dyDescent="0.2">
      <c r="A49" s="3" t="s">
        <v>47</v>
      </c>
      <c r="B49" s="3" t="s">
        <v>51</v>
      </c>
      <c r="C49" s="4">
        <v>1970301.88</v>
      </c>
      <c r="D49" s="4">
        <v>1970301.88</v>
      </c>
      <c r="E49" s="4">
        <v>0</v>
      </c>
      <c r="F49" s="3" t="e">
        <f>VLOOKUP(B49,'Balance Sheet'!#REF!,2,0)</f>
        <v>#REF!</v>
      </c>
    </row>
    <row r="50" spans="1:6" x14ac:dyDescent="0.2">
      <c r="A50" s="3" t="s">
        <v>47</v>
      </c>
      <c r="B50" s="3" t="s">
        <v>52</v>
      </c>
      <c r="C50" s="4">
        <v>2830113.28</v>
      </c>
      <c r="D50" s="4">
        <v>2830113.28</v>
      </c>
      <c r="E50" s="4">
        <v>0</v>
      </c>
      <c r="F50" s="3" t="e">
        <f>VLOOKUP(B50,'Balance Sheet'!#REF!,2,0)</f>
        <v>#REF!</v>
      </c>
    </row>
    <row r="51" spans="1:6" s="18" customFormat="1" x14ac:dyDescent="0.2">
      <c r="A51" s="18" t="s">
        <v>47</v>
      </c>
      <c r="B51" s="18" t="s">
        <v>54</v>
      </c>
      <c r="C51" s="19">
        <v>24644.400000000001</v>
      </c>
      <c r="D51" s="19">
        <v>24644.400000000001</v>
      </c>
      <c r="E51" s="19">
        <v>0</v>
      </c>
      <c r="F51" s="18" t="e">
        <f>VLOOKUP(B51,'Balance Sheet'!#REF!,2,0)</f>
        <v>#REF!</v>
      </c>
    </row>
    <row r="52" spans="1:6" x14ac:dyDescent="0.2">
      <c r="A52" s="3" t="s">
        <v>47</v>
      </c>
      <c r="B52" s="3" t="s">
        <v>55</v>
      </c>
      <c r="C52" s="4">
        <v>-1502250.41</v>
      </c>
      <c r="D52" s="4">
        <v>-1502250.41</v>
      </c>
      <c r="E52" s="4">
        <v>0</v>
      </c>
      <c r="F52" s="3" t="e">
        <f>VLOOKUP(B52,'Balance Sheet'!#REF!,2,0)</f>
        <v>#REF!</v>
      </c>
    </row>
    <row r="53" spans="1:6" x14ac:dyDescent="0.2">
      <c r="A53" s="3" t="s">
        <v>47</v>
      </c>
      <c r="B53" s="3" t="s">
        <v>56</v>
      </c>
      <c r="C53" s="4">
        <v>10841.15</v>
      </c>
      <c r="D53" s="4">
        <v>10841.15</v>
      </c>
      <c r="E53" s="4">
        <v>0</v>
      </c>
      <c r="F53" s="3" t="e">
        <f>VLOOKUP(B53,'Balance Sheet'!#REF!,2,0)</f>
        <v>#REF!</v>
      </c>
    </row>
    <row r="54" spans="1:6" x14ac:dyDescent="0.2">
      <c r="A54" s="3" t="s">
        <v>47</v>
      </c>
      <c r="B54" s="3" t="s">
        <v>57</v>
      </c>
      <c r="C54" s="4">
        <v>-17336.18</v>
      </c>
      <c r="D54" s="4">
        <v>-17336.18</v>
      </c>
      <c r="E54" s="4">
        <v>0</v>
      </c>
      <c r="F54" s="3" t="e">
        <f>VLOOKUP(B54,'Balance Sheet'!#REF!,2,0)</f>
        <v>#REF!</v>
      </c>
    </row>
    <row r="55" spans="1:6" x14ac:dyDescent="0.2">
      <c r="A55" s="3" t="s">
        <v>47</v>
      </c>
      <c r="B55" s="3" t="s">
        <v>58</v>
      </c>
      <c r="C55" s="4">
        <v>-1022.65</v>
      </c>
      <c r="D55" s="4">
        <v>-1022.65</v>
      </c>
      <c r="E55" s="4">
        <v>0</v>
      </c>
      <c r="F55" s="3" t="e">
        <f>VLOOKUP(B55,'Balance Sheet'!#REF!,2,0)</f>
        <v>#REF!</v>
      </c>
    </row>
    <row r="56" spans="1:6" x14ac:dyDescent="0.2">
      <c r="A56" s="3" t="s">
        <v>47</v>
      </c>
      <c r="B56" s="3" t="s">
        <v>2</v>
      </c>
      <c r="C56" s="4">
        <v>17086321.309999999</v>
      </c>
      <c r="D56" s="4">
        <v>17086321.309999999</v>
      </c>
      <c r="E56" s="4">
        <v>0</v>
      </c>
      <c r="F56" s="3" t="e">
        <f>VLOOKUP(B56,'Balance Sheet'!#REF!,2,0)</f>
        <v>#REF!</v>
      </c>
    </row>
    <row r="57" spans="1:6" x14ac:dyDescent="0.2">
      <c r="A57" s="3" t="s">
        <v>59</v>
      </c>
      <c r="B57" s="3" t="s">
        <v>60</v>
      </c>
      <c r="C57" s="4">
        <v>247348.17</v>
      </c>
      <c r="D57" s="4">
        <v>247348.17</v>
      </c>
      <c r="E57" s="4">
        <v>0</v>
      </c>
      <c r="F57" s="3" t="e">
        <f>VLOOKUP(B57,'Balance Sheet'!#REF!,2,0)</f>
        <v>#REF!</v>
      </c>
    </row>
    <row r="58" spans="1:6" s="18" customFormat="1" x14ac:dyDescent="0.2">
      <c r="A58" s="18" t="s">
        <v>59</v>
      </c>
      <c r="B58" s="18" t="s">
        <v>975</v>
      </c>
      <c r="C58" s="19">
        <v>-4793.88</v>
      </c>
      <c r="D58" s="19">
        <v>-4793.88</v>
      </c>
      <c r="E58" s="19">
        <v>0</v>
      </c>
      <c r="F58" s="18" t="e">
        <f>VLOOKUP(B58,'Balance Sheet'!#REF!,2,0)</f>
        <v>#REF!</v>
      </c>
    </row>
    <row r="59" spans="1:6" s="18" customFormat="1" x14ac:dyDescent="0.2">
      <c r="C59" s="19"/>
      <c r="D59" s="19"/>
      <c r="E59" s="19"/>
    </row>
    <row r="60" spans="1:6" x14ac:dyDescent="0.2">
      <c r="A60" s="3" t="s">
        <v>59</v>
      </c>
      <c r="B60" s="3" t="s">
        <v>883</v>
      </c>
      <c r="C60" s="4">
        <v>946.22</v>
      </c>
      <c r="D60" s="4">
        <v>946.22</v>
      </c>
      <c r="E60" s="4">
        <v>0</v>
      </c>
      <c r="F60" s="3" t="e">
        <f>VLOOKUP(B60,'Balance Sheet'!#REF!,2,0)</f>
        <v>#REF!</v>
      </c>
    </row>
    <row r="61" spans="1:6" x14ac:dyDescent="0.2">
      <c r="A61" s="3" t="s">
        <v>59</v>
      </c>
      <c r="B61" s="3" t="s">
        <v>61</v>
      </c>
      <c r="C61" s="4">
        <v>56.04</v>
      </c>
      <c r="D61" s="4">
        <v>56.04</v>
      </c>
      <c r="E61" s="4">
        <v>0</v>
      </c>
      <c r="F61" s="3" t="e">
        <f>VLOOKUP(B61,'Balance Sheet'!#REF!,2,0)</f>
        <v>#REF!</v>
      </c>
    </row>
    <row r="62" spans="1:6" x14ac:dyDescent="0.2">
      <c r="A62" s="3" t="s">
        <v>59</v>
      </c>
      <c r="B62" s="3" t="s">
        <v>62</v>
      </c>
      <c r="C62" s="4">
        <v>235157.63</v>
      </c>
      <c r="D62" s="4">
        <v>235157.63</v>
      </c>
      <c r="E62" s="4">
        <v>0</v>
      </c>
      <c r="F62" s="3" t="e">
        <f>VLOOKUP(B62,'Balance Sheet'!#REF!,2,0)</f>
        <v>#REF!</v>
      </c>
    </row>
    <row r="63" spans="1:6" x14ac:dyDescent="0.2">
      <c r="A63" s="3" t="s">
        <v>59</v>
      </c>
      <c r="B63" s="3" t="s">
        <v>63</v>
      </c>
      <c r="C63" s="4">
        <v>8563.98</v>
      </c>
      <c r="D63" s="4">
        <v>8563.98</v>
      </c>
      <c r="E63" s="4">
        <v>0</v>
      </c>
      <c r="F63" s="3" t="e">
        <f>VLOOKUP(B63,'Balance Sheet'!#REF!,2,0)</f>
        <v>#REF!</v>
      </c>
    </row>
    <row r="64" spans="1:6" x14ac:dyDescent="0.2">
      <c r="A64" s="3" t="s">
        <v>59</v>
      </c>
      <c r="B64" s="3" t="s">
        <v>64</v>
      </c>
      <c r="C64" s="4">
        <v>588.54</v>
      </c>
      <c r="D64" s="4">
        <v>588.54</v>
      </c>
      <c r="E64" s="4">
        <v>0</v>
      </c>
      <c r="F64" s="3" t="e">
        <f>VLOOKUP(B64,'Balance Sheet'!#REF!,2,0)</f>
        <v>#REF!</v>
      </c>
    </row>
    <row r="65" spans="1:6" x14ac:dyDescent="0.2">
      <c r="A65" s="3" t="s">
        <v>59</v>
      </c>
      <c r="B65" s="3" t="s">
        <v>2</v>
      </c>
      <c r="C65" s="4">
        <v>487866.7</v>
      </c>
      <c r="D65" s="4">
        <v>487866.7</v>
      </c>
      <c r="E65" s="4">
        <v>0</v>
      </c>
      <c r="F65" s="3" t="e">
        <f>VLOOKUP(B65,'Balance Sheet'!#REF!,2,0)</f>
        <v>#REF!</v>
      </c>
    </row>
    <row r="66" spans="1:6" x14ac:dyDescent="0.2">
      <c r="A66" s="3" t="s">
        <v>65</v>
      </c>
      <c r="B66" s="3" t="s">
        <v>2</v>
      </c>
      <c r="C66" s="4">
        <v>17589244.899999999</v>
      </c>
      <c r="D66" s="4">
        <v>17589244.899999999</v>
      </c>
      <c r="E66" s="4">
        <v>0</v>
      </c>
      <c r="F66" s="3" t="e">
        <f>VLOOKUP(B66,'Balance Sheet'!#REF!,2,0)</f>
        <v>#REF!</v>
      </c>
    </row>
    <row r="67" spans="1:6" s="18" customFormat="1" x14ac:dyDescent="0.2">
      <c r="A67" s="18" t="s">
        <v>976</v>
      </c>
      <c r="B67" s="18" t="s">
        <v>977</v>
      </c>
      <c r="C67" s="19">
        <v>14166.64</v>
      </c>
      <c r="D67" s="19">
        <v>14166.64</v>
      </c>
      <c r="E67" s="19">
        <v>0</v>
      </c>
      <c r="F67" s="18" t="e">
        <f>VLOOKUP(B67,'Balance Sheet'!#REF!,2,0)</f>
        <v>#REF!</v>
      </c>
    </row>
    <row r="68" spans="1:6" x14ac:dyDescent="0.2">
      <c r="A68" s="3" t="s">
        <v>976</v>
      </c>
      <c r="B68" s="3" t="s">
        <v>2</v>
      </c>
      <c r="C68" s="4">
        <v>14166.64</v>
      </c>
      <c r="D68" s="4">
        <v>14166.64</v>
      </c>
      <c r="E68" s="4">
        <v>0</v>
      </c>
      <c r="F68" s="3" t="e">
        <f>VLOOKUP(B68,'Balance Sheet'!#REF!,2,0)</f>
        <v>#REF!</v>
      </c>
    </row>
    <row r="69" spans="1:6" x14ac:dyDescent="0.2">
      <c r="A69" s="3" t="s">
        <v>978</v>
      </c>
      <c r="B69" s="3" t="s">
        <v>2</v>
      </c>
      <c r="C69" s="4">
        <v>14166.64</v>
      </c>
      <c r="D69" s="4">
        <v>14166.64</v>
      </c>
      <c r="E69" s="4">
        <v>0</v>
      </c>
      <c r="F69" s="3" t="e">
        <f>VLOOKUP(B69,'Balance Sheet'!#REF!,2,0)</f>
        <v>#REF!</v>
      </c>
    </row>
    <row r="70" spans="1:6" s="18" customFormat="1" x14ac:dyDescent="0.2">
      <c r="A70" s="18" t="s">
        <v>66</v>
      </c>
      <c r="B70" s="18" t="s">
        <v>67</v>
      </c>
      <c r="C70" s="19">
        <v>-6135.39</v>
      </c>
      <c r="D70" s="19">
        <v>-6135.39</v>
      </c>
      <c r="E70" s="19">
        <v>0</v>
      </c>
      <c r="F70" s="18" t="e">
        <f>VLOOKUP(B70,'Balance Sheet'!#REF!,2,0)</f>
        <v>#REF!</v>
      </c>
    </row>
    <row r="71" spans="1:6" s="18" customFormat="1" x14ac:dyDescent="0.2">
      <c r="A71" s="18" t="s">
        <v>66</v>
      </c>
      <c r="B71" s="18" t="s">
        <v>68</v>
      </c>
      <c r="C71" s="19">
        <v>11470.46</v>
      </c>
      <c r="D71" s="19">
        <v>11470.46</v>
      </c>
      <c r="E71" s="19">
        <v>0</v>
      </c>
      <c r="F71" s="18" t="e">
        <f>VLOOKUP(B71,'Balance Sheet'!#REF!,2,0)</f>
        <v>#REF!</v>
      </c>
    </row>
    <row r="72" spans="1:6" x14ac:dyDescent="0.2">
      <c r="A72" s="3" t="s">
        <v>66</v>
      </c>
      <c r="B72" s="3" t="s">
        <v>979</v>
      </c>
      <c r="C72" s="4">
        <v>6329.17</v>
      </c>
      <c r="D72" s="4">
        <v>6329.17</v>
      </c>
      <c r="E72" s="4">
        <v>0</v>
      </c>
      <c r="F72" s="3" t="e">
        <f>VLOOKUP(B72,'Balance Sheet'!#REF!,2,0)</f>
        <v>#REF!</v>
      </c>
    </row>
    <row r="73" spans="1:6" x14ac:dyDescent="0.2">
      <c r="A73" s="3" t="s">
        <v>66</v>
      </c>
      <c r="B73" s="3" t="s">
        <v>491</v>
      </c>
      <c r="C73" s="4">
        <v>104.73</v>
      </c>
      <c r="D73" s="4">
        <v>104.73</v>
      </c>
      <c r="E73" s="4">
        <v>0</v>
      </c>
      <c r="F73" s="3" t="e">
        <f>VLOOKUP(B73,'Balance Sheet'!#REF!,2,0)</f>
        <v>#REF!</v>
      </c>
    </row>
    <row r="74" spans="1:6" x14ac:dyDescent="0.2">
      <c r="A74" s="3" t="s">
        <v>66</v>
      </c>
      <c r="B74" s="3" t="s">
        <v>492</v>
      </c>
      <c r="C74" s="4">
        <v>-0.42</v>
      </c>
      <c r="D74" s="4">
        <v>-0.42</v>
      </c>
      <c r="E74" s="4">
        <v>0</v>
      </c>
      <c r="F74" s="3" t="e">
        <f>VLOOKUP(B74,'Balance Sheet'!#REF!,2,0)</f>
        <v>#REF!</v>
      </c>
    </row>
    <row r="75" spans="1:6" x14ac:dyDescent="0.2">
      <c r="A75" s="3" t="s">
        <v>66</v>
      </c>
      <c r="B75" s="3" t="s">
        <v>493</v>
      </c>
      <c r="C75" s="4">
        <v>53.4</v>
      </c>
      <c r="D75" s="4">
        <v>53.4</v>
      </c>
      <c r="E75" s="4">
        <v>0</v>
      </c>
      <c r="F75" s="3" t="e">
        <f>VLOOKUP(B75,'Balance Sheet'!#REF!,2,0)</f>
        <v>#REF!</v>
      </c>
    </row>
    <row r="76" spans="1:6" x14ac:dyDescent="0.2">
      <c r="A76" s="3" t="s">
        <v>66</v>
      </c>
      <c r="B76" s="3" t="s">
        <v>494</v>
      </c>
      <c r="C76" s="4">
        <v>0.01</v>
      </c>
      <c r="D76" s="4">
        <v>0.01</v>
      </c>
      <c r="E76" s="4">
        <v>0</v>
      </c>
      <c r="F76" s="3" t="e">
        <f>VLOOKUP(B76,'Balance Sheet'!#REF!,2,0)</f>
        <v>#REF!</v>
      </c>
    </row>
    <row r="77" spans="1:6" x14ac:dyDescent="0.2">
      <c r="A77" s="3" t="s">
        <v>66</v>
      </c>
      <c r="B77" s="3" t="s">
        <v>2</v>
      </c>
      <c r="C77" s="4">
        <v>11821.96</v>
      </c>
      <c r="D77" s="4">
        <v>11821.96</v>
      </c>
      <c r="E77" s="4">
        <v>0</v>
      </c>
      <c r="F77" s="3" t="e">
        <f>VLOOKUP(B77,'Balance Sheet'!#REF!,2,0)</f>
        <v>#REF!</v>
      </c>
    </row>
    <row r="78" spans="1:6" x14ac:dyDescent="0.2">
      <c r="A78" s="3" t="s">
        <v>69</v>
      </c>
      <c r="B78" s="3" t="s">
        <v>2</v>
      </c>
      <c r="C78" s="4">
        <v>11821.96</v>
      </c>
      <c r="D78" s="4">
        <v>11821.96</v>
      </c>
      <c r="E78" s="4">
        <v>0</v>
      </c>
      <c r="F78" s="3" t="e">
        <f>VLOOKUP(B78,'Balance Sheet'!#REF!,2,0)</f>
        <v>#REF!</v>
      </c>
    </row>
    <row r="79" spans="1:6" s="18" customFormat="1" x14ac:dyDescent="0.2">
      <c r="A79" s="18" t="s">
        <v>70</v>
      </c>
      <c r="B79" s="18" t="s">
        <v>71</v>
      </c>
      <c r="C79" s="19">
        <v>359163.46</v>
      </c>
      <c r="D79" s="19">
        <v>359163.46</v>
      </c>
      <c r="E79" s="19">
        <v>0</v>
      </c>
      <c r="F79" s="18" t="e">
        <f>VLOOKUP(B79,'Balance Sheet'!#REF!,2,0)</f>
        <v>#REF!</v>
      </c>
    </row>
    <row r="80" spans="1:6" s="18" customFormat="1" x14ac:dyDescent="0.2">
      <c r="A80" s="18" t="s">
        <v>70</v>
      </c>
      <c r="B80" s="18" t="s">
        <v>72</v>
      </c>
      <c r="C80" s="19">
        <v>-257037.48</v>
      </c>
      <c r="D80" s="19">
        <v>-257037.48</v>
      </c>
      <c r="E80" s="19">
        <v>0</v>
      </c>
      <c r="F80" s="18" t="e">
        <f>VLOOKUP(B80,'Balance Sheet'!#REF!,2,0)</f>
        <v>#REF!</v>
      </c>
    </row>
    <row r="81" spans="1:6" x14ac:dyDescent="0.2">
      <c r="A81" s="3" t="s">
        <v>70</v>
      </c>
      <c r="B81" s="3" t="s">
        <v>2</v>
      </c>
      <c r="C81" s="4">
        <v>102125.98</v>
      </c>
      <c r="D81" s="4">
        <v>102125.98</v>
      </c>
      <c r="E81" s="4">
        <v>0</v>
      </c>
      <c r="F81" s="3" t="e">
        <f>VLOOKUP(B81,'Balance Sheet'!#REF!,2,0)</f>
        <v>#REF!</v>
      </c>
    </row>
    <row r="82" spans="1:6" x14ac:dyDescent="0.2">
      <c r="A82" s="3" t="s">
        <v>73</v>
      </c>
      <c r="B82" s="3" t="s">
        <v>74</v>
      </c>
      <c r="C82" s="4">
        <v>132848.63</v>
      </c>
      <c r="D82" s="4">
        <v>132848.63</v>
      </c>
      <c r="E82" s="4">
        <v>0</v>
      </c>
      <c r="F82" s="3" t="e">
        <f>VLOOKUP(B82,'Balance Sheet'!#REF!,2,0)</f>
        <v>#REF!</v>
      </c>
    </row>
    <row r="83" spans="1:6" x14ac:dyDescent="0.2">
      <c r="A83" s="3" t="s">
        <v>73</v>
      </c>
      <c r="B83" s="3" t="s">
        <v>75</v>
      </c>
      <c r="C83" s="4">
        <v>476214.59</v>
      </c>
      <c r="D83" s="4">
        <v>476214.59</v>
      </c>
      <c r="E83" s="4">
        <v>0</v>
      </c>
      <c r="F83" s="3" t="e">
        <f>VLOOKUP(B83,'Balance Sheet'!#REF!,2,0)</f>
        <v>#REF!</v>
      </c>
    </row>
    <row r="84" spans="1:6" x14ac:dyDescent="0.2">
      <c r="A84" s="3" t="s">
        <v>73</v>
      </c>
      <c r="B84" s="3" t="s">
        <v>76</v>
      </c>
      <c r="C84" s="4">
        <v>380546.51</v>
      </c>
      <c r="D84" s="4">
        <v>380546.51</v>
      </c>
      <c r="E84" s="4">
        <v>0</v>
      </c>
      <c r="F84" s="3" t="e">
        <f>VLOOKUP(B84,'Balance Sheet'!#REF!,2,0)</f>
        <v>#REF!</v>
      </c>
    </row>
    <row r="85" spans="1:6" s="18" customFormat="1" x14ac:dyDescent="0.2">
      <c r="A85" s="18" t="s">
        <v>73</v>
      </c>
      <c r="B85" s="18" t="s">
        <v>77</v>
      </c>
      <c r="C85" s="19">
        <v>495.24</v>
      </c>
      <c r="D85" s="19">
        <v>495.24</v>
      </c>
      <c r="E85" s="19">
        <v>0</v>
      </c>
      <c r="F85" s="18" t="e">
        <f>VLOOKUP(B85,'Balance Sheet'!#REF!,2,0)</f>
        <v>#REF!</v>
      </c>
    </row>
    <row r="86" spans="1:6" x14ac:dyDescent="0.2">
      <c r="A86" s="3" t="s">
        <v>73</v>
      </c>
      <c r="B86" s="3" t="s">
        <v>78</v>
      </c>
      <c r="C86" s="4">
        <v>242483.73</v>
      </c>
      <c r="D86" s="4">
        <v>242483.73</v>
      </c>
      <c r="E86" s="4">
        <v>0</v>
      </c>
      <c r="F86" s="3" t="e">
        <f>VLOOKUP(B86,'Balance Sheet'!#REF!,2,0)</f>
        <v>#REF!</v>
      </c>
    </row>
    <row r="87" spans="1:6" x14ac:dyDescent="0.2">
      <c r="A87" s="3" t="s">
        <v>73</v>
      </c>
      <c r="B87" s="3" t="s">
        <v>79</v>
      </c>
      <c r="C87" s="4">
        <v>-125271.34</v>
      </c>
      <c r="D87" s="4">
        <v>-125271.34</v>
      </c>
      <c r="E87" s="4">
        <v>0</v>
      </c>
      <c r="F87" s="3" t="e">
        <f>VLOOKUP(B87,'Balance Sheet'!#REF!,2,0)</f>
        <v>#REF!</v>
      </c>
    </row>
    <row r="88" spans="1:6" x14ac:dyDescent="0.2">
      <c r="A88" s="3" t="s">
        <v>73</v>
      </c>
      <c r="B88" s="3" t="s">
        <v>80</v>
      </c>
      <c r="C88" s="4">
        <v>-291532.79999999999</v>
      </c>
      <c r="D88" s="4">
        <v>-291532.79999999999</v>
      </c>
      <c r="E88" s="4">
        <v>0</v>
      </c>
      <c r="F88" s="3" t="e">
        <f>VLOOKUP(B88,'Balance Sheet'!#REF!,2,0)</f>
        <v>#REF!</v>
      </c>
    </row>
    <row r="89" spans="1:6" x14ac:dyDescent="0.2">
      <c r="A89" s="3" t="s">
        <v>73</v>
      </c>
      <c r="B89" s="3" t="s">
        <v>81</v>
      </c>
      <c r="C89" s="4">
        <v>-312519.36</v>
      </c>
      <c r="D89" s="4">
        <v>-312519.36</v>
      </c>
      <c r="E89" s="4">
        <v>0</v>
      </c>
      <c r="F89" s="3" t="e">
        <f>VLOOKUP(B89,'Balance Sheet'!#REF!,2,0)</f>
        <v>#REF!</v>
      </c>
    </row>
    <row r="90" spans="1:6" s="18" customFormat="1" x14ac:dyDescent="0.2">
      <c r="A90" s="18" t="s">
        <v>73</v>
      </c>
      <c r="B90" s="18" t="s">
        <v>82</v>
      </c>
      <c r="C90" s="19">
        <v>-470.48</v>
      </c>
      <c r="D90" s="19">
        <v>-470.48</v>
      </c>
      <c r="E90" s="19">
        <v>0</v>
      </c>
      <c r="F90" s="18" t="e">
        <f>VLOOKUP(B90,'Balance Sheet'!#REF!,2,0)</f>
        <v>#REF!</v>
      </c>
    </row>
    <row r="91" spans="1:6" x14ac:dyDescent="0.2">
      <c r="A91" s="3" t="s">
        <v>73</v>
      </c>
      <c r="B91" s="3" t="s">
        <v>83</v>
      </c>
      <c r="C91" s="4">
        <v>-207242.29</v>
      </c>
      <c r="D91" s="4">
        <v>-207242.29</v>
      </c>
      <c r="E91" s="4">
        <v>0</v>
      </c>
      <c r="F91" s="3" t="e">
        <f>VLOOKUP(B91,'Balance Sheet'!#REF!,2,0)</f>
        <v>#REF!</v>
      </c>
    </row>
    <row r="92" spans="1:6" x14ac:dyDescent="0.2">
      <c r="A92" s="3" t="s">
        <v>73</v>
      </c>
      <c r="B92" s="3" t="s">
        <v>2</v>
      </c>
      <c r="C92" s="4">
        <v>295552.43</v>
      </c>
      <c r="D92" s="4">
        <v>295552.43</v>
      </c>
      <c r="E92" s="4">
        <v>0</v>
      </c>
      <c r="F92" s="3" t="e">
        <f>VLOOKUP(B92,'Balance Sheet'!#REF!,2,0)</f>
        <v>#REF!</v>
      </c>
    </row>
    <row r="93" spans="1:6" x14ac:dyDescent="0.2">
      <c r="A93" s="3" t="s">
        <v>84</v>
      </c>
      <c r="B93" s="3" t="s">
        <v>85</v>
      </c>
      <c r="C93" s="4">
        <v>12614052.949999999</v>
      </c>
      <c r="D93" s="4">
        <v>12614052.949999999</v>
      </c>
      <c r="E93" s="4">
        <v>0</v>
      </c>
      <c r="F93" s="3" t="e">
        <f>VLOOKUP(B93,'Balance Sheet'!#REF!,2,0)</f>
        <v>#REF!</v>
      </c>
    </row>
    <row r="94" spans="1:6" x14ac:dyDescent="0.2">
      <c r="A94" s="3" t="s">
        <v>84</v>
      </c>
      <c r="B94" s="3" t="s">
        <v>86</v>
      </c>
      <c r="C94" s="4">
        <v>-5009729.12</v>
      </c>
      <c r="D94" s="4">
        <v>-5009729.12</v>
      </c>
      <c r="E94" s="4">
        <v>0</v>
      </c>
      <c r="F94" s="3" t="e">
        <f>VLOOKUP(B94,'Balance Sheet'!#REF!,2,0)</f>
        <v>#REF!</v>
      </c>
    </row>
    <row r="95" spans="1:6" x14ac:dyDescent="0.2">
      <c r="A95" s="3" t="s">
        <v>84</v>
      </c>
      <c r="B95" s="3" t="s">
        <v>2</v>
      </c>
      <c r="C95" s="4">
        <v>7604323.8300000001</v>
      </c>
      <c r="D95" s="4">
        <v>7604323.8300000001</v>
      </c>
      <c r="E95" s="4">
        <v>0</v>
      </c>
      <c r="F95" s="3" t="e">
        <f>VLOOKUP(B95,'Balance Sheet'!#REF!,2,0)</f>
        <v>#REF!</v>
      </c>
    </row>
    <row r="96" spans="1:6" x14ac:dyDescent="0.2">
      <c r="A96" s="3" t="s">
        <v>87</v>
      </c>
      <c r="B96" s="3" t="s">
        <v>88</v>
      </c>
      <c r="C96" s="4">
        <v>138093.67000000001</v>
      </c>
      <c r="D96" s="4">
        <v>138093.67000000001</v>
      </c>
      <c r="E96" s="4">
        <v>0</v>
      </c>
      <c r="F96" s="3" t="e">
        <f>VLOOKUP(B96,'Balance Sheet'!#REF!,2,0)</f>
        <v>#REF!</v>
      </c>
    </row>
    <row r="97" spans="1:6" x14ac:dyDescent="0.2">
      <c r="A97" s="3" t="s">
        <v>87</v>
      </c>
      <c r="B97" s="3" t="s">
        <v>89</v>
      </c>
      <c r="C97" s="4">
        <v>855138.11</v>
      </c>
      <c r="D97" s="4">
        <v>855138.11</v>
      </c>
      <c r="E97" s="4">
        <v>0</v>
      </c>
      <c r="F97" s="3" t="e">
        <f>VLOOKUP(B97,'Balance Sheet'!#REF!,2,0)</f>
        <v>#REF!</v>
      </c>
    </row>
    <row r="98" spans="1:6" x14ac:dyDescent="0.2">
      <c r="A98" s="3" t="s">
        <v>87</v>
      </c>
      <c r="B98" s="3" t="s">
        <v>90</v>
      </c>
      <c r="C98" s="4">
        <v>-136815.24</v>
      </c>
      <c r="D98" s="4">
        <v>-136815.24</v>
      </c>
      <c r="E98" s="4">
        <v>0</v>
      </c>
      <c r="F98" s="3" t="e">
        <f>VLOOKUP(B98,'Balance Sheet'!#REF!,2,0)</f>
        <v>#REF!</v>
      </c>
    </row>
    <row r="99" spans="1:6" x14ac:dyDescent="0.2">
      <c r="A99" s="3" t="s">
        <v>87</v>
      </c>
      <c r="B99" s="3" t="s">
        <v>91</v>
      </c>
      <c r="C99" s="4">
        <v>-865484.74</v>
      </c>
      <c r="D99" s="4">
        <v>-865484.74</v>
      </c>
      <c r="E99" s="4">
        <v>0</v>
      </c>
      <c r="F99" s="3" t="e">
        <f>VLOOKUP(B99,'Balance Sheet'!#REF!,2,0)</f>
        <v>#REF!</v>
      </c>
    </row>
    <row r="100" spans="1:6" x14ac:dyDescent="0.2">
      <c r="A100" s="3" t="s">
        <v>87</v>
      </c>
      <c r="B100" s="3" t="s">
        <v>2</v>
      </c>
      <c r="C100" s="4">
        <v>-9068.2000000000007</v>
      </c>
      <c r="D100" s="4">
        <v>-9068.2000000000007</v>
      </c>
      <c r="E100" s="4">
        <v>0</v>
      </c>
      <c r="F100" s="3" t="e">
        <f>VLOOKUP(B100,'Balance Sheet'!#REF!,2,0)</f>
        <v>#REF!</v>
      </c>
    </row>
    <row r="101" spans="1:6" s="18" customFormat="1" x14ac:dyDescent="0.2">
      <c r="A101" s="18" t="s">
        <v>92</v>
      </c>
      <c r="B101" s="18" t="s">
        <v>93</v>
      </c>
      <c r="C101" s="19">
        <v>3591.93</v>
      </c>
      <c r="D101" s="19">
        <v>3591.93</v>
      </c>
      <c r="E101" s="19">
        <v>0</v>
      </c>
      <c r="F101" s="18" t="e">
        <f>VLOOKUP(B101,'Balance Sheet'!#REF!,2,0)</f>
        <v>#REF!</v>
      </c>
    </row>
    <row r="102" spans="1:6" x14ac:dyDescent="0.2">
      <c r="A102" s="3" t="s">
        <v>92</v>
      </c>
      <c r="B102" s="3" t="s">
        <v>94</v>
      </c>
      <c r="C102" s="4">
        <v>239747.12</v>
      </c>
      <c r="D102" s="4">
        <v>239747.12</v>
      </c>
      <c r="E102" s="4">
        <v>0</v>
      </c>
      <c r="F102" s="3" t="e">
        <f>VLOOKUP(B102,'Balance Sheet'!#REF!,2,0)</f>
        <v>#REF!</v>
      </c>
    </row>
    <row r="103" spans="1:6" s="18" customFormat="1" x14ac:dyDescent="0.2">
      <c r="A103" s="18" t="s">
        <v>92</v>
      </c>
      <c r="B103" s="18" t="s">
        <v>95</v>
      </c>
      <c r="C103" s="19">
        <v>-3207.27</v>
      </c>
      <c r="D103" s="19">
        <v>-3207.27</v>
      </c>
      <c r="E103" s="19">
        <v>0</v>
      </c>
      <c r="F103" s="18" t="e">
        <f>VLOOKUP(B103,'Balance Sheet'!#REF!,2,0)</f>
        <v>#REF!</v>
      </c>
    </row>
    <row r="104" spans="1:6" x14ac:dyDescent="0.2">
      <c r="A104" s="3" t="s">
        <v>92</v>
      </c>
      <c r="B104" s="3" t="s">
        <v>96</v>
      </c>
      <c r="C104" s="4">
        <v>-144696.28</v>
      </c>
      <c r="D104" s="4">
        <v>-144696.28</v>
      </c>
      <c r="E104" s="4">
        <v>0</v>
      </c>
      <c r="F104" s="3" t="e">
        <f>VLOOKUP(B104,'Balance Sheet'!#REF!,2,0)</f>
        <v>#REF!</v>
      </c>
    </row>
    <row r="105" spans="1:6" x14ac:dyDescent="0.2">
      <c r="A105" s="3" t="s">
        <v>92</v>
      </c>
      <c r="B105" s="3" t="s">
        <v>2</v>
      </c>
      <c r="C105" s="4">
        <v>95435.5</v>
      </c>
      <c r="D105" s="4">
        <v>95435.5</v>
      </c>
      <c r="E105" s="4">
        <v>0</v>
      </c>
      <c r="F105" s="3" t="e">
        <f>VLOOKUP(B105,'Balance Sheet'!#REF!,2,0)</f>
        <v>#REF!</v>
      </c>
    </row>
    <row r="106" spans="1:6" x14ac:dyDescent="0.2">
      <c r="A106" s="3" t="s">
        <v>97</v>
      </c>
      <c r="B106" s="3" t="s">
        <v>98</v>
      </c>
      <c r="C106" s="4">
        <v>174986.36</v>
      </c>
      <c r="D106" s="4">
        <v>174986.36</v>
      </c>
      <c r="E106" s="4">
        <v>0</v>
      </c>
      <c r="F106" s="3" t="e">
        <f>VLOOKUP(B106,'Balance Sheet'!#REF!,2,0)</f>
        <v>#REF!</v>
      </c>
    </row>
    <row r="107" spans="1:6" x14ac:dyDescent="0.2">
      <c r="A107" s="3" t="s">
        <v>97</v>
      </c>
      <c r="B107" s="3" t="s">
        <v>99</v>
      </c>
      <c r="C107" s="4">
        <v>-86928.25</v>
      </c>
      <c r="D107" s="4">
        <v>-86928.25</v>
      </c>
      <c r="E107" s="4">
        <v>0</v>
      </c>
      <c r="F107" s="3" t="e">
        <f>VLOOKUP(B107,'Balance Sheet'!#REF!,2,0)</f>
        <v>#REF!</v>
      </c>
    </row>
    <row r="108" spans="1:6" x14ac:dyDescent="0.2">
      <c r="A108" s="3" t="s">
        <v>97</v>
      </c>
      <c r="B108" s="3" t="s">
        <v>2</v>
      </c>
      <c r="C108" s="4">
        <v>88058.11</v>
      </c>
      <c r="D108" s="4">
        <v>88058.11</v>
      </c>
      <c r="E108" s="4">
        <v>0</v>
      </c>
      <c r="F108" s="3" t="e">
        <f>VLOOKUP(B108,'Balance Sheet'!#REF!,2,0)</f>
        <v>#REF!</v>
      </c>
    </row>
    <row r="109" spans="1:6" x14ac:dyDescent="0.2">
      <c r="A109" s="3" t="s">
        <v>100</v>
      </c>
      <c r="B109" s="3" t="s">
        <v>101</v>
      </c>
      <c r="C109" s="4">
        <v>121130.17</v>
      </c>
      <c r="D109" s="4">
        <v>121130.17</v>
      </c>
      <c r="E109" s="4">
        <v>0</v>
      </c>
      <c r="F109" s="3" t="e">
        <f>VLOOKUP(B109,'Balance Sheet'!#REF!,2,0)</f>
        <v>#REF!</v>
      </c>
    </row>
    <row r="110" spans="1:6" x14ac:dyDescent="0.2">
      <c r="A110" s="3" t="s">
        <v>100</v>
      </c>
      <c r="B110" s="3" t="s">
        <v>980</v>
      </c>
      <c r="C110" s="4">
        <v>101857.79</v>
      </c>
      <c r="D110" s="4">
        <v>101857.79</v>
      </c>
      <c r="E110" s="4">
        <v>0</v>
      </c>
      <c r="F110" s="3" t="e">
        <f>VLOOKUP(B110,'Balance Sheet'!#REF!,2,0)</f>
        <v>#REF!</v>
      </c>
    </row>
    <row r="111" spans="1:6" x14ac:dyDescent="0.2">
      <c r="A111" s="3" t="s">
        <v>100</v>
      </c>
      <c r="B111" s="3" t="s">
        <v>102</v>
      </c>
      <c r="C111" s="4">
        <v>-104353.76</v>
      </c>
      <c r="D111" s="4">
        <v>-104353.76</v>
      </c>
      <c r="E111" s="4">
        <v>0</v>
      </c>
      <c r="F111" s="3" t="e">
        <f>VLOOKUP(B111,'Balance Sheet'!#REF!,2,0)</f>
        <v>#REF!</v>
      </c>
    </row>
    <row r="112" spans="1:6" x14ac:dyDescent="0.2">
      <c r="A112" s="3" t="s">
        <v>100</v>
      </c>
      <c r="B112" s="3" t="s">
        <v>981</v>
      </c>
      <c r="C112" s="4">
        <v>-101857.79</v>
      </c>
      <c r="D112" s="4">
        <v>-101857.79</v>
      </c>
      <c r="E112" s="4">
        <v>0</v>
      </c>
      <c r="F112" s="3" t="e">
        <f>VLOOKUP(B112,'Balance Sheet'!#REF!,2,0)</f>
        <v>#REF!</v>
      </c>
    </row>
    <row r="113" spans="1:6" x14ac:dyDescent="0.2">
      <c r="A113" s="3" t="s">
        <v>100</v>
      </c>
      <c r="B113" s="3" t="s">
        <v>2</v>
      </c>
      <c r="C113" s="4">
        <v>16776.41</v>
      </c>
      <c r="D113" s="4">
        <v>16776.41</v>
      </c>
      <c r="E113" s="4">
        <v>0</v>
      </c>
      <c r="F113" s="3" t="e">
        <f>VLOOKUP(B113,'Balance Sheet'!#REF!,2,0)</f>
        <v>#REF!</v>
      </c>
    </row>
    <row r="114" spans="1:6" x14ac:dyDescent="0.2">
      <c r="A114" s="3" t="s">
        <v>103</v>
      </c>
      <c r="B114" s="3" t="s">
        <v>2</v>
      </c>
      <c r="C114" s="4">
        <v>8193204.0599999996</v>
      </c>
      <c r="D114" s="4">
        <v>8193204.0599999996</v>
      </c>
      <c r="E114" s="4">
        <v>0</v>
      </c>
      <c r="F114" s="3" t="e">
        <f>VLOOKUP(B114,'Balance Sheet'!#REF!,2,0)</f>
        <v>#REF!</v>
      </c>
    </row>
    <row r="115" spans="1:6" x14ac:dyDescent="0.2">
      <c r="A115" s="3" t="s">
        <v>104</v>
      </c>
      <c r="B115" s="3" t="s">
        <v>105</v>
      </c>
      <c r="C115" s="4">
        <v>2113106.6</v>
      </c>
      <c r="D115" s="4">
        <v>2113106.6</v>
      </c>
      <c r="E115" s="4">
        <v>0</v>
      </c>
      <c r="F115" s="3" t="e">
        <f>VLOOKUP(B115,'Balance Sheet'!#REF!,2,0)</f>
        <v>#REF!</v>
      </c>
    </row>
    <row r="116" spans="1:6" x14ac:dyDescent="0.2">
      <c r="A116" s="3" t="s">
        <v>104</v>
      </c>
      <c r="B116" s="3" t="s">
        <v>106</v>
      </c>
      <c r="C116" s="4">
        <v>678752.24</v>
      </c>
      <c r="D116" s="4">
        <v>678752.24</v>
      </c>
      <c r="E116" s="4">
        <v>0</v>
      </c>
      <c r="F116" s="3" t="e">
        <f>VLOOKUP(B116,'Balance Sheet'!#REF!,2,0)</f>
        <v>#REF!</v>
      </c>
    </row>
    <row r="117" spans="1:6" x14ac:dyDescent="0.2">
      <c r="A117" s="3" t="s">
        <v>104</v>
      </c>
      <c r="B117" s="3" t="s">
        <v>107</v>
      </c>
      <c r="C117" s="4">
        <v>-2113106.6</v>
      </c>
      <c r="D117" s="4">
        <v>-2113106.6</v>
      </c>
      <c r="E117" s="4">
        <v>0</v>
      </c>
      <c r="F117" s="3" t="e">
        <f>VLOOKUP(B117,'Balance Sheet'!#REF!,2,0)</f>
        <v>#REF!</v>
      </c>
    </row>
    <row r="118" spans="1:6" x14ac:dyDescent="0.2">
      <c r="A118" s="3" t="s">
        <v>104</v>
      </c>
      <c r="B118" s="3" t="s">
        <v>108</v>
      </c>
      <c r="C118" s="4">
        <v>-537318.80000000005</v>
      </c>
      <c r="D118" s="4">
        <v>-537318.80000000005</v>
      </c>
      <c r="E118" s="4">
        <v>0</v>
      </c>
      <c r="F118" s="3" t="e">
        <f>VLOOKUP(B118,'Balance Sheet'!#REF!,2,0)</f>
        <v>#REF!</v>
      </c>
    </row>
    <row r="119" spans="1:6" s="18" customFormat="1" x14ac:dyDescent="0.2">
      <c r="A119" s="18" t="s">
        <v>104</v>
      </c>
      <c r="B119" s="18" t="s">
        <v>109</v>
      </c>
      <c r="C119" s="19">
        <v>-80257.42</v>
      </c>
      <c r="D119" s="19">
        <v>-80257.42</v>
      </c>
      <c r="E119" s="19">
        <v>0</v>
      </c>
      <c r="F119" s="18" t="e">
        <f>VLOOKUP(B119,'Balance Sheet'!#REF!,2,0)</f>
        <v>#REF!</v>
      </c>
    </row>
    <row r="120" spans="1:6" x14ac:dyDescent="0.2">
      <c r="A120" s="3" t="s">
        <v>104</v>
      </c>
      <c r="B120" s="3" t="s">
        <v>110</v>
      </c>
      <c r="C120" s="4">
        <v>12094.41</v>
      </c>
      <c r="D120" s="4">
        <v>12094.41</v>
      </c>
      <c r="E120" s="4">
        <v>0</v>
      </c>
      <c r="F120" s="3" t="e">
        <f>VLOOKUP(B120,'Balance Sheet'!#REF!,2,0)</f>
        <v>#REF!</v>
      </c>
    </row>
    <row r="121" spans="1:6" x14ac:dyDescent="0.2">
      <c r="A121" s="3" t="s">
        <v>104</v>
      </c>
      <c r="B121" s="3" t="s">
        <v>2</v>
      </c>
      <c r="C121" s="4">
        <v>73270.429999999993</v>
      </c>
      <c r="D121" s="4">
        <v>73270.429999999993</v>
      </c>
      <c r="E121" s="4">
        <v>0</v>
      </c>
      <c r="F121" s="3" t="e">
        <f>VLOOKUP(B121,'Balance Sheet'!#REF!,2,0)</f>
        <v>#REF!</v>
      </c>
    </row>
    <row r="122" spans="1:6" x14ac:dyDescent="0.2">
      <c r="A122" s="3" t="s">
        <v>112</v>
      </c>
      <c r="B122" s="3" t="s">
        <v>2</v>
      </c>
      <c r="C122" s="4">
        <v>73270.429999999993</v>
      </c>
      <c r="D122" s="4">
        <v>73270.429999999993</v>
      </c>
      <c r="E122" s="4">
        <v>0</v>
      </c>
      <c r="F122" s="3" t="e">
        <f>VLOOKUP(B122,'Balance Sheet'!#REF!,2,0)</f>
        <v>#REF!</v>
      </c>
    </row>
    <row r="123" spans="1:6" x14ac:dyDescent="0.2">
      <c r="A123" s="3" t="s">
        <v>0</v>
      </c>
      <c r="B123" s="3" t="s">
        <v>113</v>
      </c>
      <c r="C123" s="4">
        <v>40479831.140000001</v>
      </c>
      <c r="D123" s="4">
        <v>40479831.140000001</v>
      </c>
      <c r="E123" s="4">
        <v>0</v>
      </c>
      <c r="F123" s="3" t="e">
        <f>VLOOKUP(B123,'Balance Sheet'!#REF!,2,0)</f>
        <v>#REF!</v>
      </c>
    </row>
    <row r="124" spans="1:6" x14ac:dyDescent="0.2">
      <c r="A124" s="3" t="s">
        <v>0</v>
      </c>
      <c r="B124" s="5" t="s">
        <v>114</v>
      </c>
      <c r="C124" s="4">
        <v>0</v>
      </c>
      <c r="D124" s="4">
        <v>0</v>
      </c>
      <c r="E124" s="4">
        <v>0</v>
      </c>
      <c r="F124" s="3" t="e">
        <f>VLOOKUP(B124,'Balance Sheet'!#REF!,2,0)</f>
        <v>#REF!</v>
      </c>
    </row>
    <row r="125" spans="1:6" x14ac:dyDescent="0.2">
      <c r="A125" s="3" t="s">
        <v>115</v>
      </c>
      <c r="B125" s="3" t="s">
        <v>116</v>
      </c>
      <c r="C125" s="4">
        <v>0</v>
      </c>
      <c r="D125" s="4">
        <v>0</v>
      </c>
      <c r="E125" s="4">
        <v>0</v>
      </c>
      <c r="F125" s="3" t="e">
        <f>VLOOKUP(B125,'Balance Sheet'!#REF!,2,0)</f>
        <v>#REF!</v>
      </c>
    </row>
    <row r="126" spans="1:6" x14ac:dyDescent="0.2">
      <c r="A126" s="3" t="s">
        <v>115</v>
      </c>
      <c r="B126" s="5" t="s">
        <v>117</v>
      </c>
      <c r="C126" s="4">
        <v>0</v>
      </c>
      <c r="D126" s="4">
        <v>0</v>
      </c>
      <c r="E126" s="4">
        <v>0</v>
      </c>
      <c r="F126" s="3" t="e">
        <f>VLOOKUP(B126,'Balance Sheet'!#REF!,2,0)</f>
        <v>#REF!</v>
      </c>
    </row>
    <row r="127" spans="1:6" x14ac:dyDescent="0.2">
      <c r="A127" s="3" t="s">
        <v>118</v>
      </c>
      <c r="B127" s="3" t="s">
        <v>119</v>
      </c>
      <c r="C127" s="4">
        <v>-1641.23</v>
      </c>
      <c r="D127" s="4">
        <v>-1641.23</v>
      </c>
      <c r="E127" s="4">
        <v>0</v>
      </c>
      <c r="F127" s="3" t="e">
        <f>VLOOKUP(B127,'Balance Sheet'!#REF!,2,0)</f>
        <v>#REF!</v>
      </c>
    </row>
    <row r="128" spans="1:6" x14ac:dyDescent="0.2">
      <c r="A128" s="3" t="s">
        <v>118</v>
      </c>
      <c r="B128" s="3" t="s">
        <v>120</v>
      </c>
      <c r="C128" s="4">
        <v>7.54</v>
      </c>
      <c r="D128" s="4">
        <v>7.54</v>
      </c>
      <c r="E128" s="4">
        <v>0</v>
      </c>
      <c r="F128" s="3" t="e">
        <f>VLOOKUP(B128,'Balance Sheet'!#REF!,2,0)</f>
        <v>#REF!</v>
      </c>
    </row>
    <row r="129" spans="1:6" x14ac:dyDescent="0.2">
      <c r="A129" s="3" t="s">
        <v>118</v>
      </c>
      <c r="B129" s="3" t="s">
        <v>982</v>
      </c>
      <c r="C129" s="4">
        <v>-1530.17</v>
      </c>
      <c r="D129" s="4">
        <v>-1530.17</v>
      </c>
      <c r="E129" s="4">
        <v>0</v>
      </c>
      <c r="F129" s="3" t="e">
        <f>VLOOKUP(B129,'Balance Sheet'!#REF!,2,0)</f>
        <v>#REF!</v>
      </c>
    </row>
    <row r="130" spans="1:6" x14ac:dyDescent="0.2">
      <c r="A130" s="3" t="s">
        <v>118</v>
      </c>
      <c r="B130" s="3" t="s">
        <v>983</v>
      </c>
      <c r="C130" s="4">
        <v>6.7</v>
      </c>
      <c r="D130" s="4">
        <v>6.7</v>
      </c>
      <c r="E130" s="4">
        <v>0</v>
      </c>
      <c r="F130" s="3" t="e">
        <f>VLOOKUP(B130,'Balance Sheet'!#REF!,2,0)</f>
        <v>#REF!</v>
      </c>
    </row>
    <row r="131" spans="1:6" x14ac:dyDescent="0.2">
      <c r="A131" s="3" t="s">
        <v>118</v>
      </c>
      <c r="B131" s="3" t="s">
        <v>984</v>
      </c>
      <c r="C131" s="4">
        <v>-945</v>
      </c>
      <c r="D131" s="4">
        <v>-945</v>
      </c>
      <c r="E131" s="4">
        <v>0</v>
      </c>
      <c r="F131" s="3" t="e">
        <f>VLOOKUP(B131,'Balance Sheet'!#REF!,2,0)</f>
        <v>#REF!</v>
      </c>
    </row>
    <row r="132" spans="1:6" x14ac:dyDescent="0.2">
      <c r="A132" s="3" t="s">
        <v>118</v>
      </c>
      <c r="B132" s="3" t="s">
        <v>2</v>
      </c>
      <c r="C132" s="4">
        <v>-4102.16</v>
      </c>
      <c r="D132" s="4">
        <v>-4102.16</v>
      </c>
      <c r="E132" s="4">
        <v>0</v>
      </c>
      <c r="F132" s="3" t="e">
        <f>VLOOKUP(B132,'Balance Sheet'!#REF!,2,0)</f>
        <v>#REF!</v>
      </c>
    </row>
    <row r="133" spans="1:6" x14ac:dyDescent="0.2">
      <c r="A133" s="3" t="s">
        <v>121</v>
      </c>
      <c r="B133" s="3" t="s">
        <v>2</v>
      </c>
      <c r="C133" s="4">
        <v>-4102.16</v>
      </c>
      <c r="D133" s="4">
        <v>-4102.16</v>
      </c>
      <c r="E133" s="4">
        <v>0</v>
      </c>
      <c r="F133" s="3" t="e">
        <f>VLOOKUP(B133,'Balance Sheet'!#REF!,2,0)</f>
        <v>#REF!</v>
      </c>
    </row>
    <row r="134" spans="1:6" x14ac:dyDescent="0.2">
      <c r="A134" s="3" t="s">
        <v>122</v>
      </c>
      <c r="B134" s="3" t="s">
        <v>123</v>
      </c>
      <c r="C134" s="4">
        <v>-198965.81</v>
      </c>
      <c r="D134" s="4">
        <v>-198965.81</v>
      </c>
      <c r="E134" s="4">
        <v>0</v>
      </c>
      <c r="F134" s="3" t="e">
        <f>VLOOKUP(B134,'Balance Sheet'!#REF!,2,0)</f>
        <v>#REF!</v>
      </c>
    </row>
    <row r="135" spans="1:6" x14ac:dyDescent="0.2">
      <c r="A135" s="3" t="s">
        <v>122</v>
      </c>
      <c r="B135" s="3" t="s">
        <v>124</v>
      </c>
      <c r="C135" s="4">
        <v>706.14</v>
      </c>
      <c r="D135" s="4">
        <v>706.14</v>
      </c>
      <c r="E135" s="4">
        <v>0</v>
      </c>
      <c r="F135" s="3" t="e">
        <f>VLOOKUP(B135,'Balance Sheet'!#REF!,2,0)</f>
        <v>#REF!</v>
      </c>
    </row>
    <row r="136" spans="1:6" x14ac:dyDescent="0.2">
      <c r="A136" s="3" t="s">
        <v>122</v>
      </c>
      <c r="B136" s="3" t="s">
        <v>126</v>
      </c>
      <c r="C136" s="4">
        <v>2131480.86</v>
      </c>
      <c r="D136" s="4">
        <v>2131480.86</v>
      </c>
      <c r="E136" s="4">
        <v>0</v>
      </c>
      <c r="F136" s="3" t="e">
        <f>VLOOKUP(B136,'Balance Sheet'!#REF!,2,0)</f>
        <v>#REF!</v>
      </c>
    </row>
    <row r="137" spans="1:6" x14ac:dyDescent="0.2">
      <c r="A137" s="3" t="s">
        <v>122</v>
      </c>
      <c r="B137" s="3" t="s">
        <v>127</v>
      </c>
      <c r="C137" s="4">
        <v>1016.18</v>
      </c>
      <c r="D137" s="4">
        <v>1016.18</v>
      </c>
      <c r="E137" s="4">
        <v>0</v>
      </c>
      <c r="F137" s="3" t="e">
        <f>VLOOKUP(B137,'Balance Sheet'!#REF!,2,0)</f>
        <v>#REF!</v>
      </c>
    </row>
    <row r="138" spans="1:6" x14ac:dyDescent="0.2">
      <c r="A138" s="3" t="s">
        <v>122</v>
      </c>
      <c r="B138" s="3" t="s">
        <v>128</v>
      </c>
      <c r="C138" s="4">
        <v>21325.01</v>
      </c>
      <c r="D138" s="4">
        <v>21325.01</v>
      </c>
      <c r="E138" s="4">
        <v>0</v>
      </c>
      <c r="F138" s="3" t="e">
        <f>VLOOKUP(B138,'Balance Sheet'!#REF!,2,0)</f>
        <v>#REF!</v>
      </c>
    </row>
    <row r="139" spans="1:6" x14ac:dyDescent="0.2">
      <c r="A139" s="3" t="s">
        <v>122</v>
      </c>
      <c r="B139" s="3" t="s">
        <v>129</v>
      </c>
      <c r="C139" s="4">
        <v>-2131480.86</v>
      </c>
      <c r="D139" s="4">
        <v>-2131480.86</v>
      </c>
      <c r="E139" s="4">
        <v>0</v>
      </c>
      <c r="F139" s="3" t="e">
        <f>VLOOKUP(B139,'Balance Sheet'!#REF!,2,0)</f>
        <v>#REF!</v>
      </c>
    </row>
    <row r="140" spans="1:6" x14ac:dyDescent="0.2">
      <c r="A140" s="3" t="s">
        <v>122</v>
      </c>
      <c r="B140" s="3" t="s">
        <v>130</v>
      </c>
      <c r="C140" s="4">
        <v>-1016.18</v>
      </c>
      <c r="D140" s="4">
        <v>-1016.18</v>
      </c>
      <c r="E140" s="4">
        <v>0</v>
      </c>
      <c r="F140" s="3" t="e">
        <f>VLOOKUP(B140,'Balance Sheet'!#REF!,2,0)</f>
        <v>#REF!</v>
      </c>
    </row>
    <row r="141" spans="1:6" x14ac:dyDescent="0.2">
      <c r="A141" s="3" t="s">
        <v>122</v>
      </c>
      <c r="B141" s="3" t="s">
        <v>131</v>
      </c>
      <c r="C141" s="4">
        <v>-21325.01</v>
      </c>
      <c r="D141" s="4">
        <v>-21325.01</v>
      </c>
      <c r="E141" s="4">
        <v>0</v>
      </c>
      <c r="F141" s="3" t="e">
        <f>VLOOKUP(B141,'Balance Sheet'!#REF!,2,0)</f>
        <v>#REF!</v>
      </c>
    </row>
    <row r="142" spans="1:6" x14ac:dyDescent="0.2">
      <c r="A142" s="3" t="s">
        <v>122</v>
      </c>
      <c r="B142" s="3" t="s">
        <v>132</v>
      </c>
      <c r="C142" s="4">
        <v>-16964.53</v>
      </c>
      <c r="D142" s="4">
        <v>-16964.53</v>
      </c>
      <c r="E142" s="4">
        <v>0</v>
      </c>
      <c r="F142" s="3" t="e">
        <f>VLOOKUP(B142,'Balance Sheet'!#REF!,2,0)</f>
        <v>#REF!</v>
      </c>
    </row>
    <row r="143" spans="1:6" x14ac:dyDescent="0.2">
      <c r="A143" s="3" t="s">
        <v>122</v>
      </c>
      <c r="B143" s="3" t="s">
        <v>133</v>
      </c>
      <c r="C143" s="4">
        <v>16964.53</v>
      </c>
      <c r="D143" s="4">
        <v>16964.53</v>
      </c>
      <c r="E143" s="4">
        <v>0</v>
      </c>
      <c r="F143" s="3" t="e">
        <f>VLOOKUP(B143,'Balance Sheet'!#REF!,2,0)</f>
        <v>#REF!</v>
      </c>
    </row>
    <row r="144" spans="1:6" x14ac:dyDescent="0.2">
      <c r="A144" s="3" t="s">
        <v>122</v>
      </c>
      <c r="B144" s="3" t="s">
        <v>134</v>
      </c>
      <c r="C144" s="4">
        <v>-7690.01</v>
      </c>
      <c r="D144" s="4">
        <v>-7690.01</v>
      </c>
      <c r="E144" s="4">
        <v>0</v>
      </c>
      <c r="F144" s="3" t="e">
        <f>VLOOKUP(B144,'Balance Sheet'!#REF!,2,0)</f>
        <v>#REF!</v>
      </c>
    </row>
    <row r="145" spans="1:6" x14ac:dyDescent="0.2">
      <c r="A145" s="3" t="s">
        <v>122</v>
      </c>
      <c r="B145" s="3" t="s">
        <v>135</v>
      </c>
      <c r="C145" s="4">
        <v>7690.01</v>
      </c>
      <c r="D145" s="4">
        <v>7690.01</v>
      </c>
      <c r="E145" s="4">
        <v>0</v>
      </c>
      <c r="F145" s="3" t="e">
        <f>VLOOKUP(B145,'Balance Sheet'!#REF!,2,0)</f>
        <v>#REF!</v>
      </c>
    </row>
    <row r="146" spans="1:6" x14ac:dyDescent="0.2">
      <c r="A146" s="3" t="s">
        <v>122</v>
      </c>
      <c r="B146" s="3" t="s">
        <v>136</v>
      </c>
      <c r="C146" s="4">
        <v>-21201.08</v>
      </c>
      <c r="D146" s="4">
        <v>-21201.08</v>
      </c>
      <c r="E146" s="4">
        <v>0</v>
      </c>
      <c r="F146" s="3" t="e">
        <f>VLOOKUP(B146,'Balance Sheet'!#REF!,2,0)</f>
        <v>#REF!</v>
      </c>
    </row>
    <row r="147" spans="1:6" x14ac:dyDescent="0.2">
      <c r="A147" s="3" t="s">
        <v>122</v>
      </c>
      <c r="B147" s="3" t="s">
        <v>137</v>
      </c>
      <c r="C147" s="4">
        <v>21201.08</v>
      </c>
      <c r="D147" s="4">
        <v>21201.08</v>
      </c>
      <c r="E147" s="4">
        <v>0</v>
      </c>
      <c r="F147" s="3" t="e">
        <f>VLOOKUP(B147,'Balance Sheet'!#REF!,2,0)</f>
        <v>#REF!</v>
      </c>
    </row>
    <row r="148" spans="1:6" x14ac:dyDescent="0.2">
      <c r="A148" s="3" t="s">
        <v>122</v>
      </c>
      <c r="B148" s="3" t="s">
        <v>138</v>
      </c>
      <c r="C148" s="4">
        <v>-1800.76</v>
      </c>
      <c r="D148" s="4">
        <v>-1800.76</v>
      </c>
      <c r="E148" s="4">
        <v>0</v>
      </c>
      <c r="F148" s="3" t="e">
        <f>VLOOKUP(B148,'Balance Sheet'!#REF!,2,0)</f>
        <v>#REF!</v>
      </c>
    </row>
    <row r="149" spans="1:6" x14ac:dyDescent="0.2">
      <c r="A149" s="3" t="s">
        <v>122</v>
      </c>
      <c r="B149" s="3" t="s">
        <v>139</v>
      </c>
      <c r="C149" s="4">
        <v>1800.76</v>
      </c>
      <c r="D149" s="4">
        <v>1800.76</v>
      </c>
      <c r="E149" s="4">
        <v>0</v>
      </c>
      <c r="F149" s="3" t="e">
        <f>VLOOKUP(B149,'Balance Sheet'!#REF!,2,0)</f>
        <v>#REF!</v>
      </c>
    </row>
    <row r="150" spans="1:6" x14ac:dyDescent="0.2">
      <c r="A150" s="3" t="s">
        <v>122</v>
      </c>
      <c r="B150" s="3" t="s">
        <v>985</v>
      </c>
      <c r="C150" s="4">
        <v>-6095.69</v>
      </c>
      <c r="D150" s="4">
        <v>-6095.69</v>
      </c>
      <c r="E150" s="4">
        <v>0</v>
      </c>
      <c r="F150" s="3" t="e">
        <f>VLOOKUP(B150,'Balance Sheet'!#REF!,2,0)</f>
        <v>#REF!</v>
      </c>
    </row>
    <row r="151" spans="1:6" x14ac:dyDescent="0.2">
      <c r="A151" s="3" t="s">
        <v>122</v>
      </c>
      <c r="B151" s="3" t="s">
        <v>986</v>
      </c>
      <c r="C151" s="4">
        <v>6095.69</v>
      </c>
      <c r="D151" s="4">
        <v>6095.69</v>
      </c>
      <c r="E151" s="4">
        <v>0</v>
      </c>
      <c r="F151" s="3" t="e">
        <f>VLOOKUP(B151,'Balance Sheet'!#REF!,2,0)</f>
        <v>#REF!</v>
      </c>
    </row>
    <row r="152" spans="1:6" x14ac:dyDescent="0.2">
      <c r="A152" s="3" t="s">
        <v>122</v>
      </c>
      <c r="B152" s="3" t="s">
        <v>140</v>
      </c>
      <c r="C152" s="4">
        <v>-50870.62</v>
      </c>
      <c r="D152" s="4">
        <v>-50870.62</v>
      </c>
      <c r="E152" s="4">
        <v>0</v>
      </c>
      <c r="F152" s="3" t="e">
        <f>VLOOKUP(B152,'Balance Sheet'!#REF!,2,0)</f>
        <v>#REF!</v>
      </c>
    </row>
    <row r="153" spans="1:6" x14ac:dyDescent="0.2">
      <c r="A153" s="3" t="s">
        <v>122</v>
      </c>
      <c r="B153" s="3" t="s">
        <v>141</v>
      </c>
      <c r="C153" s="4">
        <v>50870.62</v>
      </c>
      <c r="D153" s="4">
        <v>50870.62</v>
      </c>
      <c r="E153" s="4">
        <v>0</v>
      </c>
      <c r="F153" s="3" t="e">
        <f>VLOOKUP(B153,'Balance Sheet'!#REF!,2,0)</f>
        <v>#REF!</v>
      </c>
    </row>
    <row r="154" spans="1:6" x14ac:dyDescent="0.2">
      <c r="A154" s="3" t="s">
        <v>122</v>
      </c>
      <c r="B154" s="3" t="s">
        <v>142</v>
      </c>
      <c r="C154" s="4">
        <v>-58678.62</v>
      </c>
      <c r="D154" s="4">
        <v>-58678.62</v>
      </c>
      <c r="E154" s="4">
        <v>0</v>
      </c>
      <c r="F154" s="3" t="e">
        <f>VLOOKUP(B154,'Balance Sheet'!#REF!,2,0)</f>
        <v>#REF!</v>
      </c>
    </row>
    <row r="155" spans="1:6" x14ac:dyDescent="0.2">
      <c r="A155" s="3" t="s">
        <v>122</v>
      </c>
      <c r="B155" s="3" t="s">
        <v>143</v>
      </c>
      <c r="C155" s="4">
        <v>57844.13</v>
      </c>
      <c r="D155" s="4">
        <v>57844.13</v>
      </c>
      <c r="E155" s="4">
        <v>0</v>
      </c>
      <c r="F155" s="3" t="e">
        <f>VLOOKUP(B155,'Balance Sheet'!#REF!,2,0)</f>
        <v>#REF!</v>
      </c>
    </row>
    <row r="156" spans="1:6" x14ac:dyDescent="0.2">
      <c r="A156" s="3" t="s">
        <v>122</v>
      </c>
      <c r="B156" s="3" t="s">
        <v>144</v>
      </c>
      <c r="C156" s="4">
        <v>176731.45</v>
      </c>
      <c r="D156" s="4">
        <v>176731.45</v>
      </c>
      <c r="E156" s="4">
        <v>0</v>
      </c>
      <c r="F156" s="3" t="e">
        <f>VLOOKUP(B156,'Balance Sheet'!#REF!,2,0)</f>
        <v>#REF!</v>
      </c>
    </row>
    <row r="157" spans="1:6" s="18" customFormat="1" x14ac:dyDescent="0.2">
      <c r="A157" s="18" t="s">
        <v>122</v>
      </c>
      <c r="B157" s="18" t="s">
        <v>987</v>
      </c>
      <c r="C157" s="19">
        <v>1021.9</v>
      </c>
      <c r="D157" s="19">
        <v>1021.9</v>
      </c>
      <c r="E157" s="19">
        <v>0</v>
      </c>
      <c r="F157" s="18" t="e">
        <f>VLOOKUP(B157,'Balance Sheet'!#REF!,2,0)</f>
        <v>#REF!</v>
      </c>
    </row>
    <row r="158" spans="1:6" s="18" customFormat="1" x14ac:dyDescent="0.2">
      <c r="A158" s="18" t="s">
        <v>122</v>
      </c>
      <c r="B158" s="18" t="s">
        <v>988</v>
      </c>
      <c r="C158" s="19">
        <v>0.34</v>
      </c>
      <c r="D158" s="19">
        <v>0.34</v>
      </c>
      <c r="E158" s="19">
        <v>0</v>
      </c>
      <c r="F158" s="18" t="e">
        <f>VLOOKUP(B158,'Balance Sheet'!#REF!,2,0)</f>
        <v>#REF!</v>
      </c>
    </row>
    <row r="159" spans="1:6" x14ac:dyDescent="0.2">
      <c r="A159" s="3" t="s">
        <v>122</v>
      </c>
      <c r="B159" s="3" t="s">
        <v>147</v>
      </c>
      <c r="C159" s="4">
        <v>-2518350.04</v>
      </c>
      <c r="D159" s="4">
        <v>-2518350.04</v>
      </c>
      <c r="E159" s="4">
        <v>0</v>
      </c>
      <c r="F159" s="3" t="e">
        <f>VLOOKUP(B159,'Balance Sheet'!#REF!,2,0)</f>
        <v>#REF!</v>
      </c>
    </row>
    <row r="160" spans="1:6" x14ac:dyDescent="0.2">
      <c r="A160" s="3" t="s">
        <v>122</v>
      </c>
      <c r="B160" s="3" t="s">
        <v>2</v>
      </c>
      <c r="C160" s="4">
        <v>-2539690.5099999998</v>
      </c>
      <c r="D160" s="4">
        <v>-2539690.5099999998</v>
      </c>
      <c r="E160" s="4">
        <v>0</v>
      </c>
      <c r="F160" s="3" t="e">
        <f>VLOOKUP(B160,'Balance Sheet'!#REF!,2,0)</f>
        <v>#REF!</v>
      </c>
    </row>
    <row r="161" spans="1:6" x14ac:dyDescent="0.2">
      <c r="A161" s="3" t="s">
        <v>148</v>
      </c>
      <c r="B161" s="3" t="s">
        <v>2</v>
      </c>
      <c r="C161" s="4">
        <v>-2539690.5099999998</v>
      </c>
      <c r="D161" s="4">
        <v>-2539690.5099999998</v>
      </c>
      <c r="E161" s="4">
        <v>0</v>
      </c>
      <c r="F161" s="3" t="e">
        <f>VLOOKUP(B161,'Balance Sheet'!#REF!,2,0)</f>
        <v>#REF!</v>
      </c>
    </row>
    <row r="162" spans="1:6" s="18" customFormat="1" x14ac:dyDescent="0.2">
      <c r="A162" s="18" t="s">
        <v>149</v>
      </c>
      <c r="B162" s="18" t="s">
        <v>150</v>
      </c>
      <c r="C162" s="19">
        <v>108.76</v>
      </c>
      <c r="D162" s="19">
        <v>108.76</v>
      </c>
      <c r="E162" s="19">
        <v>0</v>
      </c>
      <c r="F162" s="18" t="e">
        <f>VLOOKUP(B162,'Balance Sheet'!#REF!,2,0)</f>
        <v>#REF!</v>
      </c>
    </row>
    <row r="163" spans="1:6" s="18" customFormat="1" x14ac:dyDescent="0.2">
      <c r="A163" s="18" t="s">
        <v>149</v>
      </c>
      <c r="B163" s="18" t="s">
        <v>152</v>
      </c>
      <c r="C163" s="19">
        <v>3536.92</v>
      </c>
      <c r="D163" s="19">
        <v>3536.92</v>
      </c>
      <c r="E163" s="19">
        <v>0</v>
      </c>
      <c r="F163" s="18" t="e">
        <f>VLOOKUP(B163,'Balance Sheet'!#REF!,2,0)</f>
        <v>#REF!</v>
      </c>
    </row>
    <row r="164" spans="1:6" s="18" customFormat="1" x14ac:dyDescent="0.2">
      <c r="A164" s="18" t="s">
        <v>149</v>
      </c>
      <c r="B164" s="18" t="s">
        <v>153</v>
      </c>
      <c r="C164" s="19">
        <v>-248.8</v>
      </c>
      <c r="D164" s="19">
        <v>-248.8</v>
      </c>
      <c r="E164" s="19">
        <v>0</v>
      </c>
      <c r="F164" s="18" t="e">
        <f>VLOOKUP(B164,'Balance Sheet'!#REF!,2,0)</f>
        <v>#REF!</v>
      </c>
    </row>
    <row r="165" spans="1:6" x14ac:dyDescent="0.2">
      <c r="A165" s="3" t="s">
        <v>149</v>
      </c>
      <c r="B165" s="3" t="s">
        <v>154</v>
      </c>
      <c r="C165" s="4">
        <v>-1406.6</v>
      </c>
      <c r="D165" s="4">
        <v>-1406.6</v>
      </c>
      <c r="E165" s="4">
        <v>0</v>
      </c>
      <c r="F165" s="3" t="e">
        <f>VLOOKUP(B165,'Balance Sheet'!#REF!,2,0)</f>
        <v>#REF!</v>
      </c>
    </row>
    <row r="166" spans="1:6" x14ac:dyDescent="0.2">
      <c r="A166" s="3" t="s">
        <v>149</v>
      </c>
      <c r="B166" s="3" t="s">
        <v>2</v>
      </c>
      <c r="C166" s="4">
        <v>1990.28</v>
      </c>
      <c r="D166" s="4">
        <v>1990.28</v>
      </c>
      <c r="E166" s="4">
        <v>0</v>
      </c>
      <c r="F166" s="3" t="e">
        <f>VLOOKUP(B166,'Balance Sheet'!#REF!,2,0)</f>
        <v>#REF!</v>
      </c>
    </row>
    <row r="167" spans="1:6" x14ac:dyDescent="0.2">
      <c r="A167" s="3" t="s">
        <v>155</v>
      </c>
      <c r="B167" s="3" t="s">
        <v>2</v>
      </c>
      <c r="C167" s="4">
        <v>1990.28</v>
      </c>
      <c r="D167" s="4">
        <v>1990.28</v>
      </c>
      <c r="E167" s="4">
        <v>0</v>
      </c>
      <c r="F167" s="3" t="e">
        <f>VLOOKUP(B167,'Balance Sheet'!#REF!,2,0)</f>
        <v>#REF!</v>
      </c>
    </row>
    <row r="168" spans="1:6" x14ac:dyDescent="0.2">
      <c r="A168" s="3" t="s">
        <v>156</v>
      </c>
      <c r="B168" s="3" t="s">
        <v>157</v>
      </c>
      <c r="C168" s="4">
        <v>-2990.5</v>
      </c>
      <c r="D168" s="4">
        <v>-2990.5</v>
      </c>
      <c r="E168" s="4">
        <v>0</v>
      </c>
      <c r="F168" s="3" t="e">
        <f>VLOOKUP(B168,'Balance Sheet'!#REF!,2,0)</f>
        <v>#REF!</v>
      </c>
    </row>
    <row r="169" spans="1:6" s="18" customFormat="1" x14ac:dyDescent="0.2">
      <c r="A169" s="18" t="s">
        <v>156</v>
      </c>
      <c r="B169" s="18" t="s">
        <v>158</v>
      </c>
      <c r="C169" s="19">
        <v>1168.55</v>
      </c>
      <c r="D169" s="19">
        <v>1168.55</v>
      </c>
      <c r="E169" s="19">
        <v>0</v>
      </c>
      <c r="F169" s="18" t="e">
        <f>VLOOKUP(B169,'Balance Sheet'!#REF!,2,0)</f>
        <v>#REF!</v>
      </c>
    </row>
    <row r="170" spans="1:6" s="18" customFormat="1" x14ac:dyDescent="0.2">
      <c r="A170" s="18" t="s">
        <v>156</v>
      </c>
      <c r="B170" s="18" t="s">
        <v>160</v>
      </c>
      <c r="C170" s="19">
        <v>-556.95000000000005</v>
      </c>
      <c r="D170" s="19">
        <v>-556.95000000000005</v>
      </c>
      <c r="E170" s="19">
        <v>0</v>
      </c>
      <c r="F170" s="18" t="e">
        <f>VLOOKUP(B170,'Balance Sheet'!#REF!,2,0)</f>
        <v>#REF!</v>
      </c>
    </row>
    <row r="171" spans="1:6" x14ac:dyDescent="0.2">
      <c r="A171" s="3" t="s">
        <v>156</v>
      </c>
      <c r="B171" s="3" t="s">
        <v>161</v>
      </c>
      <c r="C171" s="4">
        <v>-2546.25</v>
      </c>
      <c r="D171" s="4">
        <v>-2546.25</v>
      </c>
      <c r="E171" s="4">
        <v>0</v>
      </c>
      <c r="F171" s="3" t="e">
        <f>VLOOKUP(B171,'Balance Sheet'!#REF!,2,0)</f>
        <v>#REF!</v>
      </c>
    </row>
    <row r="172" spans="1:6" x14ac:dyDescent="0.2">
      <c r="A172" s="3" t="s">
        <v>156</v>
      </c>
      <c r="B172" s="3" t="s">
        <v>2</v>
      </c>
      <c r="C172" s="4">
        <v>-4925.1499999999996</v>
      </c>
      <c r="D172" s="4">
        <v>-4925.1499999999996</v>
      </c>
      <c r="E172" s="4">
        <v>0</v>
      </c>
      <c r="F172" s="3" t="e">
        <f>VLOOKUP(B172,'Balance Sheet'!#REF!,2,0)</f>
        <v>#REF!</v>
      </c>
    </row>
    <row r="173" spans="1:6" s="18" customFormat="1" x14ac:dyDescent="0.2">
      <c r="A173" s="18" t="s">
        <v>162</v>
      </c>
      <c r="B173" s="18" t="s">
        <v>163</v>
      </c>
      <c r="C173" s="19">
        <v>-68234.289999999994</v>
      </c>
      <c r="D173" s="19">
        <v>-68234.289999999994</v>
      </c>
      <c r="E173" s="19">
        <v>0</v>
      </c>
      <c r="F173" s="18" t="e">
        <f>VLOOKUP(B173,'Balance Sheet'!#REF!,2,0)</f>
        <v>#REF!</v>
      </c>
    </row>
    <row r="174" spans="1:6" s="18" customFormat="1" x14ac:dyDescent="0.2">
      <c r="A174" s="18" t="s">
        <v>162</v>
      </c>
      <c r="B174" s="18" t="s">
        <v>164</v>
      </c>
      <c r="C174" s="19">
        <v>-325611.05</v>
      </c>
      <c r="D174" s="19">
        <v>-325611.05</v>
      </c>
      <c r="E174" s="19">
        <v>0</v>
      </c>
      <c r="F174" s="18" t="e">
        <f>VLOOKUP(B174,'Balance Sheet'!#REF!,2,0)</f>
        <v>#REF!</v>
      </c>
    </row>
    <row r="175" spans="1:6" x14ac:dyDescent="0.2">
      <c r="A175" s="3" t="s">
        <v>162</v>
      </c>
      <c r="B175" s="3" t="s">
        <v>165</v>
      </c>
      <c r="C175" s="4">
        <v>-239979.26</v>
      </c>
      <c r="D175" s="4">
        <v>-239979.26</v>
      </c>
      <c r="E175" s="4">
        <v>0</v>
      </c>
      <c r="F175" s="3" t="e">
        <f>VLOOKUP(B175,'Balance Sheet'!#REF!,2,0)</f>
        <v>#REF!</v>
      </c>
    </row>
    <row r="176" spans="1:6" x14ac:dyDescent="0.2">
      <c r="A176" s="3" t="s">
        <v>162</v>
      </c>
      <c r="B176" s="3" t="s">
        <v>166</v>
      </c>
      <c r="C176" s="4">
        <v>-62646.34</v>
      </c>
      <c r="D176" s="4">
        <v>-62646.34</v>
      </c>
      <c r="E176" s="4">
        <v>0</v>
      </c>
      <c r="F176" s="3" t="e">
        <f>VLOOKUP(B176,'Balance Sheet'!#REF!,2,0)</f>
        <v>#REF!</v>
      </c>
    </row>
    <row r="177" spans="1:6" x14ac:dyDescent="0.2">
      <c r="A177" s="3" t="s">
        <v>162</v>
      </c>
      <c r="B177" s="3" t="s">
        <v>167</v>
      </c>
      <c r="C177" s="4">
        <v>-570073.72</v>
      </c>
      <c r="D177" s="4">
        <v>-570073.72</v>
      </c>
      <c r="E177" s="4">
        <v>0</v>
      </c>
      <c r="F177" s="3" t="e">
        <f>VLOOKUP(B177,'Balance Sheet'!#REF!,2,0)</f>
        <v>#REF!</v>
      </c>
    </row>
    <row r="178" spans="1:6" s="18" customFormat="1" x14ac:dyDescent="0.2">
      <c r="A178" s="18" t="s">
        <v>162</v>
      </c>
      <c r="B178" s="18" t="s">
        <v>168</v>
      </c>
      <c r="C178" s="19">
        <v>-53790.58</v>
      </c>
      <c r="D178" s="19">
        <v>-53790.58</v>
      </c>
      <c r="E178" s="19">
        <v>0</v>
      </c>
      <c r="F178" s="18" t="e">
        <f>VLOOKUP(B178,'Balance Sheet'!#REF!,2,0)</f>
        <v>#REF!</v>
      </c>
    </row>
    <row r="179" spans="1:6" s="18" customFormat="1" x14ac:dyDescent="0.2">
      <c r="A179" s="18" t="s">
        <v>162</v>
      </c>
      <c r="B179" s="18" t="s">
        <v>169</v>
      </c>
      <c r="C179" s="19">
        <v>-452</v>
      </c>
      <c r="D179" s="19">
        <v>-452</v>
      </c>
      <c r="E179" s="19">
        <v>0</v>
      </c>
      <c r="F179" s="18" t="e">
        <f>VLOOKUP(B179,'Balance Sheet'!#REF!,2,0)</f>
        <v>#REF!</v>
      </c>
    </row>
    <row r="180" spans="1:6" s="18" customFormat="1" x14ac:dyDescent="0.2">
      <c r="A180" s="18" t="s">
        <v>162</v>
      </c>
      <c r="B180" s="18" t="s">
        <v>170</v>
      </c>
      <c r="C180" s="19">
        <v>-308264.09999999998</v>
      </c>
      <c r="D180" s="19">
        <v>-308264.09999999998</v>
      </c>
      <c r="E180" s="19">
        <v>0</v>
      </c>
      <c r="F180" s="18" t="e">
        <f>VLOOKUP(B180,'Balance Sheet'!#REF!,2,0)</f>
        <v>#REF!</v>
      </c>
    </row>
    <row r="181" spans="1:6" s="18" customFormat="1" x14ac:dyDescent="0.2">
      <c r="A181" s="18" t="s">
        <v>162</v>
      </c>
      <c r="B181" s="18" t="s">
        <v>171</v>
      </c>
      <c r="C181" s="19">
        <v>-258712.78</v>
      </c>
      <c r="D181" s="19">
        <v>-258712.78</v>
      </c>
      <c r="E181" s="19">
        <v>0</v>
      </c>
      <c r="F181" s="18" t="e">
        <f>VLOOKUP(B181,'Balance Sheet'!#REF!,2,0)</f>
        <v>#REF!</v>
      </c>
    </row>
    <row r="182" spans="1:6" x14ac:dyDescent="0.2">
      <c r="A182" s="3" t="s">
        <v>162</v>
      </c>
      <c r="B182" s="3" t="s">
        <v>2</v>
      </c>
      <c r="C182" s="4">
        <v>-1887764.12</v>
      </c>
      <c r="D182" s="4">
        <v>-1887764.12</v>
      </c>
      <c r="E182" s="4">
        <v>0</v>
      </c>
      <c r="F182" s="3" t="e">
        <f>VLOOKUP(B182,'Balance Sheet'!#REF!,2,0)</f>
        <v>#REF!</v>
      </c>
    </row>
    <row r="183" spans="1:6" x14ac:dyDescent="0.2">
      <c r="A183" s="3" t="s">
        <v>172</v>
      </c>
      <c r="B183" s="3" t="s">
        <v>173</v>
      </c>
      <c r="C183" s="4">
        <v>-494.23</v>
      </c>
      <c r="D183" s="4">
        <v>-494.23</v>
      </c>
      <c r="E183" s="4">
        <v>0</v>
      </c>
      <c r="F183" s="3" t="e">
        <f>VLOOKUP(B183,'Balance Sheet'!#REF!,2,0)</f>
        <v>#REF!</v>
      </c>
    </row>
    <row r="184" spans="1:6" x14ac:dyDescent="0.2">
      <c r="A184" s="3" t="s">
        <v>172</v>
      </c>
      <c r="B184" s="3" t="s">
        <v>2</v>
      </c>
      <c r="C184" s="4">
        <v>-494.23</v>
      </c>
      <c r="D184" s="4">
        <v>-494.23</v>
      </c>
      <c r="E184" s="4">
        <v>0</v>
      </c>
      <c r="F184" s="3" t="e">
        <f>VLOOKUP(B184,'Balance Sheet'!#REF!,2,0)</f>
        <v>#REF!</v>
      </c>
    </row>
    <row r="185" spans="1:6" x14ac:dyDescent="0.2">
      <c r="A185" s="3" t="s">
        <v>174</v>
      </c>
      <c r="B185" s="3" t="s">
        <v>175</v>
      </c>
      <c r="C185" s="4">
        <v>2274.0700000000002</v>
      </c>
      <c r="D185" s="4">
        <v>2274.0700000000002</v>
      </c>
      <c r="E185" s="4">
        <v>0</v>
      </c>
      <c r="F185" s="3" t="e">
        <f>VLOOKUP(B185,'Balance Sheet'!#REF!,2,0)</f>
        <v>#REF!</v>
      </c>
    </row>
    <row r="186" spans="1:6" x14ac:dyDescent="0.2">
      <c r="A186" s="3" t="s">
        <v>174</v>
      </c>
      <c r="B186" s="3" t="s">
        <v>176</v>
      </c>
      <c r="C186" s="4">
        <v>-624369.1</v>
      </c>
      <c r="D186" s="4">
        <v>-624369.1</v>
      </c>
      <c r="E186" s="4">
        <v>0</v>
      </c>
      <c r="F186" s="3" t="e">
        <f>VLOOKUP(B186,'Balance Sheet'!#REF!,2,0)</f>
        <v>#REF!</v>
      </c>
    </row>
    <row r="187" spans="1:6" x14ac:dyDescent="0.2">
      <c r="A187" s="3" t="s">
        <v>174</v>
      </c>
      <c r="B187" s="3" t="s">
        <v>177</v>
      </c>
      <c r="C187" s="4">
        <v>-65373.62</v>
      </c>
      <c r="D187" s="4">
        <v>-65373.62</v>
      </c>
      <c r="E187" s="4">
        <v>0</v>
      </c>
      <c r="F187" s="3" t="e">
        <f>VLOOKUP(B187,'Balance Sheet'!#REF!,2,0)</f>
        <v>#REF!</v>
      </c>
    </row>
    <row r="188" spans="1:6" x14ac:dyDescent="0.2">
      <c r="A188" s="3" t="s">
        <v>174</v>
      </c>
      <c r="B188" s="3" t="s">
        <v>2</v>
      </c>
      <c r="C188" s="4">
        <v>-687468.65</v>
      </c>
      <c r="D188" s="4">
        <v>-687468.65</v>
      </c>
      <c r="E188" s="4">
        <v>0</v>
      </c>
      <c r="F188" s="3" t="e">
        <f>VLOOKUP(B188,'Balance Sheet'!#REF!,2,0)</f>
        <v>#REF!</v>
      </c>
    </row>
    <row r="189" spans="1:6" x14ac:dyDescent="0.2">
      <c r="A189" s="3" t="s">
        <v>178</v>
      </c>
      <c r="B189" s="3" t="s">
        <v>179</v>
      </c>
      <c r="C189" s="4">
        <v>-720948.9</v>
      </c>
      <c r="D189" s="4">
        <v>-720948.9</v>
      </c>
      <c r="E189" s="4">
        <v>0</v>
      </c>
      <c r="F189" s="3" t="e">
        <f>VLOOKUP(B189,'Balance Sheet'!#REF!,2,0)</f>
        <v>#REF!</v>
      </c>
    </row>
    <row r="190" spans="1:6" x14ac:dyDescent="0.2">
      <c r="A190" s="3" t="s">
        <v>178</v>
      </c>
      <c r="B190" s="3" t="s">
        <v>180</v>
      </c>
      <c r="C190" s="4">
        <v>-4206.9399999999996</v>
      </c>
      <c r="D190" s="4">
        <v>-4206.9399999999996</v>
      </c>
      <c r="E190" s="4">
        <v>0</v>
      </c>
      <c r="F190" s="3" t="e">
        <f>VLOOKUP(B190,'Balance Sheet'!#REF!,2,0)</f>
        <v>#REF!</v>
      </c>
    </row>
    <row r="191" spans="1:6" x14ac:dyDescent="0.2">
      <c r="A191" s="3" t="s">
        <v>178</v>
      </c>
      <c r="B191" s="3" t="s">
        <v>181</v>
      </c>
      <c r="C191" s="4">
        <v>223.9</v>
      </c>
      <c r="D191" s="4">
        <v>223.9</v>
      </c>
      <c r="E191" s="4">
        <v>0</v>
      </c>
      <c r="F191" s="3" t="e">
        <f>VLOOKUP(B191,'Balance Sheet'!#REF!,2,0)</f>
        <v>#REF!</v>
      </c>
    </row>
    <row r="192" spans="1:6" x14ac:dyDescent="0.2">
      <c r="A192" s="3" t="s">
        <v>178</v>
      </c>
      <c r="B192" s="3" t="s">
        <v>182</v>
      </c>
      <c r="C192" s="4">
        <v>-2585.56</v>
      </c>
      <c r="D192" s="4">
        <v>-2585.56</v>
      </c>
      <c r="E192" s="4">
        <v>0</v>
      </c>
      <c r="F192" s="3" t="e">
        <f>VLOOKUP(B192,'Balance Sheet'!#REF!,2,0)</f>
        <v>#REF!</v>
      </c>
    </row>
    <row r="193" spans="1:6" s="18" customFormat="1" x14ac:dyDescent="0.2">
      <c r="A193" s="18" t="s">
        <v>178</v>
      </c>
      <c r="B193" s="18" t="s">
        <v>183</v>
      </c>
      <c r="C193" s="19">
        <v>-60.88</v>
      </c>
      <c r="D193" s="19">
        <v>-60.88</v>
      </c>
      <c r="E193" s="19">
        <v>0</v>
      </c>
      <c r="F193" s="18" t="e">
        <f>VLOOKUP(B193,'Balance Sheet'!#REF!,2,0)</f>
        <v>#REF!</v>
      </c>
    </row>
    <row r="194" spans="1:6" x14ac:dyDescent="0.2">
      <c r="A194" s="3" t="s">
        <v>178</v>
      </c>
      <c r="B194" s="3" t="s">
        <v>184</v>
      </c>
      <c r="C194" s="4">
        <v>-3957.09</v>
      </c>
      <c r="D194" s="4">
        <v>-3957.09</v>
      </c>
      <c r="E194" s="4">
        <v>0</v>
      </c>
      <c r="F194" s="3" t="e">
        <f>VLOOKUP(B194,'Balance Sheet'!#REF!,2,0)</f>
        <v>#REF!</v>
      </c>
    </row>
    <row r="195" spans="1:6" x14ac:dyDescent="0.2">
      <c r="A195" s="3" t="s">
        <v>178</v>
      </c>
      <c r="B195" s="3" t="s">
        <v>186</v>
      </c>
      <c r="C195" s="4">
        <v>-800</v>
      </c>
      <c r="D195" s="4">
        <v>-800</v>
      </c>
      <c r="E195" s="4">
        <v>0</v>
      </c>
      <c r="F195" s="3" t="e">
        <f>VLOOKUP(B195,'Balance Sheet'!#REF!,2,0)</f>
        <v>#REF!</v>
      </c>
    </row>
    <row r="196" spans="1:6" x14ac:dyDescent="0.2">
      <c r="A196" s="3" t="s">
        <v>178</v>
      </c>
      <c r="B196" s="3" t="s">
        <v>187</v>
      </c>
      <c r="C196" s="4">
        <v>323.99</v>
      </c>
      <c r="D196" s="4">
        <v>323.99</v>
      </c>
      <c r="E196" s="4">
        <v>0</v>
      </c>
      <c r="F196" s="3" t="e">
        <f>VLOOKUP(B196,'Balance Sheet'!#REF!,2,0)</f>
        <v>#REF!</v>
      </c>
    </row>
    <row r="197" spans="1:6" x14ac:dyDescent="0.2">
      <c r="A197" s="3" t="s">
        <v>178</v>
      </c>
      <c r="B197" s="3" t="s">
        <v>188</v>
      </c>
      <c r="C197" s="4">
        <v>-1219.8399999999999</v>
      </c>
      <c r="D197" s="4">
        <v>-1219.8399999999999</v>
      </c>
      <c r="E197" s="4">
        <v>0</v>
      </c>
      <c r="F197" s="3" t="e">
        <f>VLOOKUP(B197,'Balance Sheet'!#REF!,2,0)</f>
        <v>#REF!</v>
      </c>
    </row>
    <row r="198" spans="1:6" x14ac:dyDescent="0.2">
      <c r="A198" s="3" t="s">
        <v>178</v>
      </c>
      <c r="B198" s="3" t="s">
        <v>190</v>
      </c>
      <c r="C198" s="4">
        <v>385.31</v>
      </c>
      <c r="D198" s="4">
        <v>385.31</v>
      </c>
      <c r="E198" s="4">
        <v>0</v>
      </c>
      <c r="F198" s="3" t="e">
        <f>VLOOKUP(B198,'Balance Sheet'!#REF!,2,0)</f>
        <v>#REF!</v>
      </c>
    </row>
    <row r="199" spans="1:6" x14ac:dyDescent="0.2">
      <c r="A199" s="3" t="s">
        <v>178</v>
      </c>
      <c r="B199" s="3" t="s">
        <v>192</v>
      </c>
      <c r="C199" s="4">
        <v>7153.18</v>
      </c>
      <c r="D199" s="4">
        <v>7153.18</v>
      </c>
      <c r="E199" s="4">
        <v>0</v>
      </c>
      <c r="F199" s="3" t="e">
        <f>VLOOKUP(B199,'Balance Sheet'!#REF!,2,0)</f>
        <v>#REF!</v>
      </c>
    </row>
    <row r="200" spans="1:6" x14ac:dyDescent="0.2">
      <c r="A200" s="3" t="s">
        <v>178</v>
      </c>
      <c r="B200" s="3" t="s">
        <v>193</v>
      </c>
      <c r="C200" s="4">
        <v>139.84</v>
      </c>
      <c r="D200" s="4">
        <v>139.84</v>
      </c>
      <c r="E200" s="4">
        <v>0</v>
      </c>
      <c r="F200" s="3" t="e">
        <f>VLOOKUP(B200,'Balance Sheet'!#REF!,2,0)</f>
        <v>#REF!</v>
      </c>
    </row>
    <row r="201" spans="1:6" x14ac:dyDescent="0.2">
      <c r="A201" s="3" t="s">
        <v>178</v>
      </c>
      <c r="B201" s="3" t="s">
        <v>194</v>
      </c>
      <c r="C201" s="4">
        <v>-23821.75</v>
      </c>
      <c r="D201" s="4">
        <v>-23821.75</v>
      </c>
      <c r="E201" s="4">
        <v>0</v>
      </c>
      <c r="F201" s="3" t="e">
        <f>VLOOKUP(B201,'Balance Sheet'!#REF!,2,0)</f>
        <v>#REF!</v>
      </c>
    </row>
    <row r="202" spans="1:6" x14ac:dyDescent="0.2">
      <c r="A202" s="3" t="s">
        <v>178</v>
      </c>
      <c r="B202" s="3" t="s">
        <v>195</v>
      </c>
      <c r="C202" s="4">
        <v>-38589.58</v>
      </c>
      <c r="D202" s="4">
        <v>-38589.58</v>
      </c>
      <c r="E202" s="4">
        <v>0</v>
      </c>
      <c r="F202" s="3" t="e">
        <f>VLOOKUP(B202,'Balance Sheet'!#REF!,2,0)</f>
        <v>#REF!</v>
      </c>
    </row>
    <row r="203" spans="1:6" x14ac:dyDescent="0.2">
      <c r="A203" s="3" t="s">
        <v>178</v>
      </c>
      <c r="B203" s="3" t="s">
        <v>196</v>
      </c>
      <c r="C203" s="4">
        <v>-26962.17</v>
      </c>
      <c r="D203" s="4">
        <v>-26962.17</v>
      </c>
      <c r="E203" s="4">
        <v>0</v>
      </c>
      <c r="F203" s="3" t="e">
        <f>VLOOKUP(B203,'Balance Sheet'!#REF!,2,0)</f>
        <v>#REF!</v>
      </c>
    </row>
    <row r="204" spans="1:6" x14ac:dyDescent="0.2">
      <c r="A204" s="3" t="s">
        <v>178</v>
      </c>
      <c r="B204" s="3" t="s">
        <v>2</v>
      </c>
      <c r="C204" s="4">
        <v>-814926.49</v>
      </c>
      <c r="D204" s="4">
        <v>-814926.49</v>
      </c>
      <c r="E204" s="4">
        <v>0</v>
      </c>
      <c r="F204" s="3" t="e">
        <f>VLOOKUP(B204,'Balance Sheet'!#REF!,2,0)</f>
        <v>#REF!</v>
      </c>
    </row>
    <row r="205" spans="1:6" x14ac:dyDescent="0.2">
      <c r="A205" s="3" t="s">
        <v>197</v>
      </c>
      <c r="B205" s="3" t="s">
        <v>2</v>
      </c>
      <c r="C205" s="4">
        <v>-3395578.64</v>
      </c>
      <c r="D205" s="4">
        <v>-3395578.64</v>
      </c>
      <c r="E205" s="4">
        <v>0</v>
      </c>
      <c r="F205" s="3" t="e">
        <f>VLOOKUP(B205,'Balance Sheet'!#REF!,2,0)</f>
        <v>#REF!</v>
      </c>
    </row>
    <row r="206" spans="1:6" s="18" customFormat="1" x14ac:dyDescent="0.2">
      <c r="A206" s="18" t="s">
        <v>198</v>
      </c>
      <c r="B206" s="18" t="s">
        <v>199</v>
      </c>
      <c r="C206" s="19">
        <v>52009.78</v>
      </c>
      <c r="D206" s="19">
        <v>52009.78</v>
      </c>
      <c r="E206" s="19">
        <v>0</v>
      </c>
      <c r="F206" s="18" t="e">
        <f>VLOOKUP(B206,'Balance Sheet'!#REF!,2,0)</f>
        <v>#REF!</v>
      </c>
    </row>
    <row r="207" spans="1:6" x14ac:dyDescent="0.2">
      <c r="A207" s="3" t="s">
        <v>198</v>
      </c>
      <c r="B207" s="3" t="s">
        <v>2</v>
      </c>
      <c r="C207" s="4">
        <v>52009.78</v>
      </c>
      <c r="D207" s="4">
        <v>52009.78</v>
      </c>
      <c r="E207" s="4">
        <v>0</v>
      </c>
      <c r="F207" s="3" t="e">
        <f>VLOOKUP(B207,'Balance Sheet'!#REF!,2,0)</f>
        <v>#REF!</v>
      </c>
    </row>
    <row r="208" spans="1:6" x14ac:dyDescent="0.2">
      <c r="A208" s="3" t="s">
        <v>200</v>
      </c>
      <c r="B208" s="3" t="s">
        <v>201</v>
      </c>
      <c r="C208" s="4">
        <v>-5252.67</v>
      </c>
      <c r="D208" s="4">
        <v>-5252.67</v>
      </c>
      <c r="E208" s="4">
        <v>0</v>
      </c>
      <c r="F208" s="3" t="e">
        <f>VLOOKUP(B208,'Balance Sheet'!#REF!,2,0)</f>
        <v>#REF!</v>
      </c>
    </row>
    <row r="209" spans="1:6" x14ac:dyDescent="0.2">
      <c r="A209" s="3" t="s">
        <v>200</v>
      </c>
      <c r="B209" s="3" t="s">
        <v>203</v>
      </c>
      <c r="C209" s="4">
        <v>-10671.57</v>
      </c>
      <c r="D209" s="4">
        <v>-10671.57</v>
      </c>
      <c r="E209" s="4">
        <v>0</v>
      </c>
      <c r="F209" s="3" t="e">
        <f>VLOOKUP(B209,'Balance Sheet'!#REF!,2,0)</f>
        <v>#REF!</v>
      </c>
    </row>
    <row r="210" spans="1:6" x14ac:dyDescent="0.2">
      <c r="A210" s="3" t="s">
        <v>200</v>
      </c>
      <c r="B210" s="3" t="s">
        <v>204</v>
      </c>
      <c r="C210" s="4">
        <v>-21013.47</v>
      </c>
      <c r="D210" s="4">
        <v>-21013.47</v>
      </c>
      <c r="E210" s="4">
        <v>0</v>
      </c>
      <c r="F210" s="3" t="e">
        <f>VLOOKUP(B210,'Balance Sheet'!#REF!,2,0)</f>
        <v>#REF!</v>
      </c>
    </row>
    <row r="211" spans="1:6" s="18" customFormat="1" x14ac:dyDescent="0.2">
      <c r="A211" s="18" t="s">
        <v>200</v>
      </c>
      <c r="B211" s="18" t="s">
        <v>205</v>
      </c>
      <c r="C211" s="19">
        <v>-5.01</v>
      </c>
      <c r="D211" s="19">
        <v>-5.01</v>
      </c>
      <c r="E211" s="19">
        <v>0</v>
      </c>
      <c r="F211" s="18" t="e">
        <f>VLOOKUP(B211,'Balance Sheet'!#REF!,2,0)</f>
        <v>#REF!</v>
      </c>
    </row>
    <row r="212" spans="1:6" s="18" customFormat="1" x14ac:dyDescent="0.2">
      <c r="A212" s="18" t="s">
        <v>200</v>
      </c>
      <c r="B212" s="18" t="s">
        <v>209</v>
      </c>
      <c r="C212" s="19">
        <v>-0.03</v>
      </c>
      <c r="D212" s="19">
        <v>-0.03</v>
      </c>
      <c r="E212" s="19">
        <v>0</v>
      </c>
      <c r="F212" s="18" t="e">
        <f>VLOOKUP(B212,'Balance Sheet'!#REF!,2,0)</f>
        <v>#REF!</v>
      </c>
    </row>
    <row r="213" spans="1:6" x14ac:dyDescent="0.2">
      <c r="A213" s="3" t="s">
        <v>200</v>
      </c>
      <c r="B213" s="3" t="s">
        <v>2</v>
      </c>
      <c r="C213" s="4">
        <v>-36942.75</v>
      </c>
      <c r="D213" s="4">
        <v>-36942.75</v>
      </c>
      <c r="E213" s="4">
        <v>0</v>
      </c>
      <c r="F213" s="3" t="e">
        <f>VLOOKUP(B213,'Balance Sheet'!#REF!,2,0)</f>
        <v>#REF!</v>
      </c>
    </row>
    <row r="214" spans="1:6" x14ac:dyDescent="0.2">
      <c r="A214" s="3" t="s">
        <v>210</v>
      </c>
      <c r="B214" s="3" t="s">
        <v>2</v>
      </c>
      <c r="C214" s="4">
        <v>15067.03</v>
      </c>
      <c r="D214" s="4">
        <v>15067.03</v>
      </c>
      <c r="E214" s="4">
        <v>0</v>
      </c>
      <c r="F214" s="3" t="e">
        <f>VLOOKUP(B214,'Balance Sheet'!#REF!,2,0)</f>
        <v>#REF!</v>
      </c>
    </row>
    <row r="215" spans="1:6" s="18" customFormat="1" x14ac:dyDescent="0.2">
      <c r="A215" s="18" t="s">
        <v>211</v>
      </c>
      <c r="B215" s="18" t="s">
        <v>212</v>
      </c>
      <c r="C215" s="19">
        <v>-91742.080000000002</v>
      </c>
      <c r="D215" s="19">
        <v>-91742.080000000002</v>
      </c>
      <c r="E215" s="19">
        <v>0</v>
      </c>
      <c r="F215" s="18" t="e">
        <f>VLOOKUP(B215,'Balance Sheet'!#REF!,2,0)</f>
        <v>#REF!</v>
      </c>
    </row>
    <row r="216" spans="1:6" s="18" customFormat="1" x14ac:dyDescent="0.2">
      <c r="A216" s="18" t="s">
        <v>211</v>
      </c>
      <c r="B216" s="18" t="s">
        <v>213</v>
      </c>
      <c r="C216" s="19">
        <v>-94520.46</v>
      </c>
      <c r="D216" s="19">
        <v>-94520.46</v>
      </c>
      <c r="E216" s="19">
        <v>0</v>
      </c>
      <c r="F216" s="18" t="e">
        <f>VLOOKUP(B216,'Balance Sheet'!#REF!,2,0)</f>
        <v>#REF!</v>
      </c>
    </row>
    <row r="217" spans="1:6" x14ac:dyDescent="0.2">
      <c r="A217" s="3" t="s">
        <v>211</v>
      </c>
      <c r="B217" s="3" t="s">
        <v>214</v>
      </c>
      <c r="C217" s="4">
        <v>-75784.03</v>
      </c>
      <c r="D217" s="4">
        <v>-75784.03</v>
      </c>
      <c r="E217" s="4">
        <v>0</v>
      </c>
      <c r="F217" s="3" t="e">
        <f>VLOOKUP(B217,'Balance Sheet'!#REF!,2,0)</f>
        <v>#REF!</v>
      </c>
    </row>
    <row r="218" spans="1:6" s="18" customFormat="1" x14ac:dyDescent="0.2">
      <c r="A218" s="18" t="s">
        <v>211</v>
      </c>
      <c r="B218" s="18" t="s">
        <v>215</v>
      </c>
      <c r="C218" s="19">
        <v>-67684.28</v>
      </c>
      <c r="D218" s="19">
        <v>-67684.28</v>
      </c>
      <c r="E218" s="19">
        <v>0</v>
      </c>
      <c r="F218" s="18" t="e">
        <f>VLOOKUP(B218,'Balance Sheet'!#REF!,2,0)</f>
        <v>#REF!</v>
      </c>
    </row>
    <row r="219" spans="1:6" s="18" customFormat="1" x14ac:dyDescent="0.2">
      <c r="A219" s="18" t="s">
        <v>211</v>
      </c>
      <c r="B219" s="18" t="s">
        <v>216</v>
      </c>
      <c r="C219" s="19">
        <v>-49782.52</v>
      </c>
      <c r="D219" s="19">
        <v>-49782.52</v>
      </c>
      <c r="E219" s="19">
        <v>0</v>
      </c>
      <c r="F219" s="18" t="e">
        <f>VLOOKUP(B219,'Balance Sheet'!#REF!,2,0)</f>
        <v>#REF!</v>
      </c>
    </row>
    <row r="220" spans="1:6" x14ac:dyDescent="0.2">
      <c r="A220" s="3" t="s">
        <v>211</v>
      </c>
      <c r="B220" s="3" t="s">
        <v>217</v>
      </c>
      <c r="C220" s="4">
        <v>-247806.69</v>
      </c>
      <c r="D220" s="4">
        <v>-247806.69</v>
      </c>
      <c r="E220" s="4">
        <v>0</v>
      </c>
      <c r="F220" s="3" t="e">
        <f>VLOOKUP(B220,'Balance Sheet'!#REF!,2,0)</f>
        <v>#REF!</v>
      </c>
    </row>
    <row r="221" spans="1:6" x14ac:dyDescent="0.2">
      <c r="A221" s="3" t="s">
        <v>211</v>
      </c>
      <c r="B221" s="3" t="s">
        <v>2</v>
      </c>
      <c r="C221" s="4">
        <v>-627320.06000000006</v>
      </c>
      <c r="D221" s="4">
        <v>-627320.06000000006</v>
      </c>
      <c r="E221" s="4">
        <v>0</v>
      </c>
      <c r="F221" s="3" t="e">
        <f>VLOOKUP(B221,'Balance Sheet'!#REF!,2,0)</f>
        <v>#REF!</v>
      </c>
    </row>
    <row r="222" spans="1:6" x14ac:dyDescent="0.2">
      <c r="A222" s="3" t="s">
        <v>218</v>
      </c>
      <c r="B222" s="3" t="s">
        <v>2</v>
      </c>
      <c r="C222" s="4">
        <v>-627320.06000000006</v>
      </c>
      <c r="D222" s="4">
        <v>-627320.06000000006</v>
      </c>
      <c r="E222" s="4">
        <v>0</v>
      </c>
      <c r="F222" s="3" t="e">
        <f>VLOOKUP(B222,'Balance Sheet'!#REF!,2,0)</f>
        <v>#REF!</v>
      </c>
    </row>
    <row r="223" spans="1:6" s="18" customFormat="1" x14ac:dyDescent="0.2">
      <c r="A223" s="18" t="s">
        <v>219</v>
      </c>
      <c r="B223" s="18" t="s">
        <v>220</v>
      </c>
      <c r="C223" s="19">
        <v>120.57</v>
      </c>
      <c r="D223" s="19">
        <v>120.57</v>
      </c>
      <c r="E223" s="19">
        <v>0</v>
      </c>
      <c r="F223" s="18" t="e">
        <f>VLOOKUP(B223,'Balance Sheet'!#REF!,2,0)</f>
        <v>#REF!</v>
      </c>
    </row>
    <row r="224" spans="1:6" s="18" customFormat="1" x14ac:dyDescent="0.2">
      <c r="A224" s="18" t="s">
        <v>219</v>
      </c>
      <c r="B224" s="18" t="s">
        <v>221</v>
      </c>
      <c r="C224" s="19">
        <v>596.78</v>
      </c>
      <c r="D224" s="19">
        <v>596.78</v>
      </c>
      <c r="E224" s="19">
        <v>0</v>
      </c>
      <c r="F224" s="18" t="e">
        <f>VLOOKUP(B224,'Balance Sheet'!#REF!,2,0)</f>
        <v>#REF!</v>
      </c>
    </row>
    <row r="225" spans="1:6" x14ac:dyDescent="0.2">
      <c r="A225" s="3" t="s">
        <v>219</v>
      </c>
      <c r="B225" s="3" t="s">
        <v>222</v>
      </c>
      <c r="C225" s="4">
        <v>53993580.850000001</v>
      </c>
      <c r="D225" s="4">
        <v>53993580.850000001</v>
      </c>
      <c r="E225" s="4">
        <v>0</v>
      </c>
      <c r="F225" s="3" t="e">
        <f>VLOOKUP(B225,'Balance Sheet'!#REF!,2,0)</f>
        <v>#REF!</v>
      </c>
    </row>
    <row r="226" spans="1:6" x14ac:dyDescent="0.2">
      <c r="A226" s="3" t="s">
        <v>219</v>
      </c>
      <c r="B226" s="3" t="s">
        <v>2</v>
      </c>
      <c r="C226" s="4">
        <v>53994298.200000003</v>
      </c>
      <c r="D226" s="4">
        <v>53994298.200000003</v>
      </c>
      <c r="E226" s="4">
        <v>0</v>
      </c>
      <c r="F226" s="3" t="e">
        <f>VLOOKUP(B226,'Balance Sheet'!#REF!,2,0)</f>
        <v>#REF!</v>
      </c>
    </row>
    <row r="227" spans="1:6" x14ac:dyDescent="0.2">
      <c r="A227" s="3" t="s">
        <v>223</v>
      </c>
      <c r="B227" s="3" t="s">
        <v>2</v>
      </c>
      <c r="C227" s="4">
        <v>53994298.200000003</v>
      </c>
      <c r="D227" s="4">
        <v>53994298.200000003</v>
      </c>
      <c r="E227" s="4">
        <v>0</v>
      </c>
      <c r="F227" s="3" t="e">
        <f>VLOOKUP(B227,'Balance Sheet'!#REF!,2,0)</f>
        <v>#REF!</v>
      </c>
    </row>
    <row r="228" spans="1:6" x14ac:dyDescent="0.2">
      <c r="A228" s="3" t="s">
        <v>224</v>
      </c>
      <c r="B228" s="3" t="s">
        <v>2</v>
      </c>
      <c r="C228" s="4">
        <v>47444664.140000001</v>
      </c>
      <c r="D228" s="4">
        <v>47444664.140000001</v>
      </c>
      <c r="E228" s="4">
        <v>0</v>
      </c>
      <c r="F228" s="3" t="e">
        <f>VLOOKUP(B228,'Balance Sheet'!#REF!,2,0)</f>
        <v>#REF!</v>
      </c>
    </row>
    <row r="229" spans="1:6" x14ac:dyDescent="0.2">
      <c r="A229" s="3" t="s">
        <v>225</v>
      </c>
      <c r="B229" s="3" t="s">
        <v>226</v>
      </c>
      <c r="C229" s="4">
        <v>-85746371.450000003</v>
      </c>
      <c r="D229" s="4">
        <v>-85746371.450000003</v>
      </c>
      <c r="E229" s="4">
        <v>0</v>
      </c>
      <c r="F229" s="3" t="e">
        <f>VLOOKUP(B229,'Balance Sheet'!#REF!,2,0)</f>
        <v>#REF!</v>
      </c>
    </row>
    <row r="230" spans="1:6" x14ac:dyDescent="0.2">
      <c r="A230" s="3" t="s">
        <v>225</v>
      </c>
      <c r="B230" s="3" t="s">
        <v>2</v>
      </c>
      <c r="C230" s="4">
        <v>-85746371.450000003</v>
      </c>
      <c r="D230" s="4">
        <v>-85746371.450000003</v>
      </c>
      <c r="E230" s="4">
        <v>0</v>
      </c>
      <c r="F230" s="3" t="e">
        <f>VLOOKUP(B230,'Balance Sheet'!#REF!,2,0)</f>
        <v>#REF!</v>
      </c>
    </row>
    <row r="231" spans="1:6" x14ac:dyDescent="0.2">
      <c r="A231" s="3" t="s">
        <v>227</v>
      </c>
      <c r="B231" s="3" t="s">
        <v>2</v>
      </c>
      <c r="C231" s="4">
        <v>-85746371.450000003</v>
      </c>
      <c r="D231" s="4">
        <v>-85746371.450000003</v>
      </c>
      <c r="E231" s="4">
        <v>0</v>
      </c>
      <c r="F231" s="3" t="e">
        <f>VLOOKUP(B231,'Balance Sheet'!#REF!,2,0)</f>
        <v>#REF!</v>
      </c>
    </row>
    <row r="232" spans="1:6" x14ac:dyDescent="0.2">
      <c r="A232" s="3" t="s">
        <v>228</v>
      </c>
      <c r="B232" s="3" t="s">
        <v>2</v>
      </c>
      <c r="C232" s="4">
        <v>-85746371.450000003</v>
      </c>
      <c r="D232" s="4">
        <v>-85746371.450000003</v>
      </c>
      <c r="E232" s="4">
        <v>0</v>
      </c>
      <c r="F232" s="3" t="e">
        <f>VLOOKUP(B232,'Balance Sheet'!#REF!,2,0)</f>
        <v>#REF!</v>
      </c>
    </row>
    <row r="233" spans="1:6" x14ac:dyDescent="0.2">
      <c r="A233" s="3" t="s">
        <v>229</v>
      </c>
      <c r="B233" s="3" t="s">
        <v>230</v>
      </c>
      <c r="C233" s="4">
        <v>0</v>
      </c>
      <c r="D233" s="4">
        <v>0</v>
      </c>
      <c r="E233" s="4">
        <v>0</v>
      </c>
      <c r="F233" s="3" t="e">
        <f>VLOOKUP(B233,'Balance Sheet'!#REF!,2,0)</f>
        <v>#REF!</v>
      </c>
    </row>
    <row r="234" spans="1:6" x14ac:dyDescent="0.2">
      <c r="A234" s="3" t="s">
        <v>229</v>
      </c>
      <c r="B234" s="5" t="s">
        <v>231</v>
      </c>
      <c r="C234" s="4">
        <v>0</v>
      </c>
      <c r="D234" s="4">
        <v>0</v>
      </c>
      <c r="E234" s="4">
        <v>0</v>
      </c>
      <c r="F234" s="3" t="e">
        <f>VLOOKUP(B234,'Balance Sheet'!#REF!,2,0)</f>
        <v>#REF!</v>
      </c>
    </row>
    <row r="235" spans="1:6" x14ac:dyDescent="0.2">
      <c r="A235" s="3" t="s">
        <v>232</v>
      </c>
      <c r="B235" s="3" t="s">
        <v>2</v>
      </c>
      <c r="C235" s="4">
        <v>-2178123.83</v>
      </c>
      <c r="D235" s="4">
        <v>-2178123.83</v>
      </c>
      <c r="E235" s="4">
        <v>0</v>
      </c>
      <c r="F235" s="3" t="e">
        <f>VLOOKUP(B235,'Balance Sheet'!#REF!,2,0)</f>
        <v>#REF!</v>
      </c>
    </row>
    <row r="236" spans="1:6" x14ac:dyDescent="0.2">
      <c r="A236" s="3" t="s">
        <v>229</v>
      </c>
      <c r="B236" s="3" t="s">
        <v>233</v>
      </c>
      <c r="C236" s="4">
        <v>-2178123.83</v>
      </c>
      <c r="D236" s="4">
        <v>-2178123.83</v>
      </c>
      <c r="E236" s="4">
        <v>0</v>
      </c>
      <c r="F236" s="3" t="e">
        <f>VLOOKUP(B236,'Balance Sheet'!#REF!,2,0)</f>
        <v>#REF!</v>
      </c>
    </row>
    <row r="237" spans="1:6" x14ac:dyDescent="0.2">
      <c r="A237" s="3" t="s">
        <v>229</v>
      </c>
      <c r="B237" s="5" t="s">
        <v>234</v>
      </c>
      <c r="C237" s="4">
        <v>0</v>
      </c>
      <c r="D237" s="4">
        <v>0</v>
      </c>
      <c r="E237" s="4">
        <v>0</v>
      </c>
      <c r="F237" s="3" t="e">
        <f>VLOOKUP(B237,'Balance Sheet'!#REF!,2,0)</f>
        <v>#REF!</v>
      </c>
    </row>
    <row r="238" spans="1:6" x14ac:dyDescent="0.2">
      <c r="A238" s="3" t="s">
        <v>115</v>
      </c>
      <c r="B238" s="3" t="s">
        <v>235</v>
      </c>
      <c r="C238" s="4">
        <v>-40479831.140000001</v>
      </c>
      <c r="D238" s="4">
        <v>-40479831.140000001</v>
      </c>
      <c r="E238" s="4">
        <v>0</v>
      </c>
      <c r="F238" s="3" t="e">
        <f>VLOOKUP(B238,'Balance Sheet'!#REF!,2,0)</f>
        <v>#REF!</v>
      </c>
    </row>
    <row r="239" spans="1:6" x14ac:dyDescent="0.2">
      <c r="A239" s="3" t="s">
        <v>115</v>
      </c>
      <c r="B239" s="5" t="s">
        <v>236</v>
      </c>
      <c r="C239" s="4">
        <v>0</v>
      </c>
      <c r="D239" s="4">
        <v>0</v>
      </c>
      <c r="E239" s="4">
        <v>0</v>
      </c>
      <c r="F239" s="3" t="e">
        <f>VLOOKUP(B239,'Balance Sheet'!#REF!,2,0)</f>
        <v>#REF!</v>
      </c>
    </row>
    <row r="240" spans="1:6" x14ac:dyDescent="0.2">
      <c r="A240" s="3" t="s">
        <v>237</v>
      </c>
      <c r="B240" s="3" t="s">
        <v>238</v>
      </c>
      <c r="C240" s="4">
        <v>0</v>
      </c>
      <c r="D240" s="4">
        <v>0</v>
      </c>
      <c r="E240" s="4">
        <v>0</v>
      </c>
      <c r="F240" s="3" t="e">
        <f>VLOOKUP(B240,'Balance Sheet'!#REF!,2,0)</f>
        <v>#REF!</v>
      </c>
    </row>
    <row r="241" spans="1:6" x14ac:dyDescent="0.2">
      <c r="A241" s="3" t="s">
        <v>237</v>
      </c>
      <c r="B241" s="5" t="s">
        <v>239</v>
      </c>
      <c r="C241" s="4">
        <v>0</v>
      </c>
      <c r="D241" s="4">
        <v>0</v>
      </c>
      <c r="E241" s="4">
        <v>0</v>
      </c>
      <c r="F241" s="3" t="e">
        <f>VLOOKUP(B241,'Balance Sheet'!#REF!,2,0)</f>
        <v>#REF!</v>
      </c>
    </row>
    <row r="242" spans="1:6" x14ac:dyDescent="0.2">
      <c r="A242" s="3" t="s">
        <v>240</v>
      </c>
      <c r="B242" s="3" t="s">
        <v>241</v>
      </c>
      <c r="C242" s="4">
        <v>-58033.760000000002</v>
      </c>
      <c r="D242" s="4">
        <v>-58033.760000000002</v>
      </c>
      <c r="E242" s="4">
        <v>0</v>
      </c>
      <c r="F242" s="3" t="e">
        <f>VLOOKUP(B242,'Balance Sheet'!#REF!,2,0)</f>
        <v>#REF!</v>
      </c>
    </row>
    <row r="243" spans="1:6" x14ac:dyDescent="0.2">
      <c r="A243" s="3" t="s">
        <v>240</v>
      </c>
      <c r="B243" s="3" t="s">
        <v>824</v>
      </c>
      <c r="C243" s="4">
        <v>3837.96</v>
      </c>
      <c r="D243" s="4">
        <v>3837.96</v>
      </c>
      <c r="E243" s="4">
        <v>0</v>
      </c>
      <c r="F243" s="3" t="e">
        <f>VLOOKUP(B243,'Balance Sheet'!#REF!,2,0)</f>
        <v>#REF!</v>
      </c>
    </row>
    <row r="244" spans="1:6" x14ac:dyDescent="0.2">
      <c r="A244" s="3" t="s">
        <v>240</v>
      </c>
      <c r="B244" s="3" t="s">
        <v>2</v>
      </c>
      <c r="C244" s="4">
        <v>-54195.8</v>
      </c>
      <c r="D244" s="4">
        <v>-54195.8</v>
      </c>
      <c r="E244" s="4">
        <v>0</v>
      </c>
      <c r="F244" s="3" t="e">
        <f>VLOOKUP(B244,'Balance Sheet'!#REF!,2,0)</f>
        <v>#REF!</v>
      </c>
    </row>
    <row r="245" spans="1:6" x14ac:dyDescent="0.2">
      <c r="A245" s="3" t="s">
        <v>244</v>
      </c>
      <c r="B245" s="3" t="s">
        <v>245</v>
      </c>
      <c r="C245" s="4">
        <v>-4673022.7699999996</v>
      </c>
      <c r="D245" s="4">
        <v>-4673022.7699999996</v>
      </c>
      <c r="E245" s="4">
        <v>0</v>
      </c>
      <c r="F245" s="3" t="e">
        <f>VLOOKUP(B245,'Balance Sheet'!#REF!,2,0)</f>
        <v>#REF!</v>
      </c>
    </row>
    <row r="246" spans="1:6" x14ac:dyDescent="0.2">
      <c r="A246" s="3" t="s">
        <v>244</v>
      </c>
      <c r="B246" s="3" t="s">
        <v>536</v>
      </c>
      <c r="C246" s="4">
        <v>-9457.2900000000009</v>
      </c>
      <c r="D246" s="4">
        <v>-9457.2900000000009</v>
      </c>
      <c r="E246" s="4">
        <v>0</v>
      </c>
      <c r="F246" s="3" t="e">
        <f>VLOOKUP(B246,'Balance Sheet'!#REF!,2,0)</f>
        <v>#REF!</v>
      </c>
    </row>
    <row r="247" spans="1:6" x14ac:dyDescent="0.2">
      <c r="A247" s="3" t="s">
        <v>244</v>
      </c>
      <c r="B247" s="3" t="s">
        <v>537</v>
      </c>
      <c r="C247" s="4">
        <v>0.01</v>
      </c>
      <c r="D247" s="4">
        <v>0.01</v>
      </c>
      <c r="E247" s="4">
        <v>0</v>
      </c>
      <c r="F247" s="3" t="e">
        <f>VLOOKUP(B247,'Balance Sheet'!#REF!,2,0)</f>
        <v>#REF!</v>
      </c>
    </row>
    <row r="248" spans="1:6" x14ac:dyDescent="0.2">
      <c r="A248" s="3" t="s">
        <v>244</v>
      </c>
      <c r="B248" s="3" t="s">
        <v>246</v>
      </c>
      <c r="C248" s="4">
        <v>-49623.57</v>
      </c>
      <c r="D248" s="4">
        <v>-49623.57</v>
      </c>
      <c r="E248" s="4">
        <v>0</v>
      </c>
      <c r="F248" s="3" t="e">
        <f>VLOOKUP(B248,'Balance Sheet'!#REF!,2,0)</f>
        <v>#REF!</v>
      </c>
    </row>
    <row r="249" spans="1:6" x14ac:dyDescent="0.2">
      <c r="A249" s="3" t="s">
        <v>244</v>
      </c>
      <c r="B249" s="3" t="s">
        <v>247</v>
      </c>
      <c r="C249" s="4">
        <v>-27.12</v>
      </c>
      <c r="D249" s="4">
        <v>-27.12</v>
      </c>
      <c r="E249" s="4">
        <v>0</v>
      </c>
      <c r="F249" s="3" t="e">
        <f>VLOOKUP(B249,'Balance Sheet'!#REF!,2,0)</f>
        <v>#REF!</v>
      </c>
    </row>
    <row r="250" spans="1:6" x14ac:dyDescent="0.2">
      <c r="A250" s="3" t="s">
        <v>244</v>
      </c>
      <c r="B250" s="3" t="s">
        <v>949</v>
      </c>
      <c r="C250" s="4">
        <v>-133950.59</v>
      </c>
      <c r="D250" s="4">
        <v>-133950.59</v>
      </c>
      <c r="E250" s="4">
        <v>0</v>
      </c>
      <c r="F250" s="3" t="e">
        <f>VLOOKUP(B250,'Balance Sheet'!#REF!,2,0)</f>
        <v>#REF!</v>
      </c>
    </row>
    <row r="251" spans="1:6" x14ac:dyDescent="0.2">
      <c r="A251" s="3" t="s">
        <v>244</v>
      </c>
      <c r="B251" s="3" t="s">
        <v>250</v>
      </c>
      <c r="C251" s="4">
        <v>-1606.18</v>
      </c>
      <c r="D251" s="4">
        <v>-1606.18</v>
      </c>
      <c r="E251" s="4">
        <v>0</v>
      </c>
      <c r="F251" s="3" t="e">
        <f>VLOOKUP(B251,'Balance Sheet'!#REF!,2,0)</f>
        <v>#REF!</v>
      </c>
    </row>
    <row r="252" spans="1:6" x14ac:dyDescent="0.2">
      <c r="A252" s="3" t="s">
        <v>244</v>
      </c>
      <c r="B252" s="3" t="s">
        <v>251</v>
      </c>
      <c r="C252" s="4">
        <v>12361.59</v>
      </c>
      <c r="D252" s="4">
        <v>12361.59</v>
      </c>
      <c r="E252" s="4">
        <v>0</v>
      </c>
      <c r="F252" s="3" t="e">
        <f>VLOOKUP(B252,'Balance Sheet'!#REF!,2,0)</f>
        <v>#REF!</v>
      </c>
    </row>
    <row r="253" spans="1:6" x14ac:dyDescent="0.2">
      <c r="A253" s="3" t="s">
        <v>244</v>
      </c>
      <c r="B253" s="3" t="s">
        <v>2</v>
      </c>
      <c r="C253" s="4">
        <v>-4855325.92</v>
      </c>
      <c r="D253" s="4">
        <v>-4855325.92</v>
      </c>
      <c r="E253" s="4">
        <v>0</v>
      </c>
      <c r="F253" s="3" t="e">
        <f>VLOOKUP(B253,'Balance Sheet'!#REF!,2,0)</f>
        <v>#REF!</v>
      </c>
    </row>
    <row r="254" spans="1:6" x14ac:dyDescent="0.2">
      <c r="A254" s="3" t="s">
        <v>253</v>
      </c>
      <c r="B254" s="3" t="s">
        <v>254</v>
      </c>
      <c r="C254" s="4">
        <v>31846.94</v>
      </c>
      <c r="D254" s="4">
        <v>31846.94</v>
      </c>
      <c r="E254" s="4">
        <v>0</v>
      </c>
      <c r="F254" s="3" t="e">
        <f>VLOOKUP(B254,'Balance Sheet'!#REF!,2,0)</f>
        <v>#REF!</v>
      </c>
    </row>
    <row r="255" spans="1:6" x14ac:dyDescent="0.2">
      <c r="A255" s="3" t="s">
        <v>253</v>
      </c>
      <c r="B255" s="3" t="s">
        <v>255</v>
      </c>
      <c r="C255" s="4">
        <v>-31894.21</v>
      </c>
      <c r="D255" s="4">
        <v>-31894.21</v>
      </c>
      <c r="E255" s="4">
        <v>0</v>
      </c>
      <c r="F255" s="3" t="e">
        <f>VLOOKUP(B255,'Balance Sheet'!#REF!,2,0)</f>
        <v>#REF!</v>
      </c>
    </row>
    <row r="256" spans="1:6" x14ac:dyDescent="0.2">
      <c r="A256" s="3" t="s">
        <v>253</v>
      </c>
      <c r="B256" s="3" t="s">
        <v>256</v>
      </c>
      <c r="C256" s="4">
        <v>-17785.87</v>
      </c>
      <c r="D256" s="4">
        <v>-17785.87</v>
      </c>
      <c r="E256" s="4">
        <v>0</v>
      </c>
      <c r="F256" s="3" t="e">
        <f>VLOOKUP(B256,'Balance Sheet'!#REF!,2,0)</f>
        <v>#REF!</v>
      </c>
    </row>
    <row r="257" spans="1:6" x14ac:dyDescent="0.2">
      <c r="A257" s="3" t="s">
        <v>253</v>
      </c>
      <c r="B257" s="3" t="s">
        <v>257</v>
      </c>
      <c r="C257" s="4">
        <v>-222549.26</v>
      </c>
      <c r="D257" s="4">
        <v>-222549.26</v>
      </c>
      <c r="E257" s="4">
        <v>0</v>
      </c>
      <c r="F257" s="3" t="e">
        <f>VLOOKUP(B257,'Balance Sheet'!#REF!,2,0)</f>
        <v>#REF!</v>
      </c>
    </row>
    <row r="258" spans="1:6" x14ac:dyDescent="0.2">
      <c r="A258" s="3" t="s">
        <v>253</v>
      </c>
      <c r="B258" s="3" t="s">
        <v>258</v>
      </c>
      <c r="C258" s="4">
        <v>4.93</v>
      </c>
      <c r="D258" s="4">
        <v>4.93</v>
      </c>
      <c r="E258" s="4">
        <v>0</v>
      </c>
      <c r="F258" s="3" t="e">
        <f>VLOOKUP(B258,'Balance Sheet'!#REF!,2,0)</f>
        <v>#REF!</v>
      </c>
    </row>
    <row r="259" spans="1:6" x14ac:dyDescent="0.2">
      <c r="A259" s="3" t="s">
        <v>253</v>
      </c>
      <c r="B259" s="3" t="s">
        <v>989</v>
      </c>
      <c r="C259" s="4">
        <v>5.01</v>
      </c>
      <c r="D259" s="4">
        <v>5.01</v>
      </c>
      <c r="E259" s="4">
        <v>0</v>
      </c>
      <c r="F259" s="3" t="e">
        <f>VLOOKUP(B259,'Balance Sheet'!#REF!,2,0)</f>
        <v>#REF!</v>
      </c>
    </row>
    <row r="260" spans="1:6" x14ac:dyDescent="0.2">
      <c r="A260" s="3" t="s">
        <v>253</v>
      </c>
      <c r="B260" s="3" t="s">
        <v>2</v>
      </c>
      <c r="C260" s="4">
        <v>-240372.46</v>
      </c>
      <c r="D260" s="4">
        <v>-240372.46</v>
      </c>
      <c r="E260" s="4">
        <v>0</v>
      </c>
      <c r="F260" s="3" t="e">
        <f>VLOOKUP(B260,'Balance Sheet'!#REF!,2,0)</f>
        <v>#REF!</v>
      </c>
    </row>
    <row r="261" spans="1:6" x14ac:dyDescent="0.2">
      <c r="A261" s="3" t="s">
        <v>260</v>
      </c>
      <c r="B261" s="3" t="s">
        <v>261</v>
      </c>
      <c r="C261" s="4">
        <v>-646517.02</v>
      </c>
      <c r="D261" s="4">
        <v>-646517.02</v>
      </c>
      <c r="E261" s="4">
        <v>0</v>
      </c>
      <c r="F261" s="3" t="e">
        <f>VLOOKUP(B261,'Balance Sheet'!#REF!,2,0)</f>
        <v>#REF!</v>
      </c>
    </row>
    <row r="262" spans="1:6" x14ac:dyDescent="0.2">
      <c r="A262" s="3" t="s">
        <v>260</v>
      </c>
      <c r="B262" s="3" t="s">
        <v>2</v>
      </c>
      <c r="C262" s="4">
        <v>-646517.02</v>
      </c>
      <c r="D262" s="4">
        <v>-646517.02</v>
      </c>
      <c r="E262" s="4">
        <v>0</v>
      </c>
      <c r="F262" s="3" t="e">
        <f>VLOOKUP(B262,'Balance Sheet'!#REF!,2,0)</f>
        <v>#REF!</v>
      </c>
    </row>
    <row r="263" spans="1:6" x14ac:dyDescent="0.2">
      <c r="A263" s="3" t="s">
        <v>263</v>
      </c>
      <c r="B263" s="3" t="s">
        <v>264</v>
      </c>
      <c r="C263" s="4">
        <v>-52009.78</v>
      </c>
      <c r="D263" s="4">
        <v>-52009.78</v>
      </c>
      <c r="E263" s="4">
        <v>0</v>
      </c>
      <c r="F263" s="3" t="e">
        <f>VLOOKUP(B263,'Balance Sheet'!#REF!,2,0)</f>
        <v>#REF!</v>
      </c>
    </row>
    <row r="264" spans="1:6" x14ac:dyDescent="0.2">
      <c r="A264" s="3" t="s">
        <v>263</v>
      </c>
      <c r="B264" s="3" t="s">
        <v>2</v>
      </c>
      <c r="C264" s="4">
        <v>-52009.78</v>
      </c>
      <c r="D264" s="4">
        <v>-52009.78</v>
      </c>
      <c r="E264" s="4">
        <v>0</v>
      </c>
      <c r="F264" s="3" t="e">
        <f>VLOOKUP(B264,'Balance Sheet'!#REF!,2,0)</f>
        <v>#REF!</v>
      </c>
    </row>
    <row r="265" spans="1:6" x14ac:dyDescent="0.2">
      <c r="A265" s="3" t="s">
        <v>265</v>
      </c>
      <c r="B265" s="3" t="s">
        <v>2</v>
      </c>
      <c r="C265" s="4">
        <v>-5848420.9800000004</v>
      </c>
      <c r="D265" s="4">
        <v>-5848420.9800000004</v>
      </c>
      <c r="E265" s="4">
        <v>0</v>
      </c>
      <c r="F265" s="3" t="e">
        <f>VLOOKUP(B265,'Balance Sheet'!#REF!,2,0)</f>
        <v>#REF!</v>
      </c>
    </row>
    <row r="266" spans="1:6" x14ac:dyDescent="0.2">
      <c r="A266" s="3" t="s">
        <v>266</v>
      </c>
      <c r="B266" s="3" t="s">
        <v>267</v>
      </c>
      <c r="C266" s="4">
        <v>35994.629999999997</v>
      </c>
      <c r="D266" s="4">
        <v>35994.629999999997</v>
      </c>
      <c r="E266" s="4">
        <v>0</v>
      </c>
      <c r="F266" s="3" t="e">
        <f>VLOOKUP(B266,'Balance Sheet'!#REF!,2,0)</f>
        <v>#REF!</v>
      </c>
    </row>
    <row r="267" spans="1:6" x14ac:dyDescent="0.2">
      <c r="A267" s="3" t="s">
        <v>266</v>
      </c>
      <c r="B267" s="3" t="s">
        <v>270</v>
      </c>
      <c r="C267" s="4">
        <v>1700</v>
      </c>
      <c r="D267" s="4">
        <v>1700</v>
      </c>
      <c r="E267" s="4">
        <v>0</v>
      </c>
      <c r="F267" s="3" t="e">
        <f>VLOOKUP(B267,'Balance Sheet'!#REF!,2,0)</f>
        <v>#REF!</v>
      </c>
    </row>
    <row r="268" spans="1:6" x14ac:dyDescent="0.2">
      <c r="A268" s="3" t="s">
        <v>266</v>
      </c>
      <c r="B268" s="3" t="s">
        <v>271</v>
      </c>
      <c r="C268" s="4">
        <v>687.98</v>
      </c>
      <c r="D268" s="4">
        <v>687.98</v>
      </c>
      <c r="E268" s="4">
        <v>0</v>
      </c>
      <c r="F268" s="3" t="e">
        <f>VLOOKUP(B268,'Balance Sheet'!#REF!,2,0)</f>
        <v>#REF!</v>
      </c>
    </row>
    <row r="269" spans="1:6" x14ac:dyDescent="0.2">
      <c r="A269" s="3" t="s">
        <v>266</v>
      </c>
      <c r="B269" s="3" t="s">
        <v>272</v>
      </c>
      <c r="C269" s="4">
        <v>3744.15</v>
      </c>
      <c r="D269" s="4">
        <v>3744.15</v>
      </c>
      <c r="E269" s="4">
        <v>0</v>
      </c>
      <c r="F269" s="3" t="e">
        <f>VLOOKUP(B269,'Balance Sheet'!#REF!,2,0)</f>
        <v>#REF!</v>
      </c>
    </row>
    <row r="270" spans="1:6" x14ac:dyDescent="0.2">
      <c r="A270" s="3" t="s">
        <v>266</v>
      </c>
      <c r="B270" s="3" t="s">
        <v>274</v>
      </c>
      <c r="C270" s="4">
        <v>54.02</v>
      </c>
      <c r="D270" s="4">
        <v>54.02</v>
      </c>
      <c r="E270" s="4">
        <v>0</v>
      </c>
      <c r="F270" s="3" t="e">
        <f>VLOOKUP(B270,'Balance Sheet'!#REF!,2,0)</f>
        <v>#REF!</v>
      </c>
    </row>
    <row r="271" spans="1:6" x14ac:dyDescent="0.2">
      <c r="A271" s="3" t="s">
        <v>266</v>
      </c>
      <c r="B271" s="3" t="s">
        <v>275</v>
      </c>
      <c r="C271" s="4">
        <v>270.11</v>
      </c>
      <c r="D271" s="4">
        <v>270.11</v>
      </c>
      <c r="E271" s="4">
        <v>0</v>
      </c>
      <c r="F271" s="3" t="e">
        <f>VLOOKUP(B271,'Balance Sheet'!#REF!,2,0)</f>
        <v>#REF!</v>
      </c>
    </row>
    <row r="272" spans="1:6" x14ac:dyDescent="0.2">
      <c r="A272" s="3" t="s">
        <v>266</v>
      </c>
      <c r="B272" s="3" t="s">
        <v>276</v>
      </c>
      <c r="C272" s="4">
        <v>1027.45</v>
      </c>
      <c r="D272" s="4">
        <v>1027.45</v>
      </c>
      <c r="E272" s="4">
        <v>0</v>
      </c>
      <c r="F272" s="3" t="e">
        <f>VLOOKUP(B272,'Balance Sheet'!#REF!,2,0)</f>
        <v>#REF!</v>
      </c>
    </row>
    <row r="273" spans="1:6" x14ac:dyDescent="0.2">
      <c r="A273" s="3" t="s">
        <v>266</v>
      </c>
      <c r="B273" s="3" t="s">
        <v>279</v>
      </c>
      <c r="C273" s="4">
        <v>611.70000000000005</v>
      </c>
      <c r="D273" s="4">
        <v>611.70000000000005</v>
      </c>
      <c r="E273" s="4">
        <v>0</v>
      </c>
      <c r="F273" s="3" t="e">
        <f>VLOOKUP(B273,'Balance Sheet'!#REF!,2,0)</f>
        <v>#REF!</v>
      </c>
    </row>
    <row r="274" spans="1:6" x14ac:dyDescent="0.2">
      <c r="A274" s="3" t="s">
        <v>266</v>
      </c>
      <c r="B274" s="3" t="s">
        <v>281</v>
      </c>
      <c r="C274" s="4">
        <v>-195.89</v>
      </c>
      <c r="D274" s="4">
        <v>-195.89</v>
      </c>
      <c r="E274" s="4">
        <v>0</v>
      </c>
      <c r="F274" s="3" t="e">
        <f>VLOOKUP(B274,'Balance Sheet'!#REF!,2,0)</f>
        <v>#REF!</v>
      </c>
    </row>
    <row r="275" spans="1:6" x14ac:dyDescent="0.2">
      <c r="A275" s="3" t="s">
        <v>266</v>
      </c>
      <c r="B275" s="3" t="s">
        <v>829</v>
      </c>
      <c r="C275" s="4">
        <v>199.48</v>
      </c>
      <c r="D275" s="4">
        <v>199.48</v>
      </c>
      <c r="E275" s="4">
        <v>0</v>
      </c>
      <c r="F275" s="3" t="e">
        <f>VLOOKUP(B275,'Balance Sheet'!#REF!,2,0)</f>
        <v>#REF!</v>
      </c>
    </row>
    <row r="276" spans="1:6" x14ac:dyDescent="0.2">
      <c r="A276" s="3" t="s">
        <v>266</v>
      </c>
      <c r="B276" s="3" t="s">
        <v>283</v>
      </c>
      <c r="C276" s="4">
        <v>1000</v>
      </c>
      <c r="D276" s="4">
        <v>1000</v>
      </c>
      <c r="E276" s="4">
        <v>0</v>
      </c>
      <c r="F276" s="3" t="e">
        <f>VLOOKUP(B276,'Balance Sheet'!#REF!,2,0)</f>
        <v>#REF!</v>
      </c>
    </row>
    <row r="277" spans="1:6" x14ac:dyDescent="0.2">
      <c r="A277" s="3" t="s">
        <v>266</v>
      </c>
      <c r="B277" s="3" t="s">
        <v>284</v>
      </c>
      <c r="C277" s="4">
        <v>536.67999999999995</v>
      </c>
      <c r="D277" s="4">
        <v>536.67999999999995</v>
      </c>
      <c r="E277" s="4">
        <v>0</v>
      </c>
      <c r="F277" s="3" t="e">
        <f>VLOOKUP(B277,'Balance Sheet'!#REF!,2,0)</f>
        <v>#REF!</v>
      </c>
    </row>
    <row r="278" spans="1:6" x14ac:dyDescent="0.2">
      <c r="A278" s="3" t="s">
        <v>266</v>
      </c>
      <c r="B278" s="3" t="s">
        <v>285</v>
      </c>
      <c r="C278" s="4">
        <v>200</v>
      </c>
      <c r="D278" s="4">
        <v>200</v>
      </c>
      <c r="E278" s="4">
        <v>0</v>
      </c>
      <c r="F278" s="3" t="e">
        <f>VLOOKUP(B278,'Balance Sheet'!#REF!,2,0)</f>
        <v>#REF!</v>
      </c>
    </row>
    <row r="279" spans="1:6" x14ac:dyDescent="0.2">
      <c r="A279" s="3" t="s">
        <v>266</v>
      </c>
      <c r="B279" s="3" t="s">
        <v>2</v>
      </c>
      <c r="C279" s="4">
        <v>45830.31</v>
      </c>
      <c r="D279" s="4">
        <v>45830.31</v>
      </c>
      <c r="E279" s="4">
        <v>0</v>
      </c>
      <c r="F279" s="3" t="e">
        <f>VLOOKUP(B279,'Balance Sheet'!#REF!,2,0)</f>
        <v>#REF!</v>
      </c>
    </row>
    <row r="280" spans="1:6" x14ac:dyDescent="0.2">
      <c r="A280" s="3" t="s">
        <v>286</v>
      </c>
      <c r="B280" s="3" t="s">
        <v>287</v>
      </c>
      <c r="C280" s="4">
        <v>3184835.62</v>
      </c>
      <c r="D280" s="4">
        <v>3184835.62</v>
      </c>
      <c r="E280" s="4">
        <v>0</v>
      </c>
      <c r="F280" s="3" t="e">
        <f>VLOOKUP(B280,'Balance Sheet'!#REF!,2,0)</f>
        <v>#REF!</v>
      </c>
    </row>
    <row r="281" spans="1:6" x14ac:dyDescent="0.2">
      <c r="A281" s="3" t="s">
        <v>286</v>
      </c>
      <c r="B281" s="3" t="s">
        <v>548</v>
      </c>
      <c r="C281" s="4">
        <v>7169.99</v>
      </c>
      <c r="D281" s="4">
        <v>7169.99</v>
      </c>
      <c r="E281" s="4">
        <v>0</v>
      </c>
      <c r="F281" s="3" t="e">
        <f>VLOOKUP(B281,'Balance Sheet'!#REF!,2,0)</f>
        <v>#REF!</v>
      </c>
    </row>
    <row r="282" spans="1:6" x14ac:dyDescent="0.2">
      <c r="A282" s="3" t="s">
        <v>286</v>
      </c>
      <c r="B282" s="3" t="s">
        <v>288</v>
      </c>
      <c r="C282" s="4">
        <v>28211.14</v>
      </c>
      <c r="D282" s="4">
        <v>28211.14</v>
      </c>
      <c r="E282" s="4">
        <v>0</v>
      </c>
      <c r="F282" s="3" t="e">
        <f>VLOOKUP(B282,'Balance Sheet'!#REF!,2,0)</f>
        <v>#REF!</v>
      </c>
    </row>
    <row r="283" spans="1:6" x14ac:dyDescent="0.2">
      <c r="A283" s="3" t="s">
        <v>286</v>
      </c>
      <c r="B283" s="3" t="s">
        <v>289</v>
      </c>
      <c r="C283" s="4">
        <v>18.079999999999998</v>
      </c>
      <c r="D283" s="4">
        <v>18.079999999999998</v>
      </c>
      <c r="E283" s="4">
        <v>0</v>
      </c>
      <c r="F283" s="3" t="e">
        <f>VLOOKUP(B283,'Balance Sheet'!#REF!,2,0)</f>
        <v>#REF!</v>
      </c>
    </row>
    <row r="284" spans="1:6" x14ac:dyDescent="0.2">
      <c r="A284" s="3" t="s">
        <v>286</v>
      </c>
      <c r="B284" s="3" t="s">
        <v>952</v>
      </c>
      <c r="C284" s="4">
        <v>8746</v>
      </c>
      <c r="D284" s="4">
        <v>8746</v>
      </c>
      <c r="E284" s="4">
        <v>0</v>
      </c>
      <c r="F284" s="3" t="e">
        <f>VLOOKUP(B284,'Balance Sheet'!#REF!,2,0)</f>
        <v>#REF!</v>
      </c>
    </row>
    <row r="285" spans="1:6" x14ac:dyDescent="0.2">
      <c r="A285" s="3" t="s">
        <v>286</v>
      </c>
      <c r="B285" s="3" t="s">
        <v>290</v>
      </c>
      <c r="C285" s="4">
        <v>-21923.22</v>
      </c>
      <c r="D285" s="4">
        <v>-21923.22</v>
      </c>
      <c r="E285" s="4">
        <v>0</v>
      </c>
      <c r="F285" s="3" t="e">
        <f>VLOOKUP(B285,'Balance Sheet'!#REF!,2,0)</f>
        <v>#REF!</v>
      </c>
    </row>
    <row r="286" spans="1:6" x14ac:dyDescent="0.2">
      <c r="A286" s="3" t="s">
        <v>286</v>
      </c>
      <c r="B286" s="3" t="s">
        <v>291</v>
      </c>
      <c r="C286" s="4">
        <v>-107667</v>
      </c>
      <c r="D286" s="4">
        <v>-107667</v>
      </c>
      <c r="E286" s="4">
        <v>0</v>
      </c>
      <c r="F286" s="3" t="e">
        <f>VLOOKUP(B286,'Balance Sheet'!#REF!,2,0)</f>
        <v>#REF!</v>
      </c>
    </row>
    <row r="287" spans="1:6" x14ac:dyDescent="0.2">
      <c r="A287" s="3" t="s">
        <v>286</v>
      </c>
      <c r="B287" s="3" t="s">
        <v>296</v>
      </c>
      <c r="C287" s="4">
        <v>-1015.33</v>
      </c>
      <c r="D287" s="4">
        <v>-1015.33</v>
      </c>
      <c r="E287" s="4">
        <v>0</v>
      </c>
      <c r="F287" s="3" t="e">
        <f>VLOOKUP(B287,'Balance Sheet'!#REF!,2,0)</f>
        <v>#REF!</v>
      </c>
    </row>
    <row r="288" spans="1:6" x14ac:dyDescent="0.2">
      <c r="A288" s="3" t="s">
        <v>286</v>
      </c>
      <c r="B288" s="3" t="s">
        <v>2</v>
      </c>
      <c r="C288" s="4">
        <v>3098375.28</v>
      </c>
      <c r="D288" s="4">
        <v>3098375.28</v>
      </c>
      <c r="E288" s="4">
        <v>0</v>
      </c>
      <c r="F288" s="3" t="e">
        <f>VLOOKUP(B288,'Balance Sheet'!#REF!,2,0)</f>
        <v>#REF!</v>
      </c>
    </row>
    <row r="289" spans="1:6" x14ac:dyDescent="0.2">
      <c r="A289" s="3" t="s">
        <v>297</v>
      </c>
      <c r="B289" s="3" t="s">
        <v>298</v>
      </c>
      <c r="C289" s="4">
        <v>28187.67</v>
      </c>
      <c r="D289" s="4">
        <v>28187.67</v>
      </c>
      <c r="E289" s="4">
        <v>0</v>
      </c>
      <c r="F289" s="3" t="e">
        <f>VLOOKUP(B289,'Balance Sheet'!#REF!,2,0)</f>
        <v>#REF!</v>
      </c>
    </row>
    <row r="290" spans="1:6" x14ac:dyDescent="0.2">
      <c r="A290" s="3" t="s">
        <v>297</v>
      </c>
      <c r="B290" s="3" t="s">
        <v>299</v>
      </c>
      <c r="C290" s="4">
        <v>111346.46</v>
      </c>
      <c r="D290" s="4">
        <v>111346.46</v>
      </c>
      <c r="E290" s="4">
        <v>0</v>
      </c>
      <c r="F290" s="3" t="e">
        <f>VLOOKUP(B290,'Balance Sheet'!#REF!,2,0)</f>
        <v>#REF!</v>
      </c>
    </row>
    <row r="291" spans="1:6" x14ac:dyDescent="0.2">
      <c r="A291" s="3" t="s">
        <v>297</v>
      </c>
      <c r="B291" s="3" t="s">
        <v>2</v>
      </c>
      <c r="C291" s="4">
        <v>139534.13</v>
      </c>
      <c r="D291" s="4">
        <v>139534.13</v>
      </c>
      <c r="E291" s="4">
        <v>0</v>
      </c>
      <c r="F291" s="3" t="e">
        <f>VLOOKUP(B291,'Balance Sheet'!#REF!,2,0)</f>
        <v>#REF!</v>
      </c>
    </row>
    <row r="292" spans="1:6" x14ac:dyDescent="0.2">
      <c r="A292" s="3" t="s">
        <v>301</v>
      </c>
      <c r="B292" s="3" t="s">
        <v>302</v>
      </c>
      <c r="C292" s="4">
        <v>5793.22</v>
      </c>
      <c r="D292" s="4">
        <v>5793.22</v>
      </c>
      <c r="E292" s="4">
        <v>0</v>
      </c>
      <c r="F292" s="3" t="e">
        <f>VLOOKUP(B292,'Balance Sheet'!#REF!,2,0)</f>
        <v>#REF!</v>
      </c>
    </row>
    <row r="293" spans="1:6" x14ac:dyDescent="0.2">
      <c r="A293" s="3" t="s">
        <v>301</v>
      </c>
      <c r="B293" s="3" t="s">
        <v>303</v>
      </c>
      <c r="C293" s="4">
        <v>2303.9899999999998</v>
      </c>
      <c r="D293" s="4">
        <v>2303.9899999999998</v>
      </c>
      <c r="E293" s="4">
        <v>0</v>
      </c>
      <c r="F293" s="3" t="e">
        <f>VLOOKUP(B293,'Balance Sheet'!#REF!,2,0)</f>
        <v>#REF!</v>
      </c>
    </row>
    <row r="294" spans="1:6" x14ac:dyDescent="0.2">
      <c r="A294" s="3" t="s">
        <v>301</v>
      </c>
      <c r="B294" s="3" t="s">
        <v>305</v>
      </c>
      <c r="C294" s="4">
        <v>9337.1200000000008</v>
      </c>
      <c r="D294" s="4">
        <v>9337.1200000000008</v>
      </c>
      <c r="E294" s="4">
        <v>0</v>
      </c>
      <c r="F294" s="3" t="e">
        <f>VLOOKUP(B294,'Balance Sheet'!#REF!,2,0)</f>
        <v>#REF!</v>
      </c>
    </row>
    <row r="295" spans="1:6" x14ac:dyDescent="0.2">
      <c r="A295" s="3" t="s">
        <v>301</v>
      </c>
      <c r="B295" s="3" t="s">
        <v>306</v>
      </c>
      <c r="C295" s="4">
        <v>86638.62</v>
      </c>
      <c r="D295" s="4">
        <v>86638.62</v>
      </c>
      <c r="E295" s="4">
        <v>0</v>
      </c>
      <c r="F295" s="3" t="e">
        <f>VLOOKUP(B295,'Balance Sheet'!#REF!,2,0)</f>
        <v>#REF!</v>
      </c>
    </row>
    <row r="296" spans="1:6" x14ac:dyDescent="0.2">
      <c r="A296" s="3" t="s">
        <v>301</v>
      </c>
      <c r="B296" s="3" t="s">
        <v>307</v>
      </c>
      <c r="C296" s="4">
        <v>155566</v>
      </c>
      <c r="D296" s="4">
        <v>155566</v>
      </c>
      <c r="E296" s="4">
        <v>0</v>
      </c>
      <c r="F296" s="3" t="e">
        <f>VLOOKUP(B296,'Balance Sheet'!#REF!,2,0)</f>
        <v>#REF!</v>
      </c>
    </row>
    <row r="297" spans="1:6" x14ac:dyDescent="0.2">
      <c r="A297" s="3" t="s">
        <v>301</v>
      </c>
      <c r="B297" s="3" t="s">
        <v>308</v>
      </c>
      <c r="C297" s="4">
        <v>5356.12</v>
      </c>
      <c r="D297" s="4">
        <v>5356.12</v>
      </c>
      <c r="E297" s="4">
        <v>0</v>
      </c>
      <c r="F297" s="3" t="e">
        <f>VLOOKUP(B297,'Balance Sheet'!#REF!,2,0)</f>
        <v>#REF!</v>
      </c>
    </row>
    <row r="298" spans="1:6" x14ac:dyDescent="0.2">
      <c r="A298" s="3" t="s">
        <v>301</v>
      </c>
      <c r="B298" s="3" t="s">
        <v>2</v>
      </c>
      <c r="C298" s="4">
        <v>264995.07</v>
      </c>
      <c r="D298" s="4">
        <v>264995.07</v>
      </c>
      <c r="E298" s="4">
        <v>0</v>
      </c>
      <c r="F298" s="3" t="e">
        <f>VLOOKUP(B298,'Balance Sheet'!#REF!,2,0)</f>
        <v>#REF!</v>
      </c>
    </row>
    <row r="299" spans="1:6" x14ac:dyDescent="0.2">
      <c r="A299" s="3" t="s">
        <v>310</v>
      </c>
      <c r="B299" s="3" t="s">
        <v>311</v>
      </c>
      <c r="C299" s="4">
        <v>32947.410000000003</v>
      </c>
      <c r="D299" s="4">
        <v>32947.410000000003</v>
      </c>
      <c r="E299" s="4">
        <v>0</v>
      </c>
      <c r="F299" s="3" t="e">
        <f>VLOOKUP(B299,'Balance Sheet'!#REF!,2,0)</f>
        <v>#REF!</v>
      </c>
    </row>
    <row r="300" spans="1:6" x14ac:dyDescent="0.2">
      <c r="A300" s="3" t="s">
        <v>310</v>
      </c>
      <c r="B300" s="3" t="s">
        <v>2</v>
      </c>
      <c r="C300" s="4">
        <v>32947.410000000003</v>
      </c>
      <c r="D300" s="4">
        <v>32947.410000000003</v>
      </c>
      <c r="E300" s="4">
        <v>0</v>
      </c>
      <c r="F300" s="3" t="e">
        <f>VLOOKUP(B300,'Balance Sheet'!#REF!,2,0)</f>
        <v>#REF!</v>
      </c>
    </row>
    <row r="301" spans="1:6" x14ac:dyDescent="0.2">
      <c r="A301" s="3" t="s">
        <v>312</v>
      </c>
      <c r="B301" s="3" t="s">
        <v>2</v>
      </c>
      <c r="C301" s="4">
        <v>3581682.2</v>
      </c>
      <c r="D301" s="4">
        <v>3581682.2</v>
      </c>
      <c r="E301" s="4">
        <v>0</v>
      </c>
      <c r="F301" s="3" t="e">
        <f>VLOOKUP(B301,'Balance Sheet'!#REF!,2,0)</f>
        <v>#REF!</v>
      </c>
    </row>
    <row r="302" spans="1:6" x14ac:dyDescent="0.2">
      <c r="A302" s="3" t="s">
        <v>313</v>
      </c>
      <c r="B302" s="3" t="s">
        <v>314</v>
      </c>
      <c r="C302" s="4">
        <v>47720.12</v>
      </c>
      <c r="D302" s="4">
        <v>47720.12</v>
      </c>
      <c r="E302" s="4">
        <v>0</v>
      </c>
      <c r="F302" s="3" t="e">
        <f>VLOOKUP(B302,'Balance Sheet'!#REF!,2,0)</f>
        <v>#REF!</v>
      </c>
    </row>
    <row r="303" spans="1:6" x14ac:dyDescent="0.2">
      <c r="A303" s="3" t="s">
        <v>313</v>
      </c>
      <c r="B303" s="3" t="s">
        <v>315</v>
      </c>
      <c r="C303" s="4">
        <v>3030.51</v>
      </c>
      <c r="D303" s="4">
        <v>3030.51</v>
      </c>
      <c r="E303" s="4">
        <v>0</v>
      </c>
      <c r="F303" s="3" t="e">
        <f>VLOOKUP(B303,'Balance Sheet'!#REF!,2,0)</f>
        <v>#REF!</v>
      </c>
    </row>
    <row r="304" spans="1:6" x14ac:dyDescent="0.2">
      <c r="A304" s="3" t="s">
        <v>313</v>
      </c>
      <c r="B304" s="3" t="s">
        <v>559</v>
      </c>
      <c r="C304" s="4">
        <v>3030.51</v>
      </c>
      <c r="D304" s="4">
        <v>3030.51</v>
      </c>
      <c r="E304" s="4">
        <v>0</v>
      </c>
      <c r="F304" s="3" t="e">
        <f>VLOOKUP(B304,'Balance Sheet'!#REF!,2,0)</f>
        <v>#REF!</v>
      </c>
    </row>
    <row r="305" spans="1:6" x14ac:dyDescent="0.2">
      <c r="A305" s="3" t="s">
        <v>313</v>
      </c>
      <c r="B305" s="3" t="s">
        <v>316</v>
      </c>
      <c r="C305" s="4">
        <v>21674.33</v>
      </c>
      <c r="D305" s="4">
        <v>21674.33</v>
      </c>
      <c r="E305" s="4">
        <v>0</v>
      </c>
      <c r="F305" s="3" t="e">
        <f>VLOOKUP(B305,'Balance Sheet'!#REF!,2,0)</f>
        <v>#REF!</v>
      </c>
    </row>
    <row r="306" spans="1:6" x14ac:dyDescent="0.2">
      <c r="A306" s="3" t="s">
        <v>313</v>
      </c>
      <c r="B306" s="3" t="s">
        <v>317</v>
      </c>
      <c r="C306" s="4">
        <v>423.23</v>
      </c>
      <c r="D306" s="4">
        <v>423.23</v>
      </c>
      <c r="E306" s="4">
        <v>0</v>
      </c>
      <c r="F306" s="3" t="e">
        <f>VLOOKUP(B306,'Balance Sheet'!#REF!,2,0)</f>
        <v>#REF!</v>
      </c>
    </row>
    <row r="307" spans="1:6" x14ac:dyDescent="0.2">
      <c r="A307" s="3" t="s">
        <v>313</v>
      </c>
      <c r="B307" s="3" t="s">
        <v>318</v>
      </c>
      <c r="C307" s="4">
        <v>12048.91</v>
      </c>
      <c r="D307" s="4">
        <v>12048.91</v>
      </c>
      <c r="E307" s="4">
        <v>0</v>
      </c>
      <c r="F307" s="3" t="e">
        <f>VLOOKUP(B307,'Balance Sheet'!#REF!,2,0)</f>
        <v>#REF!</v>
      </c>
    </row>
    <row r="308" spans="1:6" x14ac:dyDescent="0.2">
      <c r="A308" s="3" t="s">
        <v>313</v>
      </c>
      <c r="B308" s="3" t="s">
        <v>319</v>
      </c>
      <c r="C308" s="4">
        <v>40731.18</v>
      </c>
      <c r="D308" s="4">
        <v>40731.18</v>
      </c>
      <c r="E308" s="4">
        <v>0</v>
      </c>
      <c r="F308" s="3" t="e">
        <f>VLOOKUP(B308,'Balance Sheet'!#REF!,2,0)</f>
        <v>#REF!</v>
      </c>
    </row>
    <row r="309" spans="1:6" x14ac:dyDescent="0.2">
      <c r="A309" s="3" t="s">
        <v>313</v>
      </c>
      <c r="B309" s="3" t="s">
        <v>320</v>
      </c>
      <c r="C309" s="4">
        <v>4675.82</v>
      </c>
      <c r="D309" s="4">
        <v>4675.82</v>
      </c>
      <c r="E309" s="4">
        <v>0</v>
      </c>
      <c r="F309" s="3" t="e">
        <f>VLOOKUP(B309,'Balance Sheet'!#REF!,2,0)</f>
        <v>#REF!</v>
      </c>
    </row>
    <row r="310" spans="1:6" x14ac:dyDescent="0.2">
      <c r="A310" s="3" t="s">
        <v>313</v>
      </c>
      <c r="B310" s="3" t="s">
        <v>321</v>
      </c>
      <c r="C310" s="4">
        <v>-127447.83</v>
      </c>
      <c r="D310" s="4">
        <v>-127447.83</v>
      </c>
      <c r="E310" s="4">
        <v>0</v>
      </c>
      <c r="F310" s="3" t="e">
        <f>VLOOKUP(B310,'Balance Sheet'!#REF!,2,0)</f>
        <v>#REF!</v>
      </c>
    </row>
    <row r="311" spans="1:6" x14ac:dyDescent="0.2">
      <c r="A311" s="3" t="s">
        <v>313</v>
      </c>
      <c r="B311" s="3" t="s">
        <v>841</v>
      </c>
      <c r="C311" s="4">
        <v>-27313.17</v>
      </c>
      <c r="D311" s="4">
        <v>-27313.17</v>
      </c>
      <c r="E311" s="4">
        <v>0</v>
      </c>
      <c r="F311" s="3" t="e">
        <f>VLOOKUP(B311,'Balance Sheet'!#REF!,2,0)</f>
        <v>#REF!</v>
      </c>
    </row>
    <row r="312" spans="1:6" x14ac:dyDescent="0.2">
      <c r="A312" s="3" t="s">
        <v>313</v>
      </c>
      <c r="B312" s="3" t="s">
        <v>560</v>
      </c>
      <c r="C312" s="4">
        <v>1760.34</v>
      </c>
      <c r="D312" s="4">
        <v>1760.34</v>
      </c>
      <c r="E312" s="4">
        <v>0</v>
      </c>
      <c r="F312" s="3" t="e">
        <f>VLOOKUP(B312,'Balance Sheet'!#REF!,2,0)</f>
        <v>#REF!</v>
      </c>
    </row>
    <row r="313" spans="1:6" x14ac:dyDescent="0.2">
      <c r="A313" s="3" t="s">
        <v>313</v>
      </c>
      <c r="B313" s="3" t="s">
        <v>990</v>
      </c>
      <c r="C313" s="4">
        <v>-40.28</v>
      </c>
      <c r="D313" s="4">
        <v>-40.28</v>
      </c>
      <c r="E313" s="4">
        <v>0</v>
      </c>
      <c r="F313" s="3" t="e">
        <f>VLOOKUP(B313,'Balance Sheet'!#REF!,2,0)</f>
        <v>#REF!</v>
      </c>
    </row>
    <row r="314" spans="1:6" x14ac:dyDescent="0.2">
      <c r="A314" s="3" t="s">
        <v>313</v>
      </c>
      <c r="B314" s="3" t="s">
        <v>322</v>
      </c>
      <c r="C314" s="4">
        <v>2.09</v>
      </c>
      <c r="D314" s="4">
        <v>2.09</v>
      </c>
      <c r="E314" s="4">
        <v>0</v>
      </c>
      <c r="F314" s="3" t="e">
        <f>VLOOKUP(B314,'Balance Sheet'!#REF!,2,0)</f>
        <v>#REF!</v>
      </c>
    </row>
    <row r="315" spans="1:6" x14ac:dyDescent="0.2">
      <c r="A315" s="3" t="s">
        <v>313</v>
      </c>
      <c r="B315" s="3" t="s">
        <v>652</v>
      </c>
      <c r="C315" s="4">
        <v>35.14</v>
      </c>
      <c r="D315" s="4">
        <v>35.14</v>
      </c>
      <c r="E315" s="4">
        <v>0</v>
      </c>
      <c r="F315" s="3" t="e">
        <f>VLOOKUP(B315,'Balance Sheet'!#REF!,2,0)</f>
        <v>#REF!</v>
      </c>
    </row>
    <row r="316" spans="1:6" x14ac:dyDescent="0.2">
      <c r="A316" s="3" t="s">
        <v>313</v>
      </c>
      <c r="B316" s="3" t="s">
        <v>323</v>
      </c>
      <c r="C316" s="4">
        <v>3243.68</v>
      </c>
      <c r="D316" s="4">
        <v>3243.68</v>
      </c>
      <c r="E316" s="4">
        <v>0</v>
      </c>
      <c r="F316" s="3" t="e">
        <f>VLOOKUP(B316,'Balance Sheet'!#REF!,2,0)</f>
        <v>#REF!</v>
      </c>
    </row>
    <row r="317" spans="1:6" x14ac:dyDescent="0.2">
      <c r="A317" s="3" t="s">
        <v>313</v>
      </c>
      <c r="B317" s="3" t="s">
        <v>324</v>
      </c>
      <c r="C317" s="4">
        <v>33298</v>
      </c>
      <c r="D317" s="4">
        <v>33298</v>
      </c>
      <c r="E317" s="4">
        <v>0</v>
      </c>
      <c r="F317" s="3" t="e">
        <f>VLOOKUP(B317,'Balance Sheet'!#REF!,2,0)</f>
        <v>#REF!</v>
      </c>
    </row>
    <row r="318" spans="1:6" x14ac:dyDescent="0.2">
      <c r="A318" s="3" t="s">
        <v>313</v>
      </c>
      <c r="B318" s="3" t="s">
        <v>654</v>
      </c>
      <c r="C318" s="4">
        <v>36.44</v>
      </c>
      <c r="D318" s="4">
        <v>36.44</v>
      </c>
      <c r="E318" s="4">
        <v>0</v>
      </c>
      <c r="F318" s="3" t="e">
        <f>VLOOKUP(B318,'Balance Sheet'!#REF!,2,0)</f>
        <v>#REF!</v>
      </c>
    </row>
    <row r="319" spans="1:6" x14ac:dyDescent="0.2">
      <c r="A319" s="3" t="s">
        <v>313</v>
      </c>
      <c r="B319" s="3" t="s">
        <v>991</v>
      </c>
      <c r="C319" s="4">
        <v>-28825.55</v>
      </c>
      <c r="D319" s="4">
        <v>-28825.55</v>
      </c>
      <c r="E319" s="4">
        <v>0</v>
      </c>
      <c r="F319" s="3" t="e">
        <f>VLOOKUP(B319,'Balance Sheet'!#REF!,2,0)</f>
        <v>#REF!</v>
      </c>
    </row>
    <row r="320" spans="1:6" x14ac:dyDescent="0.2">
      <c r="A320" s="3" t="s">
        <v>313</v>
      </c>
      <c r="B320" s="3" t="s">
        <v>326</v>
      </c>
      <c r="C320" s="4">
        <v>-435.68</v>
      </c>
      <c r="D320" s="4">
        <v>-435.68</v>
      </c>
      <c r="E320" s="4">
        <v>0</v>
      </c>
      <c r="F320" s="3" t="e">
        <f>VLOOKUP(B320,'Balance Sheet'!#REF!,2,0)</f>
        <v>#REF!</v>
      </c>
    </row>
    <row r="321" spans="1:6" x14ac:dyDescent="0.2">
      <c r="A321" s="3" t="s">
        <v>313</v>
      </c>
      <c r="B321" s="3" t="s">
        <v>327</v>
      </c>
      <c r="C321" s="4">
        <v>286.14</v>
      </c>
      <c r="D321" s="4">
        <v>286.14</v>
      </c>
      <c r="E321" s="4">
        <v>0</v>
      </c>
      <c r="F321" s="3" t="e">
        <f>VLOOKUP(B321,'Balance Sheet'!#REF!,2,0)</f>
        <v>#REF!</v>
      </c>
    </row>
    <row r="322" spans="1:6" x14ac:dyDescent="0.2">
      <c r="A322" s="3" t="s">
        <v>313</v>
      </c>
      <c r="B322" s="3" t="s">
        <v>328</v>
      </c>
      <c r="C322" s="4">
        <v>-756.63</v>
      </c>
      <c r="D322" s="4">
        <v>-756.63</v>
      </c>
      <c r="E322" s="4">
        <v>0</v>
      </c>
      <c r="F322" s="3" t="e">
        <f>VLOOKUP(B322,'Balance Sheet'!#REF!,2,0)</f>
        <v>#REF!</v>
      </c>
    </row>
    <row r="323" spans="1:6" x14ac:dyDescent="0.2">
      <c r="A323" s="3" t="s">
        <v>313</v>
      </c>
      <c r="B323" s="3" t="s">
        <v>329</v>
      </c>
      <c r="C323" s="4">
        <v>6174.84</v>
      </c>
      <c r="D323" s="4">
        <v>6174.84</v>
      </c>
      <c r="E323" s="4">
        <v>0</v>
      </c>
      <c r="F323" s="3" t="e">
        <f>VLOOKUP(B323,'Balance Sheet'!#REF!,2,0)</f>
        <v>#REF!</v>
      </c>
    </row>
    <row r="324" spans="1:6" x14ac:dyDescent="0.2">
      <c r="A324" s="3" t="s">
        <v>313</v>
      </c>
      <c r="B324" s="3" t="s">
        <v>330</v>
      </c>
      <c r="C324" s="4">
        <v>890.78</v>
      </c>
      <c r="D324" s="4">
        <v>890.78</v>
      </c>
      <c r="E324" s="4">
        <v>0</v>
      </c>
      <c r="F324" s="3" t="e">
        <f>VLOOKUP(B324,'Balance Sheet'!#REF!,2,0)</f>
        <v>#REF!</v>
      </c>
    </row>
    <row r="325" spans="1:6" x14ac:dyDescent="0.2">
      <c r="A325" s="3" t="s">
        <v>313</v>
      </c>
      <c r="B325" s="3" t="s">
        <v>331</v>
      </c>
      <c r="C325" s="4">
        <v>-3008.88</v>
      </c>
      <c r="D325" s="4">
        <v>-3008.88</v>
      </c>
      <c r="E325" s="4">
        <v>0</v>
      </c>
      <c r="F325" s="3" t="e">
        <f>VLOOKUP(B325,'Balance Sheet'!#REF!,2,0)</f>
        <v>#REF!</v>
      </c>
    </row>
    <row r="326" spans="1:6" x14ac:dyDescent="0.2">
      <c r="A326" s="3" t="s">
        <v>313</v>
      </c>
      <c r="B326" s="3" t="s">
        <v>332</v>
      </c>
      <c r="C326" s="4">
        <v>24.68</v>
      </c>
      <c r="D326" s="4">
        <v>24.68</v>
      </c>
      <c r="E326" s="4">
        <v>0</v>
      </c>
      <c r="F326" s="3" t="e">
        <f>VLOOKUP(B326,'Balance Sheet'!#REF!,2,0)</f>
        <v>#REF!</v>
      </c>
    </row>
    <row r="327" spans="1:6" x14ac:dyDescent="0.2">
      <c r="A327" s="3" t="s">
        <v>313</v>
      </c>
      <c r="B327" s="3" t="s">
        <v>333</v>
      </c>
      <c r="C327" s="4">
        <v>3308.5</v>
      </c>
      <c r="D327" s="4">
        <v>3308.5</v>
      </c>
      <c r="E327" s="4">
        <v>0</v>
      </c>
      <c r="F327" s="3" t="e">
        <f>VLOOKUP(B327,'Balance Sheet'!#REF!,2,0)</f>
        <v>#REF!</v>
      </c>
    </row>
    <row r="328" spans="1:6" x14ac:dyDescent="0.2">
      <c r="A328" s="3" t="s">
        <v>313</v>
      </c>
      <c r="B328" s="3" t="s">
        <v>658</v>
      </c>
      <c r="C328" s="4">
        <v>2303.5500000000002</v>
      </c>
      <c r="D328" s="4">
        <v>2303.5500000000002</v>
      </c>
      <c r="E328" s="4">
        <v>0</v>
      </c>
      <c r="F328" s="3" t="e">
        <f>VLOOKUP(B328,'Balance Sheet'!#REF!,2,0)</f>
        <v>#REF!</v>
      </c>
    </row>
    <row r="329" spans="1:6" x14ac:dyDescent="0.2">
      <c r="A329" s="3" t="s">
        <v>313</v>
      </c>
      <c r="B329" s="3" t="s">
        <v>2</v>
      </c>
      <c r="C329" s="4">
        <v>-3129.23</v>
      </c>
      <c r="D329" s="4">
        <v>-3129.23</v>
      </c>
      <c r="E329" s="4">
        <v>0</v>
      </c>
      <c r="F329" s="3" t="e">
        <f>VLOOKUP(B329,'Balance Sheet'!#REF!,2,0)</f>
        <v>#REF!</v>
      </c>
    </row>
    <row r="330" spans="1:6" x14ac:dyDescent="0.2">
      <c r="A330" s="3" t="s">
        <v>334</v>
      </c>
      <c r="B330" s="3" t="s">
        <v>335</v>
      </c>
      <c r="C330" s="4">
        <v>55035.39</v>
      </c>
      <c r="D330" s="4">
        <v>55035.39</v>
      </c>
      <c r="E330" s="4">
        <v>0</v>
      </c>
      <c r="F330" s="3" t="e">
        <f>VLOOKUP(B330,'Balance Sheet'!#REF!,2,0)</f>
        <v>#REF!</v>
      </c>
    </row>
    <row r="331" spans="1:6" x14ac:dyDescent="0.2">
      <c r="A331" s="3" t="s">
        <v>334</v>
      </c>
      <c r="B331" s="3" t="s">
        <v>336</v>
      </c>
      <c r="C331" s="4">
        <v>5279.69</v>
      </c>
      <c r="D331" s="4">
        <v>5279.69</v>
      </c>
      <c r="E331" s="4">
        <v>0</v>
      </c>
      <c r="F331" s="3" t="e">
        <f>VLOOKUP(B331,'Balance Sheet'!#REF!,2,0)</f>
        <v>#REF!</v>
      </c>
    </row>
    <row r="332" spans="1:6" x14ac:dyDescent="0.2">
      <c r="A332" s="3" t="s">
        <v>334</v>
      </c>
      <c r="B332" s="3" t="s">
        <v>337</v>
      </c>
      <c r="C332" s="4">
        <v>2800.93</v>
      </c>
      <c r="D332" s="4">
        <v>2800.93</v>
      </c>
      <c r="E332" s="4">
        <v>0</v>
      </c>
      <c r="F332" s="3" t="e">
        <f>VLOOKUP(B332,'Balance Sheet'!#REF!,2,0)</f>
        <v>#REF!</v>
      </c>
    </row>
    <row r="333" spans="1:6" x14ac:dyDescent="0.2">
      <c r="A333" s="3" t="s">
        <v>334</v>
      </c>
      <c r="B333" s="3" t="s">
        <v>338</v>
      </c>
      <c r="C333" s="4">
        <v>17648.05</v>
      </c>
      <c r="D333" s="4">
        <v>17648.05</v>
      </c>
      <c r="E333" s="4">
        <v>0</v>
      </c>
      <c r="F333" s="3" t="e">
        <f>VLOOKUP(B333,'Balance Sheet'!#REF!,2,0)</f>
        <v>#REF!</v>
      </c>
    </row>
    <row r="334" spans="1:6" x14ac:dyDescent="0.2">
      <c r="A334" s="3" t="s">
        <v>334</v>
      </c>
      <c r="B334" s="3" t="s">
        <v>339</v>
      </c>
      <c r="C334" s="4">
        <v>4180.01</v>
      </c>
      <c r="D334" s="4">
        <v>4180.01</v>
      </c>
      <c r="E334" s="4">
        <v>0</v>
      </c>
      <c r="F334" s="3" t="e">
        <f>VLOOKUP(B334,'Balance Sheet'!#REF!,2,0)</f>
        <v>#REF!</v>
      </c>
    </row>
    <row r="335" spans="1:6" x14ac:dyDescent="0.2">
      <c r="A335" s="3" t="s">
        <v>334</v>
      </c>
      <c r="B335" s="3" t="s">
        <v>340</v>
      </c>
      <c r="C335" s="4">
        <v>10559.39</v>
      </c>
      <c r="D335" s="4">
        <v>10559.39</v>
      </c>
      <c r="E335" s="4">
        <v>0</v>
      </c>
      <c r="F335" s="3" t="e">
        <f>VLOOKUP(B335,'Balance Sheet'!#REF!,2,0)</f>
        <v>#REF!</v>
      </c>
    </row>
    <row r="336" spans="1:6" x14ac:dyDescent="0.2">
      <c r="A336" s="3" t="s">
        <v>334</v>
      </c>
      <c r="B336" s="3" t="s">
        <v>341</v>
      </c>
      <c r="C336" s="4">
        <v>18487.189999999999</v>
      </c>
      <c r="D336" s="4">
        <v>18487.189999999999</v>
      </c>
      <c r="E336" s="4">
        <v>0</v>
      </c>
      <c r="F336" s="3" t="e">
        <f>VLOOKUP(B336,'Balance Sheet'!#REF!,2,0)</f>
        <v>#REF!</v>
      </c>
    </row>
    <row r="337" spans="1:6" x14ac:dyDescent="0.2">
      <c r="A337" s="3" t="s">
        <v>334</v>
      </c>
      <c r="B337" s="3" t="s">
        <v>342</v>
      </c>
      <c r="C337" s="4">
        <v>2577.34</v>
      </c>
      <c r="D337" s="4">
        <v>2577.34</v>
      </c>
      <c r="E337" s="4">
        <v>0</v>
      </c>
      <c r="F337" s="3" t="e">
        <f>VLOOKUP(B337,'Balance Sheet'!#REF!,2,0)</f>
        <v>#REF!</v>
      </c>
    </row>
    <row r="338" spans="1:6" x14ac:dyDescent="0.2">
      <c r="A338" s="3" t="s">
        <v>334</v>
      </c>
      <c r="B338" s="3" t="s">
        <v>343</v>
      </c>
      <c r="C338" s="4">
        <v>-203.37</v>
      </c>
      <c r="D338" s="4">
        <v>-203.37</v>
      </c>
      <c r="E338" s="4">
        <v>0</v>
      </c>
      <c r="F338" s="3" t="e">
        <f>VLOOKUP(B338,'Balance Sheet'!#REF!,2,0)</f>
        <v>#REF!</v>
      </c>
    </row>
    <row r="339" spans="1:6" x14ac:dyDescent="0.2">
      <c r="A339" s="3" t="s">
        <v>334</v>
      </c>
      <c r="B339" s="3" t="s">
        <v>992</v>
      </c>
      <c r="C339" s="4">
        <v>733.43</v>
      </c>
      <c r="D339" s="4">
        <v>733.43</v>
      </c>
      <c r="E339" s="4">
        <v>0</v>
      </c>
      <c r="F339" s="3" t="e">
        <f>VLOOKUP(B339,'Balance Sheet'!#REF!,2,0)</f>
        <v>#REF!</v>
      </c>
    </row>
    <row r="340" spans="1:6" x14ac:dyDescent="0.2">
      <c r="A340" s="3" t="s">
        <v>334</v>
      </c>
      <c r="B340" s="3" t="s">
        <v>345</v>
      </c>
      <c r="C340" s="4">
        <v>11989.03</v>
      </c>
      <c r="D340" s="4">
        <v>11989.03</v>
      </c>
      <c r="E340" s="4">
        <v>0</v>
      </c>
      <c r="F340" s="3" t="e">
        <f>VLOOKUP(B340,'Balance Sheet'!#REF!,2,0)</f>
        <v>#REF!</v>
      </c>
    </row>
    <row r="341" spans="1:6" x14ac:dyDescent="0.2">
      <c r="A341" s="3" t="s">
        <v>334</v>
      </c>
      <c r="B341" s="3" t="s">
        <v>346</v>
      </c>
      <c r="C341" s="4">
        <v>4420.24</v>
      </c>
      <c r="D341" s="4">
        <v>4420.24</v>
      </c>
      <c r="E341" s="4">
        <v>0</v>
      </c>
      <c r="F341" s="3" t="e">
        <f>VLOOKUP(B341,'Balance Sheet'!#REF!,2,0)</f>
        <v>#REF!</v>
      </c>
    </row>
    <row r="342" spans="1:6" x14ac:dyDescent="0.2">
      <c r="A342" s="3" t="s">
        <v>334</v>
      </c>
      <c r="B342" s="3" t="s">
        <v>347</v>
      </c>
      <c r="C342" s="4">
        <v>2182.88</v>
      </c>
      <c r="D342" s="4">
        <v>2182.88</v>
      </c>
      <c r="E342" s="4">
        <v>0</v>
      </c>
      <c r="F342" s="3" t="e">
        <f>VLOOKUP(B342,'Balance Sheet'!#REF!,2,0)</f>
        <v>#REF!</v>
      </c>
    </row>
    <row r="343" spans="1:6" x14ac:dyDescent="0.2">
      <c r="A343" s="3" t="s">
        <v>334</v>
      </c>
      <c r="B343" s="3" t="s">
        <v>348</v>
      </c>
      <c r="C343" s="4">
        <v>5823.94</v>
      </c>
      <c r="D343" s="4">
        <v>5823.94</v>
      </c>
      <c r="E343" s="4">
        <v>0</v>
      </c>
      <c r="F343" s="3" t="e">
        <f>VLOOKUP(B343,'Balance Sheet'!#REF!,2,0)</f>
        <v>#REF!</v>
      </c>
    </row>
    <row r="344" spans="1:6" x14ac:dyDescent="0.2">
      <c r="A344" s="3" t="s">
        <v>334</v>
      </c>
      <c r="B344" s="3" t="s">
        <v>349</v>
      </c>
      <c r="C344" s="4">
        <v>3750.29</v>
      </c>
      <c r="D344" s="4">
        <v>3750.29</v>
      </c>
      <c r="E344" s="4">
        <v>0</v>
      </c>
      <c r="F344" s="3" t="e">
        <f>VLOOKUP(B344,'Balance Sheet'!#REF!,2,0)</f>
        <v>#REF!</v>
      </c>
    </row>
    <row r="345" spans="1:6" x14ac:dyDescent="0.2">
      <c r="A345" s="3" t="s">
        <v>334</v>
      </c>
      <c r="B345" s="3" t="s">
        <v>350</v>
      </c>
      <c r="C345" s="4">
        <v>5549.93</v>
      </c>
      <c r="D345" s="4">
        <v>5549.93</v>
      </c>
      <c r="E345" s="4">
        <v>0</v>
      </c>
      <c r="F345" s="3" t="e">
        <f>VLOOKUP(B345,'Balance Sheet'!#REF!,2,0)</f>
        <v>#REF!</v>
      </c>
    </row>
    <row r="346" spans="1:6" x14ac:dyDescent="0.2">
      <c r="A346" s="3" t="s">
        <v>334</v>
      </c>
      <c r="B346" s="3" t="s">
        <v>351</v>
      </c>
      <c r="C346" s="4">
        <v>4678.2299999999996</v>
      </c>
      <c r="D346" s="4">
        <v>4678.2299999999996</v>
      </c>
      <c r="E346" s="4">
        <v>0</v>
      </c>
      <c r="F346" s="3" t="e">
        <f>VLOOKUP(B346,'Balance Sheet'!#REF!,2,0)</f>
        <v>#REF!</v>
      </c>
    </row>
    <row r="347" spans="1:6" x14ac:dyDescent="0.2">
      <c r="A347" s="3" t="s">
        <v>334</v>
      </c>
      <c r="B347" s="3" t="s">
        <v>352</v>
      </c>
      <c r="C347" s="4">
        <v>1184.21</v>
      </c>
      <c r="D347" s="4">
        <v>1184.21</v>
      </c>
      <c r="E347" s="4">
        <v>0</v>
      </c>
      <c r="F347" s="3" t="e">
        <f>VLOOKUP(B347,'Balance Sheet'!#REF!,2,0)</f>
        <v>#REF!</v>
      </c>
    </row>
    <row r="348" spans="1:6" x14ac:dyDescent="0.2">
      <c r="A348" s="3" t="s">
        <v>334</v>
      </c>
      <c r="B348" s="3" t="s">
        <v>569</v>
      </c>
      <c r="C348" s="4">
        <v>1388.56</v>
      </c>
      <c r="D348" s="4">
        <v>1388.56</v>
      </c>
      <c r="E348" s="4">
        <v>0</v>
      </c>
      <c r="F348" s="3" t="e">
        <f>VLOOKUP(B348,'Balance Sheet'!#REF!,2,0)</f>
        <v>#REF!</v>
      </c>
    </row>
    <row r="349" spans="1:6" x14ac:dyDescent="0.2">
      <c r="A349" s="3" t="s">
        <v>334</v>
      </c>
      <c r="B349" s="3" t="s">
        <v>353</v>
      </c>
      <c r="C349" s="4">
        <v>1304.8699999999999</v>
      </c>
      <c r="D349" s="4">
        <v>1304.8699999999999</v>
      </c>
      <c r="E349" s="4">
        <v>0</v>
      </c>
      <c r="F349" s="3" t="e">
        <f>VLOOKUP(B349,'Balance Sheet'!#REF!,2,0)</f>
        <v>#REF!</v>
      </c>
    </row>
    <row r="350" spans="1:6" x14ac:dyDescent="0.2">
      <c r="A350" s="3" t="s">
        <v>334</v>
      </c>
      <c r="B350" s="3" t="s">
        <v>354</v>
      </c>
      <c r="C350" s="4">
        <v>645.12</v>
      </c>
      <c r="D350" s="4">
        <v>645.12</v>
      </c>
      <c r="E350" s="4">
        <v>0</v>
      </c>
      <c r="F350" s="3" t="e">
        <f>VLOOKUP(B350,'Balance Sheet'!#REF!,2,0)</f>
        <v>#REF!</v>
      </c>
    </row>
    <row r="351" spans="1:6" x14ac:dyDescent="0.2">
      <c r="A351" s="3" t="s">
        <v>334</v>
      </c>
      <c r="B351" s="3" t="s">
        <v>355</v>
      </c>
      <c r="C351" s="4">
        <v>4654.41</v>
      </c>
      <c r="D351" s="4">
        <v>4654.41</v>
      </c>
      <c r="E351" s="4">
        <v>0</v>
      </c>
      <c r="F351" s="3" t="e">
        <f>VLOOKUP(B351,'Balance Sheet'!#REF!,2,0)</f>
        <v>#REF!</v>
      </c>
    </row>
    <row r="352" spans="1:6" x14ac:dyDescent="0.2">
      <c r="A352" s="3" t="s">
        <v>334</v>
      </c>
      <c r="B352" s="3" t="s">
        <v>356</v>
      </c>
      <c r="C352" s="4">
        <v>164.53</v>
      </c>
      <c r="D352" s="4">
        <v>164.53</v>
      </c>
      <c r="E352" s="4">
        <v>0</v>
      </c>
      <c r="F352" s="3" t="e">
        <f>VLOOKUP(B352,'Balance Sheet'!#REF!,2,0)</f>
        <v>#REF!</v>
      </c>
    </row>
    <row r="353" spans="1:6" x14ac:dyDescent="0.2">
      <c r="A353" s="3" t="s">
        <v>334</v>
      </c>
      <c r="B353" s="3" t="s">
        <v>357</v>
      </c>
      <c r="C353" s="4">
        <v>1147.27</v>
      </c>
      <c r="D353" s="4">
        <v>1147.27</v>
      </c>
      <c r="E353" s="4">
        <v>0</v>
      </c>
      <c r="F353" s="3" t="e">
        <f>VLOOKUP(B353,'Balance Sheet'!#REF!,2,0)</f>
        <v>#REF!</v>
      </c>
    </row>
    <row r="354" spans="1:6" x14ac:dyDescent="0.2">
      <c r="A354" s="3" t="s">
        <v>334</v>
      </c>
      <c r="B354" s="3" t="s">
        <v>358</v>
      </c>
      <c r="C354" s="4">
        <v>3993.12</v>
      </c>
      <c r="D354" s="4">
        <v>3993.12</v>
      </c>
      <c r="E354" s="4">
        <v>0</v>
      </c>
      <c r="F354" s="3" t="e">
        <f>VLOOKUP(B354,'Balance Sheet'!#REF!,2,0)</f>
        <v>#REF!</v>
      </c>
    </row>
    <row r="355" spans="1:6" x14ac:dyDescent="0.2">
      <c r="A355" s="3" t="s">
        <v>334</v>
      </c>
      <c r="B355" s="3" t="s">
        <v>359</v>
      </c>
      <c r="C355" s="4">
        <v>1270.6400000000001</v>
      </c>
      <c r="D355" s="4">
        <v>1270.6400000000001</v>
      </c>
      <c r="E355" s="4">
        <v>0</v>
      </c>
      <c r="F355" s="3" t="e">
        <f>VLOOKUP(B355,'Balance Sheet'!#REF!,2,0)</f>
        <v>#REF!</v>
      </c>
    </row>
    <row r="356" spans="1:6" x14ac:dyDescent="0.2">
      <c r="A356" s="3" t="s">
        <v>334</v>
      </c>
      <c r="B356" s="3" t="s">
        <v>360</v>
      </c>
      <c r="C356" s="4">
        <v>16594.689999999999</v>
      </c>
      <c r="D356" s="4">
        <v>16594.689999999999</v>
      </c>
      <c r="E356" s="4">
        <v>0</v>
      </c>
      <c r="F356" s="3" t="e">
        <f>VLOOKUP(B356,'Balance Sheet'!#REF!,2,0)</f>
        <v>#REF!</v>
      </c>
    </row>
    <row r="357" spans="1:6" x14ac:dyDescent="0.2">
      <c r="A357" s="3" t="s">
        <v>334</v>
      </c>
      <c r="B357" s="3" t="s">
        <v>571</v>
      </c>
      <c r="C357" s="4">
        <v>7423.55</v>
      </c>
      <c r="D357" s="4">
        <v>7423.55</v>
      </c>
      <c r="E357" s="4">
        <v>0</v>
      </c>
      <c r="F357" s="3" t="e">
        <f>VLOOKUP(B357,'Balance Sheet'!#REF!,2,0)</f>
        <v>#REF!</v>
      </c>
    </row>
    <row r="358" spans="1:6" x14ac:dyDescent="0.2">
      <c r="A358" s="3" t="s">
        <v>334</v>
      </c>
      <c r="B358" s="3" t="s">
        <v>363</v>
      </c>
      <c r="C358" s="4">
        <v>1958.16</v>
      </c>
      <c r="D358" s="4">
        <v>1958.16</v>
      </c>
      <c r="E358" s="4">
        <v>0</v>
      </c>
      <c r="F358" s="3" t="e">
        <f>VLOOKUP(B358,'Balance Sheet'!#REF!,2,0)</f>
        <v>#REF!</v>
      </c>
    </row>
    <row r="359" spans="1:6" x14ac:dyDescent="0.2">
      <c r="A359" s="3" t="s">
        <v>334</v>
      </c>
      <c r="B359" s="3" t="s">
        <v>2</v>
      </c>
      <c r="C359" s="4">
        <v>197221.72</v>
      </c>
      <c r="D359" s="4">
        <v>197221.72</v>
      </c>
      <c r="E359" s="4">
        <v>0</v>
      </c>
      <c r="F359" s="3" t="e">
        <f>VLOOKUP(B359,'Balance Sheet'!#REF!,2,0)</f>
        <v>#REF!</v>
      </c>
    </row>
    <row r="360" spans="1:6" x14ac:dyDescent="0.2">
      <c r="A360" s="3" t="s">
        <v>364</v>
      </c>
      <c r="B360" s="3" t="s">
        <v>366</v>
      </c>
      <c r="C360" s="4">
        <v>223.34</v>
      </c>
      <c r="D360" s="4">
        <v>223.34</v>
      </c>
      <c r="E360" s="4">
        <v>0</v>
      </c>
      <c r="F360" s="3" t="e">
        <f>VLOOKUP(B360,'Balance Sheet'!#REF!,2,0)</f>
        <v>#REF!</v>
      </c>
    </row>
    <row r="361" spans="1:6" x14ac:dyDescent="0.2">
      <c r="A361" s="3" t="s">
        <v>364</v>
      </c>
      <c r="B361" s="3" t="s">
        <v>367</v>
      </c>
      <c r="C361" s="4">
        <v>462.09</v>
      </c>
      <c r="D361" s="4">
        <v>462.09</v>
      </c>
      <c r="E361" s="4">
        <v>0</v>
      </c>
      <c r="F361" s="3" t="e">
        <f>VLOOKUP(B361,'Balance Sheet'!#REF!,2,0)</f>
        <v>#REF!</v>
      </c>
    </row>
    <row r="362" spans="1:6" x14ac:dyDescent="0.2">
      <c r="A362" s="3" t="s">
        <v>364</v>
      </c>
      <c r="B362" s="3" t="s">
        <v>368</v>
      </c>
      <c r="C362" s="4">
        <v>120.24</v>
      </c>
      <c r="D362" s="4">
        <v>120.24</v>
      </c>
      <c r="E362" s="4">
        <v>0</v>
      </c>
      <c r="F362" s="3" t="e">
        <f>VLOOKUP(B362,'Balance Sheet'!#REF!,2,0)</f>
        <v>#REF!</v>
      </c>
    </row>
    <row r="363" spans="1:6" x14ac:dyDescent="0.2">
      <c r="A363" s="3" t="s">
        <v>364</v>
      </c>
      <c r="B363" s="3" t="s">
        <v>369</v>
      </c>
      <c r="C363" s="4">
        <v>11.91</v>
      </c>
      <c r="D363" s="4">
        <v>11.91</v>
      </c>
      <c r="E363" s="4">
        <v>0</v>
      </c>
      <c r="F363" s="3" t="e">
        <f>VLOOKUP(B363,'Balance Sheet'!#REF!,2,0)</f>
        <v>#REF!</v>
      </c>
    </row>
    <row r="364" spans="1:6" x14ac:dyDescent="0.2">
      <c r="A364" s="3" t="s">
        <v>364</v>
      </c>
      <c r="B364" s="3" t="s">
        <v>372</v>
      </c>
      <c r="C364" s="4">
        <v>247.77</v>
      </c>
      <c r="D364" s="4">
        <v>247.77</v>
      </c>
      <c r="E364" s="4">
        <v>0</v>
      </c>
      <c r="F364" s="3" t="e">
        <f>VLOOKUP(B364,'Balance Sheet'!#REF!,2,0)</f>
        <v>#REF!</v>
      </c>
    </row>
    <row r="365" spans="1:6" x14ac:dyDescent="0.2">
      <c r="A365" s="3" t="s">
        <v>364</v>
      </c>
      <c r="B365" s="3" t="s">
        <v>2</v>
      </c>
      <c r="C365" s="4">
        <v>1065.3499999999999</v>
      </c>
      <c r="D365" s="4">
        <v>1065.3499999999999</v>
      </c>
      <c r="E365" s="4">
        <v>0</v>
      </c>
      <c r="F365" s="3" t="e">
        <f>VLOOKUP(B365,'Balance Sheet'!#REF!,2,0)</f>
        <v>#REF!</v>
      </c>
    </row>
    <row r="366" spans="1:6" x14ac:dyDescent="0.2">
      <c r="A366" s="3" t="s">
        <v>373</v>
      </c>
      <c r="B366" s="3" t="s">
        <v>374</v>
      </c>
      <c r="C366" s="4">
        <v>2.44</v>
      </c>
      <c r="D366" s="4">
        <v>2.44</v>
      </c>
      <c r="E366" s="4">
        <v>0</v>
      </c>
      <c r="F366" s="3" t="e">
        <f>VLOOKUP(B366,'Balance Sheet'!#REF!,2,0)</f>
        <v>#REF!</v>
      </c>
    </row>
    <row r="367" spans="1:6" x14ac:dyDescent="0.2">
      <c r="A367" s="3" t="s">
        <v>373</v>
      </c>
      <c r="B367" s="3" t="s">
        <v>375</v>
      </c>
      <c r="C367" s="4">
        <v>-429.67</v>
      </c>
      <c r="D367" s="4">
        <v>-429.67</v>
      </c>
      <c r="E367" s="4">
        <v>0</v>
      </c>
      <c r="F367" s="3" t="e">
        <f>VLOOKUP(B367,'Balance Sheet'!#REF!,2,0)</f>
        <v>#REF!</v>
      </c>
    </row>
    <row r="368" spans="1:6" x14ac:dyDescent="0.2">
      <c r="A368" s="3" t="s">
        <v>373</v>
      </c>
      <c r="B368" s="3" t="s">
        <v>573</v>
      </c>
      <c r="C368" s="4">
        <v>939.64</v>
      </c>
      <c r="D368" s="4">
        <v>939.64</v>
      </c>
      <c r="E368" s="4">
        <v>0</v>
      </c>
      <c r="F368" s="3" t="e">
        <f>VLOOKUP(B368,'Balance Sheet'!#REF!,2,0)</f>
        <v>#REF!</v>
      </c>
    </row>
    <row r="369" spans="1:6" x14ac:dyDescent="0.2">
      <c r="A369" s="3" t="s">
        <v>373</v>
      </c>
      <c r="B369" s="3" t="s">
        <v>376</v>
      </c>
      <c r="C369" s="4">
        <v>654.64</v>
      </c>
      <c r="D369" s="4">
        <v>654.64</v>
      </c>
      <c r="E369" s="4">
        <v>0</v>
      </c>
      <c r="F369" s="3" t="e">
        <f>VLOOKUP(B369,'Balance Sheet'!#REF!,2,0)</f>
        <v>#REF!</v>
      </c>
    </row>
    <row r="370" spans="1:6" x14ac:dyDescent="0.2">
      <c r="A370" s="3" t="s">
        <v>373</v>
      </c>
      <c r="B370" s="3" t="s">
        <v>378</v>
      </c>
      <c r="C370" s="4">
        <v>679.62</v>
      </c>
      <c r="D370" s="4">
        <v>679.62</v>
      </c>
      <c r="E370" s="4">
        <v>0</v>
      </c>
      <c r="F370" s="3" t="e">
        <f>VLOOKUP(B370,'Balance Sheet'!#REF!,2,0)</f>
        <v>#REF!</v>
      </c>
    </row>
    <row r="371" spans="1:6" x14ac:dyDescent="0.2">
      <c r="A371" s="3" t="s">
        <v>373</v>
      </c>
      <c r="B371" s="3" t="s">
        <v>2</v>
      </c>
      <c r="C371" s="4">
        <v>1846.67</v>
      </c>
      <c r="D371" s="4">
        <v>1846.67</v>
      </c>
      <c r="E371" s="4">
        <v>0</v>
      </c>
      <c r="F371" s="3" t="e">
        <f>VLOOKUP(B371,'Balance Sheet'!#REF!,2,0)</f>
        <v>#REF!</v>
      </c>
    </row>
    <row r="372" spans="1:6" x14ac:dyDescent="0.2">
      <c r="A372" s="3" t="s">
        <v>379</v>
      </c>
      <c r="B372" s="3" t="s">
        <v>380</v>
      </c>
      <c r="C372" s="4">
        <v>94.24</v>
      </c>
      <c r="D372" s="4">
        <v>94.24</v>
      </c>
      <c r="E372" s="4">
        <v>0</v>
      </c>
      <c r="F372" s="3" t="e">
        <f>VLOOKUP(B372,'Balance Sheet'!#REF!,2,0)</f>
        <v>#REF!</v>
      </c>
    </row>
    <row r="373" spans="1:6" x14ac:dyDescent="0.2">
      <c r="A373" s="3" t="s">
        <v>379</v>
      </c>
      <c r="B373" s="3" t="s">
        <v>381</v>
      </c>
      <c r="C373" s="4">
        <v>-870.15</v>
      </c>
      <c r="D373" s="4">
        <v>-870.15</v>
      </c>
      <c r="E373" s="4">
        <v>0</v>
      </c>
      <c r="F373" s="3" t="e">
        <f>VLOOKUP(B373,'Balance Sheet'!#REF!,2,0)</f>
        <v>#REF!</v>
      </c>
    </row>
    <row r="374" spans="1:6" x14ac:dyDescent="0.2">
      <c r="A374" s="3" t="s">
        <v>379</v>
      </c>
      <c r="B374" s="3" t="s">
        <v>382</v>
      </c>
      <c r="C374" s="4">
        <v>-237.73</v>
      </c>
      <c r="D374" s="4">
        <v>-237.73</v>
      </c>
      <c r="E374" s="4">
        <v>0</v>
      </c>
      <c r="F374" s="3" t="e">
        <f>VLOOKUP(B374,'Balance Sheet'!#REF!,2,0)</f>
        <v>#REF!</v>
      </c>
    </row>
    <row r="375" spans="1:6" x14ac:dyDescent="0.2">
      <c r="A375" s="3" t="s">
        <v>379</v>
      </c>
      <c r="B375" s="3" t="s">
        <v>2</v>
      </c>
      <c r="C375" s="4">
        <v>-1013.64</v>
      </c>
      <c r="D375" s="4">
        <v>-1013.64</v>
      </c>
      <c r="E375" s="4">
        <v>0</v>
      </c>
      <c r="F375" s="3" t="e">
        <f>VLOOKUP(B375,'Balance Sheet'!#REF!,2,0)</f>
        <v>#REF!</v>
      </c>
    </row>
    <row r="376" spans="1:6" x14ac:dyDescent="0.2">
      <c r="A376" s="3" t="s">
        <v>383</v>
      </c>
      <c r="B376" s="3" t="s">
        <v>384</v>
      </c>
      <c r="C376" s="4">
        <v>152.97999999999999</v>
      </c>
      <c r="D376" s="4">
        <v>152.97999999999999</v>
      </c>
      <c r="E376" s="4">
        <v>0</v>
      </c>
      <c r="F376" s="3" t="e">
        <f>VLOOKUP(B376,'Balance Sheet'!#REF!,2,0)</f>
        <v>#REF!</v>
      </c>
    </row>
    <row r="377" spans="1:6" x14ac:dyDescent="0.2">
      <c r="A377" s="3" t="s">
        <v>383</v>
      </c>
      <c r="B377" s="3" t="s">
        <v>993</v>
      </c>
      <c r="C377" s="4">
        <v>-130594.91</v>
      </c>
      <c r="D377" s="4">
        <v>-130594.91</v>
      </c>
      <c r="E377" s="4">
        <v>0</v>
      </c>
      <c r="F377" s="3" t="e">
        <f>VLOOKUP(B377,'Balance Sheet'!#REF!,2,0)</f>
        <v>#REF!</v>
      </c>
    </row>
    <row r="378" spans="1:6" x14ac:dyDescent="0.2">
      <c r="A378" s="3" t="s">
        <v>383</v>
      </c>
      <c r="B378" s="3" t="s">
        <v>385</v>
      </c>
      <c r="C378" s="4">
        <v>3245.65</v>
      </c>
      <c r="D378" s="4">
        <v>3245.65</v>
      </c>
      <c r="E378" s="4">
        <v>0</v>
      </c>
      <c r="F378" s="3" t="e">
        <f>VLOOKUP(B378,'Balance Sheet'!#REF!,2,0)</f>
        <v>#REF!</v>
      </c>
    </row>
    <row r="379" spans="1:6" x14ac:dyDescent="0.2">
      <c r="A379" s="3" t="s">
        <v>383</v>
      </c>
      <c r="B379" s="3" t="s">
        <v>386</v>
      </c>
      <c r="C379" s="4">
        <v>4774.8</v>
      </c>
      <c r="D379" s="4">
        <v>4774.8</v>
      </c>
      <c r="E379" s="4">
        <v>0</v>
      </c>
      <c r="F379" s="3" t="e">
        <f>VLOOKUP(B379,'Balance Sheet'!#REF!,2,0)</f>
        <v>#REF!</v>
      </c>
    </row>
    <row r="380" spans="1:6" x14ac:dyDescent="0.2">
      <c r="A380" s="3" t="s">
        <v>383</v>
      </c>
      <c r="B380" s="3" t="s">
        <v>387</v>
      </c>
      <c r="C380" s="4">
        <v>5944.89</v>
      </c>
      <c r="D380" s="4">
        <v>5944.89</v>
      </c>
      <c r="E380" s="4">
        <v>0</v>
      </c>
      <c r="F380" s="3" t="e">
        <f>VLOOKUP(B380,'Balance Sheet'!#REF!,2,0)</f>
        <v>#REF!</v>
      </c>
    </row>
    <row r="381" spans="1:6" x14ac:dyDescent="0.2">
      <c r="A381" s="3" t="s">
        <v>383</v>
      </c>
      <c r="B381" s="3" t="s">
        <v>2</v>
      </c>
      <c r="C381" s="4">
        <v>-116476.59</v>
      </c>
      <c r="D381" s="4">
        <v>-116476.59</v>
      </c>
      <c r="E381" s="4">
        <v>0</v>
      </c>
      <c r="F381" s="3" t="e">
        <f>VLOOKUP(B381,'Balance Sheet'!#REF!,2,0)</f>
        <v>#REF!</v>
      </c>
    </row>
    <row r="382" spans="1:6" x14ac:dyDescent="0.2">
      <c r="A382" s="3" t="s">
        <v>678</v>
      </c>
      <c r="B382" s="3" t="s">
        <v>994</v>
      </c>
      <c r="C382" s="4">
        <v>1302.99</v>
      </c>
      <c r="D382" s="4">
        <v>1302.99</v>
      </c>
      <c r="E382" s="4">
        <v>0</v>
      </c>
      <c r="F382" s="3" t="e">
        <f>VLOOKUP(B382,'Balance Sheet'!#REF!,2,0)</f>
        <v>#REF!</v>
      </c>
    </row>
    <row r="383" spans="1:6" x14ac:dyDescent="0.2">
      <c r="A383" s="3" t="s">
        <v>678</v>
      </c>
      <c r="B383" s="3" t="s">
        <v>2</v>
      </c>
      <c r="C383" s="4">
        <v>1302.99</v>
      </c>
      <c r="D383" s="4">
        <v>1302.99</v>
      </c>
      <c r="E383" s="4">
        <v>0</v>
      </c>
      <c r="F383" s="3" t="e">
        <f>VLOOKUP(B383,'Balance Sheet'!#REF!,2,0)</f>
        <v>#REF!</v>
      </c>
    </row>
    <row r="384" spans="1:6" x14ac:dyDescent="0.2">
      <c r="A384" s="3" t="s">
        <v>388</v>
      </c>
      <c r="B384" s="3" t="s">
        <v>390</v>
      </c>
      <c r="C384" s="4">
        <v>596.91</v>
      </c>
      <c r="D384" s="4">
        <v>596.91</v>
      </c>
      <c r="E384" s="4">
        <v>0</v>
      </c>
      <c r="F384" s="3" t="e">
        <f>VLOOKUP(B384,'Balance Sheet'!#REF!,2,0)</f>
        <v>#REF!</v>
      </c>
    </row>
    <row r="385" spans="1:6" x14ac:dyDescent="0.2">
      <c r="A385" s="3" t="s">
        <v>388</v>
      </c>
      <c r="B385" s="3" t="s">
        <v>2</v>
      </c>
      <c r="C385" s="4">
        <v>596.91</v>
      </c>
      <c r="D385" s="4">
        <v>596.91</v>
      </c>
      <c r="E385" s="4">
        <v>0</v>
      </c>
      <c r="F385" s="3" t="e">
        <f>VLOOKUP(B385,'Balance Sheet'!#REF!,2,0)</f>
        <v>#REF!</v>
      </c>
    </row>
    <row r="386" spans="1:6" x14ac:dyDescent="0.2">
      <c r="A386" s="3" t="s">
        <v>391</v>
      </c>
      <c r="B386" s="3" t="s">
        <v>579</v>
      </c>
      <c r="C386" s="4">
        <v>2.69</v>
      </c>
      <c r="D386" s="4">
        <v>2.69</v>
      </c>
      <c r="E386" s="4">
        <v>0</v>
      </c>
      <c r="F386" s="3" t="e">
        <f>VLOOKUP(B386,'Balance Sheet'!#REF!,2,0)</f>
        <v>#REF!</v>
      </c>
    </row>
    <row r="387" spans="1:6" x14ac:dyDescent="0.2">
      <c r="A387" s="3" t="s">
        <v>391</v>
      </c>
      <c r="B387" s="3" t="s">
        <v>392</v>
      </c>
      <c r="C387" s="4">
        <v>904.52</v>
      </c>
      <c r="D387" s="4">
        <v>904.52</v>
      </c>
      <c r="E387" s="4">
        <v>0</v>
      </c>
      <c r="F387" s="3" t="e">
        <f>VLOOKUP(B387,'Balance Sheet'!#REF!,2,0)</f>
        <v>#REF!</v>
      </c>
    </row>
    <row r="388" spans="1:6" x14ac:dyDescent="0.2">
      <c r="A388" s="3" t="s">
        <v>391</v>
      </c>
      <c r="B388" s="3" t="s">
        <v>2</v>
      </c>
      <c r="C388" s="4">
        <v>907.21</v>
      </c>
      <c r="D388" s="4">
        <v>907.21</v>
      </c>
      <c r="E388" s="4">
        <v>0</v>
      </c>
      <c r="F388" s="3" t="e">
        <f>VLOOKUP(B388,'Balance Sheet'!#REF!,2,0)</f>
        <v>#REF!</v>
      </c>
    </row>
    <row r="389" spans="1:6" x14ac:dyDescent="0.2">
      <c r="A389" s="3" t="s">
        <v>393</v>
      </c>
      <c r="B389" s="3" t="s">
        <v>394</v>
      </c>
      <c r="C389" s="4">
        <v>1534.08</v>
      </c>
      <c r="D389" s="4">
        <v>1534.08</v>
      </c>
      <c r="E389" s="4">
        <v>0</v>
      </c>
      <c r="F389" s="3" t="e">
        <f>VLOOKUP(B389,'Balance Sheet'!#REF!,2,0)</f>
        <v>#REF!</v>
      </c>
    </row>
    <row r="390" spans="1:6" x14ac:dyDescent="0.2">
      <c r="A390" s="3" t="s">
        <v>393</v>
      </c>
      <c r="B390" s="3" t="s">
        <v>395</v>
      </c>
      <c r="C390" s="4">
        <v>2034.12</v>
      </c>
      <c r="D390" s="4">
        <v>2034.12</v>
      </c>
      <c r="E390" s="4">
        <v>0</v>
      </c>
      <c r="F390" s="3" t="e">
        <f>VLOOKUP(B390,'Balance Sheet'!#REF!,2,0)</f>
        <v>#REF!</v>
      </c>
    </row>
    <row r="391" spans="1:6" x14ac:dyDescent="0.2">
      <c r="A391" s="3" t="s">
        <v>393</v>
      </c>
      <c r="B391" s="3" t="s">
        <v>2</v>
      </c>
      <c r="C391" s="4">
        <v>3568.2</v>
      </c>
      <c r="D391" s="4">
        <v>3568.2</v>
      </c>
      <c r="E391" s="4">
        <v>0</v>
      </c>
      <c r="F391" s="3" t="e">
        <f>VLOOKUP(B391,'Balance Sheet'!#REF!,2,0)</f>
        <v>#REF!</v>
      </c>
    </row>
    <row r="392" spans="1:6" x14ac:dyDescent="0.2">
      <c r="A392" s="3" t="s">
        <v>582</v>
      </c>
      <c r="B392" s="3" t="s">
        <v>583</v>
      </c>
      <c r="C392" s="4">
        <v>-54602.16</v>
      </c>
      <c r="D392" s="4">
        <v>-54602.16</v>
      </c>
      <c r="E392" s="4">
        <v>0</v>
      </c>
      <c r="F392" s="3" t="e">
        <f>VLOOKUP(B392,'Balance Sheet'!#REF!,2,0)</f>
        <v>#REF!</v>
      </c>
    </row>
    <row r="393" spans="1:6" x14ac:dyDescent="0.2">
      <c r="A393" s="3" t="s">
        <v>582</v>
      </c>
      <c r="B393" s="3" t="s">
        <v>584</v>
      </c>
      <c r="C393" s="4">
        <v>-28044.34</v>
      </c>
      <c r="D393" s="4">
        <v>-28044.34</v>
      </c>
      <c r="E393" s="4">
        <v>0</v>
      </c>
      <c r="F393" s="3" t="e">
        <f>VLOOKUP(B393,'Balance Sheet'!#REF!,2,0)</f>
        <v>#REF!</v>
      </c>
    </row>
    <row r="394" spans="1:6" x14ac:dyDescent="0.2">
      <c r="A394" s="3" t="s">
        <v>582</v>
      </c>
      <c r="B394" s="3" t="s">
        <v>684</v>
      </c>
      <c r="C394" s="4">
        <v>-37.07</v>
      </c>
      <c r="D394" s="4">
        <v>-37.07</v>
      </c>
      <c r="E394" s="4">
        <v>0</v>
      </c>
      <c r="F394" s="3" t="e">
        <f>VLOOKUP(B394,'Balance Sheet'!#REF!,2,0)</f>
        <v>#REF!</v>
      </c>
    </row>
    <row r="395" spans="1:6" x14ac:dyDescent="0.2">
      <c r="A395" s="3" t="s">
        <v>582</v>
      </c>
      <c r="B395" s="3" t="s">
        <v>2</v>
      </c>
      <c r="C395" s="4">
        <v>-82683.570000000007</v>
      </c>
      <c r="D395" s="4">
        <v>-82683.570000000007</v>
      </c>
      <c r="E395" s="4">
        <v>0</v>
      </c>
      <c r="F395" s="3" t="e">
        <f>VLOOKUP(B395,'Balance Sheet'!#REF!,2,0)</f>
        <v>#REF!</v>
      </c>
    </row>
    <row r="396" spans="1:6" x14ac:dyDescent="0.2">
      <c r="A396" s="3" t="s">
        <v>396</v>
      </c>
      <c r="B396" s="3" t="s">
        <v>397</v>
      </c>
      <c r="C396" s="4">
        <v>4528.21</v>
      </c>
      <c r="D396" s="4">
        <v>4528.21</v>
      </c>
      <c r="E396" s="4">
        <v>0</v>
      </c>
      <c r="F396" s="3" t="e">
        <f>VLOOKUP(B396,'Balance Sheet'!#REF!,2,0)</f>
        <v>#REF!</v>
      </c>
    </row>
    <row r="397" spans="1:6" x14ac:dyDescent="0.2">
      <c r="A397" s="3" t="s">
        <v>396</v>
      </c>
      <c r="B397" s="3" t="s">
        <v>2</v>
      </c>
      <c r="C397" s="4">
        <v>4528.21</v>
      </c>
      <c r="D397" s="4">
        <v>4528.21</v>
      </c>
      <c r="E397" s="4">
        <v>0</v>
      </c>
      <c r="F397" s="3" t="e">
        <f>VLOOKUP(B397,'Balance Sheet'!#REF!,2,0)</f>
        <v>#REF!</v>
      </c>
    </row>
    <row r="398" spans="1:6" x14ac:dyDescent="0.2">
      <c r="A398" s="3" t="s">
        <v>398</v>
      </c>
      <c r="B398" s="3" t="s">
        <v>399</v>
      </c>
      <c r="C398" s="4">
        <v>6517.4</v>
      </c>
      <c r="D398" s="4">
        <v>6517.4</v>
      </c>
      <c r="E398" s="4">
        <v>0</v>
      </c>
      <c r="F398" s="3" t="e">
        <f>VLOOKUP(B398,'Balance Sheet'!#REF!,2,0)</f>
        <v>#REF!</v>
      </c>
    </row>
    <row r="399" spans="1:6" x14ac:dyDescent="0.2">
      <c r="A399" s="3" t="s">
        <v>398</v>
      </c>
      <c r="B399" s="3" t="s">
        <v>2</v>
      </c>
      <c r="C399" s="4">
        <v>6517.4</v>
      </c>
      <c r="D399" s="4">
        <v>6517.4</v>
      </c>
      <c r="E399" s="4">
        <v>0</v>
      </c>
      <c r="F399" s="3" t="e">
        <f>VLOOKUP(B399,'Balance Sheet'!#REF!,2,0)</f>
        <v>#REF!</v>
      </c>
    </row>
    <row r="400" spans="1:6" x14ac:dyDescent="0.2">
      <c r="A400" s="3" t="s">
        <v>401</v>
      </c>
      <c r="B400" s="3" t="s">
        <v>402</v>
      </c>
      <c r="C400" s="4">
        <v>139.75</v>
      </c>
      <c r="D400" s="4">
        <v>139.75</v>
      </c>
      <c r="E400" s="4">
        <v>0</v>
      </c>
      <c r="F400" s="3" t="e">
        <f>VLOOKUP(B400,'Balance Sheet'!#REF!,2,0)</f>
        <v>#REF!</v>
      </c>
    </row>
    <row r="401" spans="1:6" x14ac:dyDescent="0.2">
      <c r="A401" s="3" t="s">
        <v>401</v>
      </c>
      <c r="B401" s="3" t="s">
        <v>2</v>
      </c>
      <c r="C401" s="4">
        <v>139.75</v>
      </c>
      <c r="D401" s="4">
        <v>139.75</v>
      </c>
      <c r="E401" s="4">
        <v>0</v>
      </c>
      <c r="F401" s="3" t="e">
        <f>VLOOKUP(B401,'Balance Sheet'!#REF!,2,0)</f>
        <v>#REF!</v>
      </c>
    </row>
    <row r="402" spans="1:6" x14ac:dyDescent="0.2">
      <c r="A402" s="3" t="s">
        <v>403</v>
      </c>
      <c r="B402" s="3" t="s">
        <v>404</v>
      </c>
      <c r="C402" s="4">
        <v>1539.76</v>
      </c>
      <c r="D402" s="4">
        <v>1539.76</v>
      </c>
      <c r="E402" s="4">
        <v>0</v>
      </c>
      <c r="F402" s="3" t="e">
        <f>VLOOKUP(B402,'Balance Sheet'!#REF!,2,0)</f>
        <v>#REF!</v>
      </c>
    </row>
    <row r="403" spans="1:6" x14ac:dyDescent="0.2">
      <c r="A403" s="3" t="s">
        <v>403</v>
      </c>
      <c r="B403" s="3" t="s">
        <v>405</v>
      </c>
      <c r="C403" s="4">
        <v>2743.74</v>
      </c>
      <c r="D403" s="4">
        <v>2743.74</v>
      </c>
      <c r="E403" s="4">
        <v>0</v>
      </c>
      <c r="F403" s="3" t="e">
        <f>VLOOKUP(B403,'Balance Sheet'!#REF!,2,0)</f>
        <v>#REF!</v>
      </c>
    </row>
    <row r="404" spans="1:6" x14ac:dyDescent="0.2">
      <c r="A404" s="3" t="s">
        <v>403</v>
      </c>
      <c r="B404" s="3" t="s">
        <v>406</v>
      </c>
      <c r="C404" s="4">
        <v>28.84</v>
      </c>
      <c r="D404" s="4">
        <v>28.84</v>
      </c>
      <c r="E404" s="4">
        <v>0</v>
      </c>
      <c r="F404" s="3" t="e">
        <f>VLOOKUP(B404,'Balance Sheet'!#REF!,2,0)</f>
        <v>#REF!</v>
      </c>
    </row>
    <row r="405" spans="1:6" x14ac:dyDescent="0.2">
      <c r="A405" s="3" t="s">
        <v>403</v>
      </c>
      <c r="B405" s="3" t="s">
        <v>686</v>
      </c>
      <c r="C405" s="4">
        <v>494.67</v>
      </c>
      <c r="D405" s="4">
        <v>494.67</v>
      </c>
      <c r="E405" s="4">
        <v>0</v>
      </c>
      <c r="F405" s="3" t="e">
        <f>VLOOKUP(B405,'Balance Sheet'!#REF!,2,0)</f>
        <v>#REF!</v>
      </c>
    </row>
    <row r="406" spans="1:6" x14ac:dyDescent="0.2">
      <c r="A406" s="3" t="s">
        <v>403</v>
      </c>
      <c r="B406" s="3" t="s">
        <v>2</v>
      </c>
      <c r="C406" s="4">
        <v>4807.01</v>
      </c>
      <c r="D406" s="4">
        <v>4807.01</v>
      </c>
      <c r="E406" s="4">
        <v>0</v>
      </c>
      <c r="F406" s="3" t="e">
        <f>VLOOKUP(B406,'Balance Sheet'!#REF!,2,0)</f>
        <v>#REF!</v>
      </c>
    </row>
    <row r="407" spans="1:6" x14ac:dyDescent="0.2">
      <c r="A407" s="3" t="s">
        <v>408</v>
      </c>
      <c r="B407" s="3" t="s">
        <v>409</v>
      </c>
      <c r="C407" s="4">
        <v>3504.81</v>
      </c>
      <c r="D407" s="4">
        <v>3504.81</v>
      </c>
      <c r="E407" s="4">
        <v>0</v>
      </c>
      <c r="F407" s="3" t="e">
        <f>VLOOKUP(B407,'Balance Sheet'!#REF!,2,0)</f>
        <v>#REF!</v>
      </c>
    </row>
    <row r="408" spans="1:6" x14ac:dyDescent="0.2">
      <c r="A408" s="3" t="s">
        <v>408</v>
      </c>
      <c r="B408" s="3" t="s">
        <v>995</v>
      </c>
      <c r="C408" s="4">
        <v>8.25</v>
      </c>
      <c r="D408" s="4">
        <v>8.25</v>
      </c>
      <c r="E408" s="4">
        <v>0</v>
      </c>
      <c r="F408" s="3" t="e">
        <f>VLOOKUP(B408,'Balance Sheet'!#REF!,2,0)</f>
        <v>#REF!</v>
      </c>
    </row>
    <row r="409" spans="1:6" x14ac:dyDescent="0.2">
      <c r="A409" s="3" t="s">
        <v>408</v>
      </c>
      <c r="B409" s="3" t="s">
        <v>410</v>
      </c>
      <c r="C409" s="4">
        <v>34.97</v>
      </c>
      <c r="D409" s="4">
        <v>34.97</v>
      </c>
      <c r="E409" s="4">
        <v>0</v>
      </c>
      <c r="F409" s="3" t="e">
        <f>VLOOKUP(B409,'Balance Sheet'!#REF!,2,0)</f>
        <v>#REF!</v>
      </c>
    </row>
    <row r="410" spans="1:6" x14ac:dyDescent="0.2">
      <c r="A410" s="3" t="s">
        <v>408</v>
      </c>
      <c r="B410" s="3" t="s">
        <v>411</v>
      </c>
      <c r="C410" s="4">
        <v>2065.9299999999998</v>
      </c>
      <c r="D410" s="4">
        <v>2065.9299999999998</v>
      </c>
      <c r="E410" s="4">
        <v>0</v>
      </c>
      <c r="F410" s="3" t="e">
        <f>VLOOKUP(B410,'Balance Sheet'!#REF!,2,0)</f>
        <v>#REF!</v>
      </c>
    </row>
    <row r="411" spans="1:6" x14ac:dyDescent="0.2">
      <c r="A411" s="3" t="s">
        <v>408</v>
      </c>
      <c r="B411" s="3" t="s">
        <v>412</v>
      </c>
      <c r="C411" s="4">
        <v>409.3</v>
      </c>
      <c r="D411" s="4">
        <v>409.3</v>
      </c>
      <c r="E411" s="4">
        <v>0</v>
      </c>
      <c r="F411" s="3" t="e">
        <f>VLOOKUP(B411,'Balance Sheet'!#REF!,2,0)</f>
        <v>#REF!</v>
      </c>
    </row>
    <row r="412" spans="1:6" x14ac:dyDescent="0.2">
      <c r="A412" s="3" t="s">
        <v>408</v>
      </c>
      <c r="B412" s="3" t="s">
        <v>413</v>
      </c>
      <c r="C412" s="4">
        <v>1687.53</v>
      </c>
      <c r="D412" s="4">
        <v>1687.53</v>
      </c>
      <c r="E412" s="4">
        <v>0</v>
      </c>
      <c r="F412" s="3" t="e">
        <f>VLOOKUP(B412,'Balance Sheet'!#REF!,2,0)</f>
        <v>#REF!</v>
      </c>
    </row>
    <row r="413" spans="1:6" x14ac:dyDescent="0.2">
      <c r="A413" s="3" t="s">
        <v>408</v>
      </c>
      <c r="B413" s="3" t="s">
        <v>414</v>
      </c>
      <c r="C413" s="4">
        <v>1114.78</v>
      </c>
      <c r="D413" s="4">
        <v>1114.78</v>
      </c>
      <c r="E413" s="4">
        <v>0</v>
      </c>
      <c r="F413" s="3" t="e">
        <f>VLOOKUP(B413,'Balance Sheet'!#REF!,2,0)</f>
        <v>#REF!</v>
      </c>
    </row>
    <row r="414" spans="1:6" x14ac:dyDescent="0.2">
      <c r="A414" s="3" t="s">
        <v>408</v>
      </c>
      <c r="B414" s="3" t="s">
        <v>415</v>
      </c>
      <c r="C414" s="4">
        <v>55.58</v>
      </c>
      <c r="D414" s="4">
        <v>55.58</v>
      </c>
      <c r="E414" s="4">
        <v>0</v>
      </c>
      <c r="F414" s="3" t="e">
        <f>VLOOKUP(B414,'Balance Sheet'!#REF!,2,0)</f>
        <v>#REF!</v>
      </c>
    </row>
    <row r="415" spans="1:6" x14ac:dyDescent="0.2">
      <c r="A415" s="3" t="s">
        <v>408</v>
      </c>
      <c r="B415" s="3" t="s">
        <v>416</v>
      </c>
      <c r="C415" s="4">
        <v>5433.31</v>
      </c>
      <c r="D415" s="4">
        <v>5433.31</v>
      </c>
      <c r="E415" s="4">
        <v>0</v>
      </c>
      <c r="F415" s="3" t="e">
        <f>VLOOKUP(B415,'Balance Sheet'!#REF!,2,0)</f>
        <v>#REF!</v>
      </c>
    </row>
    <row r="416" spans="1:6" x14ac:dyDescent="0.2">
      <c r="A416" s="3" t="s">
        <v>408</v>
      </c>
      <c r="B416" s="3" t="s">
        <v>417</v>
      </c>
      <c r="C416" s="4">
        <v>2916.44</v>
      </c>
      <c r="D416" s="4">
        <v>2916.44</v>
      </c>
      <c r="E416" s="4">
        <v>0</v>
      </c>
      <c r="F416" s="3" t="e">
        <f>VLOOKUP(B416,'Balance Sheet'!#REF!,2,0)</f>
        <v>#REF!</v>
      </c>
    </row>
    <row r="417" spans="1:6" x14ac:dyDescent="0.2">
      <c r="A417" s="3" t="s">
        <v>408</v>
      </c>
      <c r="B417" s="3" t="s">
        <v>689</v>
      </c>
      <c r="C417" s="4">
        <v>60617.71</v>
      </c>
      <c r="D417" s="4">
        <v>60617.71</v>
      </c>
      <c r="E417" s="4">
        <v>0</v>
      </c>
      <c r="F417" s="3" t="e">
        <f>VLOOKUP(B417,'Balance Sheet'!#REF!,2,0)</f>
        <v>#REF!</v>
      </c>
    </row>
    <row r="418" spans="1:6" x14ac:dyDescent="0.2">
      <c r="A418" s="3" t="s">
        <v>408</v>
      </c>
      <c r="B418" s="3" t="s">
        <v>418</v>
      </c>
      <c r="C418" s="4">
        <v>10835.77</v>
      </c>
      <c r="D418" s="4">
        <v>10835.77</v>
      </c>
      <c r="E418" s="4">
        <v>0</v>
      </c>
      <c r="F418" s="3" t="e">
        <f>VLOOKUP(B418,'Balance Sheet'!#REF!,2,0)</f>
        <v>#REF!</v>
      </c>
    </row>
    <row r="419" spans="1:6" x14ac:dyDescent="0.2">
      <c r="A419" s="3" t="s">
        <v>408</v>
      </c>
      <c r="B419" s="3" t="s">
        <v>419</v>
      </c>
      <c r="C419" s="4">
        <v>5356.49</v>
      </c>
      <c r="D419" s="4">
        <v>5356.49</v>
      </c>
      <c r="E419" s="4">
        <v>0</v>
      </c>
      <c r="F419" s="3" t="e">
        <f>VLOOKUP(B419,'Balance Sheet'!#REF!,2,0)</f>
        <v>#REF!</v>
      </c>
    </row>
    <row r="420" spans="1:6" x14ac:dyDescent="0.2">
      <c r="A420" s="3" t="s">
        <v>408</v>
      </c>
      <c r="B420" s="3" t="s">
        <v>2</v>
      </c>
      <c r="C420" s="4">
        <v>94040.87</v>
      </c>
      <c r="D420" s="4">
        <v>94040.87</v>
      </c>
      <c r="E420" s="4">
        <v>0</v>
      </c>
      <c r="F420" s="3" t="e">
        <f>VLOOKUP(B420,'Balance Sheet'!#REF!,2,0)</f>
        <v>#REF!</v>
      </c>
    </row>
    <row r="421" spans="1:6" x14ac:dyDescent="0.2">
      <c r="A421" s="3" t="s">
        <v>420</v>
      </c>
      <c r="B421" s="3" t="s">
        <v>421</v>
      </c>
      <c r="C421" s="4">
        <v>9127.73</v>
      </c>
      <c r="D421" s="4">
        <v>9127.73</v>
      </c>
      <c r="E421" s="4">
        <v>0</v>
      </c>
      <c r="F421" s="3" t="e">
        <f>VLOOKUP(B421,'Balance Sheet'!#REF!,2,0)</f>
        <v>#REF!</v>
      </c>
    </row>
    <row r="422" spans="1:6" x14ac:dyDescent="0.2">
      <c r="A422" s="3" t="s">
        <v>420</v>
      </c>
      <c r="B422" s="3" t="s">
        <v>422</v>
      </c>
      <c r="C422" s="4">
        <v>4172.96</v>
      </c>
      <c r="D422" s="4">
        <v>4172.96</v>
      </c>
      <c r="E422" s="4">
        <v>0</v>
      </c>
      <c r="F422" s="3" t="e">
        <f>VLOOKUP(B422,'Balance Sheet'!#REF!,2,0)</f>
        <v>#REF!</v>
      </c>
    </row>
    <row r="423" spans="1:6" x14ac:dyDescent="0.2">
      <c r="A423" s="3" t="s">
        <v>420</v>
      </c>
      <c r="B423" s="3" t="s">
        <v>423</v>
      </c>
      <c r="C423" s="4">
        <v>6431.37</v>
      </c>
      <c r="D423" s="4">
        <v>6431.37</v>
      </c>
      <c r="E423" s="4">
        <v>0</v>
      </c>
      <c r="F423" s="3" t="e">
        <f>VLOOKUP(B423,'Balance Sheet'!#REF!,2,0)</f>
        <v>#REF!</v>
      </c>
    </row>
    <row r="424" spans="1:6" x14ac:dyDescent="0.2">
      <c r="A424" s="3" t="s">
        <v>420</v>
      </c>
      <c r="B424" s="3" t="s">
        <v>424</v>
      </c>
      <c r="C424" s="4">
        <v>2832.61</v>
      </c>
      <c r="D424" s="4">
        <v>2832.61</v>
      </c>
      <c r="E424" s="4">
        <v>0</v>
      </c>
      <c r="F424" s="3" t="e">
        <f>VLOOKUP(B424,'Balance Sheet'!#REF!,2,0)</f>
        <v>#REF!</v>
      </c>
    </row>
    <row r="425" spans="1:6" x14ac:dyDescent="0.2">
      <c r="A425" s="3" t="s">
        <v>420</v>
      </c>
      <c r="B425" s="3" t="s">
        <v>588</v>
      </c>
      <c r="C425" s="4">
        <v>104.5</v>
      </c>
      <c r="D425" s="4">
        <v>104.5</v>
      </c>
      <c r="E425" s="4">
        <v>0</v>
      </c>
      <c r="F425" s="3" t="e">
        <f>VLOOKUP(B425,'Balance Sheet'!#REF!,2,0)</f>
        <v>#REF!</v>
      </c>
    </row>
    <row r="426" spans="1:6" x14ac:dyDescent="0.2">
      <c r="A426" s="3" t="s">
        <v>420</v>
      </c>
      <c r="B426" s="3" t="s">
        <v>425</v>
      </c>
      <c r="C426" s="4">
        <v>330.94</v>
      </c>
      <c r="D426" s="4">
        <v>330.94</v>
      </c>
      <c r="E426" s="4">
        <v>0</v>
      </c>
      <c r="F426" s="3" t="e">
        <f>VLOOKUP(B426,'Balance Sheet'!#REF!,2,0)</f>
        <v>#REF!</v>
      </c>
    </row>
    <row r="427" spans="1:6" x14ac:dyDescent="0.2">
      <c r="A427" s="3" t="s">
        <v>420</v>
      </c>
      <c r="B427" s="3" t="s">
        <v>795</v>
      </c>
      <c r="C427" s="4">
        <v>-7152.42</v>
      </c>
      <c r="D427" s="4">
        <v>-7152.42</v>
      </c>
      <c r="E427" s="4">
        <v>0</v>
      </c>
      <c r="F427" s="3" t="e">
        <f>VLOOKUP(B427,'Balance Sheet'!#REF!,2,0)</f>
        <v>#REF!</v>
      </c>
    </row>
    <row r="428" spans="1:6" x14ac:dyDescent="0.2">
      <c r="A428" s="3" t="s">
        <v>420</v>
      </c>
      <c r="B428" s="3" t="s">
        <v>2</v>
      </c>
      <c r="C428" s="4">
        <v>15847.69</v>
      </c>
      <c r="D428" s="4">
        <v>15847.69</v>
      </c>
      <c r="E428" s="4">
        <v>0</v>
      </c>
      <c r="F428" s="3" t="e">
        <f>VLOOKUP(B428,'Balance Sheet'!#REF!,2,0)</f>
        <v>#REF!</v>
      </c>
    </row>
    <row r="429" spans="1:6" x14ac:dyDescent="0.2">
      <c r="A429" s="3" t="s">
        <v>426</v>
      </c>
      <c r="B429" s="3" t="s">
        <v>428</v>
      </c>
      <c r="C429" s="4">
        <v>-347.23</v>
      </c>
      <c r="D429" s="4">
        <v>-347.23</v>
      </c>
      <c r="E429" s="4">
        <v>0</v>
      </c>
      <c r="F429" s="3" t="e">
        <f>VLOOKUP(B429,'Balance Sheet'!#REF!,2,0)</f>
        <v>#REF!</v>
      </c>
    </row>
    <row r="430" spans="1:6" x14ac:dyDescent="0.2">
      <c r="A430" s="3" t="s">
        <v>426</v>
      </c>
      <c r="B430" s="3" t="s">
        <v>429</v>
      </c>
      <c r="C430" s="4">
        <v>7237.53</v>
      </c>
      <c r="D430" s="4">
        <v>7237.53</v>
      </c>
      <c r="E430" s="4">
        <v>0</v>
      </c>
      <c r="F430" s="3" t="e">
        <f>VLOOKUP(B430,'Balance Sheet'!#REF!,2,0)</f>
        <v>#REF!</v>
      </c>
    </row>
    <row r="431" spans="1:6" x14ac:dyDescent="0.2">
      <c r="A431" s="3" t="s">
        <v>426</v>
      </c>
      <c r="B431" s="3" t="s">
        <v>430</v>
      </c>
      <c r="C431" s="4">
        <v>378.03</v>
      </c>
      <c r="D431" s="4">
        <v>378.03</v>
      </c>
      <c r="E431" s="4">
        <v>0</v>
      </c>
      <c r="F431" s="3" t="e">
        <f>VLOOKUP(B431,'Balance Sheet'!#REF!,2,0)</f>
        <v>#REF!</v>
      </c>
    </row>
    <row r="432" spans="1:6" x14ac:dyDescent="0.2">
      <c r="A432" s="3" t="s">
        <v>426</v>
      </c>
      <c r="B432" s="3" t="s">
        <v>2</v>
      </c>
      <c r="C432" s="4">
        <v>7268.33</v>
      </c>
      <c r="D432" s="4">
        <v>7268.33</v>
      </c>
      <c r="E432" s="4">
        <v>0</v>
      </c>
      <c r="F432" s="3" t="e">
        <f>VLOOKUP(B432,'Balance Sheet'!#REF!,2,0)</f>
        <v>#REF!</v>
      </c>
    </row>
    <row r="433" spans="1:6" x14ac:dyDescent="0.2">
      <c r="A433" s="3" t="s">
        <v>431</v>
      </c>
      <c r="B433" s="3" t="s">
        <v>432</v>
      </c>
      <c r="C433" s="4">
        <v>-104275.76</v>
      </c>
      <c r="D433" s="4">
        <v>-104275.76</v>
      </c>
      <c r="E433" s="4">
        <v>0</v>
      </c>
      <c r="F433" s="3" t="e">
        <f>VLOOKUP(B433,'Balance Sheet'!#REF!,2,0)</f>
        <v>#REF!</v>
      </c>
    </row>
    <row r="434" spans="1:6" x14ac:dyDescent="0.2">
      <c r="A434" s="3" t="s">
        <v>431</v>
      </c>
      <c r="B434" s="3" t="s">
        <v>2</v>
      </c>
      <c r="C434" s="4">
        <v>-104275.76</v>
      </c>
      <c r="D434" s="4">
        <v>-104275.76</v>
      </c>
      <c r="E434" s="4">
        <v>0</v>
      </c>
      <c r="F434" s="3" t="e">
        <f>VLOOKUP(B434,'Balance Sheet'!#REF!,2,0)</f>
        <v>#REF!</v>
      </c>
    </row>
    <row r="435" spans="1:6" x14ac:dyDescent="0.2">
      <c r="A435" s="3" t="s">
        <v>433</v>
      </c>
      <c r="B435" s="3" t="s">
        <v>2</v>
      </c>
      <c r="C435" s="4">
        <v>35208.75</v>
      </c>
      <c r="D435" s="4">
        <v>35208.75</v>
      </c>
      <c r="E435" s="4">
        <v>0</v>
      </c>
      <c r="F435" s="3" t="e">
        <f>VLOOKUP(B435,'Balance Sheet'!#REF!,2,0)</f>
        <v>#REF!</v>
      </c>
    </row>
    <row r="436" spans="1:6" x14ac:dyDescent="0.2">
      <c r="A436" s="3" t="s">
        <v>434</v>
      </c>
      <c r="B436" s="3" t="s">
        <v>590</v>
      </c>
      <c r="C436" s="4">
        <v>-98.26</v>
      </c>
      <c r="D436" s="4">
        <v>-98.26</v>
      </c>
      <c r="E436" s="4">
        <v>0</v>
      </c>
      <c r="F436" s="3" t="e">
        <f>VLOOKUP(B436,'Balance Sheet'!#REF!,2,0)</f>
        <v>#REF!</v>
      </c>
    </row>
    <row r="437" spans="1:6" x14ac:dyDescent="0.2">
      <c r="A437" s="3" t="s">
        <v>434</v>
      </c>
      <c r="B437" s="3" t="s">
        <v>436</v>
      </c>
      <c r="C437" s="4">
        <v>26750</v>
      </c>
      <c r="D437" s="4">
        <v>26750</v>
      </c>
      <c r="E437" s="4">
        <v>0</v>
      </c>
      <c r="F437" s="3" t="e">
        <f>VLOOKUP(B437,'Balance Sheet'!#REF!,2,0)</f>
        <v>#REF!</v>
      </c>
    </row>
    <row r="438" spans="1:6" x14ac:dyDescent="0.2">
      <c r="A438" s="3" t="s">
        <v>434</v>
      </c>
      <c r="B438" s="3" t="s">
        <v>2</v>
      </c>
      <c r="C438" s="4">
        <v>26651.74</v>
      </c>
      <c r="D438" s="4">
        <v>26651.74</v>
      </c>
      <c r="E438" s="4">
        <v>0</v>
      </c>
      <c r="F438" s="3" t="e">
        <f>VLOOKUP(B438,'Balance Sheet'!#REF!,2,0)</f>
        <v>#REF!</v>
      </c>
    </row>
    <row r="439" spans="1:6" x14ac:dyDescent="0.2">
      <c r="A439" s="3" t="s">
        <v>437</v>
      </c>
      <c r="B439" s="3" t="s">
        <v>438</v>
      </c>
      <c r="C439" s="4">
        <v>9806.14</v>
      </c>
      <c r="D439" s="4">
        <v>9806.14</v>
      </c>
      <c r="E439" s="4">
        <v>0</v>
      </c>
      <c r="F439" s="3" t="e">
        <f>VLOOKUP(B439,'Balance Sheet'!#REF!,2,0)</f>
        <v>#REF!</v>
      </c>
    </row>
    <row r="440" spans="1:6" x14ac:dyDescent="0.2">
      <c r="A440" s="3" t="s">
        <v>437</v>
      </c>
      <c r="B440" s="3" t="s">
        <v>439</v>
      </c>
      <c r="C440" s="4">
        <v>1430.38</v>
      </c>
      <c r="D440" s="4">
        <v>1430.38</v>
      </c>
      <c r="E440" s="4">
        <v>0</v>
      </c>
      <c r="F440" s="3" t="e">
        <f>VLOOKUP(B440,'Balance Sheet'!#REF!,2,0)</f>
        <v>#REF!</v>
      </c>
    </row>
    <row r="441" spans="1:6" x14ac:dyDescent="0.2">
      <c r="A441" s="3" t="s">
        <v>437</v>
      </c>
      <c r="B441" s="3" t="s">
        <v>440</v>
      </c>
      <c r="C441" s="4">
        <v>7785.86</v>
      </c>
      <c r="D441" s="4">
        <v>7785.86</v>
      </c>
      <c r="E441" s="4">
        <v>0</v>
      </c>
      <c r="F441" s="3" t="e">
        <f>VLOOKUP(B441,'Balance Sheet'!#REF!,2,0)</f>
        <v>#REF!</v>
      </c>
    </row>
    <row r="442" spans="1:6" x14ac:dyDescent="0.2">
      <c r="A442" s="3" t="s">
        <v>437</v>
      </c>
      <c r="B442" s="3" t="s">
        <v>2</v>
      </c>
      <c r="C442" s="4">
        <v>19022.38</v>
      </c>
      <c r="D442" s="4">
        <v>19022.38</v>
      </c>
      <c r="E442" s="4">
        <v>0</v>
      </c>
      <c r="F442" s="3" t="e">
        <f>VLOOKUP(B442,'Balance Sheet'!#REF!,2,0)</f>
        <v>#REF!</v>
      </c>
    </row>
    <row r="443" spans="1:6" x14ac:dyDescent="0.2">
      <c r="A443" s="3" t="s">
        <v>441</v>
      </c>
      <c r="B443" s="3" t="s">
        <v>2</v>
      </c>
      <c r="C443" s="4">
        <v>45674.12</v>
      </c>
      <c r="D443" s="4">
        <v>45674.12</v>
      </c>
      <c r="E443" s="4">
        <v>0</v>
      </c>
      <c r="F443" s="3" t="e">
        <f>VLOOKUP(B443,'Balance Sheet'!#REF!,2,0)</f>
        <v>#REF!</v>
      </c>
    </row>
    <row r="444" spans="1:6" x14ac:dyDescent="0.2">
      <c r="A444" s="3" t="s">
        <v>442</v>
      </c>
      <c r="B444" s="3" t="s">
        <v>443</v>
      </c>
      <c r="C444" s="4">
        <v>-0.33</v>
      </c>
      <c r="D444" s="4">
        <v>-0.33</v>
      </c>
      <c r="E444" s="4">
        <v>0</v>
      </c>
      <c r="F444" s="3" t="e">
        <f>VLOOKUP(B444,'Balance Sheet'!#REF!,2,0)</f>
        <v>#REF!</v>
      </c>
    </row>
    <row r="445" spans="1:6" x14ac:dyDescent="0.2">
      <c r="A445" s="3" t="s">
        <v>442</v>
      </c>
      <c r="B445" s="3" t="s">
        <v>2</v>
      </c>
      <c r="C445" s="4">
        <v>-0.33</v>
      </c>
      <c r="D445" s="4">
        <v>-0.33</v>
      </c>
      <c r="E445" s="4">
        <v>0</v>
      </c>
      <c r="F445" s="3" t="e">
        <f>VLOOKUP(B445,'Balance Sheet'!#REF!,2,0)</f>
        <v>#REF!</v>
      </c>
    </row>
    <row r="446" spans="1:6" x14ac:dyDescent="0.2">
      <c r="A446" s="3" t="s">
        <v>444</v>
      </c>
      <c r="B446" s="3" t="s">
        <v>2</v>
      </c>
      <c r="C446" s="4">
        <v>-0.33</v>
      </c>
      <c r="D446" s="4">
        <v>-0.33</v>
      </c>
      <c r="E446" s="4">
        <v>0</v>
      </c>
      <c r="F446" s="3" t="e">
        <f>VLOOKUP(B446,'Balance Sheet'!#REF!,2,0)</f>
        <v>#REF!</v>
      </c>
    </row>
    <row r="447" spans="1:6" x14ac:dyDescent="0.2">
      <c r="A447" s="3" t="s">
        <v>445</v>
      </c>
      <c r="B447" s="3" t="s">
        <v>692</v>
      </c>
      <c r="C447" s="4">
        <v>69.52</v>
      </c>
      <c r="D447" s="4">
        <v>69.52</v>
      </c>
      <c r="E447" s="4">
        <v>0</v>
      </c>
      <c r="F447" s="3" t="e">
        <f>VLOOKUP(B447,'Balance Sheet'!#REF!,2,0)</f>
        <v>#REF!</v>
      </c>
    </row>
    <row r="448" spans="1:6" x14ac:dyDescent="0.2">
      <c r="A448" s="3" t="s">
        <v>445</v>
      </c>
      <c r="B448" s="3" t="s">
        <v>446</v>
      </c>
      <c r="C448" s="4">
        <v>2583.69</v>
      </c>
      <c r="D448" s="4">
        <v>2583.69</v>
      </c>
      <c r="E448" s="4">
        <v>0</v>
      </c>
      <c r="F448" s="3" t="e">
        <f>VLOOKUP(B448,'Balance Sheet'!#REF!,2,0)</f>
        <v>#REF!</v>
      </c>
    </row>
    <row r="449" spans="1:6" x14ac:dyDescent="0.2">
      <c r="A449" s="3" t="s">
        <v>445</v>
      </c>
      <c r="B449" s="3" t="s">
        <v>996</v>
      </c>
      <c r="C449" s="4">
        <v>-2863.58</v>
      </c>
      <c r="D449" s="4">
        <v>-2863.58</v>
      </c>
      <c r="E449" s="4">
        <v>0</v>
      </c>
      <c r="F449" s="3" t="e">
        <f>VLOOKUP(B449,'Balance Sheet'!#REF!,2,0)</f>
        <v>#REF!</v>
      </c>
    </row>
    <row r="450" spans="1:6" x14ac:dyDescent="0.2">
      <c r="A450" s="3" t="s">
        <v>445</v>
      </c>
      <c r="B450" s="3" t="s">
        <v>2</v>
      </c>
      <c r="C450" s="4">
        <v>-210.37</v>
      </c>
      <c r="D450" s="4">
        <v>-210.37</v>
      </c>
      <c r="E450" s="4">
        <v>0</v>
      </c>
      <c r="F450" s="3" t="e">
        <f>VLOOKUP(B450,'Balance Sheet'!#REF!,2,0)</f>
        <v>#REF!</v>
      </c>
    </row>
    <row r="451" spans="1:6" x14ac:dyDescent="0.2">
      <c r="A451" s="3" t="s">
        <v>447</v>
      </c>
      <c r="B451" s="3" t="s">
        <v>2</v>
      </c>
      <c r="C451" s="4">
        <v>-210.37</v>
      </c>
      <c r="D451" s="4">
        <v>-210.37</v>
      </c>
      <c r="E451" s="4">
        <v>0</v>
      </c>
      <c r="F451" s="3" t="e">
        <f>VLOOKUP(B451,'Balance Sheet'!#REF!,2,0)</f>
        <v>#REF!</v>
      </c>
    </row>
    <row r="452" spans="1:6" x14ac:dyDescent="0.2">
      <c r="A452" s="3" t="s">
        <v>237</v>
      </c>
      <c r="B452" s="3" t="s">
        <v>448</v>
      </c>
      <c r="C452" s="4">
        <v>-2189195.84</v>
      </c>
      <c r="D452" s="4">
        <v>-2189195.84</v>
      </c>
      <c r="E452" s="4">
        <v>0</v>
      </c>
      <c r="F452" s="3" t="e">
        <f>VLOOKUP(B452,'Balance Sheet'!#REF!,2,0)</f>
        <v>#REF!</v>
      </c>
    </row>
    <row r="453" spans="1:6" x14ac:dyDescent="0.2">
      <c r="A453" s="3" t="s">
        <v>237</v>
      </c>
      <c r="B453" s="5" t="s">
        <v>449</v>
      </c>
      <c r="C453" s="4">
        <v>0</v>
      </c>
      <c r="D453" s="4">
        <v>0</v>
      </c>
      <c r="E453" s="4">
        <v>0</v>
      </c>
      <c r="F453" s="3" t="e">
        <f>VLOOKUP(B453,'Balance Sheet'!#REF!,2,0)</f>
        <v>#REF!</v>
      </c>
    </row>
    <row r="454" spans="1:6" x14ac:dyDescent="0.2">
      <c r="A454" s="3" t="s">
        <v>450</v>
      </c>
      <c r="B454" s="3" t="s">
        <v>451</v>
      </c>
      <c r="C454" s="4">
        <v>0</v>
      </c>
      <c r="D454" s="4">
        <v>0</v>
      </c>
      <c r="E454" s="4">
        <v>0</v>
      </c>
      <c r="F454" s="3" t="e">
        <f>VLOOKUP(B454,'Balance Sheet'!#REF!,2,0)</f>
        <v>#REF!</v>
      </c>
    </row>
    <row r="455" spans="1:6" x14ac:dyDescent="0.2">
      <c r="A455" s="3" t="s">
        <v>450</v>
      </c>
      <c r="B455" s="5" t="s">
        <v>234</v>
      </c>
      <c r="C455" s="4">
        <v>0</v>
      </c>
      <c r="D455" s="4">
        <v>0</v>
      </c>
      <c r="E455" s="4">
        <v>0</v>
      </c>
      <c r="F455" s="3" t="e">
        <f>VLOOKUP(B455,'Balance Sheet'!#REF!,2,0)</f>
        <v>#REF!</v>
      </c>
    </row>
    <row r="456" spans="1:6" x14ac:dyDescent="0.2">
      <c r="A456" s="3" t="s">
        <v>452</v>
      </c>
      <c r="B456" s="3" t="s">
        <v>453</v>
      </c>
      <c r="C456" s="4">
        <v>0</v>
      </c>
      <c r="D456" s="4">
        <v>0</v>
      </c>
      <c r="E456" s="4">
        <v>0</v>
      </c>
      <c r="F456" s="3" t="e">
        <f>VLOOKUP(B456,'Balance Sheet'!#REF!,2,0)</f>
        <v>#REF!</v>
      </c>
    </row>
    <row r="457" spans="1:6" x14ac:dyDescent="0.2">
      <c r="A457" s="3" t="s">
        <v>452</v>
      </c>
      <c r="B457" s="3" t="s">
        <v>2</v>
      </c>
      <c r="C457" s="4">
        <v>2189195.84</v>
      </c>
      <c r="D457" s="4">
        <v>2189195.84</v>
      </c>
      <c r="E457" s="4">
        <v>0</v>
      </c>
      <c r="F457" s="3" t="e">
        <f>VLOOKUP(B457,'Balance Sheet'!#REF!,2,0)</f>
        <v>#REF!</v>
      </c>
    </row>
    <row r="458" spans="1:6" x14ac:dyDescent="0.2">
      <c r="A458" s="3" t="s">
        <v>450</v>
      </c>
      <c r="B458" s="3" t="s">
        <v>2</v>
      </c>
      <c r="C458" s="4">
        <v>2189195.84</v>
      </c>
      <c r="D458" s="4">
        <v>2189195.84</v>
      </c>
      <c r="E458" s="4">
        <v>0</v>
      </c>
      <c r="F458" s="3" t="e">
        <f>VLOOKUP(B458,'Balance Sheet'!#REF!,2,0)</f>
        <v>#REF!</v>
      </c>
    </row>
    <row r="459" spans="1:6" x14ac:dyDescent="0.2">
      <c r="A459" s="3" t="s">
        <v>454</v>
      </c>
      <c r="B459" s="3" t="s">
        <v>455</v>
      </c>
      <c r="C459" s="4">
        <v>0</v>
      </c>
      <c r="D459" s="4">
        <v>0</v>
      </c>
      <c r="E459" s="4">
        <v>0</v>
      </c>
      <c r="F459" s="3" t="e">
        <f>VLOOKUP(B459,'Balance Sheet'!#REF!,2,0)</f>
        <v>#REF!</v>
      </c>
    </row>
    <row r="460" spans="1:6" x14ac:dyDescent="0.2">
      <c r="A460" s="3" t="s">
        <v>454</v>
      </c>
      <c r="B460" s="5" t="s">
        <v>456</v>
      </c>
      <c r="C460" s="4">
        <v>0</v>
      </c>
      <c r="D460" s="4">
        <v>0</v>
      </c>
      <c r="E460" s="4">
        <v>0</v>
      </c>
      <c r="F460" s="3" t="e">
        <f>VLOOKUP(B460,'Balance Sheet'!#REF!,2,0)</f>
        <v>#REF!</v>
      </c>
    </row>
    <row r="461" spans="1:6" x14ac:dyDescent="0.2">
      <c r="A461" s="3" t="s">
        <v>454</v>
      </c>
      <c r="B461" s="3" t="s">
        <v>457</v>
      </c>
      <c r="C461" s="4">
        <v>-59020.02</v>
      </c>
      <c r="D461" s="4">
        <v>-59020.02</v>
      </c>
      <c r="E461" s="4">
        <v>0</v>
      </c>
      <c r="F461" s="3" t="e">
        <f>VLOOKUP(B461,'Balance Sheet'!#REF!,2,0)</f>
        <v>#REF!</v>
      </c>
    </row>
    <row r="462" spans="1:6" x14ac:dyDescent="0.2">
      <c r="A462" s="3" t="s">
        <v>454</v>
      </c>
      <c r="B462" s="3" t="s">
        <v>458</v>
      </c>
      <c r="C462" s="4">
        <v>-59792.38</v>
      </c>
      <c r="D462" s="4">
        <v>-59792.38</v>
      </c>
      <c r="E462" s="4">
        <v>0</v>
      </c>
      <c r="F462" s="3" t="e">
        <f>VLOOKUP(B462,'Balance Sheet'!#REF!,2,0)</f>
        <v>#REF!</v>
      </c>
    </row>
    <row r="463" spans="1:6" x14ac:dyDescent="0.2">
      <c r="A463" s="3" t="s">
        <v>454</v>
      </c>
      <c r="B463" s="3" t="s">
        <v>694</v>
      </c>
      <c r="C463" s="4">
        <v>279.27</v>
      </c>
      <c r="D463" s="4">
        <v>279.27</v>
      </c>
      <c r="E463" s="4">
        <v>0</v>
      </c>
      <c r="F463" s="3" t="e">
        <f>VLOOKUP(B463,'Balance Sheet'!#REF!,2,0)</f>
        <v>#REF!</v>
      </c>
    </row>
    <row r="464" spans="1:6" x14ac:dyDescent="0.2">
      <c r="A464" s="3" t="s">
        <v>454</v>
      </c>
      <c r="B464" s="3" t="s">
        <v>459</v>
      </c>
      <c r="C464" s="4">
        <v>25743.47</v>
      </c>
      <c r="D464" s="4">
        <v>25743.47</v>
      </c>
      <c r="E464" s="4">
        <v>0</v>
      </c>
      <c r="F464" s="3" t="e">
        <f>VLOOKUP(B464,'Balance Sheet'!#REF!,2,0)</f>
        <v>#REF!</v>
      </c>
    </row>
    <row r="465" spans="1:6" x14ac:dyDescent="0.2">
      <c r="A465" s="3" t="s">
        <v>454</v>
      </c>
      <c r="B465" s="3" t="s">
        <v>460</v>
      </c>
      <c r="C465" s="4">
        <v>-40507.79</v>
      </c>
      <c r="D465" s="4">
        <v>-40507.79</v>
      </c>
      <c r="E465" s="4">
        <v>0</v>
      </c>
      <c r="F465" s="3" t="e">
        <f>VLOOKUP(B465,'Balance Sheet'!#REF!,2,0)</f>
        <v>#REF!</v>
      </c>
    </row>
    <row r="466" spans="1:6" x14ac:dyDescent="0.2">
      <c r="A466" s="3" t="s">
        <v>454</v>
      </c>
      <c r="B466" s="3" t="s">
        <v>461</v>
      </c>
      <c r="C466" s="4">
        <v>-133297.45000000001</v>
      </c>
      <c r="D466" s="4">
        <v>-133297.45000000001</v>
      </c>
      <c r="E466" s="4">
        <v>0</v>
      </c>
      <c r="F466" s="3" t="e">
        <f>VLOOKUP(B466,'Balance Sheet'!#REF!,2,0)</f>
        <v>#REF!</v>
      </c>
    </row>
    <row r="467" spans="1:6" x14ac:dyDescent="0.2">
      <c r="A467" s="3" t="s">
        <v>454</v>
      </c>
      <c r="B467" s="5" t="s">
        <v>462</v>
      </c>
      <c r="C467" s="4">
        <v>0</v>
      </c>
      <c r="D467" s="4">
        <v>0</v>
      </c>
      <c r="E467" s="4">
        <v>0</v>
      </c>
      <c r="F467" s="3" t="e">
        <f>VLOOKUP(B467,'Balance Sheet'!#REF!,2,0)</f>
        <v>#REF!</v>
      </c>
    </row>
  </sheetData>
  <autoFilter ref="A1:F467" xr:uid="{EB4B2A82-4F9E-4053-9CB8-74050A58E75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5B55-DA1B-4785-83A3-796F958233EF}">
  <dimension ref="A1:G497"/>
  <sheetViews>
    <sheetView topLeftCell="A459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7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  <c r="G1" s="3" t="s">
        <v>1571</v>
      </c>
    </row>
    <row r="2" spans="1:7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s">
        <v>2</v>
      </c>
    </row>
    <row r="3" spans="1:7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s">
        <v>2</v>
      </c>
    </row>
    <row r="4" spans="1:7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s">
        <v>6</v>
      </c>
      <c r="G4" s="3" t="e">
        <f>VLOOKUP(B4,'Profit &amp; Loss'!$B$3:$C$390,2,0)</f>
        <v>#N/A</v>
      </c>
    </row>
    <row r="5" spans="1:7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s">
        <v>6</v>
      </c>
      <c r="G5" s="3" t="e">
        <f>VLOOKUP(B5,'Profit &amp; Loss'!$B$3:$C$390,2,0)</f>
        <v>#N/A</v>
      </c>
    </row>
    <row r="6" spans="1:7" x14ac:dyDescent="0.2">
      <c r="A6" s="3" t="s">
        <v>4</v>
      </c>
      <c r="B6" s="3" t="s">
        <v>8</v>
      </c>
      <c r="C6" s="4">
        <v>27836.1</v>
      </c>
      <c r="D6" s="4">
        <v>27542.03</v>
      </c>
      <c r="E6" s="4">
        <v>294.07</v>
      </c>
      <c r="F6" s="3" t="s">
        <v>526</v>
      </c>
      <c r="G6" s="3" t="e">
        <f>VLOOKUP(B6,'Profit &amp; Loss'!$B$3:$C$390,2,0)</f>
        <v>#N/A</v>
      </c>
    </row>
    <row r="7" spans="1:7" x14ac:dyDescent="0.2">
      <c r="A7" s="3" t="s">
        <v>4</v>
      </c>
      <c r="B7" s="3" t="s">
        <v>9</v>
      </c>
      <c r="C7" s="4">
        <v>-23238.240000000002</v>
      </c>
      <c r="D7" s="4">
        <v>-23245.09</v>
      </c>
      <c r="E7" s="4">
        <v>6.85</v>
      </c>
      <c r="F7" s="3" t="s">
        <v>6</v>
      </c>
      <c r="G7" s="3" t="e">
        <f>VLOOKUP(B7,'Profit &amp; Loss'!$B$3:$C$390,2,0)</f>
        <v>#N/A</v>
      </c>
    </row>
    <row r="8" spans="1:7" x14ac:dyDescent="0.2">
      <c r="A8" s="3" t="s">
        <v>4</v>
      </c>
      <c r="B8" s="3" t="s">
        <v>10</v>
      </c>
      <c r="C8" s="4">
        <v>68.59</v>
      </c>
      <c r="D8" s="4">
        <v>68.59</v>
      </c>
      <c r="E8" s="4">
        <v>0</v>
      </c>
      <c r="F8" s="3" t="s">
        <v>6</v>
      </c>
      <c r="G8" s="3" t="e">
        <f>VLOOKUP(B8,'Profit &amp; Loss'!$B$3:$C$390,2,0)</f>
        <v>#N/A</v>
      </c>
    </row>
    <row r="9" spans="1:7" x14ac:dyDescent="0.2">
      <c r="A9" s="3" t="s">
        <v>4</v>
      </c>
      <c r="B9" s="3" t="s">
        <v>11</v>
      </c>
      <c r="C9" s="4">
        <v>2.73</v>
      </c>
      <c r="D9" s="4">
        <v>2.69</v>
      </c>
      <c r="E9" s="4">
        <v>0.04</v>
      </c>
      <c r="F9" s="3" t="s">
        <v>724</v>
      </c>
      <c r="G9" s="3" t="e">
        <f>VLOOKUP(B9,'Profit &amp; Loss'!$B$3:$C$390,2,0)</f>
        <v>#N/A</v>
      </c>
    </row>
    <row r="10" spans="1:7" x14ac:dyDescent="0.2">
      <c r="A10" s="3" t="s">
        <v>4</v>
      </c>
      <c r="B10" s="3" t="s">
        <v>2</v>
      </c>
      <c r="C10" s="4">
        <v>5608.7</v>
      </c>
      <c r="D10" s="4">
        <v>5307.74</v>
      </c>
      <c r="E10" s="4">
        <v>300.95999999999998</v>
      </c>
      <c r="F10" s="3" t="s">
        <v>532</v>
      </c>
    </row>
    <row r="11" spans="1:7" x14ac:dyDescent="0.2">
      <c r="A11" s="3" t="s">
        <v>12</v>
      </c>
      <c r="B11" s="3" t="s">
        <v>2</v>
      </c>
      <c r="C11" s="4">
        <v>5608.7</v>
      </c>
      <c r="D11" s="4">
        <v>5307.74</v>
      </c>
      <c r="E11" s="4">
        <v>300.95999999999998</v>
      </c>
      <c r="F11" s="3" t="s">
        <v>532</v>
      </c>
    </row>
    <row r="12" spans="1:7" x14ac:dyDescent="0.2">
      <c r="A12" s="3" t="s">
        <v>13</v>
      </c>
      <c r="B12" s="3" t="s">
        <v>14</v>
      </c>
      <c r="C12" s="4">
        <v>14048204.039999999</v>
      </c>
      <c r="D12" s="4">
        <v>13061995.42</v>
      </c>
      <c r="E12" s="4">
        <v>986208.62</v>
      </c>
      <c r="F12" s="3" t="s">
        <v>997</v>
      </c>
      <c r="G12" s="3" t="e">
        <f>VLOOKUP(B12,'Profit &amp; Loss'!$B$3:$C$390,2,0)</f>
        <v>#N/A</v>
      </c>
    </row>
    <row r="13" spans="1:7" x14ac:dyDescent="0.2">
      <c r="A13" s="3" t="s">
        <v>13</v>
      </c>
      <c r="B13" s="3" t="s">
        <v>15</v>
      </c>
      <c r="C13" s="4">
        <v>-25280.23</v>
      </c>
      <c r="D13" s="4">
        <v>-65935.64</v>
      </c>
      <c r="E13" s="4">
        <v>40655.410000000003</v>
      </c>
      <c r="F13" s="3" t="s">
        <v>998</v>
      </c>
      <c r="G13" s="3" t="e">
        <f>VLOOKUP(B13,'Profit &amp; Loss'!$B$3:$C$390,2,0)</f>
        <v>#N/A</v>
      </c>
    </row>
    <row r="14" spans="1:7" x14ac:dyDescent="0.2">
      <c r="A14" s="3" t="s">
        <v>13</v>
      </c>
      <c r="B14" s="3" t="s">
        <v>16</v>
      </c>
      <c r="C14" s="4">
        <v>1608482</v>
      </c>
      <c r="D14" s="4">
        <v>1608482</v>
      </c>
      <c r="E14" s="4">
        <v>0</v>
      </c>
      <c r="F14" s="3" t="s">
        <v>6</v>
      </c>
      <c r="G14" s="3" t="e">
        <f>VLOOKUP(B14,'Profit &amp; Loss'!$B$3:$C$390,2,0)</f>
        <v>#N/A</v>
      </c>
    </row>
    <row r="15" spans="1:7" x14ac:dyDescent="0.2">
      <c r="A15" s="3" t="s">
        <v>13</v>
      </c>
      <c r="B15" s="3" t="s">
        <v>17</v>
      </c>
      <c r="C15" s="4">
        <v>-99743.94</v>
      </c>
      <c r="D15" s="4">
        <v>-100611.35</v>
      </c>
      <c r="E15" s="4">
        <v>867.41</v>
      </c>
      <c r="F15" s="3" t="s">
        <v>517</v>
      </c>
      <c r="G15" s="3" t="e">
        <f>VLOOKUP(B15,'Profit &amp; Loss'!$B$3:$C$390,2,0)</f>
        <v>#N/A</v>
      </c>
    </row>
    <row r="16" spans="1:7" x14ac:dyDescent="0.2">
      <c r="A16" s="3" t="s">
        <v>13</v>
      </c>
      <c r="B16" s="3" t="s">
        <v>2</v>
      </c>
      <c r="C16" s="4">
        <v>15531661.869999999</v>
      </c>
      <c r="D16" s="4">
        <v>14503930.43</v>
      </c>
      <c r="E16" s="4">
        <v>1027731.44</v>
      </c>
      <c r="F16" s="3" t="s">
        <v>999</v>
      </c>
    </row>
    <row r="17" spans="1:7" x14ac:dyDescent="0.2">
      <c r="A17" s="3" t="s">
        <v>18</v>
      </c>
      <c r="B17" s="3" t="s">
        <v>19</v>
      </c>
      <c r="C17" s="4">
        <v>-41048.25</v>
      </c>
      <c r="D17" s="4">
        <v>-38389.61</v>
      </c>
      <c r="E17" s="4">
        <v>-2658.64</v>
      </c>
      <c r="F17" s="3" t="s">
        <v>1000</v>
      </c>
      <c r="G17" s="3" t="e">
        <f>VLOOKUP(B17,'Profit &amp; Loss'!$B$3:$C$390,2,0)</f>
        <v>#N/A</v>
      </c>
    </row>
    <row r="18" spans="1:7" x14ac:dyDescent="0.2">
      <c r="A18" s="3" t="s">
        <v>18</v>
      </c>
      <c r="B18" s="3" t="s">
        <v>2</v>
      </c>
      <c r="C18" s="4">
        <v>-41048.25</v>
      </c>
      <c r="D18" s="4">
        <v>-38389.61</v>
      </c>
      <c r="E18" s="4">
        <v>-2658.64</v>
      </c>
      <c r="F18" s="3" t="s">
        <v>1000</v>
      </c>
    </row>
    <row r="19" spans="1:7" x14ac:dyDescent="0.2">
      <c r="A19" s="3" t="s">
        <v>20</v>
      </c>
      <c r="B19" s="3" t="s">
        <v>2</v>
      </c>
      <c r="C19" s="4">
        <v>15490613.619999999</v>
      </c>
      <c r="D19" s="4">
        <v>14465540.82</v>
      </c>
      <c r="E19" s="4">
        <v>1025072.8</v>
      </c>
      <c r="F19" s="3" t="s">
        <v>999</v>
      </c>
    </row>
    <row r="20" spans="1:7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s">
        <v>6</v>
      </c>
      <c r="G20" s="3" t="e">
        <f>VLOOKUP(B20,'Profit &amp; Loss'!$B$3:$C$390,2,0)</f>
        <v>#N/A</v>
      </c>
    </row>
    <row r="21" spans="1:7" x14ac:dyDescent="0.2">
      <c r="A21" s="3" t="s">
        <v>21</v>
      </c>
      <c r="B21" s="3" t="s">
        <v>25</v>
      </c>
      <c r="C21" s="4">
        <v>6118.96</v>
      </c>
      <c r="D21" s="4">
        <v>2588.06</v>
      </c>
      <c r="E21" s="4">
        <v>3530.9</v>
      </c>
      <c r="F21" s="3" t="s">
        <v>1001</v>
      </c>
      <c r="G21" s="3" t="e">
        <f>VLOOKUP(B21,'Profit &amp; Loss'!$B$3:$C$390,2,0)</f>
        <v>#N/A</v>
      </c>
    </row>
    <row r="22" spans="1:7" x14ac:dyDescent="0.2">
      <c r="A22" s="3" t="s">
        <v>21</v>
      </c>
      <c r="B22" s="3" t="s">
        <v>26</v>
      </c>
      <c r="C22" s="4">
        <v>0.01</v>
      </c>
      <c r="D22" s="4">
        <v>0.01</v>
      </c>
      <c r="E22" s="4">
        <v>0</v>
      </c>
      <c r="F22" s="3" t="s">
        <v>6</v>
      </c>
      <c r="G22" s="3" t="e">
        <f>VLOOKUP(B22,'Profit &amp; Loss'!$B$3:$C$390,2,0)</f>
        <v>#N/A</v>
      </c>
    </row>
    <row r="23" spans="1:7" x14ac:dyDescent="0.2">
      <c r="A23" s="3" t="s">
        <v>21</v>
      </c>
      <c r="B23" s="3" t="s">
        <v>27</v>
      </c>
      <c r="C23" s="4">
        <v>10131.290000000001</v>
      </c>
      <c r="D23" s="4">
        <v>25403.68</v>
      </c>
      <c r="E23" s="4">
        <v>-15272.39</v>
      </c>
      <c r="F23" s="3" t="s">
        <v>1002</v>
      </c>
      <c r="G23" s="3" t="e">
        <f>VLOOKUP(B23,'Profit &amp; Loss'!$B$3:$C$390,2,0)</f>
        <v>#N/A</v>
      </c>
    </row>
    <row r="24" spans="1:7" x14ac:dyDescent="0.2">
      <c r="A24" s="3" t="s">
        <v>21</v>
      </c>
      <c r="B24" s="3" t="s">
        <v>28</v>
      </c>
      <c r="C24" s="4">
        <v>14529.03</v>
      </c>
      <c r="D24" s="4">
        <v>10538.29</v>
      </c>
      <c r="E24" s="4">
        <v>3990.74</v>
      </c>
      <c r="F24" s="3" t="s">
        <v>1003</v>
      </c>
      <c r="G24" s="3" t="e">
        <f>VLOOKUP(B24,'Profit &amp; Loss'!$B$3:$C$390,2,0)</f>
        <v>#N/A</v>
      </c>
    </row>
    <row r="25" spans="1:7" x14ac:dyDescent="0.2">
      <c r="A25" s="3" t="s">
        <v>21</v>
      </c>
      <c r="B25" s="3" t="s">
        <v>29</v>
      </c>
      <c r="C25" s="4">
        <v>19.350000000000001</v>
      </c>
      <c r="D25" s="4">
        <v>19.350000000000001</v>
      </c>
      <c r="E25" s="4">
        <v>0</v>
      </c>
      <c r="F25" s="3" t="s">
        <v>6</v>
      </c>
      <c r="G25" s="3" t="e">
        <f>VLOOKUP(B25,'Profit &amp; Loss'!$B$3:$C$390,2,0)</f>
        <v>#N/A</v>
      </c>
    </row>
    <row r="26" spans="1:7" x14ac:dyDescent="0.2">
      <c r="A26" s="3" t="s">
        <v>21</v>
      </c>
      <c r="B26" s="3" t="s">
        <v>2</v>
      </c>
      <c r="C26" s="4">
        <v>30798.65</v>
      </c>
      <c r="D26" s="4">
        <v>38549.4</v>
      </c>
      <c r="E26" s="4">
        <v>-7750.75</v>
      </c>
      <c r="F26" s="3" t="s">
        <v>719</v>
      </c>
    </row>
    <row r="27" spans="1:7" x14ac:dyDescent="0.2">
      <c r="A27" s="3" t="s">
        <v>30</v>
      </c>
      <c r="B27" s="3" t="s">
        <v>31</v>
      </c>
      <c r="C27" s="4">
        <v>6663.53</v>
      </c>
      <c r="D27" s="4">
        <v>17751.830000000002</v>
      </c>
      <c r="E27" s="4">
        <v>-11088.3</v>
      </c>
      <c r="F27" s="3" t="s">
        <v>1004</v>
      </c>
      <c r="G27" s="3" t="e">
        <f>VLOOKUP(B27,'Profit &amp; Loss'!$B$3:$C$390,2,0)</f>
        <v>#N/A</v>
      </c>
    </row>
    <row r="28" spans="1:7" x14ac:dyDescent="0.2">
      <c r="A28" s="3" t="s">
        <v>30</v>
      </c>
      <c r="B28" s="3" t="s">
        <v>2</v>
      </c>
      <c r="C28" s="4">
        <v>6663.53</v>
      </c>
      <c r="D28" s="4">
        <v>17751.830000000002</v>
      </c>
      <c r="E28" s="4">
        <v>-11088.3</v>
      </c>
      <c r="F28" s="3" t="s">
        <v>1004</v>
      </c>
    </row>
    <row r="29" spans="1:7" x14ac:dyDescent="0.2">
      <c r="A29" s="3" t="s">
        <v>32</v>
      </c>
      <c r="B29" s="3" t="s">
        <v>33</v>
      </c>
      <c r="C29" s="4">
        <v>51364.45</v>
      </c>
      <c r="D29" s="4">
        <v>55428.1</v>
      </c>
      <c r="E29" s="4">
        <v>-4063.65</v>
      </c>
      <c r="F29" s="3" t="s">
        <v>617</v>
      </c>
      <c r="G29" s="3" t="e">
        <f>VLOOKUP(B29,'Profit &amp; Loss'!$B$3:$C$390,2,0)</f>
        <v>#N/A</v>
      </c>
    </row>
    <row r="30" spans="1:7" x14ac:dyDescent="0.2">
      <c r="A30" s="3" t="s">
        <v>32</v>
      </c>
      <c r="B30" s="3" t="s">
        <v>34</v>
      </c>
      <c r="C30" s="4">
        <v>-95.7</v>
      </c>
      <c r="D30" s="4">
        <v>-238.21</v>
      </c>
      <c r="E30" s="4">
        <v>142.51</v>
      </c>
      <c r="F30" s="3" t="s">
        <v>474</v>
      </c>
      <c r="G30" s="3" t="e">
        <f>VLOOKUP(B30,'Profit &amp; Loss'!$B$3:$C$390,2,0)</f>
        <v>#N/A</v>
      </c>
    </row>
    <row r="31" spans="1:7" x14ac:dyDescent="0.2">
      <c r="A31" s="3" t="s">
        <v>32</v>
      </c>
      <c r="B31" s="3" t="s">
        <v>971</v>
      </c>
      <c r="C31" s="4">
        <v>0</v>
      </c>
      <c r="D31" s="4">
        <v>601.35</v>
      </c>
      <c r="E31" s="4">
        <v>-601.35</v>
      </c>
      <c r="F31" s="3" t="s">
        <v>475</v>
      </c>
      <c r="G31" s="3" t="e">
        <f>VLOOKUP(B31,'Profit &amp; Loss'!$B$3:$C$390,2,0)</f>
        <v>#N/A</v>
      </c>
    </row>
    <row r="32" spans="1:7" x14ac:dyDescent="0.2">
      <c r="A32" s="3" t="s">
        <v>32</v>
      </c>
      <c r="B32" s="3" t="s">
        <v>972</v>
      </c>
      <c r="C32" s="4">
        <v>0</v>
      </c>
      <c r="D32" s="4">
        <v>-4.2699999999999996</v>
      </c>
      <c r="E32" s="4">
        <v>4.2699999999999996</v>
      </c>
      <c r="F32" s="3" t="s">
        <v>531</v>
      </c>
      <c r="G32" s="3" t="e">
        <f>VLOOKUP(B32,'Profit &amp; Loss'!$B$3:$C$390,2,0)</f>
        <v>#N/A</v>
      </c>
    </row>
    <row r="33" spans="1:7" x14ac:dyDescent="0.2">
      <c r="A33" s="3" t="s">
        <v>32</v>
      </c>
      <c r="B33" s="3" t="s">
        <v>35</v>
      </c>
      <c r="C33" s="4">
        <v>2597.52</v>
      </c>
      <c r="D33" s="4">
        <v>2597.52</v>
      </c>
      <c r="E33" s="4">
        <v>0</v>
      </c>
      <c r="F33" s="3" t="s">
        <v>6</v>
      </c>
      <c r="G33" s="3" t="e">
        <f>VLOOKUP(B33,'Profit &amp; Loss'!$B$3:$C$390,2,0)</f>
        <v>#N/A</v>
      </c>
    </row>
    <row r="34" spans="1:7" x14ac:dyDescent="0.2">
      <c r="A34" s="3" t="s">
        <v>32</v>
      </c>
      <c r="B34" s="3" t="s">
        <v>1005</v>
      </c>
      <c r="C34" s="4">
        <v>-216227.47</v>
      </c>
      <c r="D34" s="4">
        <v>0</v>
      </c>
      <c r="E34" s="4">
        <v>-216227.47</v>
      </c>
      <c r="F34" s="3" t="s">
        <v>2</v>
      </c>
      <c r="G34" s="3" t="e">
        <f>VLOOKUP(B34,'Profit &amp; Loss'!$B$3:$C$390,2,0)</f>
        <v>#N/A</v>
      </c>
    </row>
    <row r="35" spans="1:7" x14ac:dyDescent="0.2">
      <c r="A35" s="3" t="s">
        <v>32</v>
      </c>
      <c r="B35" s="3" t="s">
        <v>1006</v>
      </c>
      <c r="C35" s="4">
        <v>149.63999999999999</v>
      </c>
      <c r="D35" s="4">
        <v>0</v>
      </c>
      <c r="E35" s="4">
        <v>149.63999999999999</v>
      </c>
      <c r="F35" s="3" t="s">
        <v>2</v>
      </c>
      <c r="G35" s="3" t="e">
        <f>VLOOKUP(B35,'Profit &amp; Loss'!$B$3:$C$390,2,0)</f>
        <v>#N/A</v>
      </c>
    </row>
    <row r="36" spans="1:7" x14ac:dyDescent="0.2">
      <c r="A36" s="3" t="s">
        <v>32</v>
      </c>
      <c r="B36" s="3" t="s">
        <v>477</v>
      </c>
      <c r="C36" s="4">
        <v>0</v>
      </c>
      <c r="D36" s="4">
        <v>2611.46</v>
      </c>
      <c r="E36" s="4">
        <v>-2611.46</v>
      </c>
      <c r="F36" s="3" t="s">
        <v>475</v>
      </c>
      <c r="G36" s="3" t="e">
        <f>VLOOKUP(B36,'Profit &amp; Loss'!$B$3:$C$390,2,0)</f>
        <v>#N/A</v>
      </c>
    </row>
    <row r="37" spans="1:7" x14ac:dyDescent="0.2">
      <c r="A37" s="3" t="s">
        <v>32</v>
      </c>
      <c r="B37" s="3" t="s">
        <v>478</v>
      </c>
      <c r="C37" s="4">
        <v>0</v>
      </c>
      <c r="D37" s="4">
        <v>-5.3</v>
      </c>
      <c r="E37" s="4">
        <v>5.3</v>
      </c>
      <c r="F37" s="3" t="s">
        <v>531</v>
      </c>
      <c r="G37" s="3" t="e">
        <f>VLOOKUP(B37,'Profit &amp; Loss'!$B$3:$C$390,2,0)</f>
        <v>#N/A</v>
      </c>
    </row>
    <row r="38" spans="1:7" x14ac:dyDescent="0.2">
      <c r="A38" s="3" t="s">
        <v>32</v>
      </c>
      <c r="B38" s="3" t="s">
        <v>36</v>
      </c>
      <c r="C38" s="4">
        <v>-1319.57</v>
      </c>
      <c r="D38" s="4">
        <v>7323.97</v>
      </c>
      <c r="E38" s="4">
        <v>-8643.5400000000009</v>
      </c>
      <c r="F38" s="3" t="s">
        <v>1007</v>
      </c>
      <c r="G38" s="3" t="e">
        <f>VLOOKUP(B38,'Profit &amp; Loss'!$B$3:$C$390,2,0)</f>
        <v>#N/A</v>
      </c>
    </row>
    <row r="39" spans="1:7" x14ac:dyDescent="0.2">
      <c r="A39" s="3" t="s">
        <v>32</v>
      </c>
      <c r="B39" s="3" t="s">
        <v>39</v>
      </c>
      <c r="C39" s="4">
        <v>2971.13</v>
      </c>
      <c r="D39" s="4">
        <v>2618.36</v>
      </c>
      <c r="E39" s="4">
        <v>352.77</v>
      </c>
      <c r="F39" s="3" t="s">
        <v>618</v>
      </c>
      <c r="G39" s="3" t="e">
        <f>VLOOKUP(B39,'Profit &amp; Loss'!$B$3:$C$390,2,0)</f>
        <v>#N/A</v>
      </c>
    </row>
    <row r="40" spans="1:7" x14ac:dyDescent="0.2">
      <c r="A40" s="3" t="s">
        <v>32</v>
      </c>
      <c r="B40" s="3" t="s">
        <v>42</v>
      </c>
      <c r="C40" s="4">
        <v>40.25</v>
      </c>
      <c r="D40" s="4">
        <v>40.380000000000003</v>
      </c>
      <c r="E40" s="4">
        <v>-0.13</v>
      </c>
      <c r="F40" s="3" t="s">
        <v>521</v>
      </c>
      <c r="G40" s="3" t="e">
        <f>VLOOKUP(B40,'Profit &amp; Loss'!$B$3:$C$390,2,0)</f>
        <v>#N/A</v>
      </c>
    </row>
    <row r="41" spans="1:7" x14ac:dyDescent="0.2">
      <c r="A41" s="3" t="s">
        <v>32</v>
      </c>
      <c r="B41" s="3" t="s">
        <v>2</v>
      </c>
      <c r="C41" s="4">
        <v>-160519.75</v>
      </c>
      <c r="D41" s="4">
        <v>70973.36</v>
      </c>
      <c r="E41" s="4">
        <v>-231493.11</v>
      </c>
      <c r="F41" s="3" t="s">
        <v>1008</v>
      </c>
    </row>
    <row r="42" spans="1:7" x14ac:dyDescent="0.2">
      <c r="A42" s="3" t="s">
        <v>43</v>
      </c>
      <c r="B42" s="3" t="s">
        <v>2</v>
      </c>
      <c r="C42" s="4">
        <v>-123057.57</v>
      </c>
      <c r="D42" s="4">
        <v>127274.59</v>
      </c>
      <c r="E42" s="4">
        <v>-250332.16</v>
      </c>
      <c r="F42" s="3" t="s">
        <v>1009</v>
      </c>
    </row>
    <row r="43" spans="1:7" x14ac:dyDescent="0.2">
      <c r="A43" s="3" t="s">
        <v>44</v>
      </c>
      <c r="B43" s="3" t="s">
        <v>973</v>
      </c>
      <c r="C43" s="4">
        <v>-0.1</v>
      </c>
      <c r="D43" s="4">
        <v>-0.1</v>
      </c>
      <c r="E43" s="4">
        <v>0</v>
      </c>
      <c r="F43" s="3" t="s">
        <v>6</v>
      </c>
      <c r="G43" s="3" t="e">
        <f>VLOOKUP(B43,'Profit &amp; Loss'!$B$3:$C$390,2,0)</f>
        <v>#N/A</v>
      </c>
    </row>
    <row r="44" spans="1:7" x14ac:dyDescent="0.2">
      <c r="A44" s="3" t="s">
        <v>44</v>
      </c>
      <c r="B44" s="3" t="s">
        <v>45</v>
      </c>
      <c r="C44" s="4">
        <v>-33464.480000000003</v>
      </c>
      <c r="D44" s="4">
        <v>13388.01</v>
      </c>
      <c r="E44" s="4">
        <v>-46852.49</v>
      </c>
      <c r="F44" s="3" t="s">
        <v>1010</v>
      </c>
      <c r="G44" s="3" t="e">
        <f>VLOOKUP(B44,'Profit &amp; Loss'!$B$3:$C$390,2,0)</f>
        <v>#N/A</v>
      </c>
    </row>
    <row r="45" spans="1:7" x14ac:dyDescent="0.2">
      <c r="A45" s="3" t="s">
        <v>44</v>
      </c>
      <c r="B45" s="3" t="s">
        <v>46</v>
      </c>
      <c r="C45" s="4">
        <v>1668.98</v>
      </c>
      <c r="D45" s="4">
        <v>1668.98</v>
      </c>
      <c r="E45" s="4">
        <v>0</v>
      </c>
      <c r="F45" s="3" t="s">
        <v>6</v>
      </c>
      <c r="G45" s="3" t="e">
        <f>VLOOKUP(B45,'Profit &amp; Loss'!$B$3:$C$390,2,0)</f>
        <v>#N/A</v>
      </c>
    </row>
    <row r="46" spans="1:7" x14ac:dyDescent="0.2">
      <c r="A46" s="3" t="s">
        <v>44</v>
      </c>
      <c r="B46" s="3" t="s">
        <v>2</v>
      </c>
      <c r="C46" s="4">
        <v>-31795.599999999999</v>
      </c>
      <c r="D46" s="4">
        <v>15056.89</v>
      </c>
      <c r="E46" s="4">
        <v>-46852.49</v>
      </c>
      <c r="F46" s="3" t="s">
        <v>1011</v>
      </c>
    </row>
    <row r="47" spans="1:7" x14ac:dyDescent="0.2">
      <c r="A47" s="3" t="s">
        <v>47</v>
      </c>
      <c r="B47" s="3" t="s">
        <v>48</v>
      </c>
      <c r="C47" s="4">
        <v>10866254.09</v>
      </c>
      <c r="D47" s="4">
        <v>12826014.41</v>
      </c>
      <c r="E47" s="4">
        <v>-1959760.32</v>
      </c>
      <c r="F47" s="3" t="s">
        <v>518</v>
      </c>
      <c r="G47" s="3" t="e">
        <f>VLOOKUP(B47,'Profit &amp; Loss'!$B$3:$C$390,2,0)</f>
        <v>#N/A</v>
      </c>
    </row>
    <row r="48" spans="1:7" x14ac:dyDescent="0.2">
      <c r="A48" s="3" t="s">
        <v>47</v>
      </c>
      <c r="B48" s="3" t="s">
        <v>974</v>
      </c>
      <c r="C48" s="4">
        <v>0</v>
      </c>
      <c r="D48" s="4">
        <v>-1140.94</v>
      </c>
      <c r="E48" s="4">
        <v>1140.94</v>
      </c>
      <c r="F48" s="3" t="s">
        <v>531</v>
      </c>
      <c r="G48" s="3" t="e">
        <f>VLOOKUP(B48,'Profit &amp; Loss'!$B$3:$C$390,2,0)</f>
        <v>#N/A</v>
      </c>
    </row>
    <row r="49" spans="1:7" x14ac:dyDescent="0.2">
      <c r="A49" s="3" t="s">
        <v>47</v>
      </c>
      <c r="B49" s="3" t="s">
        <v>49</v>
      </c>
      <c r="C49" s="4">
        <v>175592.08</v>
      </c>
      <c r="D49" s="4">
        <v>36331.370000000003</v>
      </c>
      <c r="E49" s="4">
        <v>139260.71</v>
      </c>
      <c r="F49" s="3" t="s">
        <v>1012</v>
      </c>
      <c r="G49" s="3" t="e">
        <f>VLOOKUP(B49,'Profit &amp; Loss'!$B$3:$C$390,2,0)</f>
        <v>#N/A</v>
      </c>
    </row>
    <row r="50" spans="1:7" x14ac:dyDescent="0.2">
      <c r="A50" s="3" t="s">
        <v>47</v>
      </c>
      <c r="B50" s="3" t="s">
        <v>50</v>
      </c>
      <c r="C50" s="4">
        <v>1033498.64</v>
      </c>
      <c r="D50" s="4">
        <v>909825</v>
      </c>
      <c r="E50" s="4">
        <v>123673.64</v>
      </c>
      <c r="F50" s="3" t="s">
        <v>570</v>
      </c>
      <c r="G50" s="3" t="e">
        <f>VLOOKUP(B50,'Profit &amp; Loss'!$B$3:$C$390,2,0)</f>
        <v>#N/A</v>
      </c>
    </row>
    <row r="51" spans="1:7" x14ac:dyDescent="0.2">
      <c r="A51" s="3" t="s">
        <v>47</v>
      </c>
      <c r="B51" s="3" t="s">
        <v>51</v>
      </c>
      <c r="C51" s="4">
        <v>2040396.83</v>
      </c>
      <c r="D51" s="4">
        <v>1970301.88</v>
      </c>
      <c r="E51" s="4">
        <v>70094.95</v>
      </c>
      <c r="F51" s="3" t="s">
        <v>885</v>
      </c>
      <c r="G51" s="3" t="e">
        <f>VLOOKUP(B51,'Profit &amp; Loss'!$B$3:$C$390,2,0)</f>
        <v>#N/A</v>
      </c>
    </row>
    <row r="52" spans="1:7" x14ac:dyDescent="0.2">
      <c r="A52" s="3" t="s">
        <v>47</v>
      </c>
      <c r="B52" s="3" t="s">
        <v>52</v>
      </c>
      <c r="C52" s="4">
        <v>3211252.78</v>
      </c>
      <c r="D52" s="4">
        <v>2830113.28</v>
      </c>
      <c r="E52" s="4">
        <v>381139.5</v>
      </c>
      <c r="F52" s="3" t="s">
        <v>618</v>
      </c>
      <c r="G52" s="3" t="e">
        <f>VLOOKUP(B52,'Profit &amp; Loss'!$B$3:$C$390,2,0)</f>
        <v>#N/A</v>
      </c>
    </row>
    <row r="53" spans="1:7" x14ac:dyDescent="0.2">
      <c r="A53" s="3" t="s">
        <v>47</v>
      </c>
      <c r="B53" s="3" t="s">
        <v>54</v>
      </c>
      <c r="C53" s="4">
        <v>29295.38</v>
      </c>
      <c r="D53" s="4">
        <v>24644.400000000001</v>
      </c>
      <c r="E53" s="4">
        <v>4650.9799999999996</v>
      </c>
      <c r="F53" s="3" t="s">
        <v>703</v>
      </c>
      <c r="G53" s="3" t="e">
        <f>VLOOKUP(B53,'Profit &amp; Loss'!$B$3:$C$390,2,0)</f>
        <v>#N/A</v>
      </c>
    </row>
    <row r="54" spans="1:7" x14ac:dyDescent="0.2">
      <c r="A54" s="3" t="s">
        <v>47</v>
      </c>
      <c r="B54" s="3" t="s">
        <v>55</v>
      </c>
      <c r="C54" s="4">
        <v>-1498165.64</v>
      </c>
      <c r="D54" s="4">
        <v>-1502250.41</v>
      </c>
      <c r="E54" s="4">
        <v>4084.77</v>
      </c>
      <c r="F54" s="3" t="s">
        <v>496</v>
      </c>
      <c r="G54" s="3" t="e">
        <f>VLOOKUP(B54,'Profit &amp; Loss'!$B$3:$C$390,2,0)</f>
        <v>#N/A</v>
      </c>
    </row>
    <row r="55" spans="1:7" x14ac:dyDescent="0.2">
      <c r="A55" s="3" t="s">
        <v>47</v>
      </c>
      <c r="B55" s="3" t="s">
        <v>56</v>
      </c>
      <c r="C55" s="4">
        <v>12096.12</v>
      </c>
      <c r="D55" s="4">
        <v>10841.15</v>
      </c>
      <c r="E55" s="4">
        <v>1254.97</v>
      </c>
      <c r="F55" s="3" t="s">
        <v>898</v>
      </c>
      <c r="G55" s="3" t="e">
        <f>VLOOKUP(B55,'Profit &amp; Loss'!$B$3:$C$390,2,0)</f>
        <v>#N/A</v>
      </c>
    </row>
    <row r="56" spans="1:7" x14ac:dyDescent="0.2">
      <c r="A56" s="3" t="s">
        <v>47</v>
      </c>
      <c r="B56" s="3" t="s">
        <v>57</v>
      </c>
      <c r="C56" s="4">
        <v>-17464.919999999998</v>
      </c>
      <c r="D56" s="4">
        <v>-17336.18</v>
      </c>
      <c r="E56" s="4">
        <v>-128.74</v>
      </c>
      <c r="F56" s="3" t="s">
        <v>508</v>
      </c>
      <c r="G56" s="3" t="e">
        <f>VLOOKUP(B56,'Profit &amp; Loss'!$B$3:$C$390,2,0)</f>
        <v>#N/A</v>
      </c>
    </row>
    <row r="57" spans="1:7" x14ac:dyDescent="0.2">
      <c r="A57" s="3" t="s">
        <v>47</v>
      </c>
      <c r="B57" s="3" t="s">
        <v>58</v>
      </c>
      <c r="C57" s="4">
        <v>-1693.06</v>
      </c>
      <c r="D57" s="4">
        <v>-1022.65</v>
      </c>
      <c r="E57" s="4">
        <v>-670.41</v>
      </c>
      <c r="F57" s="3" t="s">
        <v>880</v>
      </c>
      <c r="G57" s="3" t="e">
        <f>VLOOKUP(B57,'Profit &amp; Loss'!$B$3:$C$390,2,0)</f>
        <v>#N/A</v>
      </c>
    </row>
    <row r="58" spans="1:7" x14ac:dyDescent="0.2">
      <c r="A58" s="3" t="s">
        <v>47</v>
      </c>
      <c r="B58" s="3" t="s">
        <v>2</v>
      </c>
      <c r="C58" s="4">
        <v>15851062.300000001</v>
      </c>
      <c r="D58" s="4">
        <v>17086321.309999999</v>
      </c>
      <c r="E58" s="4">
        <v>-1235259.01</v>
      </c>
      <c r="F58" s="3" t="s">
        <v>882</v>
      </c>
    </row>
    <row r="59" spans="1:7" x14ac:dyDescent="0.2">
      <c r="A59" s="3" t="s">
        <v>59</v>
      </c>
      <c r="B59" s="3" t="s">
        <v>60</v>
      </c>
      <c r="C59" s="4">
        <v>464607.53</v>
      </c>
      <c r="D59" s="4">
        <v>247348.17</v>
      </c>
      <c r="E59" s="4">
        <v>217259.36</v>
      </c>
      <c r="F59" s="3" t="s">
        <v>908</v>
      </c>
      <c r="G59" s="3" t="e">
        <f>VLOOKUP(B59,'Profit &amp; Loss'!$B$3:$C$390,2,0)</f>
        <v>#N/A</v>
      </c>
    </row>
    <row r="60" spans="1:7" x14ac:dyDescent="0.2">
      <c r="A60" s="3" t="s">
        <v>59</v>
      </c>
      <c r="B60" s="3" t="s">
        <v>975</v>
      </c>
      <c r="C60" s="4">
        <v>-4793.88</v>
      </c>
      <c r="D60" s="4">
        <v>-4793.88</v>
      </c>
      <c r="E60" s="4">
        <v>0</v>
      </c>
      <c r="F60" s="3" t="s">
        <v>6</v>
      </c>
      <c r="G60" s="3" t="e">
        <f>VLOOKUP(B60,'Profit &amp; Loss'!$B$3:$C$390,2,0)</f>
        <v>#N/A</v>
      </c>
    </row>
    <row r="61" spans="1:7" x14ac:dyDescent="0.2">
      <c r="A61" s="3" t="s">
        <v>59</v>
      </c>
      <c r="B61" s="3" t="s">
        <v>883</v>
      </c>
      <c r="C61" s="4">
        <v>946.22</v>
      </c>
      <c r="D61" s="4">
        <v>946.22</v>
      </c>
      <c r="E61" s="4">
        <v>0</v>
      </c>
      <c r="F61" s="3" t="s">
        <v>6</v>
      </c>
      <c r="G61" s="3" t="e">
        <f>VLOOKUP(B61,'Profit &amp; Loss'!$B$3:$C$390,2,0)</f>
        <v>#N/A</v>
      </c>
    </row>
    <row r="62" spans="1:7" x14ac:dyDescent="0.2">
      <c r="A62" s="3" t="s">
        <v>59</v>
      </c>
      <c r="B62" s="3" t="s">
        <v>61</v>
      </c>
      <c r="C62" s="4">
        <v>94.38</v>
      </c>
      <c r="D62" s="4">
        <v>56.04</v>
      </c>
      <c r="E62" s="4">
        <v>38.340000000000003</v>
      </c>
      <c r="F62" s="3" t="s">
        <v>1013</v>
      </c>
      <c r="G62" s="3" t="e">
        <f>VLOOKUP(B62,'Profit &amp; Loss'!$B$3:$C$390,2,0)</f>
        <v>#N/A</v>
      </c>
    </row>
    <row r="63" spans="1:7" x14ac:dyDescent="0.2">
      <c r="A63" s="3" t="s">
        <v>59</v>
      </c>
      <c r="B63" s="3" t="s">
        <v>62</v>
      </c>
      <c r="C63" s="4">
        <v>249658.84</v>
      </c>
      <c r="D63" s="4">
        <v>235157.63</v>
      </c>
      <c r="E63" s="4">
        <v>14501.21</v>
      </c>
      <c r="F63" s="3" t="s">
        <v>632</v>
      </c>
      <c r="G63" s="3" t="e">
        <f>VLOOKUP(B63,'Profit &amp; Loss'!$B$3:$C$390,2,0)</f>
        <v>#N/A</v>
      </c>
    </row>
    <row r="64" spans="1:7" x14ac:dyDescent="0.2">
      <c r="A64" s="3" t="s">
        <v>59</v>
      </c>
      <c r="B64" s="3" t="s">
        <v>63</v>
      </c>
      <c r="C64" s="4">
        <v>29970.55</v>
      </c>
      <c r="D64" s="4">
        <v>8563.98</v>
      </c>
      <c r="E64" s="4">
        <v>21406.57</v>
      </c>
      <c r="F64" s="3" t="s">
        <v>1014</v>
      </c>
      <c r="G64" s="3" t="e">
        <f>VLOOKUP(B64,'Profit &amp; Loss'!$B$3:$C$390,2,0)</f>
        <v>#N/A</v>
      </c>
    </row>
    <row r="65" spans="1:7" x14ac:dyDescent="0.2">
      <c r="A65" s="3" t="s">
        <v>59</v>
      </c>
      <c r="B65" s="3" t="s">
        <v>64</v>
      </c>
      <c r="C65" s="4">
        <v>432.91</v>
      </c>
      <c r="D65" s="4">
        <v>588.54</v>
      </c>
      <c r="E65" s="4">
        <v>-155.63</v>
      </c>
      <c r="F65" s="3" t="s">
        <v>643</v>
      </c>
      <c r="G65" s="3" t="e">
        <f>VLOOKUP(B65,'Profit &amp; Loss'!$B$3:$C$390,2,0)</f>
        <v>#N/A</v>
      </c>
    </row>
    <row r="66" spans="1:7" x14ac:dyDescent="0.2">
      <c r="A66" s="3" t="s">
        <v>59</v>
      </c>
      <c r="B66" s="3" t="s">
        <v>2</v>
      </c>
      <c r="C66" s="4">
        <v>740916.55</v>
      </c>
      <c r="D66" s="4">
        <v>487866.7</v>
      </c>
      <c r="E66" s="4">
        <v>253049.85</v>
      </c>
      <c r="F66" s="3" t="s">
        <v>767</v>
      </c>
    </row>
    <row r="67" spans="1:7" x14ac:dyDescent="0.2">
      <c r="A67" s="3" t="s">
        <v>65</v>
      </c>
      <c r="B67" s="3" t="s">
        <v>2</v>
      </c>
      <c r="C67" s="4">
        <v>16560183.25</v>
      </c>
      <c r="D67" s="4">
        <v>17589244.899999999</v>
      </c>
      <c r="E67" s="4">
        <v>-1029061.65</v>
      </c>
      <c r="F67" s="3" t="s">
        <v>484</v>
      </c>
    </row>
    <row r="68" spans="1:7" x14ac:dyDescent="0.2">
      <c r="A68" s="3" t="s">
        <v>976</v>
      </c>
      <c r="B68" s="3" t="s">
        <v>977</v>
      </c>
      <c r="C68" s="4">
        <v>14166.64</v>
      </c>
      <c r="D68" s="4">
        <v>14166.64</v>
      </c>
      <c r="E68" s="4">
        <v>0</v>
      </c>
      <c r="F68" s="3" t="s">
        <v>6</v>
      </c>
      <c r="G68" s="3" t="e">
        <f>VLOOKUP(B68,'Profit &amp; Loss'!$B$3:$C$390,2,0)</f>
        <v>#N/A</v>
      </c>
    </row>
    <row r="69" spans="1:7" x14ac:dyDescent="0.2">
      <c r="A69" s="3" t="s">
        <v>976</v>
      </c>
      <c r="B69" s="3" t="s">
        <v>2</v>
      </c>
      <c r="C69" s="4">
        <v>14166.64</v>
      </c>
      <c r="D69" s="4">
        <v>14166.64</v>
      </c>
      <c r="E69" s="4">
        <v>0</v>
      </c>
      <c r="F69" s="3" t="s">
        <v>6</v>
      </c>
    </row>
    <row r="70" spans="1:7" x14ac:dyDescent="0.2">
      <c r="A70" s="3" t="s">
        <v>978</v>
      </c>
      <c r="B70" s="3" t="s">
        <v>2</v>
      </c>
      <c r="C70" s="4">
        <v>14166.64</v>
      </c>
      <c r="D70" s="4">
        <v>14166.64</v>
      </c>
      <c r="E70" s="4">
        <v>0</v>
      </c>
      <c r="F70" s="3" t="s">
        <v>6</v>
      </c>
    </row>
    <row r="71" spans="1:7" x14ac:dyDescent="0.2">
      <c r="A71" s="3" t="s">
        <v>66</v>
      </c>
      <c r="B71" s="3" t="s">
        <v>67</v>
      </c>
      <c r="C71" s="4">
        <v>-6135.39</v>
      </c>
      <c r="D71" s="4">
        <v>-6135.39</v>
      </c>
      <c r="E71" s="4">
        <v>0</v>
      </c>
      <c r="F71" s="3" t="s">
        <v>6</v>
      </c>
      <c r="G71" s="3" t="e">
        <f>VLOOKUP(B71,'Profit &amp; Loss'!$B$3:$C$390,2,0)</f>
        <v>#N/A</v>
      </c>
    </row>
    <row r="72" spans="1:7" x14ac:dyDescent="0.2">
      <c r="A72" s="3" t="s">
        <v>66</v>
      </c>
      <c r="B72" s="3" t="s">
        <v>68</v>
      </c>
      <c r="C72" s="4">
        <v>10893.75</v>
      </c>
      <c r="D72" s="4">
        <v>11470.46</v>
      </c>
      <c r="E72" s="4">
        <v>-576.71</v>
      </c>
      <c r="F72" s="3" t="s">
        <v>726</v>
      </c>
      <c r="G72" s="3" t="e">
        <f>VLOOKUP(B72,'Profit &amp; Loss'!$B$3:$C$390,2,0)</f>
        <v>#N/A</v>
      </c>
    </row>
    <row r="73" spans="1:7" x14ac:dyDescent="0.2">
      <c r="A73" s="3" t="s">
        <v>66</v>
      </c>
      <c r="B73" s="3" t="s">
        <v>979</v>
      </c>
      <c r="C73" s="4">
        <v>6329.17</v>
      </c>
      <c r="D73" s="4">
        <v>6329.17</v>
      </c>
      <c r="E73" s="4">
        <v>0</v>
      </c>
      <c r="F73" s="3" t="s">
        <v>6</v>
      </c>
      <c r="G73" s="3" t="e">
        <f>VLOOKUP(B73,'Profit &amp; Loss'!$B$3:$C$390,2,0)</f>
        <v>#N/A</v>
      </c>
    </row>
    <row r="74" spans="1:7" x14ac:dyDescent="0.2">
      <c r="A74" s="3" t="s">
        <v>66</v>
      </c>
      <c r="B74" s="3" t="s">
        <v>491</v>
      </c>
      <c r="C74" s="4">
        <v>558.74</v>
      </c>
      <c r="D74" s="4">
        <v>104.73</v>
      </c>
      <c r="E74" s="4">
        <v>454.01</v>
      </c>
      <c r="F74" s="3" t="s">
        <v>1015</v>
      </c>
      <c r="G74" s="3" t="e">
        <f>VLOOKUP(B74,'Profit &amp; Loss'!$B$3:$C$390,2,0)</f>
        <v>#N/A</v>
      </c>
    </row>
    <row r="75" spans="1:7" x14ac:dyDescent="0.2">
      <c r="A75" s="3" t="s">
        <v>66</v>
      </c>
      <c r="B75" s="3" t="s">
        <v>492</v>
      </c>
      <c r="C75" s="4">
        <v>-2.1</v>
      </c>
      <c r="D75" s="4">
        <v>-0.42</v>
      </c>
      <c r="E75" s="4">
        <v>-1.68</v>
      </c>
      <c r="F75" s="3" t="s">
        <v>1016</v>
      </c>
      <c r="G75" s="3" t="e">
        <f>VLOOKUP(B75,'Profit &amp; Loss'!$B$3:$C$390,2,0)</f>
        <v>#N/A</v>
      </c>
    </row>
    <row r="76" spans="1:7" x14ac:dyDescent="0.2">
      <c r="A76" s="3" t="s">
        <v>66</v>
      </c>
      <c r="B76" s="3" t="s">
        <v>493</v>
      </c>
      <c r="C76" s="4">
        <v>-85.94</v>
      </c>
      <c r="D76" s="4">
        <v>53.4</v>
      </c>
      <c r="E76" s="4">
        <v>-139.34</v>
      </c>
      <c r="F76" s="3" t="s">
        <v>1017</v>
      </c>
      <c r="G76" s="3" t="e">
        <f>VLOOKUP(B76,'Profit &amp; Loss'!$B$3:$C$390,2,0)</f>
        <v>#N/A</v>
      </c>
    </row>
    <row r="77" spans="1:7" x14ac:dyDescent="0.2">
      <c r="A77" s="3" t="s">
        <v>66</v>
      </c>
      <c r="B77" s="3" t="s">
        <v>494</v>
      </c>
      <c r="C77" s="4">
        <v>-0.44</v>
      </c>
      <c r="D77" s="4">
        <v>0.01</v>
      </c>
      <c r="E77" s="4">
        <v>-0.45</v>
      </c>
      <c r="F77" s="3" t="s">
        <v>1018</v>
      </c>
      <c r="G77" s="3" t="e">
        <f>VLOOKUP(B77,'Profit &amp; Loss'!$B$3:$C$390,2,0)</f>
        <v>#N/A</v>
      </c>
    </row>
    <row r="78" spans="1:7" x14ac:dyDescent="0.2">
      <c r="A78" s="3" t="s">
        <v>66</v>
      </c>
      <c r="B78" s="3" t="s">
        <v>2</v>
      </c>
      <c r="C78" s="4">
        <v>11557.79</v>
      </c>
      <c r="D78" s="4">
        <v>11821.96</v>
      </c>
      <c r="E78" s="4">
        <v>-264.17</v>
      </c>
      <c r="F78" s="3" t="s">
        <v>506</v>
      </c>
    </row>
    <row r="79" spans="1:7" x14ac:dyDescent="0.2">
      <c r="A79" s="3" t="s">
        <v>69</v>
      </c>
      <c r="B79" s="3" t="s">
        <v>2</v>
      </c>
      <c r="C79" s="4">
        <v>11557.79</v>
      </c>
      <c r="D79" s="4">
        <v>11821.96</v>
      </c>
      <c r="E79" s="4">
        <v>-264.17</v>
      </c>
      <c r="F79" s="3" t="s">
        <v>506</v>
      </c>
    </row>
    <row r="80" spans="1:7" x14ac:dyDescent="0.2">
      <c r="A80" s="3" t="s">
        <v>70</v>
      </c>
      <c r="B80" s="3" t="s">
        <v>71</v>
      </c>
      <c r="C80" s="4">
        <v>359163.46</v>
      </c>
      <c r="D80" s="4">
        <v>359163.46</v>
      </c>
      <c r="E80" s="4">
        <v>0</v>
      </c>
      <c r="F80" s="3" t="s">
        <v>6</v>
      </c>
      <c r="G80" s="3" t="e">
        <f>VLOOKUP(B80,'Profit &amp; Loss'!$B$3:$C$390,2,0)</f>
        <v>#N/A</v>
      </c>
    </row>
    <row r="81" spans="1:7" x14ac:dyDescent="0.2">
      <c r="A81" s="3" t="s">
        <v>70</v>
      </c>
      <c r="B81" s="3" t="s">
        <v>72</v>
      </c>
      <c r="C81" s="4">
        <v>-258152.24</v>
      </c>
      <c r="D81" s="4">
        <v>-257037.48</v>
      </c>
      <c r="E81" s="4">
        <v>-1114.76</v>
      </c>
      <c r="F81" s="3" t="s">
        <v>470</v>
      </c>
      <c r="G81" s="3" t="e">
        <f>VLOOKUP(B81,'Profit &amp; Loss'!$B$3:$C$390,2,0)</f>
        <v>#N/A</v>
      </c>
    </row>
    <row r="82" spans="1:7" x14ac:dyDescent="0.2">
      <c r="A82" s="3" t="s">
        <v>70</v>
      </c>
      <c r="B82" s="3" t="s">
        <v>2</v>
      </c>
      <c r="C82" s="4">
        <v>101011.22</v>
      </c>
      <c r="D82" s="4">
        <v>102125.98</v>
      </c>
      <c r="E82" s="4">
        <v>-1114.76</v>
      </c>
      <c r="F82" s="3" t="s">
        <v>903</v>
      </c>
    </row>
    <row r="83" spans="1:7" x14ac:dyDescent="0.2">
      <c r="A83" s="3" t="s">
        <v>73</v>
      </c>
      <c r="B83" s="3" t="s">
        <v>74</v>
      </c>
      <c r="C83" s="4">
        <v>132848.63</v>
      </c>
      <c r="D83" s="4">
        <v>132848.63</v>
      </c>
      <c r="E83" s="4">
        <v>0</v>
      </c>
      <c r="F83" s="3" t="s">
        <v>6</v>
      </c>
      <c r="G83" s="3" t="e">
        <f>VLOOKUP(B83,'Profit &amp; Loss'!$B$3:$C$390,2,0)</f>
        <v>#N/A</v>
      </c>
    </row>
    <row r="84" spans="1:7" x14ac:dyDescent="0.2">
      <c r="A84" s="3" t="s">
        <v>73</v>
      </c>
      <c r="B84" s="3" t="s">
        <v>75</v>
      </c>
      <c r="C84" s="4">
        <v>476214.59</v>
      </c>
      <c r="D84" s="4">
        <v>476214.59</v>
      </c>
      <c r="E84" s="4">
        <v>0</v>
      </c>
      <c r="F84" s="3" t="s">
        <v>6</v>
      </c>
      <c r="G84" s="3" t="e">
        <f>VLOOKUP(B84,'Profit &amp; Loss'!$B$3:$C$390,2,0)</f>
        <v>#N/A</v>
      </c>
    </row>
    <row r="85" spans="1:7" x14ac:dyDescent="0.2">
      <c r="A85" s="3" t="s">
        <v>73</v>
      </c>
      <c r="B85" s="3" t="s">
        <v>76</v>
      </c>
      <c r="C85" s="4">
        <v>390466.49</v>
      </c>
      <c r="D85" s="4">
        <v>380546.51</v>
      </c>
      <c r="E85" s="4">
        <v>9919.98</v>
      </c>
      <c r="F85" s="3" t="s">
        <v>711</v>
      </c>
      <c r="G85" s="3" t="e">
        <f>VLOOKUP(B85,'Profit &amp; Loss'!$B$3:$C$390,2,0)</f>
        <v>#N/A</v>
      </c>
    </row>
    <row r="86" spans="1:7" x14ac:dyDescent="0.2">
      <c r="A86" s="3" t="s">
        <v>73</v>
      </c>
      <c r="B86" s="3" t="s">
        <v>77</v>
      </c>
      <c r="C86" s="4">
        <v>495.24</v>
      </c>
      <c r="D86" s="4">
        <v>495.24</v>
      </c>
      <c r="E86" s="4">
        <v>0</v>
      </c>
      <c r="F86" s="3" t="s">
        <v>6</v>
      </c>
      <c r="G86" s="3" t="e">
        <f>VLOOKUP(B86,'Profit &amp; Loss'!$B$3:$C$390,2,0)</f>
        <v>#N/A</v>
      </c>
    </row>
    <row r="87" spans="1:7" x14ac:dyDescent="0.2">
      <c r="A87" s="3" t="s">
        <v>73</v>
      </c>
      <c r="B87" s="3" t="s">
        <v>78</v>
      </c>
      <c r="C87" s="4">
        <v>242483.73</v>
      </c>
      <c r="D87" s="4">
        <v>242483.73</v>
      </c>
      <c r="E87" s="4">
        <v>0</v>
      </c>
      <c r="F87" s="3" t="s">
        <v>6</v>
      </c>
      <c r="G87" s="3" t="e">
        <f>VLOOKUP(B87,'Profit &amp; Loss'!$B$3:$C$390,2,0)</f>
        <v>#N/A</v>
      </c>
    </row>
    <row r="88" spans="1:7" x14ac:dyDescent="0.2">
      <c r="A88" s="3" t="s">
        <v>73</v>
      </c>
      <c r="B88" s="3" t="s">
        <v>79</v>
      </c>
      <c r="C88" s="4">
        <v>-125545.89</v>
      </c>
      <c r="D88" s="4">
        <v>-125271.34</v>
      </c>
      <c r="E88" s="4">
        <v>-274.55</v>
      </c>
      <c r="F88" s="3" t="s">
        <v>498</v>
      </c>
      <c r="G88" s="3" t="e">
        <f>VLOOKUP(B88,'Profit &amp; Loss'!$B$3:$C$390,2,0)</f>
        <v>#N/A</v>
      </c>
    </row>
    <row r="89" spans="1:7" x14ac:dyDescent="0.2">
      <c r="A89" s="3" t="s">
        <v>73</v>
      </c>
      <c r="B89" s="3" t="s">
        <v>80</v>
      </c>
      <c r="C89" s="4">
        <v>-295037.25</v>
      </c>
      <c r="D89" s="4">
        <v>-291532.79999999999</v>
      </c>
      <c r="E89" s="4">
        <v>-3504.45</v>
      </c>
      <c r="F89" s="3" t="s">
        <v>482</v>
      </c>
      <c r="G89" s="3" t="e">
        <f>VLOOKUP(B89,'Profit &amp; Loss'!$B$3:$C$390,2,0)</f>
        <v>#N/A</v>
      </c>
    </row>
    <row r="90" spans="1:7" x14ac:dyDescent="0.2">
      <c r="A90" s="3" t="s">
        <v>73</v>
      </c>
      <c r="B90" s="3" t="s">
        <v>81</v>
      </c>
      <c r="C90" s="4">
        <v>-314663.27</v>
      </c>
      <c r="D90" s="4">
        <v>-312519.36</v>
      </c>
      <c r="E90" s="4">
        <v>-2143.91</v>
      </c>
      <c r="F90" s="3" t="s">
        <v>508</v>
      </c>
      <c r="G90" s="3" t="e">
        <f>VLOOKUP(B90,'Profit &amp; Loss'!$B$3:$C$390,2,0)</f>
        <v>#N/A</v>
      </c>
    </row>
    <row r="91" spans="1:7" x14ac:dyDescent="0.2">
      <c r="A91" s="3" t="s">
        <v>73</v>
      </c>
      <c r="B91" s="3" t="s">
        <v>82</v>
      </c>
      <c r="C91" s="4">
        <v>-478.74</v>
      </c>
      <c r="D91" s="4">
        <v>-470.48</v>
      </c>
      <c r="E91" s="4">
        <v>-8.26</v>
      </c>
      <c r="F91" s="3" t="s">
        <v>716</v>
      </c>
      <c r="G91" s="3" t="e">
        <f>VLOOKUP(B91,'Profit &amp; Loss'!$B$3:$C$390,2,0)</f>
        <v>#N/A</v>
      </c>
    </row>
    <row r="92" spans="1:7" x14ac:dyDescent="0.2">
      <c r="A92" s="3" t="s">
        <v>73</v>
      </c>
      <c r="B92" s="3" t="s">
        <v>83</v>
      </c>
      <c r="C92" s="4">
        <v>-208362.78</v>
      </c>
      <c r="D92" s="4">
        <v>-207242.29</v>
      </c>
      <c r="E92" s="4">
        <v>-1120.49</v>
      </c>
      <c r="F92" s="3" t="s">
        <v>887</v>
      </c>
      <c r="G92" s="3" t="e">
        <f>VLOOKUP(B92,'Profit &amp; Loss'!$B$3:$C$390,2,0)</f>
        <v>#N/A</v>
      </c>
    </row>
    <row r="93" spans="1:7" x14ac:dyDescent="0.2">
      <c r="A93" s="3" t="s">
        <v>73</v>
      </c>
      <c r="B93" s="3" t="s">
        <v>2</v>
      </c>
      <c r="C93" s="4">
        <v>298420.75</v>
      </c>
      <c r="D93" s="4">
        <v>295552.43</v>
      </c>
      <c r="E93" s="4">
        <v>2868.32</v>
      </c>
      <c r="F93" s="3" t="s">
        <v>509</v>
      </c>
    </row>
    <row r="94" spans="1:7" x14ac:dyDescent="0.2">
      <c r="A94" s="3" t="s">
        <v>84</v>
      </c>
      <c r="B94" s="3" t="s">
        <v>85</v>
      </c>
      <c r="C94" s="4">
        <v>13606619.83</v>
      </c>
      <c r="D94" s="4">
        <v>12614052.949999999</v>
      </c>
      <c r="E94" s="4">
        <v>992566.88</v>
      </c>
      <c r="F94" s="3" t="s">
        <v>787</v>
      </c>
      <c r="G94" s="3" t="e">
        <f>VLOOKUP(B94,'Profit &amp; Loss'!$B$3:$C$390,2,0)</f>
        <v>#N/A</v>
      </c>
    </row>
    <row r="95" spans="1:7" x14ac:dyDescent="0.2">
      <c r="A95" s="3" t="s">
        <v>84</v>
      </c>
      <c r="B95" s="3" t="s">
        <v>86</v>
      </c>
      <c r="C95" s="4">
        <v>-5175179.5999999996</v>
      </c>
      <c r="D95" s="4">
        <v>-5009729.12</v>
      </c>
      <c r="E95" s="4">
        <v>-165450.48000000001</v>
      </c>
      <c r="F95" s="3" t="s">
        <v>601</v>
      </c>
      <c r="G95" s="3" t="e">
        <f>VLOOKUP(B95,'Profit &amp; Loss'!$B$3:$C$390,2,0)</f>
        <v>#N/A</v>
      </c>
    </row>
    <row r="96" spans="1:7" x14ac:dyDescent="0.2">
      <c r="A96" s="3" t="s">
        <v>84</v>
      </c>
      <c r="B96" s="3" t="s">
        <v>2</v>
      </c>
      <c r="C96" s="4">
        <v>8431440.2300000004</v>
      </c>
      <c r="D96" s="4">
        <v>7604323.8300000001</v>
      </c>
      <c r="E96" s="4">
        <v>827116.4</v>
      </c>
      <c r="F96" s="3" t="s">
        <v>777</v>
      </c>
    </row>
    <row r="97" spans="1:7" x14ac:dyDescent="0.2">
      <c r="A97" s="3" t="s">
        <v>87</v>
      </c>
      <c r="B97" s="3" t="s">
        <v>88</v>
      </c>
      <c r="C97" s="4">
        <v>138093.67000000001</v>
      </c>
      <c r="D97" s="4">
        <v>138093.67000000001</v>
      </c>
      <c r="E97" s="4">
        <v>0</v>
      </c>
      <c r="F97" s="3" t="s">
        <v>6</v>
      </c>
      <c r="G97" s="3" t="e">
        <f>VLOOKUP(B97,'Profit &amp; Loss'!$B$3:$C$390,2,0)</f>
        <v>#N/A</v>
      </c>
    </row>
    <row r="98" spans="1:7" x14ac:dyDescent="0.2">
      <c r="A98" s="3" t="s">
        <v>87</v>
      </c>
      <c r="B98" s="3" t="s">
        <v>89</v>
      </c>
      <c r="C98" s="4">
        <v>855138.11</v>
      </c>
      <c r="D98" s="4">
        <v>855138.11</v>
      </c>
      <c r="E98" s="4">
        <v>0</v>
      </c>
      <c r="F98" s="3" t="s">
        <v>6</v>
      </c>
      <c r="G98" s="3" t="e">
        <f>VLOOKUP(B98,'Profit &amp; Loss'!$B$3:$C$390,2,0)</f>
        <v>#N/A</v>
      </c>
    </row>
    <row r="99" spans="1:7" x14ac:dyDescent="0.2">
      <c r="A99" s="3" t="s">
        <v>87</v>
      </c>
      <c r="B99" s="3" t="s">
        <v>90</v>
      </c>
      <c r="C99" s="4">
        <v>-136870.82999999999</v>
      </c>
      <c r="D99" s="4">
        <v>-136815.24</v>
      </c>
      <c r="E99" s="4">
        <v>-55.59</v>
      </c>
      <c r="F99" s="3" t="s">
        <v>6</v>
      </c>
      <c r="G99" s="3" t="e">
        <f>VLOOKUP(B99,'Profit &amp; Loss'!$B$3:$C$390,2,0)</f>
        <v>#N/A</v>
      </c>
    </row>
    <row r="100" spans="1:7" x14ac:dyDescent="0.2">
      <c r="A100" s="3" t="s">
        <v>87</v>
      </c>
      <c r="B100" s="3" t="s">
        <v>91</v>
      </c>
      <c r="C100" s="4">
        <v>-867914.9</v>
      </c>
      <c r="D100" s="4">
        <v>-865484.74</v>
      </c>
      <c r="E100" s="4">
        <v>-2430.16</v>
      </c>
      <c r="F100" s="3" t="s">
        <v>521</v>
      </c>
      <c r="G100" s="3" t="e">
        <f>VLOOKUP(B100,'Profit &amp; Loss'!$B$3:$C$390,2,0)</f>
        <v>#N/A</v>
      </c>
    </row>
    <row r="101" spans="1:7" x14ac:dyDescent="0.2">
      <c r="A101" s="3" t="s">
        <v>87</v>
      </c>
      <c r="B101" s="3" t="s">
        <v>2</v>
      </c>
      <c r="C101" s="4">
        <v>-11553.95</v>
      </c>
      <c r="D101" s="4">
        <v>-9068.2000000000007</v>
      </c>
      <c r="E101" s="4">
        <v>-2485.75</v>
      </c>
      <c r="F101" s="3" t="s">
        <v>516</v>
      </c>
    </row>
    <row r="102" spans="1:7" x14ac:dyDescent="0.2">
      <c r="A102" s="3" t="s">
        <v>92</v>
      </c>
      <c r="B102" s="3" t="s">
        <v>93</v>
      </c>
      <c r="C102" s="4">
        <v>4060.75</v>
      </c>
      <c r="D102" s="4">
        <v>3591.93</v>
      </c>
      <c r="E102" s="4">
        <v>468.82</v>
      </c>
      <c r="F102" s="3" t="s">
        <v>837</v>
      </c>
      <c r="G102" s="3" t="e">
        <f>VLOOKUP(B102,'Profit &amp; Loss'!$B$3:$C$390,2,0)</f>
        <v>#N/A</v>
      </c>
    </row>
    <row r="103" spans="1:7" x14ac:dyDescent="0.2">
      <c r="A103" s="3" t="s">
        <v>92</v>
      </c>
      <c r="B103" s="3" t="s">
        <v>94</v>
      </c>
      <c r="C103" s="4">
        <v>242293.22</v>
      </c>
      <c r="D103" s="4">
        <v>239747.12</v>
      </c>
      <c r="E103" s="4">
        <v>2546.1</v>
      </c>
      <c r="F103" s="3" t="s">
        <v>526</v>
      </c>
      <c r="G103" s="3" t="e">
        <f>VLOOKUP(B103,'Profit &amp; Loss'!$B$3:$C$390,2,0)</f>
        <v>#N/A</v>
      </c>
    </row>
    <row r="104" spans="1:7" x14ac:dyDescent="0.2">
      <c r="A104" s="3" t="s">
        <v>92</v>
      </c>
      <c r="B104" s="3" t="s">
        <v>95</v>
      </c>
      <c r="C104" s="4">
        <v>-3256.02</v>
      </c>
      <c r="D104" s="4">
        <v>-3207.27</v>
      </c>
      <c r="E104" s="4">
        <v>-48.75</v>
      </c>
      <c r="F104" s="3" t="s">
        <v>500</v>
      </c>
      <c r="G104" s="3" t="e">
        <f>VLOOKUP(B104,'Profit &amp; Loss'!$B$3:$C$390,2,0)</f>
        <v>#N/A</v>
      </c>
    </row>
    <row r="105" spans="1:7" x14ac:dyDescent="0.2">
      <c r="A105" s="3" t="s">
        <v>92</v>
      </c>
      <c r="B105" s="3" t="s">
        <v>96</v>
      </c>
      <c r="C105" s="4">
        <v>-150187.14000000001</v>
      </c>
      <c r="D105" s="4">
        <v>-144696.28</v>
      </c>
      <c r="E105" s="4">
        <v>-5490.86</v>
      </c>
      <c r="F105" s="3" t="s">
        <v>712</v>
      </c>
      <c r="G105" s="3" t="e">
        <f>VLOOKUP(B105,'Profit &amp; Loss'!$B$3:$C$390,2,0)</f>
        <v>#N/A</v>
      </c>
    </row>
    <row r="106" spans="1:7" x14ac:dyDescent="0.2">
      <c r="A106" s="3" t="s">
        <v>92</v>
      </c>
      <c r="B106" s="3" t="s">
        <v>2</v>
      </c>
      <c r="C106" s="4">
        <v>92910.81</v>
      </c>
      <c r="D106" s="4">
        <v>95435.5</v>
      </c>
      <c r="E106" s="4">
        <v>-2524.69</v>
      </c>
      <c r="F106" s="3" t="s">
        <v>504</v>
      </c>
    </row>
    <row r="107" spans="1:7" x14ac:dyDescent="0.2">
      <c r="A107" s="3" t="s">
        <v>97</v>
      </c>
      <c r="B107" s="3" t="s">
        <v>98</v>
      </c>
      <c r="C107" s="4">
        <v>174986.36</v>
      </c>
      <c r="D107" s="4">
        <v>174986.36</v>
      </c>
      <c r="E107" s="4">
        <v>0</v>
      </c>
      <c r="F107" s="3" t="s">
        <v>6</v>
      </c>
      <c r="G107" s="3" t="e">
        <f>VLOOKUP(B107,'Profit &amp; Loss'!$B$3:$C$390,2,0)</f>
        <v>#N/A</v>
      </c>
    </row>
    <row r="108" spans="1:7" x14ac:dyDescent="0.2">
      <c r="A108" s="3" t="s">
        <v>97</v>
      </c>
      <c r="B108" s="3" t="s">
        <v>99</v>
      </c>
      <c r="C108" s="4">
        <v>-89844.69</v>
      </c>
      <c r="D108" s="4">
        <v>-86928.25</v>
      </c>
      <c r="E108" s="4">
        <v>-2916.44</v>
      </c>
      <c r="F108" s="3" t="s">
        <v>823</v>
      </c>
      <c r="G108" s="3" t="e">
        <f>VLOOKUP(B108,'Profit &amp; Loss'!$B$3:$C$390,2,0)</f>
        <v>#N/A</v>
      </c>
    </row>
    <row r="109" spans="1:7" x14ac:dyDescent="0.2">
      <c r="A109" s="3" t="s">
        <v>97</v>
      </c>
      <c r="B109" s="3" t="s">
        <v>2</v>
      </c>
      <c r="C109" s="4">
        <v>85141.67</v>
      </c>
      <c r="D109" s="4">
        <v>88058.11</v>
      </c>
      <c r="E109" s="4">
        <v>-2916.44</v>
      </c>
      <c r="F109" s="3" t="s">
        <v>601</v>
      </c>
    </row>
    <row r="110" spans="1:7" x14ac:dyDescent="0.2">
      <c r="A110" s="3" t="s">
        <v>100</v>
      </c>
      <c r="B110" s="3" t="s">
        <v>101</v>
      </c>
      <c r="C110" s="4">
        <v>121130.17</v>
      </c>
      <c r="D110" s="4">
        <v>121130.17</v>
      </c>
      <c r="E110" s="4">
        <v>0</v>
      </c>
      <c r="F110" s="3" t="s">
        <v>6</v>
      </c>
      <c r="G110" s="3" t="e">
        <f>VLOOKUP(B110,'Profit &amp; Loss'!$B$3:$C$390,2,0)</f>
        <v>#N/A</v>
      </c>
    </row>
    <row r="111" spans="1:7" x14ac:dyDescent="0.2">
      <c r="A111" s="3" t="s">
        <v>100</v>
      </c>
      <c r="B111" s="3" t="s">
        <v>980</v>
      </c>
      <c r="C111" s="4">
        <v>101857.79</v>
      </c>
      <c r="D111" s="4">
        <v>101857.79</v>
      </c>
      <c r="E111" s="4">
        <v>0</v>
      </c>
      <c r="F111" s="3" t="s">
        <v>6</v>
      </c>
      <c r="G111" s="3" t="e">
        <f>VLOOKUP(B111,'Profit &amp; Loss'!$B$3:$C$390,2,0)</f>
        <v>#N/A</v>
      </c>
    </row>
    <row r="112" spans="1:7" x14ac:dyDescent="0.2">
      <c r="A112" s="3" t="s">
        <v>100</v>
      </c>
      <c r="B112" s="3" t="s">
        <v>102</v>
      </c>
      <c r="C112" s="4">
        <v>-104888.75</v>
      </c>
      <c r="D112" s="4">
        <v>-104353.76</v>
      </c>
      <c r="E112" s="4">
        <v>-534.99</v>
      </c>
      <c r="F112" s="3" t="s">
        <v>887</v>
      </c>
      <c r="G112" s="3" t="e">
        <f>VLOOKUP(B112,'Profit &amp; Loss'!$B$3:$C$390,2,0)</f>
        <v>#N/A</v>
      </c>
    </row>
    <row r="113" spans="1:7" x14ac:dyDescent="0.2">
      <c r="A113" s="3" t="s">
        <v>100</v>
      </c>
      <c r="B113" s="3" t="s">
        <v>981</v>
      </c>
      <c r="C113" s="4">
        <v>-101857.79</v>
      </c>
      <c r="D113" s="4">
        <v>-101857.79</v>
      </c>
      <c r="E113" s="4">
        <v>0</v>
      </c>
      <c r="F113" s="3" t="s">
        <v>6</v>
      </c>
      <c r="G113" s="3" t="e">
        <f>VLOOKUP(B113,'Profit &amp; Loss'!$B$3:$C$390,2,0)</f>
        <v>#N/A</v>
      </c>
    </row>
    <row r="114" spans="1:7" x14ac:dyDescent="0.2">
      <c r="A114" s="3" t="s">
        <v>100</v>
      </c>
      <c r="B114" s="3" t="s">
        <v>2</v>
      </c>
      <c r="C114" s="4">
        <v>16241.42</v>
      </c>
      <c r="D114" s="4">
        <v>16776.41</v>
      </c>
      <c r="E114" s="4">
        <v>-534.99</v>
      </c>
      <c r="F114" s="3" t="s">
        <v>876</v>
      </c>
    </row>
    <row r="115" spans="1:7" x14ac:dyDescent="0.2">
      <c r="A115" s="3" t="s">
        <v>103</v>
      </c>
      <c r="B115" s="3" t="s">
        <v>2</v>
      </c>
      <c r="C115" s="4">
        <v>9013612.1500000004</v>
      </c>
      <c r="D115" s="4">
        <v>8193204.0599999996</v>
      </c>
      <c r="E115" s="4">
        <v>820408.09</v>
      </c>
      <c r="F115" s="3" t="s">
        <v>704</v>
      </c>
    </row>
    <row r="116" spans="1:7" x14ac:dyDescent="0.2">
      <c r="A116" s="3" t="s">
        <v>104</v>
      </c>
      <c r="B116" s="3" t="s">
        <v>105</v>
      </c>
      <c r="C116" s="4">
        <v>2113106.6</v>
      </c>
      <c r="D116" s="4">
        <v>2113106.6</v>
      </c>
      <c r="E116" s="4">
        <v>0</v>
      </c>
      <c r="F116" s="3" t="s">
        <v>6</v>
      </c>
      <c r="G116" s="3" t="e">
        <f>VLOOKUP(B116,'Profit &amp; Loss'!$B$3:$C$390,2,0)</f>
        <v>#N/A</v>
      </c>
    </row>
    <row r="117" spans="1:7" x14ac:dyDescent="0.2">
      <c r="A117" s="3" t="s">
        <v>104</v>
      </c>
      <c r="B117" s="3" t="s">
        <v>106</v>
      </c>
      <c r="C117" s="4">
        <v>678752.24</v>
      </c>
      <c r="D117" s="4">
        <v>678752.24</v>
      </c>
      <c r="E117" s="4">
        <v>0</v>
      </c>
      <c r="F117" s="3" t="s">
        <v>6</v>
      </c>
      <c r="G117" s="3" t="e">
        <f>VLOOKUP(B117,'Profit &amp; Loss'!$B$3:$C$390,2,0)</f>
        <v>#N/A</v>
      </c>
    </row>
    <row r="118" spans="1:7" x14ac:dyDescent="0.2">
      <c r="A118" s="3" t="s">
        <v>104</v>
      </c>
      <c r="B118" s="3" t="s">
        <v>107</v>
      </c>
      <c r="C118" s="4">
        <v>-2113106.6</v>
      </c>
      <c r="D118" s="4">
        <v>-2113106.6</v>
      </c>
      <c r="E118" s="4">
        <v>0</v>
      </c>
      <c r="F118" s="3" t="s">
        <v>6</v>
      </c>
      <c r="G118" s="3" t="e">
        <f>VLOOKUP(B118,'Profit &amp; Loss'!$B$3:$C$390,2,0)</f>
        <v>#N/A</v>
      </c>
    </row>
    <row r="119" spans="1:7" x14ac:dyDescent="0.2">
      <c r="A119" s="3" t="s">
        <v>104</v>
      </c>
      <c r="B119" s="3" t="s">
        <v>108</v>
      </c>
      <c r="C119" s="4">
        <v>-545163.59</v>
      </c>
      <c r="D119" s="4">
        <v>-537318.80000000005</v>
      </c>
      <c r="E119" s="4">
        <v>-7844.79</v>
      </c>
      <c r="F119" s="3" t="s">
        <v>500</v>
      </c>
      <c r="G119" s="3" t="e">
        <f>VLOOKUP(B119,'Profit &amp; Loss'!$B$3:$C$390,2,0)</f>
        <v>#N/A</v>
      </c>
    </row>
    <row r="120" spans="1:7" x14ac:dyDescent="0.2">
      <c r="A120" s="3" t="s">
        <v>104</v>
      </c>
      <c r="B120" s="3" t="s">
        <v>109</v>
      </c>
      <c r="C120" s="4">
        <v>-80257.42</v>
      </c>
      <c r="D120" s="4">
        <v>-80257.42</v>
      </c>
      <c r="E120" s="4">
        <v>0</v>
      </c>
      <c r="F120" s="3" t="s">
        <v>6</v>
      </c>
      <c r="G120" s="3" t="e">
        <f>VLOOKUP(B120,'Profit &amp; Loss'!$B$3:$C$390,2,0)</f>
        <v>#N/A</v>
      </c>
    </row>
    <row r="121" spans="1:7" x14ac:dyDescent="0.2">
      <c r="A121" s="3" t="s">
        <v>104</v>
      </c>
      <c r="B121" s="3" t="s">
        <v>110</v>
      </c>
      <c r="C121" s="4">
        <v>12094.41</v>
      </c>
      <c r="D121" s="4">
        <v>12094.41</v>
      </c>
      <c r="E121" s="4">
        <v>0</v>
      </c>
      <c r="F121" s="3" t="s">
        <v>6</v>
      </c>
      <c r="G121" s="3" t="e">
        <f>VLOOKUP(B121,'Profit &amp; Loss'!$B$3:$C$390,2,0)</f>
        <v>#N/A</v>
      </c>
    </row>
    <row r="122" spans="1:7" x14ac:dyDescent="0.2">
      <c r="A122" s="3" t="s">
        <v>104</v>
      </c>
      <c r="B122" s="3" t="s">
        <v>2</v>
      </c>
      <c r="C122" s="4">
        <v>65425.64</v>
      </c>
      <c r="D122" s="4">
        <v>73270.429999999993</v>
      </c>
      <c r="E122" s="4">
        <v>-7844.79</v>
      </c>
      <c r="F122" s="3" t="s">
        <v>944</v>
      </c>
    </row>
    <row r="123" spans="1:7" x14ac:dyDescent="0.2">
      <c r="A123" s="3" t="s">
        <v>112</v>
      </c>
      <c r="B123" s="3" t="s">
        <v>2</v>
      </c>
      <c r="C123" s="4">
        <v>65425.64</v>
      </c>
      <c r="D123" s="4">
        <v>73270.429999999993</v>
      </c>
      <c r="E123" s="4">
        <v>-7844.79</v>
      </c>
      <c r="F123" s="3" t="s">
        <v>944</v>
      </c>
    </row>
    <row r="124" spans="1:7" x14ac:dyDescent="0.2">
      <c r="A124" s="3" t="s">
        <v>0</v>
      </c>
      <c r="B124" s="3" t="s">
        <v>113</v>
      </c>
      <c r="C124" s="4">
        <v>41038110.219999999</v>
      </c>
      <c r="D124" s="4">
        <v>40479831.140000001</v>
      </c>
      <c r="E124" s="4">
        <v>558279.07999999996</v>
      </c>
      <c r="F124" s="3" t="s">
        <v>936</v>
      </c>
    </row>
    <row r="125" spans="1:7" x14ac:dyDescent="0.2">
      <c r="A125" s="3" t="s">
        <v>0</v>
      </c>
      <c r="B125" s="5" t="s">
        <v>114</v>
      </c>
      <c r="C125" s="4">
        <v>0</v>
      </c>
      <c r="D125" s="4">
        <v>0</v>
      </c>
      <c r="E125" s="4">
        <v>0</v>
      </c>
      <c r="F125" s="3" t="s">
        <v>2</v>
      </c>
    </row>
    <row r="126" spans="1:7" x14ac:dyDescent="0.2">
      <c r="A126" s="3" t="s">
        <v>115</v>
      </c>
      <c r="B126" s="3" t="s">
        <v>116</v>
      </c>
      <c r="C126" s="4">
        <v>0</v>
      </c>
      <c r="D126" s="4">
        <v>0</v>
      </c>
      <c r="E126" s="4">
        <v>0</v>
      </c>
      <c r="F126" s="3" t="s">
        <v>2</v>
      </c>
    </row>
    <row r="127" spans="1:7" x14ac:dyDescent="0.2">
      <c r="A127" s="3" t="s">
        <v>115</v>
      </c>
      <c r="B127" s="5" t="s">
        <v>117</v>
      </c>
      <c r="C127" s="4">
        <v>0</v>
      </c>
      <c r="D127" s="4">
        <v>0</v>
      </c>
      <c r="E127" s="4">
        <v>0</v>
      </c>
      <c r="F127" s="3" t="s">
        <v>2</v>
      </c>
    </row>
    <row r="128" spans="1:7" x14ac:dyDescent="0.2">
      <c r="A128" s="3" t="s">
        <v>118</v>
      </c>
      <c r="B128" s="3" t="s">
        <v>119</v>
      </c>
      <c r="C128" s="4">
        <v>-30942.94</v>
      </c>
      <c r="D128" s="4">
        <v>-1641.23</v>
      </c>
      <c r="E128" s="4">
        <v>-29301.71</v>
      </c>
      <c r="F128" s="3" t="s">
        <v>1019</v>
      </c>
      <c r="G128" s="3" t="e">
        <f>VLOOKUP(B128,'Profit &amp; Loss'!$B$3:$C$390,2,0)</f>
        <v>#N/A</v>
      </c>
    </row>
    <row r="129" spans="1:7" x14ac:dyDescent="0.2">
      <c r="A129" s="3" t="s">
        <v>118</v>
      </c>
      <c r="B129" s="3" t="s">
        <v>120</v>
      </c>
      <c r="C129" s="4">
        <v>72.56</v>
      </c>
      <c r="D129" s="4">
        <v>7.54</v>
      </c>
      <c r="E129" s="4">
        <v>65.02</v>
      </c>
      <c r="F129" s="3" t="s">
        <v>1020</v>
      </c>
      <c r="G129" s="3" t="e">
        <f>VLOOKUP(B129,'Profit &amp; Loss'!$B$3:$C$390,2,0)</f>
        <v>#N/A</v>
      </c>
    </row>
    <row r="130" spans="1:7" x14ac:dyDescent="0.2">
      <c r="A130" s="3" t="s">
        <v>118</v>
      </c>
      <c r="B130" s="3" t="s">
        <v>982</v>
      </c>
      <c r="C130" s="4">
        <v>0</v>
      </c>
      <c r="D130" s="4">
        <v>-1530.17</v>
      </c>
      <c r="E130" s="4">
        <v>1530.17</v>
      </c>
      <c r="F130" s="3" t="s">
        <v>531</v>
      </c>
      <c r="G130" s="3" t="e">
        <f>VLOOKUP(B130,'Profit &amp; Loss'!$B$3:$C$390,2,0)</f>
        <v>#N/A</v>
      </c>
    </row>
    <row r="131" spans="1:7" x14ac:dyDescent="0.2">
      <c r="A131" s="3" t="s">
        <v>118</v>
      </c>
      <c r="B131" s="3" t="s">
        <v>983</v>
      </c>
      <c r="C131" s="4">
        <v>0</v>
      </c>
      <c r="D131" s="4">
        <v>6.7</v>
      </c>
      <c r="E131" s="4">
        <v>-6.7</v>
      </c>
      <c r="F131" s="3" t="s">
        <v>475</v>
      </c>
      <c r="G131" s="3" t="e">
        <f>VLOOKUP(B131,'Profit &amp; Loss'!$B$3:$C$390,2,0)</f>
        <v>#N/A</v>
      </c>
    </row>
    <row r="132" spans="1:7" x14ac:dyDescent="0.2">
      <c r="A132" s="3" t="s">
        <v>118</v>
      </c>
      <c r="B132" s="3" t="s">
        <v>984</v>
      </c>
      <c r="C132" s="4">
        <v>-945</v>
      </c>
      <c r="D132" s="4">
        <v>-945</v>
      </c>
      <c r="E132" s="4">
        <v>0</v>
      </c>
      <c r="F132" s="3" t="s">
        <v>6</v>
      </c>
      <c r="G132" s="3" t="e">
        <f>VLOOKUP(B132,'Profit &amp; Loss'!$B$3:$C$390,2,0)</f>
        <v>#N/A</v>
      </c>
    </row>
    <row r="133" spans="1:7" x14ac:dyDescent="0.2">
      <c r="A133" s="3" t="s">
        <v>118</v>
      </c>
      <c r="B133" s="3" t="s">
        <v>2</v>
      </c>
      <c r="C133" s="4">
        <v>-31815.38</v>
      </c>
      <c r="D133" s="4">
        <v>-4102.16</v>
      </c>
      <c r="E133" s="4">
        <v>-27713.22</v>
      </c>
      <c r="F133" s="3" t="s">
        <v>1021</v>
      </c>
    </row>
    <row r="134" spans="1:7" x14ac:dyDescent="0.2">
      <c r="A134" s="3" t="s">
        <v>121</v>
      </c>
      <c r="B134" s="3" t="s">
        <v>2</v>
      </c>
      <c r="C134" s="4">
        <v>-31815.38</v>
      </c>
      <c r="D134" s="4">
        <v>-4102.16</v>
      </c>
      <c r="E134" s="4">
        <v>-27713.22</v>
      </c>
      <c r="F134" s="3" t="s">
        <v>1021</v>
      </c>
    </row>
    <row r="135" spans="1:7" x14ac:dyDescent="0.2">
      <c r="A135" s="3" t="s">
        <v>122</v>
      </c>
      <c r="B135" s="3" t="s">
        <v>123</v>
      </c>
      <c r="C135" s="4">
        <v>-355949.7</v>
      </c>
      <c r="D135" s="4">
        <v>-198965.81</v>
      </c>
      <c r="E135" s="4">
        <v>-156983.89000000001</v>
      </c>
      <c r="F135" s="3" t="s">
        <v>1022</v>
      </c>
      <c r="G135" s="3" t="e">
        <f>VLOOKUP(B135,'Profit &amp; Loss'!$B$3:$C$390,2,0)</f>
        <v>#N/A</v>
      </c>
    </row>
    <row r="136" spans="1:7" x14ac:dyDescent="0.2">
      <c r="A136" s="3" t="s">
        <v>122</v>
      </c>
      <c r="B136" s="3" t="s">
        <v>124</v>
      </c>
      <c r="C136" s="4">
        <v>464.02</v>
      </c>
      <c r="D136" s="4">
        <v>706.14</v>
      </c>
      <c r="E136" s="4">
        <v>-242.12</v>
      </c>
      <c r="F136" s="3" t="s">
        <v>891</v>
      </c>
      <c r="G136" s="3" t="e">
        <f>VLOOKUP(B136,'Profit &amp; Loss'!$B$3:$C$390,2,0)</f>
        <v>#N/A</v>
      </c>
    </row>
    <row r="137" spans="1:7" x14ac:dyDescent="0.2">
      <c r="A137" s="3" t="s">
        <v>122</v>
      </c>
      <c r="B137" s="3" t="s">
        <v>126</v>
      </c>
      <c r="C137" s="4">
        <v>2477245.27</v>
      </c>
      <c r="D137" s="4">
        <v>2131480.86</v>
      </c>
      <c r="E137" s="4">
        <v>345764.41</v>
      </c>
      <c r="F137" s="3" t="s">
        <v>616</v>
      </c>
      <c r="G137" s="3" t="e">
        <f>VLOOKUP(B137,'Profit &amp; Loss'!$B$3:$C$390,2,0)</f>
        <v>#N/A</v>
      </c>
    </row>
    <row r="138" spans="1:7" x14ac:dyDescent="0.2">
      <c r="A138" s="3" t="s">
        <v>122</v>
      </c>
      <c r="B138" s="3" t="s">
        <v>127</v>
      </c>
      <c r="C138" s="4">
        <v>2635.96</v>
      </c>
      <c r="D138" s="4">
        <v>1016.18</v>
      </c>
      <c r="E138" s="4">
        <v>1619.78</v>
      </c>
      <c r="F138" s="3" t="s">
        <v>1023</v>
      </c>
      <c r="G138" s="3" t="e">
        <f>VLOOKUP(B138,'Profit &amp; Loss'!$B$3:$C$390,2,0)</f>
        <v>#N/A</v>
      </c>
    </row>
    <row r="139" spans="1:7" x14ac:dyDescent="0.2">
      <c r="A139" s="3" t="s">
        <v>122</v>
      </c>
      <c r="B139" s="3" t="s">
        <v>128</v>
      </c>
      <c r="C139" s="4">
        <v>26875.75</v>
      </c>
      <c r="D139" s="4">
        <v>21325.01</v>
      </c>
      <c r="E139" s="4">
        <v>5550.74</v>
      </c>
      <c r="F139" s="3" t="s">
        <v>490</v>
      </c>
      <c r="G139" s="3" t="e">
        <f>VLOOKUP(B139,'Profit &amp; Loss'!$B$3:$C$390,2,0)</f>
        <v>#N/A</v>
      </c>
    </row>
    <row r="140" spans="1:7" x14ac:dyDescent="0.2">
      <c r="A140" s="3" t="s">
        <v>122</v>
      </c>
      <c r="B140" s="3" t="s">
        <v>129</v>
      </c>
      <c r="C140" s="4">
        <v>-2477245.27</v>
      </c>
      <c r="D140" s="4">
        <v>-2131480.86</v>
      </c>
      <c r="E140" s="4">
        <v>-345764.41</v>
      </c>
      <c r="F140" s="3" t="s">
        <v>881</v>
      </c>
      <c r="G140" s="3" t="e">
        <f>VLOOKUP(B140,'Profit &amp; Loss'!$B$3:$C$390,2,0)</f>
        <v>#N/A</v>
      </c>
    </row>
    <row r="141" spans="1:7" x14ac:dyDescent="0.2">
      <c r="A141" s="3" t="s">
        <v>122</v>
      </c>
      <c r="B141" s="3" t="s">
        <v>130</v>
      </c>
      <c r="C141" s="4">
        <v>-2635.96</v>
      </c>
      <c r="D141" s="4">
        <v>-1016.18</v>
      </c>
      <c r="E141" s="4">
        <v>-1619.78</v>
      </c>
      <c r="F141" s="3" t="s">
        <v>1024</v>
      </c>
      <c r="G141" s="3" t="e">
        <f>VLOOKUP(B141,'Profit &amp; Loss'!$B$3:$C$390,2,0)</f>
        <v>#N/A</v>
      </c>
    </row>
    <row r="142" spans="1:7" x14ac:dyDescent="0.2">
      <c r="A142" s="3" t="s">
        <v>122</v>
      </c>
      <c r="B142" s="3" t="s">
        <v>131</v>
      </c>
      <c r="C142" s="4">
        <v>-26875.75</v>
      </c>
      <c r="D142" s="4">
        <v>-21325.01</v>
      </c>
      <c r="E142" s="4">
        <v>-5550.74</v>
      </c>
      <c r="F142" s="3" t="s">
        <v>1025</v>
      </c>
      <c r="G142" s="3" t="e">
        <f>VLOOKUP(B142,'Profit &amp; Loss'!$B$3:$C$390,2,0)</f>
        <v>#N/A</v>
      </c>
    </row>
    <row r="143" spans="1:7" x14ac:dyDescent="0.2">
      <c r="A143" s="3" t="s">
        <v>122</v>
      </c>
      <c r="B143" s="3" t="s">
        <v>132</v>
      </c>
      <c r="C143" s="4">
        <v>-11474.76</v>
      </c>
      <c r="D143" s="4">
        <v>-16964.53</v>
      </c>
      <c r="E143" s="4">
        <v>5489.77</v>
      </c>
      <c r="F143" s="3" t="s">
        <v>510</v>
      </c>
      <c r="G143" s="3" t="e">
        <f>VLOOKUP(B143,'Profit &amp; Loss'!$B$3:$C$390,2,0)</f>
        <v>#N/A</v>
      </c>
    </row>
    <row r="144" spans="1:7" x14ac:dyDescent="0.2">
      <c r="A144" s="3" t="s">
        <v>122</v>
      </c>
      <c r="B144" s="3" t="s">
        <v>133</v>
      </c>
      <c r="C144" s="4">
        <v>11474.76</v>
      </c>
      <c r="D144" s="4">
        <v>16964.53</v>
      </c>
      <c r="E144" s="4">
        <v>-5489.77</v>
      </c>
      <c r="F144" s="3" t="s">
        <v>1026</v>
      </c>
      <c r="G144" s="3" t="e">
        <f>VLOOKUP(B144,'Profit &amp; Loss'!$B$3:$C$390,2,0)</f>
        <v>#N/A</v>
      </c>
    </row>
    <row r="145" spans="1:7" x14ac:dyDescent="0.2">
      <c r="A145" s="3" t="s">
        <v>122</v>
      </c>
      <c r="B145" s="3" t="s">
        <v>134</v>
      </c>
      <c r="C145" s="4">
        <v>-5281.09</v>
      </c>
      <c r="D145" s="4">
        <v>-7690.01</v>
      </c>
      <c r="E145" s="4">
        <v>2408.92</v>
      </c>
      <c r="F145" s="3" t="s">
        <v>839</v>
      </c>
      <c r="G145" s="3" t="e">
        <f>VLOOKUP(B145,'Profit &amp; Loss'!$B$3:$C$390,2,0)</f>
        <v>#N/A</v>
      </c>
    </row>
    <row r="146" spans="1:7" x14ac:dyDescent="0.2">
      <c r="A146" s="3" t="s">
        <v>122</v>
      </c>
      <c r="B146" s="3" t="s">
        <v>135</v>
      </c>
      <c r="C146" s="4">
        <v>5281.09</v>
      </c>
      <c r="D146" s="4">
        <v>7690.01</v>
      </c>
      <c r="E146" s="4">
        <v>-2408.92</v>
      </c>
      <c r="F146" s="3" t="s">
        <v>950</v>
      </c>
      <c r="G146" s="3" t="e">
        <f>VLOOKUP(B146,'Profit &amp; Loss'!$B$3:$C$390,2,0)</f>
        <v>#N/A</v>
      </c>
    </row>
    <row r="147" spans="1:7" x14ac:dyDescent="0.2">
      <c r="A147" s="3" t="s">
        <v>122</v>
      </c>
      <c r="B147" s="3" t="s">
        <v>136</v>
      </c>
      <c r="C147" s="4">
        <v>-24849.07</v>
      </c>
      <c r="D147" s="4">
        <v>-21201.08</v>
      </c>
      <c r="E147" s="4">
        <v>-3647.99</v>
      </c>
      <c r="F147" s="3" t="s">
        <v>511</v>
      </c>
      <c r="G147" s="3" t="e">
        <f>VLOOKUP(B147,'Profit &amp; Loss'!$B$3:$C$390,2,0)</f>
        <v>#N/A</v>
      </c>
    </row>
    <row r="148" spans="1:7" x14ac:dyDescent="0.2">
      <c r="A148" s="3" t="s">
        <v>122</v>
      </c>
      <c r="B148" s="3" t="s">
        <v>137</v>
      </c>
      <c r="C148" s="4">
        <v>24849.07</v>
      </c>
      <c r="D148" s="4">
        <v>21201.08</v>
      </c>
      <c r="E148" s="4">
        <v>3647.99</v>
      </c>
      <c r="F148" s="3" t="s">
        <v>551</v>
      </c>
      <c r="G148" s="3" t="e">
        <f>VLOOKUP(B148,'Profit &amp; Loss'!$B$3:$C$390,2,0)</f>
        <v>#N/A</v>
      </c>
    </row>
    <row r="149" spans="1:7" x14ac:dyDescent="0.2">
      <c r="A149" s="3" t="s">
        <v>122</v>
      </c>
      <c r="B149" s="3" t="s">
        <v>138</v>
      </c>
      <c r="C149" s="4">
        <v>-4383.26</v>
      </c>
      <c r="D149" s="4">
        <v>-1800.76</v>
      </c>
      <c r="E149" s="4">
        <v>-2582.5</v>
      </c>
      <c r="F149" s="3" t="s">
        <v>1027</v>
      </c>
      <c r="G149" s="3" t="e">
        <f>VLOOKUP(B149,'Profit &amp; Loss'!$B$3:$C$390,2,0)</f>
        <v>#N/A</v>
      </c>
    </row>
    <row r="150" spans="1:7" x14ac:dyDescent="0.2">
      <c r="A150" s="3" t="s">
        <v>122</v>
      </c>
      <c r="B150" s="3" t="s">
        <v>139</v>
      </c>
      <c r="C150" s="4">
        <v>4383.26</v>
      </c>
      <c r="D150" s="4">
        <v>1800.76</v>
      </c>
      <c r="E150" s="4">
        <v>2582.5</v>
      </c>
      <c r="F150" s="3" t="s">
        <v>1028</v>
      </c>
      <c r="G150" s="3" t="e">
        <f>VLOOKUP(B150,'Profit &amp; Loss'!$B$3:$C$390,2,0)</f>
        <v>#N/A</v>
      </c>
    </row>
    <row r="151" spans="1:7" x14ac:dyDescent="0.2">
      <c r="A151" s="3" t="s">
        <v>122</v>
      </c>
      <c r="B151" s="3" t="s">
        <v>985</v>
      </c>
      <c r="C151" s="4">
        <v>-473.65</v>
      </c>
      <c r="D151" s="4">
        <v>-6095.69</v>
      </c>
      <c r="E151" s="4">
        <v>5622.04</v>
      </c>
      <c r="F151" s="3" t="s">
        <v>585</v>
      </c>
      <c r="G151" s="3" t="e">
        <f>VLOOKUP(B151,'Profit &amp; Loss'!$B$3:$C$390,2,0)</f>
        <v>#N/A</v>
      </c>
    </row>
    <row r="152" spans="1:7" x14ac:dyDescent="0.2">
      <c r="A152" s="3" t="s">
        <v>122</v>
      </c>
      <c r="B152" s="3" t="s">
        <v>986</v>
      </c>
      <c r="C152" s="4">
        <v>473.65</v>
      </c>
      <c r="D152" s="4">
        <v>6095.69</v>
      </c>
      <c r="E152" s="4">
        <v>-5622.04</v>
      </c>
      <c r="F152" s="3" t="s">
        <v>1029</v>
      </c>
      <c r="G152" s="3" t="e">
        <f>VLOOKUP(B152,'Profit &amp; Loss'!$B$3:$C$390,2,0)</f>
        <v>#N/A</v>
      </c>
    </row>
    <row r="153" spans="1:7" x14ac:dyDescent="0.2">
      <c r="A153" s="3" t="s">
        <v>122</v>
      </c>
      <c r="B153" s="3" t="s">
        <v>140</v>
      </c>
      <c r="C153" s="4">
        <v>-34463.910000000003</v>
      </c>
      <c r="D153" s="4">
        <v>-50870.62</v>
      </c>
      <c r="E153" s="4">
        <v>16406.71</v>
      </c>
      <c r="F153" s="3" t="s">
        <v>627</v>
      </c>
      <c r="G153" s="3" t="e">
        <f>VLOOKUP(B153,'Profit &amp; Loss'!$B$3:$C$390,2,0)</f>
        <v>#N/A</v>
      </c>
    </row>
    <row r="154" spans="1:7" x14ac:dyDescent="0.2">
      <c r="A154" s="3" t="s">
        <v>122</v>
      </c>
      <c r="B154" s="3" t="s">
        <v>141</v>
      </c>
      <c r="C154" s="4">
        <v>34463.910000000003</v>
      </c>
      <c r="D154" s="4">
        <v>50870.62</v>
      </c>
      <c r="E154" s="4">
        <v>-16406.71</v>
      </c>
      <c r="F154" s="3" t="s">
        <v>638</v>
      </c>
      <c r="G154" s="3" t="e">
        <f>VLOOKUP(B154,'Profit &amp; Loss'!$B$3:$C$390,2,0)</f>
        <v>#N/A</v>
      </c>
    </row>
    <row r="155" spans="1:7" x14ac:dyDescent="0.2">
      <c r="A155" s="3" t="s">
        <v>122</v>
      </c>
      <c r="B155" s="3" t="s">
        <v>142</v>
      </c>
      <c r="C155" s="4">
        <v>-51523.44</v>
      </c>
      <c r="D155" s="4">
        <v>-58678.62</v>
      </c>
      <c r="E155" s="4">
        <v>7155.18</v>
      </c>
      <c r="F155" s="3" t="s">
        <v>544</v>
      </c>
      <c r="G155" s="3" t="e">
        <f>VLOOKUP(B155,'Profit &amp; Loss'!$B$3:$C$390,2,0)</f>
        <v>#N/A</v>
      </c>
    </row>
    <row r="156" spans="1:7" x14ac:dyDescent="0.2">
      <c r="A156" s="3" t="s">
        <v>122</v>
      </c>
      <c r="B156" s="3" t="s">
        <v>143</v>
      </c>
      <c r="C156" s="4">
        <v>61267.86</v>
      </c>
      <c r="D156" s="4">
        <v>57844.13</v>
      </c>
      <c r="E156" s="4">
        <v>3423.73</v>
      </c>
      <c r="F156" s="3" t="s">
        <v>1030</v>
      </c>
      <c r="G156" s="3" t="e">
        <f>VLOOKUP(B156,'Profit &amp; Loss'!$B$3:$C$390,2,0)</f>
        <v>#N/A</v>
      </c>
    </row>
    <row r="157" spans="1:7" x14ac:dyDescent="0.2">
      <c r="A157" s="3" t="s">
        <v>122</v>
      </c>
      <c r="B157" s="3" t="s">
        <v>144</v>
      </c>
      <c r="C157" s="4">
        <v>176731.45</v>
      </c>
      <c r="D157" s="4">
        <v>176731.45</v>
      </c>
      <c r="E157" s="4">
        <v>0</v>
      </c>
      <c r="F157" s="3" t="s">
        <v>6</v>
      </c>
      <c r="G157" s="3" t="e">
        <f>VLOOKUP(B157,'Profit &amp; Loss'!$B$3:$C$390,2,0)</f>
        <v>#N/A</v>
      </c>
    </row>
    <row r="158" spans="1:7" x14ac:dyDescent="0.2">
      <c r="A158" s="3" t="s">
        <v>122</v>
      </c>
      <c r="B158" s="3" t="s">
        <v>987</v>
      </c>
      <c r="C158" s="4">
        <v>0</v>
      </c>
      <c r="D158" s="4">
        <v>1021.9</v>
      </c>
      <c r="E158" s="4">
        <v>-1021.9</v>
      </c>
      <c r="F158" s="3" t="s">
        <v>475</v>
      </c>
      <c r="G158" s="3" t="e">
        <f>VLOOKUP(B158,'Profit &amp; Loss'!$B$3:$C$390,2,0)</f>
        <v>#N/A</v>
      </c>
    </row>
    <row r="159" spans="1:7" x14ac:dyDescent="0.2">
      <c r="A159" s="3" t="s">
        <v>122</v>
      </c>
      <c r="B159" s="3" t="s">
        <v>988</v>
      </c>
      <c r="C159" s="4">
        <v>0</v>
      </c>
      <c r="D159" s="4">
        <v>0.34</v>
      </c>
      <c r="E159" s="4">
        <v>-0.34</v>
      </c>
      <c r="F159" s="3" t="s">
        <v>475</v>
      </c>
      <c r="G159" s="3" t="e">
        <f>VLOOKUP(B159,'Profit &amp; Loss'!$B$3:$C$390,2,0)</f>
        <v>#N/A</v>
      </c>
    </row>
    <row r="160" spans="1:7" x14ac:dyDescent="0.2">
      <c r="A160" s="3" t="s">
        <v>122</v>
      </c>
      <c r="B160" s="3" t="s">
        <v>145</v>
      </c>
      <c r="C160" s="4">
        <v>4790.5200000000004</v>
      </c>
      <c r="D160" s="4">
        <v>0</v>
      </c>
      <c r="E160" s="4">
        <v>4790.5200000000004</v>
      </c>
      <c r="F160" s="3" t="s">
        <v>2</v>
      </c>
      <c r="G160" s="3" t="e">
        <f>VLOOKUP(B160,'Profit &amp; Loss'!$B$3:$C$390,2,0)</f>
        <v>#N/A</v>
      </c>
    </row>
    <row r="161" spans="1:7" x14ac:dyDescent="0.2">
      <c r="A161" s="3" t="s">
        <v>122</v>
      </c>
      <c r="B161" s="3" t="s">
        <v>146</v>
      </c>
      <c r="C161" s="4">
        <v>-31.32</v>
      </c>
      <c r="D161" s="4">
        <v>0</v>
      </c>
      <c r="E161" s="4">
        <v>-31.32</v>
      </c>
      <c r="F161" s="3" t="s">
        <v>2</v>
      </c>
      <c r="G161" s="3" t="e">
        <f>VLOOKUP(B161,'Profit &amp; Loss'!$B$3:$C$390,2,0)</f>
        <v>#N/A</v>
      </c>
    </row>
    <row r="162" spans="1:7" x14ac:dyDescent="0.2">
      <c r="A162" s="3" t="s">
        <v>122</v>
      </c>
      <c r="B162" s="3" t="s">
        <v>147</v>
      </c>
      <c r="C162" s="4">
        <v>-2525079.4700000002</v>
      </c>
      <c r="D162" s="4">
        <v>-2518350.04</v>
      </c>
      <c r="E162" s="4">
        <v>-6729.43</v>
      </c>
      <c r="F162" s="3" t="s">
        <v>521</v>
      </c>
      <c r="G162" s="3" t="e">
        <f>VLOOKUP(B162,'Profit &amp; Loss'!$B$3:$C$390,2,0)</f>
        <v>#N/A</v>
      </c>
    </row>
    <row r="163" spans="1:7" x14ac:dyDescent="0.2">
      <c r="A163" s="3" t="s">
        <v>122</v>
      </c>
      <c r="B163" s="3" t="s">
        <v>2</v>
      </c>
      <c r="C163" s="4">
        <v>-2689330.08</v>
      </c>
      <c r="D163" s="4">
        <v>-2539690.5099999998</v>
      </c>
      <c r="E163" s="4">
        <v>-149639.57</v>
      </c>
      <c r="F163" s="3" t="s">
        <v>484</v>
      </c>
    </row>
    <row r="164" spans="1:7" x14ac:dyDescent="0.2">
      <c r="A164" s="3" t="s">
        <v>148</v>
      </c>
      <c r="B164" s="3" t="s">
        <v>2</v>
      </c>
      <c r="C164" s="4">
        <v>-2689330.08</v>
      </c>
      <c r="D164" s="4">
        <v>-2539690.5099999998</v>
      </c>
      <c r="E164" s="4">
        <v>-149639.57</v>
      </c>
      <c r="F164" s="3" t="s">
        <v>484</v>
      </c>
    </row>
    <row r="165" spans="1:7" x14ac:dyDescent="0.2">
      <c r="A165" s="3" t="s">
        <v>149</v>
      </c>
      <c r="B165" s="3" t="s">
        <v>150</v>
      </c>
      <c r="C165" s="4">
        <v>108.76</v>
      </c>
      <c r="D165" s="4">
        <v>108.76</v>
      </c>
      <c r="E165" s="4">
        <v>0</v>
      </c>
      <c r="F165" s="3" t="s">
        <v>6</v>
      </c>
      <c r="G165" s="3" t="e">
        <f>VLOOKUP(B165,'Profit &amp; Loss'!$B$3:$C$390,2,0)</f>
        <v>#N/A</v>
      </c>
    </row>
    <row r="166" spans="1:7" x14ac:dyDescent="0.2">
      <c r="A166" s="3" t="s">
        <v>149</v>
      </c>
      <c r="B166" s="3" t="s">
        <v>151</v>
      </c>
      <c r="C166" s="4">
        <v>-324.48</v>
      </c>
      <c r="D166" s="4">
        <v>0</v>
      </c>
      <c r="E166" s="4">
        <v>-324.48</v>
      </c>
      <c r="F166" s="3" t="s">
        <v>2</v>
      </c>
      <c r="G166" s="3" t="e">
        <f>VLOOKUP(B166,'Profit &amp; Loss'!$B$3:$C$390,2,0)</f>
        <v>#N/A</v>
      </c>
    </row>
    <row r="167" spans="1:7" x14ac:dyDescent="0.2">
      <c r="A167" s="3" t="s">
        <v>149</v>
      </c>
      <c r="B167" s="3" t="s">
        <v>152</v>
      </c>
      <c r="C167" s="4">
        <v>4855.91</v>
      </c>
      <c r="D167" s="4">
        <v>3536.92</v>
      </c>
      <c r="E167" s="4">
        <v>1318.99</v>
      </c>
      <c r="F167" s="3" t="s">
        <v>969</v>
      </c>
      <c r="G167" s="3" t="e">
        <f>VLOOKUP(B167,'Profit &amp; Loss'!$B$3:$C$390,2,0)</f>
        <v>#N/A</v>
      </c>
    </row>
    <row r="168" spans="1:7" x14ac:dyDescent="0.2">
      <c r="A168" s="3" t="s">
        <v>149</v>
      </c>
      <c r="B168" s="3" t="s">
        <v>153</v>
      </c>
      <c r="C168" s="4">
        <v>-248.8</v>
      </c>
      <c r="D168" s="4">
        <v>-248.8</v>
      </c>
      <c r="E168" s="4">
        <v>0</v>
      </c>
      <c r="F168" s="3" t="s">
        <v>6</v>
      </c>
      <c r="G168" s="3" t="e">
        <f>VLOOKUP(B168,'Profit &amp; Loss'!$B$3:$C$390,2,0)</f>
        <v>#N/A</v>
      </c>
    </row>
    <row r="169" spans="1:7" x14ac:dyDescent="0.2">
      <c r="A169" s="3" t="s">
        <v>149</v>
      </c>
      <c r="B169" s="3" t="s">
        <v>154</v>
      </c>
      <c r="C169" s="4">
        <v>-1855.06</v>
      </c>
      <c r="D169" s="4">
        <v>-1406.6</v>
      </c>
      <c r="E169" s="4">
        <v>-448.46</v>
      </c>
      <c r="F169" s="3" t="s">
        <v>1031</v>
      </c>
      <c r="G169" s="3" t="e">
        <f>VLOOKUP(B169,'Profit &amp; Loss'!$B$3:$C$390,2,0)</f>
        <v>#N/A</v>
      </c>
    </row>
    <row r="170" spans="1:7" x14ac:dyDescent="0.2">
      <c r="A170" s="3" t="s">
        <v>149</v>
      </c>
      <c r="B170" s="3" t="s">
        <v>2</v>
      </c>
      <c r="C170" s="4">
        <v>2536.33</v>
      </c>
      <c r="D170" s="4">
        <v>1990.28</v>
      </c>
      <c r="E170" s="4">
        <v>546.04999999999995</v>
      </c>
      <c r="F170" s="3" t="s">
        <v>833</v>
      </c>
    </row>
    <row r="171" spans="1:7" x14ac:dyDescent="0.2">
      <c r="A171" s="3" t="s">
        <v>155</v>
      </c>
      <c r="B171" s="3" t="s">
        <v>2</v>
      </c>
      <c r="C171" s="4">
        <v>2536.33</v>
      </c>
      <c r="D171" s="4">
        <v>1990.28</v>
      </c>
      <c r="E171" s="4">
        <v>546.04999999999995</v>
      </c>
      <c r="F171" s="3" t="s">
        <v>833</v>
      </c>
    </row>
    <row r="172" spans="1:7" x14ac:dyDescent="0.2">
      <c r="A172" s="3" t="s">
        <v>156</v>
      </c>
      <c r="B172" s="3" t="s">
        <v>157</v>
      </c>
      <c r="C172" s="4">
        <v>-2135.1</v>
      </c>
      <c r="D172" s="4">
        <v>-2990.5</v>
      </c>
      <c r="E172" s="4">
        <v>855.4</v>
      </c>
      <c r="F172" s="3" t="s">
        <v>957</v>
      </c>
      <c r="G172" s="3" t="e">
        <f>VLOOKUP(B172,'Profit &amp; Loss'!$B$3:$C$390,2,0)</f>
        <v>#N/A</v>
      </c>
    </row>
    <row r="173" spans="1:7" x14ac:dyDescent="0.2">
      <c r="A173" s="3" t="s">
        <v>156</v>
      </c>
      <c r="B173" s="3" t="s">
        <v>158</v>
      </c>
      <c r="C173" s="4">
        <v>1168.55</v>
      </c>
      <c r="D173" s="4">
        <v>1168.55</v>
      </c>
      <c r="E173" s="4">
        <v>0</v>
      </c>
      <c r="F173" s="3" t="s">
        <v>6</v>
      </c>
      <c r="G173" s="3" t="e">
        <f>VLOOKUP(B173,'Profit &amp; Loss'!$B$3:$C$390,2,0)</f>
        <v>#N/A</v>
      </c>
    </row>
    <row r="174" spans="1:7" x14ac:dyDescent="0.2">
      <c r="A174" s="3" t="s">
        <v>156</v>
      </c>
      <c r="B174" s="3" t="s">
        <v>160</v>
      </c>
      <c r="C174" s="4">
        <v>-556.95000000000005</v>
      </c>
      <c r="D174" s="4">
        <v>-556.95000000000005</v>
      </c>
      <c r="E174" s="4">
        <v>0</v>
      </c>
      <c r="F174" s="3" t="s">
        <v>6</v>
      </c>
      <c r="G174" s="3" t="e">
        <f>VLOOKUP(B174,'Profit &amp; Loss'!$B$3:$C$390,2,0)</f>
        <v>#N/A</v>
      </c>
    </row>
    <row r="175" spans="1:7" x14ac:dyDescent="0.2">
      <c r="A175" s="3" t="s">
        <v>156</v>
      </c>
      <c r="B175" s="3" t="s">
        <v>161</v>
      </c>
      <c r="C175" s="4">
        <v>-4935.3100000000004</v>
      </c>
      <c r="D175" s="4">
        <v>-2546.25</v>
      </c>
      <c r="E175" s="4">
        <v>-2389.06</v>
      </c>
      <c r="F175" s="3" t="s">
        <v>1032</v>
      </c>
      <c r="G175" s="3" t="e">
        <f>VLOOKUP(B175,'Profit &amp; Loss'!$B$3:$C$390,2,0)</f>
        <v>#N/A</v>
      </c>
    </row>
    <row r="176" spans="1:7" x14ac:dyDescent="0.2">
      <c r="A176" s="3" t="s">
        <v>156</v>
      </c>
      <c r="B176" s="3" t="s">
        <v>2</v>
      </c>
      <c r="C176" s="4">
        <v>-6458.81</v>
      </c>
      <c r="D176" s="4">
        <v>-4925.1499999999996</v>
      </c>
      <c r="E176" s="4">
        <v>-1533.66</v>
      </c>
      <c r="F176" s="3" t="s">
        <v>1033</v>
      </c>
    </row>
    <row r="177" spans="1:7" x14ac:dyDescent="0.2">
      <c r="A177" s="3" t="s">
        <v>162</v>
      </c>
      <c r="B177" s="3" t="s">
        <v>163</v>
      </c>
      <c r="C177" s="4">
        <v>-68234.289999999994</v>
      </c>
      <c r="D177" s="4">
        <v>-68234.289999999994</v>
      </c>
      <c r="E177" s="4">
        <v>0</v>
      </c>
      <c r="F177" s="3" t="s">
        <v>6</v>
      </c>
      <c r="G177" s="3" t="e">
        <f>VLOOKUP(B177,'Profit &amp; Loss'!$B$3:$C$390,2,0)</f>
        <v>#N/A</v>
      </c>
    </row>
    <row r="178" spans="1:7" x14ac:dyDescent="0.2">
      <c r="A178" s="3" t="s">
        <v>162</v>
      </c>
      <c r="B178" s="3" t="s">
        <v>164</v>
      </c>
      <c r="C178" s="4">
        <v>-325784.84000000003</v>
      </c>
      <c r="D178" s="4">
        <v>-325611.05</v>
      </c>
      <c r="E178" s="4">
        <v>-173.79</v>
      </c>
      <c r="F178" s="3" t="s">
        <v>625</v>
      </c>
      <c r="G178" s="3" t="e">
        <f>VLOOKUP(B178,'Profit &amp; Loss'!$B$3:$C$390,2,0)</f>
        <v>#N/A</v>
      </c>
    </row>
    <row r="179" spans="1:7" x14ac:dyDescent="0.2">
      <c r="A179" s="3" t="s">
        <v>162</v>
      </c>
      <c r="B179" s="3" t="s">
        <v>165</v>
      </c>
      <c r="C179" s="4">
        <v>-245914.25</v>
      </c>
      <c r="D179" s="4">
        <v>-239979.26</v>
      </c>
      <c r="E179" s="4">
        <v>-5934.99</v>
      </c>
      <c r="F179" s="3" t="s">
        <v>614</v>
      </c>
      <c r="G179" s="3" t="e">
        <f>VLOOKUP(B179,'Profit &amp; Loss'!$B$3:$C$390,2,0)</f>
        <v>#N/A</v>
      </c>
    </row>
    <row r="180" spans="1:7" x14ac:dyDescent="0.2">
      <c r="A180" s="3" t="s">
        <v>162</v>
      </c>
      <c r="B180" s="3" t="s">
        <v>166</v>
      </c>
      <c r="C180" s="4">
        <v>-71788.78</v>
      </c>
      <c r="D180" s="4">
        <v>-62646.34</v>
      </c>
      <c r="E180" s="4">
        <v>-9142.44</v>
      </c>
      <c r="F180" s="3" t="s">
        <v>825</v>
      </c>
      <c r="G180" s="3" t="e">
        <f>VLOOKUP(B180,'Profit &amp; Loss'!$B$3:$C$390,2,0)</f>
        <v>#N/A</v>
      </c>
    </row>
    <row r="181" spans="1:7" x14ac:dyDescent="0.2">
      <c r="A181" s="3" t="s">
        <v>162</v>
      </c>
      <c r="B181" s="3" t="s">
        <v>167</v>
      </c>
      <c r="C181" s="4">
        <v>-584852.93999999994</v>
      </c>
      <c r="D181" s="4">
        <v>-570073.72</v>
      </c>
      <c r="E181" s="4">
        <v>-14779.22</v>
      </c>
      <c r="F181" s="3" t="s">
        <v>504</v>
      </c>
      <c r="G181" s="3" t="e">
        <f>VLOOKUP(B181,'Profit &amp; Loss'!$B$3:$C$390,2,0)</f>
        <v>#N/A</v>
      </c>
    </row>
    <row r="182" spans="1:7" x14ac:dyDescent="0.2">
      <c r="A182" s="3" t="s">
        <v>162</v>
      </c>
      <c r="B182" s="3" t="s">
        <v>168</v>
      </c>
      <c r="C182" s="4">
        <v>-53821.24</v>
      </c>
      <c r="D182" s="4">
        <v>-53790.58</v>
      </c>
      <c r="E182" s="4">
        <v>-30.66</v>
      </c>
      <c r="F182" s="3" t="s">
        <v>625</v>
      </c>
      <c r="G182" s="3" t="e">
        <f>VLOOKUP(B182,'Profit &amp; Loss'!$B$3:$C$390,2,0)</f>
        <v>#N/A</v>
      </c>
    </row>
    <row r="183" spans="1:7" x14ac:dyDescent="0.2">
      <c r="A183" s="3" t="s">
        <v>162</v>
      </c>
      <c r="B183" s="3" t="s">
        <v>169</v>
      </c>
      <c r="C183" s="4">
        <v>-464.44</v>
      </c>
      <c r="D183" s="4">
        <v>-452</v>
      </c>
      <c r="E183" s="4">
        <v>-12.44</v>
      </c>
      <c r="F183" s="3" t="s">
        <v>505</v>
      </c>
      <c r="G183" s="3" t="e">
        <f>VLOOKUP(B183,'Profit &amp; Loss'!$B$3:$C$390,2,0)</f>
        <v>#N/A</v>
      </c>
    </row>
    <row r="184" spans="1:7" x14ac:dyDescent="0.2">
      <c r="A184" s="3" t="s">
        <v>162</v>
      </c>
      <c r="B184" s="3" t="s">
        <v>170</v>
      </c>
      <c r="C184" s="4">
        <v>-308429.65999999997</v>
      </c>
      <c r="D184" s="4">
        <v>-308264.09999999998</v>
      </c>
      <c r="E184" s="4">
        <v>-165.56</v>
      </c>
      <c r="F184" s="3" t="s">
        <v>625</v>
      </c>
      <c r="G184" s="3" t="e">
        <f>VLOOKUP(B184,'Profit &amp; Loss'!$B$3:$C$390,2,0)</f>
        <v>#N/A</v>
      </c>
    </row>
    <row r="185" spans="1:7" x14ac:dyDescent="0.2">
      <c r="A185" s="3" t="s">
        <v>162</v>
      </c>
      <c r="B185" s="3" t="s">
        <v>171</v>
      </c>
      <c r="C185" s="4">
        <v>-258851.16</v>
      </c>
      <c r="D185" s="4">
        <v>-258712.78</v>
      </c>
      <c r="E185" s="4">
        <v>-138.38</v>
      </c>
      <c r="F185" s="3" t="s">
        <v>625</v>
      </c>
      <c r="G185" s="3" t="e">
        <f>VLOOKUP(B185,'Profit &amp; Loss'!$B$3:$C$390,2,0)</f>
        <v>#N/A</v>
      </c>
    </row>
    <row r="186" spans="1:7" x14ac:dyDescent="0.2">
      <c r="A186" s="3" t="s">
        <v>162</v>
      </c>
      <c r="B186" s="3" t="s">
        <v>2</v>
      </c>
      <c r="C186" s="4">
        <v>-1918141.6</v>
      </c>
      <c r="D186" s="4">
        <v>-1887764.12</v>
      </c>
      <c r="E186" s="4">
        <v>-30377.48</v>
      </c>
      <c r="F186" s="3" t="s">
        <v>886</v>
      </c>
    </row>
    <row r="187" spans="1:7" x14ac:dyDescent="0.2">
      <c r="A187" s="3" t="s">
        <v>172</v>
      </c>
      <c r="B187" s="3" t="s">
        <v>173</v>
      </c>
      <c r="C187" s="4">
        <v>-479.73</v>
      </c>
      <c r="D187" s="4">
        <v>-494.23</v>
      </c>
      <c r="E187" s="4">
        <v>14.5</v>
      </c>
      <c r="F187" s="3" t="s">
        <v>851</v>
      </c>
      <c r="G187" s="3" t="e">
        <f>VLOOKUP(B187,'Profit &amp; Loss'!$B$3:$C$390,2,0)</f>
        <v>#N/A</v>
      </c>
    </row>
    <row r="188" spans="1:7" x14ac:dyDescent="0.2">
      <c r="A188" s="3" t="s">
        <v>172</v>
      </c>
      <c r="B188" s="3" t="s">
        <v>2</v>
      </c>
      <c r="C188" s="4">
        <v>-479.73</v>
      </c>
      <c r="D188" s="4">
        <v>-494.23</v>
      </c>
      <c r="E188" s="4">
        <v>14.5</v>
      </c>
      <c r="F188" s="3" t="s">
        <v>851</v>
      </c>
    </row>
    <row r="189" spans="1:7" x14ac:dyDescent="0.2">
      <c r="A189" s="3" t="s">
        <v>174</v>
      </c>
      <c r="B189" s="3" t="s">
        <v>175</v>
      </c>
      <c r="C189" s="4">
        <v>2243.2399999999998</v>
      </c>
      <c r="D189" s="4">
        <v>2274.0700000000002</v>
      </c>
      <c r="E189" s="4">
        <v>-30.83</v>
      </c>
      <c r="F189" s="3" t="s">
        <v>630</v>
      </c>
      <c r="G189" s="3" t="e">
        <f>VLOOKUP(B189,'Profit &amp; Loss'!$B$3:$C$390,2,0)</f>
        <v>#N/A</v>
      </c>
    </row>
    <row r="190" spans="1:7" x14ac:dyDescent="0.2">
      <c r="A190" s="3" t="s">
        <v>174</v>
      </c>
      <c r="B190" s="3" t="s">
        <v>176</v>
      </c>
      <c r="C190" s="4">
        <v>-630444.31999999995</v>
      </c>
      <c r="D190" s="4">
        <v>-624369.1</v>
      </c>
      <c r="E190" s="4">
        <v>-6075.22</v>
      </c>
      <c r="F190" s="3" t="s">
        <v>503</v>
      </c>
      <c r="G190" s="3" t="e">
        <f>VLOOKUP(B190,'Profit &amp; Loss'!$B$3:$C$390,2,0)</f>
        <v>#N/A</v>
      </c>
    </row>
    <row r="191" spans="1:7" x14ac:dyDescent="0.2">
      <c r="A191" s="3" t="s">
        <v>174</v>
      </c>
      <c r="B191" s="3" t="s">
        <v>177</v>
      </c>
      <c r="C191" s="4">
        <v>-60312.99</v>
      </c>
      <c r="D191" s="4">
        <v>-65373.62</v>
      </c>
      <c r="E191" s="4">
        <v>5060.63</v>
      </c>
      <c r="F191" s="3" t="s">
        <v>718</v>
      </c>
      <c r="G191" s="3" t="e">
        <f>VLOOKUP(B191,'Profit &amp; Loss'!$B$3:$C$390,2,0)</f>
        <v>#N/A</v>
      </c>
    </row>
    <row r="192" spans="1:7" x14ac:dyDescent="0.2">
      <c r="A192" s="3" t="s">
        <v>174</v>
      </c>
      <c r="B192" s="3" t="s">
        <v>2</v>
      </c>
      <c r="C192" s="4">
        <v>-688514.07</v>
      </c>
      <c r="D192" s="4">
        <v>-687468.65</v>
      </c>
      <c r="E192" s="4">
        <v>-1045.42</v>
      </c>
      <c r="F192" s="3" t="s">
        <v>498</v>
      </c>
    </row>
    <row r="193" spans="1:7" x14ac:dyDescent="0.2">
      <c r="A193" s="3" t="s">
        <v>178</v>
      </c>
      <c r="B193" s="3" t="s">
        <v>179</v>
      </c>
      <c r="C193" s="4">
        <v>-707900.62</v>
      </c>
      <c r="D193" s="4">
        <v>-720948.9</v>
      </c>
      <c r="E193" s="4">
        <v>13048.28</v>
      </c>
      <c r="F193" s="3" t="s">
        <v>520</v>
      </c>
      <c r="G193" s="3" t="e">
        <f>VLOOKUP(B193,'Profit &amp; Loss'!$B$3:$C$390,2,0)</f>
        <v>#N/A</v>
      </c>
    </row>
    <row r="194" spans="1:7" x14ac:dyDescent="0.2">
      <c r="A194" s="3" t="s">
        <v>178</v>
      </c>
      <c r="B194" s="3" t="s">
        <v>180</v>
      </c>
      <c r="C194" s="4">
        <v>7851.38</v>
      </c>
      <c r="D194" s="4">
        <v>-4206.9399999999996</v>
      </c>
      <c r="E194" s="4">
        <v>12058.32</v>
      </c>
      <c r="F194" s="3" t="s">
        <v>1034</v>
      </c>
      <c r="G194" s="3" t="e">
        <f>VLOOKUP(B194,'Profit &amp; Loss'!$B$3:$C$390,2,0)</f>
        <v>#N/A</v>
      </c>
    </row>
    <row r="195" spans="1:7" x14ac:dyDescent="0.2">
      <c r="A195" s="3" t="s">
        <v>178</v>
      </c>
      <c r="B195" s="3" t="s">
        <v>181</v>
      </c>
      <c r="C195" s="4">
        <v>66845.31</v>
      </c>
      <c r="D195" s="4">
        <v>223.9</v>
      </c>
      <c r="E195" s="4">
        <v>66621.41</v>
      </c>
      <c r="F195" s="3" t="s">
        <v>1035</v>
      </c>
      <c r="G195" s="3" t="e">
        <f>VLOOKUP(B195,'Profit &amp; Loss'!$B$3:$C$390,2,0)</f>
        <v>#N/A</v>
      </c>
    </row>
    <row r="196" spans="1:7" x14ac:dyDescent="0.2">
      <c r="A196" s="3" t="s">
        <v>178</v>
      </c>
      <c r="B196" s="3" t="s">
        <v>182</v>
      </c>
      <c r="C196" s="4">
        <v>-948.5</v>
      </c>
      <c r="D196" s="4">
        <v>-2585.56</v>
      </c>
      <c r="E196" s="4">
        <v>1637.06</v>
      </c>
      <c r="F196" s="3" t="s">
        <v>549</v>
      </c>
      <c r="G196" s="3" t="e">
        <f>VLOOKUP(B196,'Profit &amp; Loss'!$B$3:$C$390,2,0)</f>
        <v>#N/A</v>
      </c>
    </row>
    <row r="197" spans="1:7" x14ac:dyDescent="0.2">
      <c r="A197" s="3" t="s">
        <v>178</v>
      </c>
      <c r="B197" s="3" t="s">
        <v>183</v>
      </c>
      <c r="C197" s="4">
        <v>0</v>
      </c>
      <c r="D197" s="4">
        <v>-60.88</v>
      </c>
      <c r="E197" s="4">
        <v>60.88</v>
      </c>
      <c r="F197" s="3" t="s">
        <v>531</v>
      </c>
      <c r="G197" s="3" t="e">
        <f>VLOOKUP(B197,'Profit &amp; Loss'!$B$3:$C$390,2,0)</f>
        <v>#N/A</v>
      </c>
    </row>
    <row r="198" spans="1:7" x14ac:dyDescent="0.2">
      <c r="A198" s="3" t="s">
        <v>178</v>
      </c>
      <c r="B198" s="3" t="s">
        <v>184</v>
      </c>
      <c r="C198" s="4">
        <v>-1002</v>
      </c>
      <c r="D198" s="4">
        <v>-3957.09</v>
      </c>
      <c r="E198" s="4">
        <v>2955.09</v>
      </c>
      <c r="F198" s="3" t="s">
        <v>780</v>
      </c>
      <c r="G198" s="3" t="e">
        <f>VLOOKUP(B198,'Profit &amp; Loss'!$B$3:$C$390,2,0)</f>
        <v>#N/A</v>
      </c>
    </row>
    <row r="199" spans="1:7" x14ac:dyDescent="0.2">
      <c r="A199" s="3" t="s">
        <v>178</v>
      </c>
      <c r="B199" s="3" t="s">
        <v>1036</v>
      </c>
      <c r="C199" s="4">
        <v>21104.46</v>
      </c>
      <c r="D199" s="4">
        <v>0</v>
      </c>
      <c r="E199" s="4">
        <v>21104.46</v>
      </c>
      <c r="F199" s="3" t="s">
        <v>2</v>
      </c>
      <c r="G199" s="3" t="e">
        <f>VLOOKUP(B199,'Profit &amp; Loss'!$B$3:$C$390,2,0)</f>
        <v>#N/A</v>
      </c>
    </row>
    <row r="200" spans="1:7" x14ac:dyDescent="0.2">
      <c r="A200" s="3" t="s">
        <v>178</v>
      </c>
      <c r="B200" s="3" t="s">
        <v>186</v>
      </c>
      <c r="C200" s="4">
        <v>-200</v>
      </c>
      <c r="D200" s="4">
        <v>-800</v>
      </c>
      <c r="E200" s="4">
        <v>600</v>
      </c>
      <c r="F200" s="3" t="s">
        <v>725</v>
      </c>
      <c r="G200" s="3" t="e">
        <f>VLOOKUP(B200,'Profit &amp; Loss'!$B$3:$C$390,2,0)</f>
        <v>#N/A</v>
      </c>
    </row>
    <row r="201" spans="1:7" x14ac:dyDescent="0.2">
      <c r="A201" s="3" t="s">
        <v>178</v>
      </c>
      <c r="B201" s="3" t="s">
        <v>187</v>
      </c>
      <c r="C201" s="4">
        <v>282.17</v>
      </c>
      <c r="D201" s="4">
        <v>323.99</v>
      </c>
      <c r="E201" s="4">
        <v>-41.82</v>
      </c>
      <c r="F201" s="3" t="s">
        <v>809</v>
      </c>
      <c r="G201" s="3" t="e">
        <f>VLOOKUP(B201,'Profit &amp; Loss'!$B$3:$C$390,2,0)</f>
        <v>#N/A</v>
      </c>
    </row>
    <row r="202" spans="1:7" x14ac:dyDescent="0.2">
      <c r="A202" s="3" t="s">
        <v>178</v>
      </c>
      <c r="B202" s="3" t="s">
        <v>188</v>
      </c>
      <c r="C202" s="4">
        <v>-1455.24</v>
      </c>
      <c r="D202" s="4">
        <v>-1219.8399999999999</v>
      </c>
      <c r="E202" s="4">
        <v>-235.4</v>
      </c>
      <c r="F202" s="3" t="s">
        <v>761</v>
      </c>
      <c r="G202" s="3" t="e">
        <f>VLOOKUP(B202,'Profit &amp; Loss'!$B$3:$C$390,2,0)</f>
        <v>#N/A</v>
      </c>
    </row>
    <row r="203" spans="1:7" x14ac:dyDescent="0.2">
      <c r="A203" s="3" t="s">
        <v>178</v>
      </c>
      <c r="B203" s="3" t="s">
        <v>190</v>
      </c>
      <c r="C203" s="4">
        <v>336.52</v>
      </c>
      <c r="D203" s="4">
        <v>385.31</v>
      </c>
      <c r="E203" s="4">
        <v>-48.79</v>
      </c>
      <c r="F203" s="3" t="s">
        <v>519</v>
      </c>
      <c r="G203" s="3" t="e">
        <f>VLOOKUP(B203,'Profit &amp; Loss'!$B$3:$C$390,2,0)</f>
        <v>#N/A</v>
      </c>
    </row>
    <row r="204" spans="1:7" x14ac:dyDescent="0.2">
      <c r="A204" s="3" t="s">
        <v>178</v>
      </c>
      <c r="B204" s="3" t="s">
        <v>191</v>
      </c>
      <c r="C204" s="4">
        <v>-100.2</v>
      </c>
      <c r="D204" s="4">
        <v>0</v>
      </c>
      <c r="E204" s="4">
        <v>-100.2</v>
      </c>
      <c r="F204" s="3" t="s">
        <v>2</v>
      </c>
      <c r="G204" s="3" t="e">
        <f>VLOOKUP(B204,'Profit &amp; Loss'!$B$3:$C$390,2,0)</f>
        <v>#N/A</v>
      </c>
    </row>
    <row r="205" spans="1:7" x14ac:dyDescent="0.2">
      <c r="A205" s="3" t="s">
        <v>178</v>
      </c>
      <c r="B205" s="3" t="s">
        <v>192</v>
      </c>
      <c r="C205" s="4">
        <v>10223.719999999999</v>
      </c>
      <c r="D205" s="4">
        <v>7153.18</v>
      </c>
      <c r="E205" s="4">
        <v>3070.54</v>
      </c>
      <c r="F205" s="3" t="s">
        <v>1037</v>
      </c>
      <c r="G205" s="3" t="e">
        <f>VLOOKUP(B205,'Profit &amp; Loss'!$B$3:$C$390,2,0)</f>
        <v>#N/A</v>
      </c>
    </row>
    <row r="206" spans="1:7" x14ac:dyDescent="0.2">
      <c r="A206" s="3" t="s">
        <v>178</v>
      </c>
      <c r="B206" s="3" t="s">
        <v>193</v>
      </c>
      <c r="C206" s="4">
        <v>0</v>
      </c>
      <c r="D206" s="4">
        <v>139.84</v>
      </c>
      <c r="E206" s="4">
        <v>-139.84</v>
      </c>
      <c r="F206" s="3" t="s">
        <v>475</v>
      </c>
      <c r="G206" s="3" t="e">
        <f>VLOOKUP(B206,'Profit &amp; Loss'!$B$3:$C$390,2,0)</f>
        <v>#N/A</v>
      </c>
    </row>
    <row r="207" spans="1:7" x14ac:dyDescent="0.2">
      <c r="A207" s="3" t="s">
        <v>178</v>
      </c>
      <c r="B207" s="3" t="s">
        <v>194</v>
      </c>
      <c r="C207" s="4">
        <v>-23672.59</v>
      </c>
      <c r="D207" s="4">
        <v>-23821.75</v>
      </c>
      <c r="E207" s="4">
        <v>149.16</v>
      </c>
      <c r="F207" s="3" t="s">
        <v>523</v>
      </c>
      <c r="G207" s="3" t="e">
        <f>VLOOKUP(B207,'Profit &amp; Loss'!$B$3:$C$390,2,0)</f>
        <v>#N/A</v>
      </c>
    </row>
    <row r="208" spans="1:7" x14ac:dyDescent="0.2">
      <c r="A208" s="3" t="s">
        <v>178</v>
      </c>
      <c r="B208" s="3" t="s">
        <v>195</v>
      </c>
      <c r="C208" s="4">
        <v>-38552.18</v>
      </c>
      <c r="D208" s="4">
        <v>-38589.58</v>
      </c>
      <c r="E208" s="4">
        <v>37.4</v>
      </c>
      <c r="F208" s="3" t="s">
        <v>471</v>
      </c>
      <c r="G208" s="3" t="e">
        <f>VLOOKUP(B208,'Profit &amp; Loss'!$B$3:$C$390,2,0)</f>
        <v>#N/A</v>
      </c>
    </row>
    <row r="209" spans="1:7" x14ac:dyDescent="0.2">
      <c r="A209" s="3" t="s">
        <v>178</v>
      </c>
      <c r="B209" s="3" t="s">
        <v>196</v>
      </c>
      <c r="C209" s="4">
        <v>-27070.18</v>
      </c>
      <c r="D209" s="4">
        <v>-26962.17</v>
      </c>
      <c r="E209" s="4">
        <v>-108.01</v>
      </c>
      <c r="F209" s="3" t="s">
        <v>470</v>
      </c>
      <c r="G209" s="3" t="e">
        <f>VLOOKUP(B209,'Profit &amp; Loss'!$B$3:$C$390,2,0)</f>
        <v>#N/A</v>
      </c>
    </row>
    <row r="210" spans="1:7" x14ac:dyDescent="0.2">
      <c r="A210" s="3" t="s">
        <v>178</v>
      </c>
      <c r="B210" s="3" t="s">
        <v>2</v>
      </c>
      <c r="C210" s="4">
        <v>-694257.95</v>
      </c>
      <c r="D210" s="4">
        <v>-814926.49</v>
      </c>
      <c r="E210" s="4">
        <v>120668.54</v>
      </c>
      <c r="F210" s="3" t="s">
        <v>1038</v>
      </c>
    </row>
    <row r="211" spans="1:7" x14ac:dyDescent="0.2">
      <c r="A211" s="3" t="s">
        <v>197</v>
      </c>
      <c r="B211" s="3" t="s">
        <v>2</v>
      </c>
      <c r="C211" s="4">
        <v>-3307852.16</v>
      </c>
      <c r="D211" s="4">
        <v>-3395578.64</v>
      </c>
      <c r="E211" s="4">
        <v>87726.48</v>
      </c>
      <c r="F211" s="3" t="s">
        <v>711</v>
      </c>
    </row>
    <row r="212" spans="1:7" x14ac:dyDescent="0.2">
      <c r="A212" s="3" t="s">
        <v>198</v>
      </c>
      <c r="B212" s="3" t="s">
        <v>199</v>
      </c>
      <c r="C212" s="4">
        <v>80587.259999999995</v>
      </c>
      <c r="D212" s="4">
        <v>52009.78</v>
      </c>
      <c r="E212" s="4">
        <v>28577.48</v>
      </c>
      <c r="F212" s="3" t="s">
        <v>1039</v>
      </c>
      <c r="G212" s="3" t="e">
        <f>VLOOKUP(B212,'Profit &amp; Loss'!$B$3:$C$390,2,0)</f>
        <v>#N/A</v>
      </c>
    </row>
    <row r="213" spans="1:7" x14ac:dyDescent="0.2">
      <c r="A213" s="3" t="s">
        <v>198</v>
      </c>
      <c r="B213" s="3" t="s">
        <v>2</v>
      </c>
      <c r="C213" s="4">
        <v>80587.259999999995</v>
      </c>
      <c r="D213" s="4">
        <v>52009.78</v>
      </c>
      <c r="E213" s="4">
        <v>28577.48</v>
      </c>
      <c r="F213" s="3" t="s">
        <v>1039</v>
      </c>
    </row>
    <row r="214" spans="1:7" x14ac:dyDescent="0.2">
      <c r="A214" s="3" t="s">
        <v>200</v>
      </c>
      <c r="B214" s="3" t="s">
        <v>201</v>
      </c>
      <c r="C214" s="4">
        <v>-5252.67</v>
      </c>
      <c r="D214" s="4">
        <v>-5252.67</v>
      </c>
      <c r="E214" s="4">
        <v>0</v>
      </c>
      <c r="F214" s="3" t="s">
        <v>6</v>
      </c>
      <c r="G214" s="3" t="e">
        <f>VLOOKUP(B214,'Profit &amp; Loss'!$B$3:$C$390,2,0)</f>
        <v>#N/A</v>
      </c>
    </row>
    <row r="215" spans="1:7" x14ac:dyDescent="0.2">
      <c r="A215" s="3" t="s">
        <v>200</v>
      </c>
      <c r="B215" s="3" t="s">
        <v>203</v>
      </c>
      <c r="C215" s="4">
        <v>-10671.57</v>
      </c>
      <c r="D215" s="4">
        <v>-10671.57</v>
      </c>
      <c r="E215" s="4">
        <v>0</v>
      </c>
      <c r="F215" s="3" t="s">
        <v>6</v>
      </c>
      <c r="G215" s="3" t="e">
        <f>VLOOKUP(B215,'Profit &amp; Loss'!$B$3:$C$390,2,0)</f>
        <v>#N/A</v>
      </c>
    </row>
    <row r="216" spans="1:7" x14ac:dyDescent="0.2">
      <c r="A216" s="3" t="s">
        <v>200</v>
      </c>
      <c r="B216" s="3" t="s">
        <v>204</v>
      </c>
      <c r="C216" s="4">
        <v>-21013.47</v>
      </c>
      <c r="D216" s="4">
        <v>-21013.47</v>
      </c>
      <c r="E216" s="4">
        <v>0</v>
      </c>
      <c r="F216" s="3" t="s">
        <v>6</v>
      </c>
      <c r="G216" s="3" t="e">
        <f>VLOOKUP(B216,'Profit &amp; Loss'!$B$3:$C$390,2,0)</f>
        <v>#N/A</v>
      </c>
    </row>
    <row r="217" spans="1:7" x14ac:dyDescent="0.2">
      <c r="A217" s="3" t="s">
        <v>200</v>
      </c>
      <c r="B217" s="3" t="s">
        <v>205</v>
      </c>
      <c r="C217" s="4">
        <v>-5.01</v>
      </c>
      <c r="D217" s="4">
        <v>-5.01</v>
      </c>
      <c r="E217" s="4">
        <v>0</v>
      </c>
      <c r="F217" s="3" t="s">
        <v>6</v>
      </c>
      <c r="G217" s="3" t="e">
        <f>VLOOKUP(B217,'Profit &amp; Loss'!$B$3:$C$390,2,0)</f>
        <v>#N/A</v>
      </c>
    </row>
    <row r="218" spans="1:7" x14ac:dyDescent="0.2">
      <c r="A218" s="3" t="s">
        <v>200</v>
      </c>
      <c r="B218" s="3" t="s">
        <v>209</v>
      </c>
      <c r="C218" s="4">
        <v>-0.03</v>
      </c>
      <c r="D218" s="4">
        <v>-0.03</v>
      </c>
      <c r="E218" s="4">
        <v>0</v>
      </c>
      <c r="F218" s="3" t="s">
        <v>6</v>
      </c>
      <c r="G218" s="3" t="e">
        <f>VLOOKUP(B218,'Profit &amp; Loss'!$B$3:$C$390,2,0)</f>
        <v>#N/A</v>
      </c>
    </row>
    <row r="219" spans="1:7" x14ac:dyDescent="0.2">
      <c r="A219" s="3" t="s">
        <v>200</v>
      </c>
      <c r="B219" s="3" t="s">
        <v>2</v>
      </c>
      <c r="C219" s="4">
        <v>-36942.75</v>
      </c>
      <c r="D219" s="4">
        <v>-36942.75</v>
      </c>
      <c r="E219" s="4">
        <v>0</v>
      </c>
      <c r="F219" s="3" t="s">
        <v>6</v>
      </c>
    </row>
    <row r="220" spans="1:7" x14ac:dyDescent="0.2">
      <c r="A220" s="3" t="s">
        <v>210</v>
      </c>
      <c r="B220" s="3" t="s">
        <v>2</v>
      </c>
      <c r="C220" s="4">
        <v>43644.51</v>
      </c>
      <c r="D220" s="4">
        <v>15067.03</v>
      </c>
      <c r="E220" s="4">
        <v>28577.48</v>
      </c>
      <c r="F220" s="3" t="s">
        <v>1040</v>
      </c>
    </row>
    <row r="221" spans="1:7" x14ac:dyDescent="0.2">
      <c r="A221" s="3" t="s">
        <v>211</v>
      </c>
      <c r="B221" s="3" t="s">
        <v>212</v>
      </c>
      <c r="C221" s="4">
        <v>-91742.080000000002</v>
      </c>
      <c r="D221" s="4">
        <v>-91742.080000000002</v>
      </c>
      <c r="E221" s="4">
        <v>0</v>
      </c>
      <c r="F221" s="3" t="s">
        <v>6</v>
      </c>
      <c r="G221" s="3" t="e">
        <f>VLOOKUP(B221,'Profit &amp; Loss'!$B$3:$C$390,2,0)</f>
        <v>#N/A</v>
      </c>
    </row>
    <row r="222" spans="1:7" x14ac:dyDescent="0.2">
      <c r="A222" s="3" t="s">
        <v>211</v>
      </c>
      <c r="B222" s="3" t="s">
        <v>213</v>
      </c>
      <c r="C222" s="4">
        <v>-95304.27</v>
      </c>
      <c r="D222" s="4">
        <v>-94520.46</v>
      </c>
      <c r="E222" s="4">
        <v>-783.81</v>
      </c>
      <c r="F222" s="3" t="s">
        <v>615</v>
      </c>
      <c r="G222" s="3" t="e">
        <f>VLOOKUP(B222,'Profit &amp; Loss'!$B$3:$C$390,2,0)</f>
        <v>#N/A</v>
      </c>
    </row>
    <row r="223" spans="1:7" x14ac:dyDescent="0.2">
      <c r="A223" s="3" t="s">
        <v>211</v>
      </c>
      <c r="B223" s="3" t="s">
        <v>214</v>
      </c>
      <c r="C223" s="4">
        <v>-75454.679999999993</v>
      </c>
      <c r="D223" s="4">
        <v>-75784.03</v>
      </c>
      <c r="E223" s="4">
        <v>329.35</v>
      </c>
      <c r="F223" s="3" t="s">
        <v>576</v>
      </c>
      <c r="G223" s="3" t="e">
        <f>VLOOKUP(B223,'Profit &amp; Loss'!$B$3:$C$390,2,0)</f>
        <v>#N/A</v>
      </c>
    </row>
    <row r="224" spans="1:7" x14ac:dyDescent="0.2">
      <c r="A224" s="3" t="s">
        <v>211</v>
      </c>
      <c r="B224" s="3" t="s">
        <v>215</v>
      </c>
      <c r="C224" s="4">
        <v>-67684.28</v>
      </c>
      <c r="D224" s="4">
        <v>-67684.28</v>
      </c>
      <c r="E224" s="4">
        <v>0</v>
      </c>
      <c r="F224" s="3" t="s">
        <v>6</v>
      </c>
      <c r="G224" s="3" t="e">
        <f>VLOOKUP(B224,'Profit &amp; Loss'!$B$3:$C$390,2,0)</f>
        <v>#N/A</v>
      </c>
    </row>
    <row r="225" spans="1:7" x14ac:dyDescent="0.2">
      <c r="A225" s="3" t="s">
        <v>211</v>
      </c>
      <c r="B225" s="3" t="s">
        <v>216</v>
      </c>
      <c r="C225" s="4">
        <v>-41513.4</v>
      </c>
      <c r="D225" s="4">
        <v>-49782.52</v>
      </c>
      <c r="E225" s="4">
        <v>8269.1200000000008</v>
      </c>
      <c r="F225" s="3" t="s">
        <v>923</v>
      </c>
      <c r="G225" s="3" t="e">
        <f>VLOOKUP(B225,'Profit &amp; Loss'!$B$3:$C$390,2,0)</f>
        <v>#N/A</v>
      </c>
    </row>
    <row r="226" spans="1:7" x14ac:dyDescent="0.2">
      <c r="A226" s="3" t="s">
        <v>211</v>
      </c>
      <c r="B226" s="3" t="s">
        <v>217</v>
      </c>
      <c r="C226" s="4">
        <v>-245172.2</v>
      </c>
      <c r="D226" s="4">
        <v>-247806.69</v>
      </c>
      <c r="E226" s="4">
        <v>2634.49</v>
      </c>
      <c r="F226" s="3" t="s">
        <v>526</v>
      </c>
      <c r="G226" s="3" t="e">
        <f>VLOOKUP(B226,'Profit &amp; Loss'!$B$3:$C$390,2,0)</f>
        <v>#N/A</v>
      </c>
    </row>
    <row r="227" spans="1:7" x14ac:dyDescent="0.2">
      <c r="A227" s="3" t="s">
        <v>211</v>
      </c>
      <c r="B227" s="3" t="s">
        <v>2</v>
      </c>
      <c r="C227" s="4">
        <v>-616870.91</v>
      </c>
      <c r="D227" s="4">
        <v>-627320.06000000006</v>
      </c>
      <c r="E227" s="4">
        <v>10449.15</v>
      </c>
      <c r="F227" s="3" t="s">
        <v>604</v>
      </c>
    </row>
    <row r="228" spans="1:7" x14ac:dyDescent="0.2">
      <c r="A228" s="3" t="s">
        <v>218</v>
      </c>
      <c r="B228" s="3" t="s">
        <v>2</v>
      </c>
      <c r="C228" s="4">
        <v>-616870.91</v>
      </c>
      <c r="D228" s="4">
        <v>-627320.06000000006</v>
      </c>
      <c r="E228" s="4">
        <v>10449.15</v>
      </c>
      <c r="F228" s="3" t="s">
        <v>604</v>
      </c>
    </row>
    <row r="229" spans="1:7" x14ac:dyDescent="0.2">
      <c r="A229" s="3" t="s">
        <v>219</v>
      </c>
      <c r="B229" s="3" t="s">
        <v>220</v>
      </c>
      <c r="C229" s="4">
        <v>120.57</v>
      </c>
      <c r="D229" s="4">
        <v>120.57</v>
      </c>
      <c r="E229" s="4">
        <v>0</v>
      </c>
      <c r="F229" s="3" t="s">
        <v>6</v>
      </c>
      <c r="G229" s="3" t="e">
        <f>VLOOKUP(B229,'Profit &amp; Loss'!$B$3:$C$390,2,0)</f>
        <v>#N/A</v>
      </c>
    </row>
    <row r="230" spans="1:7" x14ac:dyDescent="0.2">
      <c r="A230" s="3" t="s">
        <v>219</v>
      </c>
      <c r="B230" s="3" t="s">
        <v>221</v>
      </c>
      <c r="C230" s="4">
        <v>596.78</v>
      </c>
      <c r="D230" s="4">
        <v>596.78</v>
      </c>
      <c r="E230" s="4">
        <v>0</v>
      </c>
      <c r="F230" s="3" t="s">
        <v>6</v>
      </c>
      <c r="G230" s="3" t="e">
        <f>VLOOKUP(B230,'Profit &amp; Loss'!$B$3:$C$390,2,0)</f>
        <v>#N/A</v>
      </c>
    </row>
    <row r="231" spans="1:7" x14ac:dyDescent="0.2">
      <c r="A231" s="3" t="s">
        <v>219</v>
      </c>
      <c r="B231" s="3" t="s">
        <v>222</v>
      </c>
      <c r="C231" s="4">
        <v>55033414.060000002</v>
      </c>
      <c r="D231" s="4">
        <v>53993580.850000001</v>
      </c>
      <c r="E231" s="4">
        <v>1039833.21</v>
      </c>
      <c r="F231" s="3" t="s">
        <v>522</v>
      </c>
      <c r="G231" s="3" t="e">
        <f>VLOOKUP(B231,'Profit &amp; Loss'!$B$3:$C$390,2,0)</f>
        <v>#N/A</v>
      </c>
    </row>
    <row r="232" spans="1:7" x14ac:dyDescent="0.2">
      <c r="A232" s="3" t="s">
        <v>219</v>
      </c>
      <c r="B232" s="3" t="s">
        <v>2</v>
      </c>
      <c r="C232" s="4">
        <v>55034131.409999996</v>
      </c>
      <c r="D232" s="4">
        <v>53994298.200000003</v>
      </c>
      <c r="E232" s="4">
        <v>1039833.21</v>
      </c>
      <c r="F232" s="3" t="s">
        <v>522</v>
      </c>
    </row>
    <row r="233" spans="1:7" x14ac:dyDescent="0.2">
      <c r="A233" s="3" t="s">
        <v>223</v>
      </c>
      <c r="B233" s="3" t="s">
        <v>2</v>
      </c>
      <c r="C233" s="4">
        <v>55034131.409999996</v>
      </c>
      <c r="D233" s="4">
        <v>53994298.200000003</v>
      </c>
      <c r="E233" s="4">
        <v>1039833.21</v>
      </c>
      <c r="F233" s="3" t="s">
        <v>522</v>
      </c>
    </row>
    <row r="234" spans="1:7" x14ac:dyDescent="0.2">
      <c r="A234" s="3" t="s">
        <v>224</v>
      </c>
      <c r="B234" s="3" t="s">
        <v>2</v>
      </c>
      <c r="C234" s="4">
        <v>48434443.719999999</v>
      </c>
      <c r="D234" s="4">
        <v>47444664.140000001</v>
      </c>
      <c r="E234" s="4">
        <v>989779.58</v>
      </c>
      <c r="F234" s="3" t="s">
        <v>567</v>
      </c>
    </row>
    <row r="235" spans="1:7" x14ac:dyDescent="0.2">
      <c r="A235" s="3" t="s">
        <v>225</v>
      </c>
      <c r="B235" s="3" t="s">
        <v>226</v>
      </c>
      <c r="C235" s="4">
        <v>-85746371.450000003</v>
      </c>
      <c r="D235" s="4">
        <v>-85746371.450000003</v>
      </c>
      <c r="E235" s="4">
        <v>0</v>
      </c>
      <c r="F235" s="3" t="s">
        <v>6</v>
      </c>
      <c r="G235" s="3" t="e">
        <f>VLOOKUP(B235,'Profit &amp; Loss'!$B$3:$C$390,2,0)</f>
        <v>#N/A</v>
      </c>
    </row>
    <row r="236" spans="1:7" x14ac:dyDescent="0.2">
      <c r="A236" s="3" t="s">
        <v>225</v>
      </c>
      <c r="B236" s="3" t="s">
        <v>2</v>
      </c>
      <c r="C236" s="4">
        <v>-85746371.450000003</v>
      </c>
      <c r="D236" s="4">
        <v>-85746371.450000003</v>
      </c>
      <c r="E236" s="4">
        <v>0</v>
      </c>
      <c r="F236" s="3" t="s">
        <v>6</v>
      </c>
    </row>
    <row r="237" spans="1:7" x14ac:dyDescent="0.2">
      <c r="A237" s="3" t="s">
        <v>227</v>
      </c>
      <c r="B237" s="3" t="s">
        <v>2</v>
      </c>
      <c r="C237" s="4">
        <v>-85746371.450000003</v>
      </c>
      <c r="D237" s="4">
        <v>-85746371.450000003</v>
      </c>
      <c r="E237" s="4">
        <v>0</v>
      </c>
      <c r="F237" s="3" t="s">
        <v>6</v>
      </c>
    </row>
    <row r="238" spans="1:7" x14ac:dyDescent="0.2">
      <c r="A238" s="3" t="s">
        <v>228</v>
      </c>
      <c r="B238" s="3" t="s">
        <v>2</v>
      </c>
      <c r="C238" s="4">
        <v>-85746371.450000003</v>
      </c>
      <c r="D238" s="4">
        <v>-85746371.450000003</v>
      </c>
      <c r="E238" s="4">
        <v>0</v>
      </c>
      <c r="F238" s="3" t="s">
        <v>6</v>
      </c>
    </row>
    <row r="239" spans="1:7" x14ac:dyDescent="0.2">
      <c r="A239" s="3" t="s">
        <v>229</v>
      </c>
      <c r="B239" s="3" t="s">
        <v>230</v>
      </c>
      <c r="C239" s="4">
        <v>0</v>
      </c>
      <c r="D239" s="4">
        <v>0</v>
      </c>
      <c r="E239" s="4">
        <v>0</v>
      </c>
      <c r="F239" s="3" t="s">
        <v>2</v>
      </c>
    </row>
    <row r="240" spans="1:7" x14ac:dyDescent="0.2">
      <c r="A240" s="3" t="s">
        <v>229</v>
      </c>
      <c r="B240" s="5" t="s">
        <v>231</v>
      </c>
      <c r="C240" s="4">
        <v>0</v>
      </c>
      <c r="D240" s="4">
        <v>0</v>
      </c>
      <c r="E240" s="4">
        <v>0</v>
      </c>
      <c r="F240" s="3" t="s">
        <v>2</v>
      </c>
    </row>
    <row r="241" spans="1:7" x14ac:dyDescent="0.2">
      <c r="A241" s="3" t="s">
        <v>232</v>
      </c>
      <c r="B241" s="3" t="s">
        <v>2</v>
      </c>
      <c r="C241" s="4">
        <v>-3726182.49</v>
      </c>
      <c r="D241" s="4">
        <v>-2178123.83</v>
      </c>
      <c r="E241" s="4">
        <v>-1548058.66</v>
      </c>
      <c r="F241" s="3" t="s">
        <v>1041</v>
      </c>
    </row>
    <row r="242" spans="1:7" x14ac:dyDescent="0.2">
      <c r="A242" s="3" t="s">
        <v>229</v>
      </c>
      <c r="B242" s="3" t="s">
        <v>233</v>
      </c>
      <c r="C242" s="4">
        <v>-3726182.49</v>
      </c>
      <c r="D242" s="4">
        <v>-2178123.83</v>
      </c>
      <c r="E242" s="4">
        <v>-1548058.66</v>
      </c>
      <c r="F242" s="3" t="s">
        <v>1041</v>
      </c>
    </row>
    <row r="243" spans="1:7" x14ac:dyDescent="0.2">
      <c r="A243" s="3" t="s">
        <v>229</v>
      </c>
      <c r="B243" s="5" t="s">
        <v>234</v>
      </c>
      <c r="C243" s="4">
        <v>0</v>
      </c>
      <c r="D243" s="4">
        <v>0</v>
      </c>
      <c r="E243" s="4">
        <v>0</v>
      </c>
      <c r="F243" s="3" t="s">
        <v>2</v>
      </c>
    </row>
    <row r="244" spans="1:7" x14ac:dyDescent="0.2">
      <c r="A244" s="3" t="s">
        <v>115</v>
      </c>
      <c r="B244" s="3" t="s">
        <v>235</v>
      </c>
      <c r="C244" s="4">
        <v>-41038110.219999999</v>
      </c>
      <c r="D244" s="4">
        <v>-40479831.140000001</v>
      </c>
      <c r="E244" s="4">
        <v>-558279.07999999996</v>
      </c>
      <c r="F244" s="3" t="s">
        <v>630</v>
      </c>
    </row>
    <row r="245" spans="1:7" x14ac:dyDescent="0.2">
      <c r="A245" s="3" t="s">
        <v>115</v>
      </c>
      <c r="B245" s="5" t="s">
        <v>236</v>
      </c>
      <c r="C245" s="4">
        <v>0</v>
      </c>
      <c r="D245" s="4">
        <v>0</v>
      </c>
      <c r="E245" s="4">
        <v>0</v>
      </c>
      <c r="F245" s="3" t="s">
        <v>2</v>
      </c>
    </row>
    <row r="246" spans="1:7" x14ac:dyDescent="0.2">
      <c r="A246" s="3" t="s">
        <v>237</v>
      </c>
      <c r="B246" s="3" t="s">
        <v>238</v>
      </c>
      <c r="C246" s="4">
        <v>0</v>
      </c>
      <c r="D246" s="4">
        <v>0</v>
      </c>
      <c r="E246" s="4">
        <v>0</v>
      </c>
      <c r="F246" s="3" t="s">
        <v>2</v>
      </c>
    </row>
    <row r="247" spans="1:7" x14ac:dyDescent="0.2">
      <c r="A247" s="3" t="s">
        <v>237</v>
      </c>
      <c r="B247" s="5" t="s">
        <v>239</v>
      </c>
      <c r="C247" s="4">
        <v>0</v>
      </c>
      <c r="D247" s="4">
        <v>0</v>
      </c>
      <c r="E247" s="4">
        <v>0</v>
      </c>
      <c r="F247" s="3" t="s">
        <v>2</v>
      </c>
    </row>
    <row r="248" spans="1:7" x14ac:dyDescent="0.2">
      <c r="A248" s="3" t="s">
        <v>240</v>
      </c>
      <c r="B248" s="3" t="s">
        <v>241</v>
      </c>
      <c r="C248" s="4">
        <v>-58033.760000000002</v>
      </c>
      <c r="D248" s="4">
        <v>-58033.760000000002</v>
      </c>
      <c r="E248" s="4">
        <v>0</v>
      </c>
      <c r="F248" s="3" t="s">
        <v>6</v>
      </c>
      <c r="G248" s="3">
        <f>VLOOKUP(B248,'Profit &amp; Loss'!$B$3:$C$390,2,0)</f>
        <v>-58033.760000000002</v>
      </c>
    </row>
    <row r="249" spans="1:7" x14ac:dyDescent="0.2">
      <c r="A249" s="3" t="s">
        <v>240</v>
      </c>
      <c r="B249" s="3" t="s">
        <v>824</v>
      </c>
      <c r="C249" s="4">
        <v>3837.96</v>
      </c>
      <c r="D249" s="4">
        <v>3837.96</v>
      </c>
      <c r="E249" s="4">
        <v>0</v>
      </c>
      <c r="F249" s="3" t="s">
        <v>6</v>
      </c>
      <c r="G249" s="3">
        <f>VLOOKUP(B249,'Profit &amp; Loss'!$B$3:$C$390,2,0)</f>
        <v>3837.96</v>
      </c>
    </row>
    <row r="250" spans="1:7" x14ac:dyDescent="0.2">
      <c r="A250" s="3" t="s">
        <v>240</v>
      </c>
      <c r="B250" s="3" t="s">
        <v>2</v>
      </c>
      <c r="C250" s="4">
        <v>-54195.8</v>
      </c>
      <c r="D250" s="4">
        <v>-54195.8</v>
      </c>
      <c r="E250" s="4">
        <v>0</v>
      </c>
      <c r="F250" s="3" t="s">
        <v>6</v>
      </c>
    </row>
    <row r="251" spans="1:7" x14ac:dyDescent="0.2">
      <c r="A251" s="3" t="s">
        <v>244</v>
      </c>
      <c r="B251" s="3" t="s">
        <v>245</v>
      </c>
      <c r="C251" s="4">
        <v>-9353719.9900000002</v>
      </c>
      <c r="D251" s="4">
        <v>-4673022.7699999996</v>
      </c>
      <c r="E251" s="4">
        <v>-4680697.22</v>
      </c>
      <c r="F251" s="3" t="s">
        <v>1042</v>
      </c>
      <c r="G251" s="3">
        <f>VLOOKUP(B251,'Profit &amp; Loss'!$B$3:$C$390,2,0)</f>
        <v>-4673022.7699999996</v>
      </c>
    </row>
    <row r="252" spans="1:7" x14ac:dyDescent="0.2">
      <c r="A252" s="3" t="s">
        <v>244</v>
      </c>
      <c r="B252" s="3" t="s">
        <v>536</v>
      </c>
      <c r="C252" s="4">
        <v>-20930.36</v>
      </c>
      <c r="D252" s="4">
        <v>-9457.2900000000009</v>
      </c>
      <c r="E252" s="4">
        <v>-11473.07</v>
      </c>
      <c r="F252" s="3" t="s">
        <v>801</v>
      </c>
      <c r="G252" s="3">
        <f>VLOOKUP(B252,'Profit &amp; Loss'!$B$3:$C$390,2,0)</f>
        <v>-9457.2900000000009</v>
      </c>
    </row>
    <row r="253" spans="1:7" x14ac:dyDescent="0.2">
      <c r="A253" s="3" t="s">
        <v>244</v>
      </c>
      <c r="B253" s="3" t="s">
        <v>537</v>
      </c>
      <c r="C253" s="4">
        <v>471.94</v>
      </c>
      <c r="D253" s="4">
        <v>0.01</v>
      </c>
      <c r="E253" s="4">
        <v>471.93</v>
      </c>
      <c r="F253" s="3" t="s">
        <v>1043</v>
      </c>
      <c r="G253" s="3">
        <f>VLOOKUP(B253,'Profit &amp; Loss'!$B$3:$C$390,2,0)</f>
        <v>0.01</v>
      </c>
    </row>
    <row r="254" spans="1:7" x14ac:dyDescent="0.2">
      <c r="A254" s="3" t="s">
        <v>244</v>
      </c>
      <c r="B254" s="3" t="s">
        <v>246</v>
      </c>
      <c r="C254" s="4">
        <v>-88783.17</v>
      </c>
      <c r="D254" s="4">
        <v>-49623.57</v>
      </c>
      <c r="E254" s="4">
        <v>-39159.599999999999</v>
      </c>
      <c r="F254" s="3" t="s">
        <v>1022</v>
      </c>
      <c r="G254" s="3">
        <f>VLOOKUP(B254,'Profit &amp; Loss'!$B$3:$C$390,2,0)</f>
        <v>-49623.57</v>
      </c>
    </row>
    <row r="255" spans="1:7" x14ac:dyDescent="0.2">
      <c r="A255" s="3" t="s">
        <v>244</v>
      </c>
      <c r="B255" s="3" t="s">
        <v>247</v>
      </c>
      <c r="C255" s="4">
        <v>-34.71</v>
      </c>
      <c r="D255" s="4">
        <v>-27.12</v>
      </c>
      <c r="E255" s="4">
        <v>-7.59</v>
      </c>
      <c r="F255" s="3" t="s">
        <v>528</v>
      </c>
      <c r="G255" s="3">
        <f>VLOOKUP(B255,'Profit &amp; Loss'!$B$3:$C$390,2,0)</f>
        <v>-27.12</v>
      </c>
    </row>
    <row r="256" spans="1:7" x14ac:dyDescent="0.2">
      <c r="A256" s="3" t="s">
        <v>244</v>
      </c>
      <c r="B256" s="3" t="s">
        <v>949</v>
      </c>
      <c r="C256" s="4">
        <v>-133950.59</v>
      </c>
      <c r="D256" s="4">
        <v>-133950.59</v>
      </c>
      <c r="E256" s="4">
        <v>0</v>
      </c>
      <c r="F256" s="3" t="s">
        <v>6</v>
      </c>
      <c r="G256" s="3">
        <f>VLOOKUP(B256,'Profit &amp; Loss'!$B$3:$C$390,2,0)</f>
        <v>-133950.59</v>
      </c>
    </row>
    <row r="257" spans="1:7" s="18" customFormat="1" x14ac:dyDescent="0.2">
      <c r="A257" s="18" t="s">
        <v>244</v>
      </c>
      <c r="B257" s="18" t="s">
        <v>248</v>
      </c>
      <c r="C257" s="19">
        <v>-146463.94</v>
      </c>
      <c r="D257" s="19">
        <v>0</v>
      </c>
      <c r="E257" s="19">
        <v>-146463.94</v>
      </c>
      <c r="F257" s="18" t="s">
        <v>2</v>
      </c>
      <c r="G257" s="18">
        <f>VLOOKUP(B257,'Profit &amp; Loss'!$B$3:$C$390,2,0)</f>
        <v>0</v>
      </c>
    </row>
    <row r="258" spans="1:7" x14ac:dyDescent="0.2">
      <c r="A258" s="3" t="s">
        <v>244</v>
      </c>
      <c r="B258" s="3" t="s">
        <v>250</v>
      </c>
      <c r="C258" s="4">
        <v>-1572.31</v>
      </c>
      <c r="D258" s="4">
        <v>-1606.18</v>
      </c>
      <c r="E258" s="4">
        <v>33.869999999999997</v>
      </c>
      <c r="F258" s="3" t="s">
        <v>567</v>
      </c>
      <c r="G258" s="3">
        <f>VLOOKUP(B258,'Profit &amp; Loss'!$B$3:$C$390,2,0)</f>
        <v>-1606.18</v>
      </c>
    </row>
    <row r="259" spans="1:7" x14ac:dyDescent="0.2">
      <c r="A259" s="3" t="s">
        <v>244</v>
      </c>
      <c r="B259" s="3" t="s">
        <v>251</v>
      </c>
      <c r="C259" s="4">
        <v>20272.41</v>
      </c>
      <c r="D259" s="4">
        <v>12361.59</v>
      </c>
      <c r="E259" s="4">
        <v>7910.82</v>
      </c>
      <c r="F259" s="3" t="s">
        <v>1044</v>
      </c>
      <c r="G259" s="3">
        <f>VLOOKUP(B259,'Profit &amp; Loss'!$B$3:$C$390,2,0)</f>
        <v>12361.59</v>
      </c>
    </row>
    <row r="260" spans="1:7" s="18" customFormat="1" x14ac:dyDescent="0.2">
      <c r="A260" s="18" t="s">
        <v>244</v>
      </c>
      <c r="B260" s="18" t="s">
        <v>252</v>
      </c>
      <c r="C260" s="19">
        <v>-9916.3799999999992</v>
      </c>
      <c r="D260" s="19">
        <v>0</v>
      </c>
      <c r="E260" s="19">
        <v>-9916.3799999999992</v>
      </c>
      <c r="F260" s="18" t="s">
        <v>2</v>
      </c>
      <c r="G260" s="18">
        <f>VLOOKUP(B260,'Profit &amp; Loss'!$B$3:$C$390,2,0)</f>
        <v>0</v>
      </c>
    </row>
    <row r="261" spans="1:7" x14ac:dyDescent="0.2">
      <c r="A261" s="3" t="s">
        <v>244</v>
      </c>
      <c r="B261" s="3" t="s">
        <v>2</v>
      </c>
      <c r="C261" s="4">
        <v>-9734627.0999999996</v>
      </c>
      <c r="D261" s="4">
        <v>-4855325.92</v>
      </c>
      <c r="E261" s="4">
        <v>-4879301.18</v>
      </c>
      <c r="F261" s="3" t="s">
        <v>1045</v>
      </c>
    </row>
    <row r="262" spans="1:7" x14ac:dyDescent="0.2">
      <c r="A262" s="3" t="s">
        <v>253</v>
      </c>
      <c r="B262" s="3" t="s">
        <v>254</v>
      </c>
      <c r="C262" s="4">
        <v>91510.78</v>
      </c>
      <c r="D262" s="4">
        <v>31846.94</v>
      </c>
      <c r="E262" s="4">
        <v>59663.839999999997</v>
      </c>
      <c r="F262" s="3" t="s">
        <v>1046</v>
      </c>
      <c r="G262" s="3">
        <f>VLOOKUP(B262,'Profit &amp; Loss'!$B$3:$C$390,2,0)</f>
        <v>31846.94</v>
      </c>
    </row>
    <row r="263" spans="1:7" x14ac:dyDescent="0.2">
      <c r="A263" s="3" t="s">
        <v>253</v>
      </c>
      <c r="B263" s="3" t="s">
        <v>255</v>
      </c>
      <c r="C263" s="4">
        <v>-53910.89</v>
      </c>
      <c r="D263" s="4">
        <v>-31894.21</v>
      </c>
      <c r="E263" s="4">
        <v>-22016.68</v>
      </c>
      <c r="F263" s="3" t="s">
        <v>538</v>
      </c>
      <c r="G263" s="3">
        <f>VLOOKUP(B263,'Profit &amp; Loss'!$B$3:$C$390,2,0)</f>
        <v>-31894.21</v>
      </c>
    </row>
    <row r="264" spans="1:7" x14ac:dyDescent="0.2">
      <c r="A264" s="3" t="s">
        <v>253</v>
      </c>
      <c r="B264" s="3" t="s">
        <v>256</v>
      </c>
      <c r="C264" s="4">
        <v>-30363.33</v>
      </c>
      <c r="D264" s="4">
        <v>-17785.87</v>
      </c>
      <c r="E264" s="4">
        <v>-12577.46</v>
      </c>
      <c r="F264" s="3" t="s">
        <v>1047</v>
      </c>
      <c r="G264" s="3">
        <f>VLOOKUP(B264,'Profit &amp; Loss'!$B$3:$C$390,2,0)</f>
        <v>-17785.87</v>
      </c>
    </row>
    <row r="265" spans="1:7" x14ac:dyDescent="0.2">
      <c r="A265" s="3" t="s">
        <v>253</v>
      </c>
      <c r="B265" s="3" t="s">
        <v>257</v>
      </c>
      <c r="C265" s="4">
        <v>-487404.88</v>
      </c>
      <c r="D265" s="4">
        <v>-222549.26</v>
      </c>
      <c r="E265" s="4">
        <v>-264855.62</v>
      </c>
      <c r="F265" s="3" t="s">
        <v>1048</v>
      </c>
      <c r="G265" s="3">
        <f>VLOOKUP(B265,'Profit &amp; Loss'!$B$3:$C$390,2,0)</f>
        <v>-222549.26</v>
      </c>
    </row>
    <row r="266" spans="1:7" x14ac:dyDescent="0.2">
      <c r="A266" s="3" t="s">
        <v>253</v>
      </c>
      <c r="B266" s="3" t="s">
        <v>258</v>
      </c>
      <c r="C266" s="4">
        <v>10164.94</v>
      </c>
      <c r="D266" s="4">
        <v>4.93</v>
      </c>
      <c r="E266" s="4">
        <v>10160.01</v>
      </c>
      <c r="F266" s="3" t="s">
        <v>1049</v>
      </c>
      <c r="G266" s="3">
        <f>VLOOKUP(B266,'Profit &amp; Loss'!$B$3:$C$390,2,0)</f>
        <v>4.93</v>
      </c>
    </row>
    <row r="267" spans="1:7" x14ac:dyDescent="0.2">
      <c r="A267" s="3" t="s">
        <v>253</v>
      </c>
      <c r="B267" s="3" t="s">
        <v>989</v>
      </c>
      <c r="C267" s="4">
        <v>5.01</v>
      </c>
      <c r="D267" s="4">
        <v>5.01</v>
      </c>
      <c r="E267" s="4">
        <v>0</v>
      </c>
      <c r="F267" s="3" t="s">
        <v>6</v>
      </c>
      <c r="G267" s="3">
        <f>VLOOKUP(B267,'Profit &amp; Loss'!$B$3:$C$390,2,0)</f>
        <v>5.01</v>
      </c>
    </row>
    <row r="268" spans="1:7" x14ac:dyDescent="0.2">
      <c r="A268" s="3" t="s">
        <v>253</v>
      </c>
      <c r="B268" s="3" t="s">
        <v>2</v>
      </c>
      <c r="C268" s="4">
        <v>-469998.37</v>
      </c>
      <c r="D268" s="4">
        <v>-240372.46</v>
      </c>
      <c r="E268" s="4">
        <v>-229625.91</v>
      </c>
      <c r="F268" s="3" t="s">
        <v>1050</v>
      </c>
    </row>
    <row r="269" spans="1:7" x14ac:dyDescent="0.2">
      <c r="A269" s="3" t="s">
        <v>260</v>
      </c>
      <c r="B269" s="3" t="s">
        <v>261</v>
      </c>
      <c r="C269" s="4">
        <v>-1143748.21</v>
      </c>
      <c r="D269" s="4">
        <v>-646517.02</v>
      </c>
      <c r="E269" s="4">
        <v>-497231.19</v>
      </c>
      <c r="F269" s="3" t="s">
        <v>1051</v>
      </c>
      <c r="G269" s="3">
        <f>VLOOKUP(B269,'Profit &amp; Loss'!$B$3:$C$390,2,0)</f>
        <v>-646517.02</v>
      </c>
    </row>
    <row r="270" spans="1:7" x14ac:dyDescent="0.2">
      <c r="A270" s="3" t="s">
        <v>260</v>
      </c>
      <c r="B270" s="3" t="s">
        <v>2</v>
      </c>
      <c r="C270" s="4">
        <v>-1143748.21</v>
      </c>
      <c r="D270" s="4">
        <v>-646517.02</v>
      </c>
      <c r="E270" s="4">
        <v>-497231.19</v>
      </c>
      <c r="F270" s="3" t="s">
        <v>1051</v>
      </c>
    </row>
    <row r="271" spans="1:7" x14ac:dyDescent="0.2">
      <c r="A271" s="3" t="s">
        <v>263</v>
      </c>
      <c r="B271" s="3" t="s">
        <v>264</v>
      </c>
      <c r="C271" s="4">
        <v>-80587.259999999995</v>
      </c>
      <c r="D271" s="4">
        <v>-52009.78</v>
      </c>
      <c r="E271" s="4">
        <v>-28577.48</v>
      </c>
      <c r="F271" s="3" t="s">
        <v>1052</v>
      </c>
      <c r="G271" s="3">
        <f>VLOOKUP(B271,'Profit &amp; Loss'!$B$3:$C$390,2,0)</f>
        <v>-52009.78</v>
      </c>
    </row>
    <row r="272" spans="1:7" x14ac:dyDescent="0.2">
      <c r="A272" s="3" t="s">
        <v>263</v>
      </c>
      <c r="B272" s="3" t="s">
        <v>2</v>
      </c>
      <c r="C272" s="4">
        <v>-80587.259999999995</v>
      </c>
      <c r="D272" s="4">
        <v>-52009.78</v>
      </c>
      <c r="E272" s="4">
        <v>-28577.48</v>
      </c>
      <c r="F272" s="3" t="s">
        <v>1052</v>
      </c>
    </row>
    <row r="273" spans="1:7" x14ac:dyDescent="0.2">
      <c r="A273" s="3" t="s">
        <v>265</v>
      </c>
      <c r="B273" s="3" t="s">
        <v>2</v>
      </c>
      <c r="C273" s="4">
        <v>-11483156.74</v>
      </c>
      <c r="D273" s="4">
        <v>-5848420.9800000004</v>
      </c>
      <c r="E273" s="4">
        <v>-5634735.7599999998</v>
      </c>
      <c r="F273" s="3" t="s">
        <v>1053</v>
      </c>
    </row>
    <row r="274" spans="1:7" x14ac:dyDescent="0.2">
      <c r="A274" s="3" t="s">
        <v>266</v>
      </c>
      <c r="B274" s="3" t="s">
        <v>267</v>
      </c>
      <c r="C274" s="4">
        <v>35994.629999999997</v>
      </c>
      <c r="D274" s="4">
        <v>35994.629999999997</v>
      </c>
      <c r="E274" s="4">
        <v>0</v>
      </c>
      <c r="F274" s="3" t="s">
        <v>6</v>
      </c>
      <c r="G274" s="3">
        <f>VLOOKUP(B274,'Profit &amp; Loss'!$B$3:$C$390,2,0)</f>
        <v>35994.629999999997</v>
      </c>
    </row>
    <row r="275" spans="1:7" s="18" customFormat="1" x14ac:dyDescent="0.2">
      <c r="A275" s="18" t="s">
        <v>266</v>
      </c>
      <c r="B275" s="18" t="s">
        <v>542</v>
      </c>
      <c r="C275" s="19">
        <v>70.900000000000006</v>
      </c>
      <c r="D275" s="19">
        <v>0</v>
      </c>
      <c r="E275" s="19">
        <v>70.900000000000006</v>
      </c>
      <c r="F275" s="18" t="s">
        <v>2</v>
      </c>
      <c r="G275" s="18">
        <f>VLOOKUP(B275,'Profit &amp; Loss'!$B$3:$C$390,2,0)</f>
        <v>0</v>
      </c>
    </row>
    <row r="276" spans="1:7" x14ac:dyDescent="0.2">
      <c r="A276" s="3" t="s">
        <v>266</v>
      </c>
      <c r="B276" s="3" t="s">
        <v>270</v>
      </c>
      <c r="C276" s="4">
        <v>1700</v>
      </c>
      <c r="D276" s="4">
        <v>1700</v>
      </c>
      <c r="E276" s="4">
        <v>0</v>
      </c>
      <c r="F276" s="3" t="s">
        <v>6</v>
      </c>
      <c r="G276" s="3">
        <f>VLOOKUP(B276,'Profit &amp; Loss'!$B$3:$C$390,2,0)</f>
        <v>1700</v>
      </c>
    </row>
    <row r="277" spans="1:7" x14ac:dyDescent="0.2">
      <c r="A277" s="3" t="s">
        <v>266</v>
      </c>
      <c r="B277" s="3" t="s">
        <v>271</v>
      </c>
      <c r="C277" s="4">
        <v>1213.56</v>
      </c>
      <c r="D277" s="4">
        <v>687.98</v>
      </c>
      <c r="E277" s="4">
        <v>525.58000000000004</v>
      </c>
      <c r="F277" s="3" t="s">
        <v>1054</v>
      </c>
      <c r="G277" s="3">
        <f>VLOOKUP(B277,'Profit &amp; Loss'!$B$3:$C$390,2,0)</f>
        <v>687.98</v>
      </c>
    </row>
    <row r="278" spans="1:7" x14ac:dyDescent="0.2">
      <c r="A278" s="3" t="s">
        <v>266</v>
      </c>
      <c r="B278" s="3" t="s">
        <v>272</v>
      </c>
      <c r="C278" s="4">
        <v>3744.15</v>
      </c>
      <c r="D278" s="4">
        <v>3744.15</v>
      </c>
      <c r="E278" s="4">
        <v>0</v>
      </c>
      <c r="F278" s="3" t="s">
        <v>6</v>
      </c>
      <c r="G278" s="3">
        <f>VLOOKUP(B278,'Profit &amp; Loss'!$B$3:$C$390,2,0)</f>
        <v>3744.15</v>
      </c>
    </row>
    <row r="279" spans="1:7" s="18" customFormat="1" x14ac:dyDescent="0.2">
      <c r="A279" s="18" t="s">
        <v>266</v>
      </c>
      <c r="B279" s="18" t="s">
        <v>273</v>
      </c>
      <c r="C279" s="19">
        <v>107.78</v>
      </c>
      <c r="D279" s="19">
        <v>0</v>
      </c>
      <c r="E279" s="19">
        <v>107.78</v>
      </c>
      <c r="F279" s="18" t="s">
        <v>2</v>
      </c>
      <c r="G279" s="18">
        <f>VLOOKUP(B279,'Profit &amp; Loss'!$B$3:$C$390,2,0)</f>
        <v>0</v>
      </c>
    </row>
    <row r="280" spans="1:7" x14ac:dyDescent="0.2">
      <c r="A280" s="3" t="s">
        <v>266</v>
      </c>
      <c r="B280" s="3" t="s">
        <v>274</v>
      </c>
      <c r="C280" s="4">
        <v>54.02</v>
      </c>
      <c r="D280" s="4">
        <v>54.02</v>
      </c>
      <c r="E280" s="4">
        <v>0</v>
      </c>
      <c r="F280" s="3" t="s">
        <v>6</v>
      </c>
      <c r="G280" s="3">
        <f>VLOOKUP(B280,'Profit &amp; Loss'!$B$3:$C$390,2,0)</f>
        <v>54.02</v>
      </c>
    </row>
    <row r="281" spans="1:7" s="18" customFormat="1" x14ac:dyDescent="0.2">
      <c r="A281" s="18" t="s">
        <v>266</v>
      </c>
      <c r="B281" s="18" t="s">
        <v>641</v>
      </c>
      <c r="C281" s="19">
        <v>178.04</v>
      </c>
      <c r="D281" s="19">
        <v>0</v>
      </c>
      <c r="E281" s="19">
        <v>178.04</v>
      </c>
      <c r="F281" s="18" t="s">
        <v>2</v>
      </c>
      <c r="G281" s="18">
        <f>VLOOKUP(B281,'Profit &amp; Loss'!$B$3:$C$390,2,0)</f>
        <v>0</v>
      </c>
    </row>
    <row r="282" spans="1:7" x14ac:dyDescent="0.2">
      <c r="A282" s="3" t="s">
        <v>266</v>
      </c>
      <c r="B282" s="3" t="s">
        <v>275</v>
      </c>
      <c r="C282" s="4">
        <v>-493.76</v>
      </c>
      <c r="D282" s="4">
        <v>270.11</v>
      </c>
      <c r="E282" s="4">
        <v>-763.87</v>
      </c>
      <c r="F282" s="3" t="s">
        <v>1055</v>
      </c>
      <c r="G282" s="3">
        <f>VLOOKUP(B282,'Profit &amp; Loss'!$B$3:$C$390,2,0)</f>
        <v>270.11</v>
      </c>
    </row>
    <row r="283" spans="1:7" x14ac:dyDescent="0.2">
      <c r="A283" s="3" t="s">
        <v>266</v>
      </c>
      <c r="B283" s="3" t="s">
        <v>276</v>
      </c>
      <c r="C283" s="4">
        <v>1811.59</v>
      </c>
      <c r="D283" s="4">
        <v>1027.45</v>
      </c>
      <c r="E283" s="4">
        <v>784.14</v>
      </c>
      <c r="F283" s="3" t="s">
        <v>1056</v>
      </c>
      <c r="G283" s="3">
        <f>VLOOKUP(B283,'Profit &amp; Loss'!$B$3:$C$390,2,0)</f>
        <v>1027.45</v>
      </c>
    </row>
    <row r="284" spans="1:7" x14ac:dyDescent="0.2">
      <c r="A284" s="3" t="s">
        <v>266</v>
      </c>
      <c r="B284" s="3" t="s">
        <v>279</v>
      </c>
      <c r="C284" s="4">
        <v>-994.36</v>
      </c>
      <c r="D284" s="4">
        <v>611.70000000000005</v>
      </c>
      <c r="E284" s="4">
        <v>-1606.06</v>
      </c>
      <c r="F284" s="3" t="s">
        <v>1057</v>
      </c>
      <c r="G284" s="3">
        <f>VLOOKUP(B284,'Profit &amp; Loss'!$B$3:$C$390,2,0)</f>
        <v>611.70000000000005</v>
      </c>
    </row>
    <row r="285" spans="1:7" s="18" customFormat="1" x14ac:dyDescent="0.2">
      <c r="A285" s="18" t="s">
        <v>266</v>
      </c>
      <c r="B285" s="18" t="s">
        <v>280</v>
      </c>
      <c r="C285" s="19">
        <v>-6177.34</v>
      </c>
      <c r="D285" s="19">
        <v>0</v>
      </c>
      <c r="E285" s="19">
        <v>-6177.34</v>
      </c>
      <c r="F285" s="18" t="s">
        <v>2</v>
      </c>
      <c r="G285" s="18">
        <f>VLOOKUP(B285,'Profit &amp; Loss'!$B$3:$C$390,2,0)</f>
        <v>0</v>
      </c>
    </row>
    <row r="286" spans="1:7" x14ac:dyDescent="0.2">
      <c r="A286" s="3" t="s">
        <v>266</v>
      </c>
      <c r="B286" s="3" t="s">
        <v>281</v>
      </c>
      <c r="C286" s="4">
        <v>-5084.49</v>
      </c>
      <c r="D286" s="4">
        <v>-195.89</v>
      </c>
      <c r="E286" s="4">
        <v>-4888.6000000000004</v>
      </c>
      <c r="F286" s="3" t="s">
        <v>1058</v>
      </c>
      <c r="G286" s="3">
        <f>VLOOKUP(B286,'Profit &amp; Loss'!$B$3:$C$390,2,0)</f>
        <v>-195.89</v>
      </c>
    </row>
    <row r="287" spans="1:7" s="18" customFormat="1" x14ac:dyDescent="0.2">
      <c r="A287" s="18" t="s">
        <v>266</v>
      </c>
      <c r="B287" s="18" t="s">
        <v>282</v>
      </c>
      <c r="C287" s="19">
        <v>-60.88</v>
      </c>
      <c r="D287" s="19">
        <v>0</v>
      </c>
      <c r="E287" s="19">
        <v>-60.88</v>
      </c>
      <c r="F287" s="18" t="s">
        <v>2</v>
      </c>
      <c r="G287" s="18">
        <f>VLOOKUP(B287,'Profit &amp; Loss'!$B$3:$C$390,2,0)</f>
        <v>0</v>
      </c>
    </row>
    <row r="288" spans="1:7" x14ac:dyDescent="0.2">
      <c r="A288" s="3" t="s">
        <v>266</v>
      </c>
      <c r="B288" s="3" t="s">
        <v>829</v>
      </c>
      <c r="C288" s="4">
        <v>-66421.929999999993</v>
      </c>
      <c r="D288" s="4">
        <v>199.48</v>
      </c>
      <c r="E288" s="4">
        <v>-66621.41</v>
      </c>
      <c r="F288" s="3" t="s">
        <v>1059</v>
      </c>
      <c r="G288" s="3">
        <f>VLOOKUP(B288,'Profit &amp; Loss'!$B$3:$C$390,2,0)</f>
        <v>199.48</v>
      </c>
    </row>
    <row r="289" spans="1:7" x14ac:dyDescent="0.2">
      <c r="A289" s="3" t="s">
        <v>266</v>
      </c>
      <c r="B289" s="3" t="s">
        <v>283</v>
      </c>
      <c r="C289" s="4">
        <v>-1955.09</v>
      </c>
      <c r="D289" s="4">
        <v>1000</v>
      </c>
      <c r="E289" s="4">
        <v>-2955.09</v>
      </c>
      <c r="F289" s="3" t="s">
        <v>1060</v>
      </c>
      <c r="G289" s="3">
        <f>VLOOKUP(B289,'Profit &amp; Loss'!$B$3:$C$390,2,0)</f>
        <v>1000</v>
      </c>
    </row>
    <row r="290" spans="1:7" x14ac:dyDescent="0.2">
      <c r="A290" s="3" t="s">
        <v>266</v>
      </c>
      <c r="B290" s="3" t="s">
        <v>284</v>
      </c>
      <c r="C290" s="4">
        <v>-455.7</v>
      </c>
      <c r="D290" s="4">
        <v>536.67999999999995</v>
      </c>
      <c r="E290" s="4">
        <v>-992.38</v>
      </c>
      <c r="F290" s="3" t="s">
        <v>1061</v>
      </c>
      <c r="G290" s="3">
        <f>VLOOKUP(B290,'Profit &amp; Loss'!$B$3:$C$390,2,0)</f>
        <v>536.67999999999995</v>
      </c>
    </row>
    <row r="291" spans="1:7" s="18" customFormat="1" x14ac:dyDescent="0.2">
      <c r="A291" s="18" t="s">
        <v>266</v>
      </c>
      <c r="B291" s="18" t="s">
        <v>1062</v>
      </c>
      <c r="C291" s="19">
        <v>-21104.46</v>
      </c>
      <c r="D291" s="19">
        <v>0</v>
      </c>
      <c r="E291" s="19">
        <v>-21104.46</v>
      </c>
      <c r="F291" s="18" t="s">
        <v>2</v>
      </c>
      <c r="G291" s="18">
        <f>VLOOKUP(B291,'Profit &amp; Loss'!$B$3:$C$390,2,0)</f>
        <v>0</v>
      </c>
    </row>
    <row r="292" spans="1:7" x14ac:dyDescent="0.2">
      <c r="A292" s="3" t="s">
        <v>266</v>
      </c>
      <c r="B292" s="3" t="s">
        <v>285</v>
      </c>
      <c r="C292" s="4">
        <v>-400</v>
      </c>
      <c r="D292" s="4">
        <v>200</v>
      </c>
      <c r="E292" s="4">
        <v>-600</v>
      </c>
      <c r="F292" s="3" t="s">
        <v>1063</v>
      </c>
      <c r="G292" s="3">
        <f>VLOOKUP(B292,'Profit &amp; Loss'!$B$3:$C$390,2,0)</f>
        <v>200</v>
      </c>
    </row>
    <row r="293" spans="1:7" x14ac:dyDescent="0.2">
      <c r="A293" s="3" t="s">
        <v>266</v>
      </c>
      <c r="B293" s="3" t="s">
        <v>2</v>
      </c>
      <c r="C293" s="4">
        <v>-58273.34</v>
      </c>
      <c r="D293" s="4">
        <v>45830.31</v>
      </c>
      <c r="E293" s="4">
        <v>-104103.65</v>
      </c>
      <c r="F293" s="3" t="s">
        <v>1064</v>
      </c>
    </row>
    <row r="294" spans="1:7" x14ac:dyDescent="0.2">
      <c r="A294" s="3" t="s">
        <v>286</v>
      </c>
      <c r="B294" s="3" t="s">
        <v>287</v>
      </c>
      <c r="C294" s="4">
        <v>6368456.6699999999</v>
      </c>
      <c r="D294" s="4">
        <v>3184835.62</v>
      </c>
      <c r="E294" s="4">
        <v>3183621.05</v>
      </c>
      <c r="F294" s="3" t="s">
        <v>531</v>
      </c>
      <c r="G294" s="3">
        <f>VLOOKUP(B294,'Profit &amp; Loss'!$B$3:$C$390,2,0)</f>
        <v>3184835.62</v>
      </c>
    </row>
    <row r="295" spans="1:7" x14ac:dyDescent="0.2">
      <c r="A295" s="3" t="s">
        <v>286</v>
      </c>
      <c r="B295" s="3" t="s">
        <v>548</v>
      </c>
      <c r="C295" s="4">
        <v>10335.219999999999</v>
      </c>
      <c r="D295" s="4">
        <v>7169.99</v>
      </c>
      <c r="E295" s="4">
        <v>3165.23</v>
      </c>
      <c r="F295" s="3" t="s">
        <v>709</v>
      </c>
      <c r="G295" s="3">
        <f>VLOOKUP(B295,'Profit &amp; Loss'!$B$3:$C$390,2,0)</f>
        <v>7169.99</v>
      </c>
    </row>
    <row r="296" spans="1:7" x14ac:dyDescent="0.2">
      <c r="A296" s="3" t="s">
        <v>286</v>
      </c>
      <c r="B296" s="3" t="s">
        <v>288</v>
      </c>
      <c r="C296" s="4">
        <v>48819.51</v>
      </c>
      <c r="D296" s="4">
        <v>28211.14</v>
      </c>
      <c r="E296" s="4">
        <v>20608.37</v>
      </c>
      <c r="F296" s="3" t="s">
        <v>1065</v>
      </c>
      <c r="G296" s="3">
        <f>VLOOKUP(B296,'Profit &amp; Loss'!$B$3:$C$390,2,0)</f>
        <v>28211.14</v>
      </c>
    </row>
    <row r="297" spans="1:7" x14ac:dyDescent="0.2">
      <c r="A297" s="3" t="s">
        <v>286</v>
      </c>
      <c r="B297" s="3" t="s">
        <v>289</v>
      </c>
      <c r="C297" s="4">
        <v>23.26</v>
      </c>
      <c r="D297" s="4">
        <v>18.079999999999998</v>
      </c>
      <c r="E297" s="4">
        <v>5.18</v>
      </c>
      <c r="F297" s="3" t="s">
        <v>676</v>
      </c>
      <c r="G297" s="3">
        <f>VLOOKUP(B297,'Profit &amp; Loss'!$B$3:$C$390,2,0)</f>
        <v>18.079999999999998</v>
      </c>
    </row>
    <row r="298" spans="1:7" x14ac:dyDescent="0.2">
      <c r="A298" s="3" t="s">
        <v>286</v>
      </c>
      <c r="B298" s="3" t="s">
        <v>952</v>
      </c>
      <c r="C298" s="4">
        <v>8746</v>
      </c>
      <c r="D298" s="4">
        <v>8746</v>
      </c>
      <c r="E298" s="4">
        <v>0</v>
      </c>
      <c r="F298" s="3" t="s">
        <v>6</v>
      </c>
      <c r="G298" s="3">
        <f>VLOOKUP(B298,'Profit &amp; Loss'!$B$3:$C$390,2,0)</f>
        <v>8746</v>
      </c>
    </row>
    <row r="299" spans="1:7" x14ac:dyDescent="0.2">
      <c r="A299" s="3" t="s">
        <v>286</v>
      </c>
      <c r="B299" s="3" t="s">
        <v>290</v>
      </c>
      <c r="C299" s="4">
        <v>79143.070000000007</v>
      </c>
      <c r="D299" s="4">
        <v>-21923.22</v>
      </c>
      <c r="E299" s="4">
        <v>101066.29</v>
      </c>
      <c r="F299" s="3" t="s">
        <v>1066</v>
      </c>
      <c r="G299" s="3">
        <f>VLOOKUP(B299,'Profit &amp; Loss'!$B$3:$C$390,2,0)</f>
        <v>-21923.22</v>
      </c>
    </row>
    <row r="300" spans="1:7" x14ac:dyDescent="0.2">
      <c r="A300" s="3" t="s">
        <v>286</v>
      </c>
      <c r="B300" s="3" t="s">
        <v>291</v>
      </c>
      <c r="C300" s="4">
        <v>-193087.57</v>
      </c>
      <c r="D300" s="4">
        <v>-107667</v>
      </c>
      <c r="E300" s="4">
        <v>-85420.57</v>
      </c>
      <c r="F300" s="3" t="s">
        <v>1067</v>
      </c>
      <c r="G300" s="3">
        <f>VLOOKUP(B300,'Profit &amp; Loss'!$B$3:$C$390,2,0)</f>
        <v>-107667</v>
      </c>
    </row>
    <row r="301" spans="1:7" s="18" customFormat="1" x14ac:dyDescent="0.2">
      <c r="A301" s="18" t="s">
        <v>286</v>
      </c>
      <c r="B301" s="18" t="s">
        <v>293</v>
      </c>
      <c r="C301" s="19">
        <v>75321.83</v>
      </c>
      <c r="D301" s="19">
        <v>0</v>
      </c>
      <c r="E301" s="19">
        <v>75321.83</v>
      </c>
      <c r="F301" s="18" t="s">
        <v>2</v>
      </c>
      <c r="G301" s="18">
        <f>VLOOKUP(B301,'Profit &amp; Loss'!$B$3:$C$390,2,0)</f>
        <v>0</v>
      </c>
    </row>
    <row r="302" spans="1:7" x14ac:dyDescent="0.2">
      <c r="A302" s="3" t="s">
        <v>286</v>
      </c>
      <c r="B302" s="3" t="s">
        <v>296</v>
      </c>
      <c r="C302" s="4">
        <v>1266.6300000000001</v>
      </c>
      <c r="D302" s="4">
        <v>-1015.33</v>
      </c>
      <c r="E302" s="4">
        <v>2281.96</v>
      </c>
      <c r="F302" s="3" t="s">
        <v>1068</v>
      </c>
      <c r="G302" s="3">
        <f>VLOOKUP(B302,'Profit &amp; Loss'!$B$3:$C$390,2,0)</f>
        <v>-1015.33</v>
      </c>
    </row>
    <row r="303" spans="1:7" x14ac:dyDescent="0.2">
      <c r="A303" s="3" t="s">
        <v>286</v>
      </c>
      <c r="B303" s="3" t="s">
        <v>2</v>
      </c>
      <c r="C303" s="4">
        <v>6399024.6200000001</v>
      </c>
      <c r="D303" s="4">
        <v>3098375.28</v>
      </c>
      <c r="E303" s="4">
        <v>3300649.34</v>
      </c>
      <c r="F303" s="3" t="s">
        <v>1069</v>
      </c>
    </row>
    <row r="304" spans="1:7" x14ac:dyDescent="0.2">
      <c r="A304" s="3" t="s">
        <v>297</v>
      </c>
      <c r="B304" s="3" t="s">
        <v>298</v>
      </c>
      <c r="C304" s="4">
        <v>49422.39</v>
      </c>
      <c r="D304" s="4">
        <v>28187.67</v>
      </c>
      <c r="E304" s="4">
        <v>21234.720000000001</v>
      </c>
      <c r="F304" s="3" t="s">
        <v>1070</v>
      </c>
      <c r="G304" s="3">
        <f>VLOOKUP(B304,'Profit &amp; Loss'!$B$3:$C$390,2,0)</f>
        <v>28187.67</v>
      </c>
    </row>
    <row r="305" spans="1:7" x14ac:dyDescent="0.2">
      <c r="A305" s="3" t="s">
        <v>297</v>
      </c>
      <c r="B305" s="3" t="s">
        <v>299</v>
      </c>
      <c r="C305" s="4">
        <v>237304.87</v>
      </c>
      <c r="D305" s="4">
        <v>111346.46</v>
      </c>
      <c r="E305" s="4">
        <v>125958.41</v>
      </c>
      <c r="F305" s="3" t="s">
        <v>1071</v>
      </c>
      <c r="G305" s="3">
        <f>VLOOKUP(B305,'Profit &amp; Loss'!$B$3:$C$390,2,0)</f>
        <v>111346.46</v>
      </c>
    </row>
    <row r="306" spans="1:7" x14ac:dyDescent="0.2">
      <c r="A306" s="3" t="s">
        <v>297</v>
      </c>
      <c r="B306" s="3" t="s">
        <v>2</v>
      </c>
      <c r="C306" s="4">
        <v>286727.26</v>
      </c>
      <c r="D306" s="4">
        <v>139534.13</v>
      </c>
      <c r="E306" s="4">
        <v>147193.13</v>
      </c>
      <c r="F306" s="3" t="s">
        <v>1072</v>
      </c>
    </row>
    <row r="307" spans="1:7" x14ac:dyDescent="0.2">
      <c r="A307" s="3" t="s">
        <v>301</v>
      </c>
      <c r="B307" s="3" t="s">
        <v>302</v>
      </c>
      <c r="C307" s="4">
        <v>11414.94</v>
      </c>
      <c r="D307" s="4">
        <v>5793.22</v>
      </c>
      <c r="E307" s="4">
        <v>5621.72</v>
      </c>
      <c r="F307" s="3" t="s">
        <v>1073</v>
      </c>
      <c r="G307" s="3">
        <f>VLOOKUP(B307,'Profit &amp; Loss'!$B$3:$C$390,2,0)</f>
        <v>5793.22</v>
      </c>
    </row>
    <row r="308" spans="1:7" x14ac:dyDescent="0.2">
      <c r="A308" s="3" t="s">
        <v>301</v>
      </c>
      <c r="B308" s="3" t="s">
        <v>303</v>
      </c>
      <c r="C308" s="4">
        <v>10211.73</v>
      </c>
      <c r="D308" s="4">
        <v>2303.9899999999998</v>
      </c>
      <c r="E308" s="4">
        <v>7907.74</v>
      </c>
      <c r="F308" s="3" t="s">
        <v>671</v>
      </c>
      <c r="G308" s="3">
        <f>VLOOKUP(B308,'Profit &amp; Loss'!$B$3:$C$390,2,0)</f>
        <v>2303.9899999999998</v>
      </c>
    </row>
    <row r="309" spans="1:7" x14ac:dyDescent="0.2">
      <c r="A309" s="3" t="s">
        <v>301</v>
      </c>
      <c r="B309" s="3" t="s">
        <v>305</v>
      </c>
      <c r="C309" s="4">
        <v>24944.1</v>
      </c>
      <c r="D309" s="4">
        <v>9337.1200000000008</v>
      </c>
      <c r="E309" s="4">
        <v>15606.98</v>
      </c>
      <c r="F309" s="3" t="s">
        <v>1074</v>
      </c>
      <c r="G309" s="3">
        <f>VLOOKUP(B309,'Profit &amp; Loss'!$B$3:$C$390,2,0)</f>
        <v>9337.1200000000008</v>
      </c>
    </row>
    <row r="310" spans="1:7" x14ac:dyDescent="0.2">
      <c r="A310" s="3" t="s">
        <v>301</v>
      </c>
      <c r="B310" s="3" t="s">
        <v>306</v>
      </c>
      <c r="C310" s="4">
        <v>152633.81</v>
      </c>
      <c r="D310" s="4">
        <v>86638.62</v>
      </c>
      <c r="E310" s="4">
        <v>65995.19</v>
      </c>
      <c r="F310" s="3" t="s">
        <v>1075</v>
      </c>
      <c r="G310" s="3">
        <f>VLOOKUP(B310,'Profit &amp; Loss'!$B$3:$C$390,2,0)</f>
        <v>86638.62</v>
      </c>
    </row>
    <row r="311" spans="1:7" s="18" customFormat="1" x14ac:dyDescent="0.2">
      <c r="A311" s="18" t="s">
        <v>301</v>
      </c>
      <c r="B311" s="18" t="s">
        <v>838</v>
      </c>
      <c r="C311" s="19">
        <v>-31</v>
      </c>
      <c r="D311" s="19">
        <v>0</v>
      </c>
      <c r="E311" s="19">
        <v>-31</v>
      </c>
      <c r="F311" s="18" t="s">
        <v>2</v>
      </c>
      <c r="G311" s="18">
        <f>VLOOKUP(B311,'Profit &amp; Loss'!$B$3:$C$390,2,0)</f>
        <v>0</v>
      </c>
    </row>
    <row r="312" spans="1:7" x14ac:dyDescent="0.2">
      <c r="A312" s="3" t="s">
        <v>301</v>
      </c>
      <c r="B312" s="3" t="s">
        <v>307</v>
      </c>
      <c r="C312" s="4">
        <v>305409.5</v>
      </c>
      <c r="D312" s="4">
        <v>155566</v>
      </c>
      <c r="E312" s="4">
        <v>149843.5</v>
      </c>
      <c r="F312" s="3" t="s">
        <v>1076</v>
      </c>
      <c r="G312" s="3">
        <f>VLOOKUP(B312,'Profit &amp; Loss'!$B$3:$C$390,2,0)</f>
        <v>155566</v>
      </c>
    </row>
    <row r="313" spans="1:7" x14ac:dyDescent="0.2">
      <c r="A313" s="3" t="s">
        <v>301</v>
      </c>
      <c r="B313" s="3" t="s">
        <v>308</v>
      </c>
      <c r="C313" s="4">
        <v>5356.12</v>
      </c>
      <c r="D313" s="4">
        <v>5356.12</v>
      </c>
      <c r="E313" s="4">
        <v>0</v>
      </c>
      <c r="F313" s="3" t="s">
        <v>6</v>
      </c>
      <c r="G313" s="3">
        <f>VLOOKUP(B313,'Profit &amp; Loss'!$B$3:$C$390,2,0)</f>
        <v>5356.12</v>
      </c>
    </row>
    <row r="314" spans="1:7" x14ac:dyDescent="0.2">
      <c r="A314" s="3" t="s">
        <v>301</v>
      </c>
      <c r="B314" s="3" t="s">
        <v>2</v>
      </c>
      <c r="C314" s="4">
        <v>509939.20000000001</v>
      </c>
      <c r="D314" s="4">
        <v>264995.07</v>
      </c>
      <c r="E314" s="4">
        <v>244944.13</v>
      </c>
      <c r="F314" s="3" t="s">
        <v>672</v>
      </c>
    </row>
    <row r="315" spans="1:7" x14ac:dyDescent="0.2">
      <c r="A315" s="3" t="s">
        <v>310</v>
      </c>
      <c r="B315" s="3" t="s">
        <v>311</v>
      </c>
      <c r="C315" s="4">
        <v>55939.92</v>
      </c>
      <c r="D315" s="4">
        <v>32947.410000000003</v>
      </c>
      <c r="E315" s="4">
        <v>22992.51</v>
      </c>
      <c r="F315" s="3" t="s">
        <v>552</v>
      </c>
      <c r="G315" s="3">
        <f>VLOOKUP(B315,'Profit &amp; Loss'!$B$3:$C$390,2,0)</f>
        <v>32947.410000000003</v>
      </c>
    </row>
    <row r="316" spans="1:7" x14ac:dyDescent="0.2">
      <c r="A316" s="3" t="s">
        <v>310</v>
      </c>
      <c r="B316" s="3" t="s">
        <v>2</v>
      </c>
      <c r="C316" s="4">
        <v>55939.92</v>
      </c>
      <c r="D316" s="4">
        <v>32947.410000000003</v>
      </c>
      <c r="E316" s="4">
        <v>22992.51</v>
      </c>
      <c r="F316" s="3" t="s">
        <v>552</v>
      </c>
    </row>
    <row r="317" spans="1:7" x14ac:dyDescent="0.2">
      <c r="A317" s="3" t="s">
        <v>312</v>
      </c>
      <c r="B317" s="3" t="s">
        <v>2</v>
      </c>
      <c r="C317" s="4">
        <v>7193357.6600000001</v>
      </c>
      <c r="D317" s="4">
        <v>3581682.2</v>
      </c>
      <c r="E317" s="4">
        <v>3611675.46</v>
      </c>
      <c r="F317" s="3" t="s">
        <v>1077</v>
      </c>
    </row>
    <row r="318" spans="1:7" x14ac:dyDescent="0.2">
      <c r="A318" s="3" t="s">
        <v>313</v>
      </c>
      <c r="B318" s="3" t="s">
        <v>314</v>
      </c>
      <c r="C318" s="4">
        <v>108875.36</v>
      </c>
      <c r="D318" s="4">
        <v>47720.12</v>
      </c>
      <c r="E318" s="4">
        <v>61155.24</v>
      </c>
      <c r="F318" s="3" t="s">
        <v>1078</v>
      </c>
      <c r="G318" s="3">
        <f>VLOOKUP(B318,'Profit &amp; Loss'!$B$3:$C$390,2,0)</f>
        <v>47720.12</v>
      </c>
    </row>
    <row r="319" spans="1:7" x14ac:dyDescent="0.2">
      <c r="A319" s="3" t="s">
        <v>313</v>
      </c>
      <c r="B319" s="3" t="s">
        <v>315</v>
      </c>
      <c r="C319" s="4">
        <v>4635.6499999999996</v>
      </c>
      <c r="D319" s="4">
        <v>3030.51</v>
      </c>
      <c r="E319" s="4">
        <v>1605.14</v>
      </c>
      <c r="F319" s="3" t="s">
        <v>1079</v>
      </c>
      <c r="G319" s="3">
        <f>VLOOKUP(B319,'Profit &amp; Loss'!$B$3:$C$390,2,0)</f>
        <v>3030.51</v>
      </c>
    </row>
    <row r="320" spans="1:7" s="18" customFormat="1" x14ac:dyDescent="0.2">
      <c r="A320" s="18" t="s">
        <v>313</v>
      </c>
      <c r="B320" s="18" t="s">
        <v>558</v>
      </c>
      <c r="C320" s="19">
        <v>1574.29</v>
      </c>
      <c r="D320" s="19">
        <v>0</v>
      </c>
      <c r="E320" s="19">
        <v>1574.29</v>
      </c>
      <c r="F320" s="18" t="s">
        <v>2</v>
      </c>
      <c r="G320" s="18">
        <f>VLOOKUP(B320,'Profit &amp; Loss'!$B$3:$C$390,2,0)</f>
        <v>0</v>
      </c>
    </row>
    <row r="321" spans="1:7" x14ac:dyDescent="0.2">
      <c r="A321" s="3" t="s">
        <v>313</v>
      </c>
      <c r="B321" s="3" t="s">
        <v>559</v>
      </c>
      <c r="C321" s="4">
        <v>4279.72</v>
      </c>
      <c r="D321" s="4">
        <v>3030.51</v>
      </c>
      <c r="E321" s="4">
        <v>1249.21</v>
      </c>
      <c r="F321" s="3" t="s">
        <v>803</v>
      </c>
      <c r="G321" s="3">
        <f>VLOOKUP(B321,'Profit &amp; Loss'!$B$3:$C$390,2,0)</f>
        <v>3030.51</v>
      </c>
    </row>
    <row r="322" spans="1:7" x14ac:dyDescent="0.2">
      <c r="A322" s="3" t="s">
        <v>313</v>
      </c>
      <c r="B322" s="3" t="s">
        <v>316</v>
      </c>
      <c r="C322" s="4">
        <v>25592.02</v>
      </c>
      <c r="D322" s="4">
        <v>21674.33</v>
      </c>
      <c r="E322" s="4">
        <v>3917.69</v>
      </c>
      <c r="F322" s="3" t="s">
        <v>788</v>
      </c>
      <c r="G322" s="3">
        <f>VLOOKUP(B322,'Profit &amp; Loss'!$B$3:$C$390,2,0)</f>
        <v>21674.33</v>
      </c>
    </row>
    <row r="323" spans="1:7" x14ac:dyDescent="0.2">
      <c r="A323" s="3" t="s">
        <v>313</v>
      </c>
      <c r="B323" s="3" t="s">
        <v>317</v>
      </c>
      <c r="C323" s="4">
        <v>527.91</v>
      </c>
      <c r="D323" s="4">
        <v>423.23</v>
      </c>
      <c r="E323" s="4">
        <v>104.68</v>
      </c>
      <c r="F323" s="3" t="s">
        <v>849</v>
      </c>
      <c r="G323" s="3">
        <f>VLOOKUP(B323,'Profit &amp; Loss'!$B$3:$C$390,2,0)</f>
        <v>423.23</v>
      </c>
    </row>
    <row r="324" spans="1:7" x14ac:dyDescent="0.2">
      <c r="A324" s="3" t="s">
        <v>313</v>
      </c>
      <c r="B324" s="3" t="s">
        <v>318</v>
      </c>
      <c r="C324" s="4">
        <v>22349.7</v>
      </c>
      <c r="D324" s="4">
        <v>12048.91</v>
      </c>
      <c r="E324" s="4">
        <v>10300.790000000001</v>
      </c>
      <c r="F324" s="3" t="s">
        <v>1080</v>
      </c>
      <c r="G324" s="3">
        <f>VLOOKUP(B324,'Profit &amp; Loss'!$B$3:$C$390,2,0)</f>
        <v>12048.91</v>
      </c>
    </row>
    <row r="325" spans="1:7" x14ac:dyDescent="0.2">
      <c r="A325" s="3" t="s">
        <v>313</v>
      </c>
      <c r="B325" s="3" t="s">
        <v>319</v>
      </c>
      <c r="C325" s="4">
        <v>80783.929999999993</v>
      </c>
      <c r="D325" s="4">
        <v>40731.18</v>
      </c>
      <c r="E325" s="4">
        <v>40052.75</v>
      </c>
      <c r="F325" s="3" t="s">
        <v>1081</v>
      </c>
      <c r="G325" s="3">
        <f>VLOOKUP(B325,'Profit &amp; Loss'!$B$3:$C$390,2,0)</f>
        <v>40731.18</v>
      </c>
    </row>
    <row r="326" spans="1:7" x14ac:dyDescent="0.2">
      <c r="A326" s="3" t="s">
        <v>313</v>
      </c>
      <c r="B326" s="3" t="s">
        <v>320</v>
      </c>
      <c r="C326" s="4">
        <v>7534.53</v>
      </c>
      <c r="D326" s="4">
        <v>4675.82</v>
      </c>
      <c r="E326" s="4">
        <v>2858.71</v>
      </c>
      <c r="F326" s="3" t="s">
        <v>1082</v>
      </c>
      <c r="G326" s="3">
        <f>VLOOKUP(B326,'Profit &amp; Loss'!$B$3:$C$390,2,0)</f>
        <v>4675.82</v>
      </c>
    </row>
    <row r="327" spans="1:7" x14ac:dyDescent="0.2">
      <c r="A327" s="3" t="s">
        <v>313</v>
      </c>
      <c r="B327" s="3" t="s">
        <v>321</v>
      </c>
      <c r="C327" s="4">
        <v>-243221.34</v>
      </c>
      <c r="D327" s="4">
        <v>-127447.83</v>
      </c>
      <c r="E327" s="4">
        <v>-115773.51</v>
      </c>
      <c r="F327" s="3" t="s">
        <v>1083</v>
      </c>
      <c r="G327" s="3">
        <f>VLOOKUP(B327,'Profit &amp; Loss'!$B$3:$C$390,2,0)</f>
        <v>-127447.83</v>
      </c>
    </row>
    <row r="328" spans="1:7" x14ac:dyDescent="0.2">
      <c r="A328" s="3" t="s">
        <v>313</v>
      </c>
      <c r="B328" s="3" t="s">
        <v>841</v>
      </c>
      <c r="C328" s="4">
        <v>-8686.39</v>
      </c>
      <c r="D328" s="4">
        <v>-27313.17</v>
      </c>
      <c r="E328" s="4">
        <v>18626.78</v>
      </c>
      <c r="F328" s="3" t="s">
        <v>707</v>
      </c>
      <c r="G328" s="3">
        <f>VLOOKUP(B328,'Profit &amp; Loss'!$B$3:$C$390,2,0)</f>
        <v>-27313.17</v>
      </c>
    </row>
    <row r="329" spans="1:7" x14ac:dyDescent="0.2">
      <c r="A329" s="3" t="s">
        <v>313</v>
      </c>
      <c r="B329" s="3" t="s">
        <v>560</v>
      </c>
      <c r="C329" s="4">
        <v>17199.07</v>
      </c>
      <c r="D329" s="4">
        <v>1760.34</v>
      </c>
      <c r="E329" s="4">
        <v>15438.73</v>
      </c>
      <c r="F329" s="3" t="s">
        <v>1084</v>
      </c>
      <c r="G329" s="3">
        <f>VLOOKUP(B329,'Profit &amp; Loss'!$B$3:$C$390,2,0)</f>
        <v>1760.34</v>
      </c>
    </row>
    <row r="330" spans="1:7" s="18" customFormat="1" x14ac:dyDescent="0.2">
      <c r="A330" s="18" t="s">
        <v>313</v>
      </c>
      <c r="B330" s="18" t="s">
        <v>1085</v>
      </c>
      <c r="C330" s="19">
        <v>575.25</v>
      </c>
      <c r="D330" s="19">
        <v>0</v>
      </c>
      <c r="E330" s="19">
        <v>575.25</v>
      </c>
      <c r="F330" s="18" t="s">
        <v>2</v>
      </c>
      <c r="G330" s="18">
        <f>VLOOKUP(B330,'Profit &amp; Loss'!$B$3:$C$390,2,0)</f>
        <v>0</v>
      </c>
    </row>
    <row r="331" spans="1:7" x14ac:dyDescent="0.2">
      <c r="A331" s="3" t="s">
        <v>313</v>
      </c>
      <c r="B331" s="3" t="s">
        <v>990</v>
      </c>
      <c r="C331" s="4">
        <v>-160.66</v>
      </c>
      <c r="D331" s="4">
        <v>-40.28</v>
      </c>
      <c r="E331" s="4">
        <v>-120.38</v>
      </c>
      <c r="F331" s="3" t="s">
        <v>1086</v>
      </c>
      <c r="G331" s="3">
        <f>VLOOKUP(B331,'Profit &amp; Loss'!$B$3:$C$390,2,0)</f>
        <v>-40.28</v>
      </c>
    </row>
    <row r="332" spans="1:7" x14ac:dyDescent="0.2">
      <c r="A332" s="3" t="s">
        <v>313</v>
      </c>
      <c r="B332" s="3" t="s">
        <v>322</v>
      </c>
      <c r="C332" s="4">
        <v>50.87</v>
      </c>
      <c r="D332" s="4">
        <v>2.09</v>
      </c>
      <c r="E332" s="4">
        <v>48.78</v>
      </c>
      <c r="F332" s="3" t="s">
        <v>1087</v>
      </c>
      <c r="G332" s="3">
        <f>VLOOKUP(B332,'Profit &amp; Loss'!$B$3:$C$390,2,0)</f>
        <v>2.09</v>
      </c>
    </row>
    <row r="333" spans="1:7" x14ac:dyDescent="0.2">
      <c r="A333" s="3" t="s">
        <v>313</v>
      </c>
      <c r="B333" s="3" t="s">
        <v>652</v>
      </c>
      <c r="C333" s="4">
        <v>90.31</v>
      </c>
      <c r="D333" s="4">
        <v>35.14</v>
      </c>
      <c r="E333" s="4">
        <v>55.17</v>
      </c>
      <c r="F333" s="3" t="s">
        <v>1088</v>
      </c>
      <c r="G333" s="3">
        <f>VLOOKUP(B333,'Profit &amp; Loss'!$B$3:$C$390,2,0)</f>
        <v>35.14</v>
      </c>
    </row>
    <row r="334" spans="1:7" x14ac:dyDescent="0.2">
      <c r="A334" s="3" t="s">
        <v>313</v>
      </c>
      <c r="B334" s="3" t="s">
        <v>323</v>
      </c>
      <c r="C334" s="4">
        <v>3243.68</v>
      </c>
      <c r="D334" s="4">
        <v>3243.68</v>
      </c>
      <c r="E334" s="4">
        <v>0</v>
      </c>
      <c r="F334" s="3" t="s">
        <v>6</v>
      </c>
      <c r="G334" s="3">
        <f>VLOOKUP(B334,'Profit &amp; Loss'!$B$3:$C$390,2,0)</f>
        <v>3243.68</v>
      </c>
    </row>
    <row r="335" spans="1:7" x14ac:dyDescent="0.2">
      <c r="A335" s="3" t="s">
        <v>313</v>
      </c>
      <c r="B335" s="3" t="s">
        <v>324</v>
      </c>
      <c r="C335" s="4">
        <v>51670.78</v>
      </c>
      <c r="D335" s="4">
        <v>33298</v>
      </c>
      <c r="E335" s="4">
        <v>18372.78</v>
      </c>
      <c r="F335" s="3" t="s">
        <v>1089</v>
      </c>
      <c r="G335" s="3">
        <f>VLOOKUP(B335,'Profit &amp; Loss'!$B$3:$C$390,2,0)</f>
        <v>33298</v>
      </c>
    </row>
    <row r="336" spans="1:7" s="18" customFormat="1" x14ac:dyDescent="0.2">
      <c r="A336" s="18" t="s">
        <v>313</v>
      </c>
      <c r="B336" s="18" t="s">
        <v>913</v>
      </c>
      <c r="C336" s="19">
        <v>118.21</v>
      </c>
      <c r="D336" s="19">
        <v>0</v>
      </c>
      <c r="E336" s="19">
        <v>118.21</v>
      </c>
      <c r="F336" s="18" t="s">
        <v>2</v>
      </c>
      <c r="G336" s="18">
        <f>VLOOKUP(B336,'Profit &amp; Loss'!$B$3:$C$390,2,0)</f>
        <v>0</v>
      </c>
    </row>
    <row r="337" spans="1:7" s="18" customFormat="1" x14ac:dyDescent="0.2">
      <c r="A337" s="18" t="s">
        <v>313</v>
      </c>
      <c r="B337" s="18" t="s">
        <v>561</v>
      </c>
      <c r="C337" s="19">
        <v>89.1</v>
      </c>
      <c r="D337" s="19">
        <v>0</v>
      </c>
      <c r="E337" s="19">
        <v>89.1</v>
      </c>
      <c r="F337" s="18" t="s">
        <v>2</v>
      </c>
      <c r="G337" s="18">
        <f>VLOOKUP(B337,'Profit &amp; Loss'!$B$3:$C$390,2,0)</f>
        <v>0</v>
      </c>
    </row>
    <row r="338" spans="1:7" x14ac:dyDescent="0.2">
      <c r="A338" s="3" t="s">
        <v>313</v>
      </c>
      <c r="B338" s="3" t="s">
        <v>654</v>
      </c>
      <c r="C338" s="4">
        <v>868.82</v>
      </c>
      <c r="D338" s="4">
        <v>36.44</v>
      </c>
      <c r="E338" s="4">
        <v>832.38</v>
      </c>
      <c r="F338" s="3" t="s">
        <v>1090</v>
      </c>
      <c r="G338" s="3">
        <f>VLOOKUP(B338,'Profit &amp; Loss'!$B$3:$C$390,2,0)</f>
        <v>36.44</v>
      </c>
    </row>
    <row r="339" spans="1:7" x14ac:dyDescent="0.2">
      <c r="A339" s="3" t="s">
        <v>313</v>
      </c>
      <c r="B339" s="3" t="s">
        <v>991</v>
      </c>
      <c r="C339" s="4">
        <v>1184.6400000000001</v>
      </c>
      <c r="D339" s="4">
        <v>-28825.55</v>
      </c>
      <c r="E339" s="4">
        <v>30010.19</v>
      </c>
      <c r="F339" s="3" t="s">
        <v>578</v>
      </c>
      <c r="G339" s="3">
        <f>VLOOKUP(B339,'Profit &amp; Loss'!$B$3:$C$390,2,0)</f>
        <v>-28825.55</v>
      </c>
    </row>
    <row r="340" spans="1:7" x14ac:dyDescent="0.2">
      <c r="A340" s="3" t="s">
        <v>313</v>
      </c>
      <c r="B340" s="3" t="s">
        <v>326</v>
      </c>
      <c r="C340" s="4">
        <v>10391.33</v>
      </c>
      <c r="D340" s="4">
        <v>-435.68</v>
      </c>
      <c r="E340" s="4">
        <v>10827.01</v>
      </c>
      <c r="F340" s="3" t="s">
        <v>1091</v>
      </c>
      <c r="G340" s="3">
        <f>VLOOKUP(B340,'Profit &amp; Loss'!$B$3:$C$390,2,0)</f>
        <v>-435.68</v>
      </c>
    </row>
    <row r="341" spans="1:7" x14ac:dyDescent="0.2">
      <c r="A341" s="3" t="s">
        <v>313</v>
      </c>
      <c r="B341" s="3" t="s">
        <v>327</v>
      </c>
      <c r="C341" s="4">
        <v>286.14</v>
      </c>
      <c r="D341" s="4">
        <v>286.14</v>
      </c>
      <c r="E341" s="4">
        <v>0</v>
      </c>
      <c r="F341" s="3" t="s">
        <v>6</v>
      </c>
      <c r="G341" s="3">
        <f>VLOOKUP(B341,'Profit &amp; Loss'!$B$3:$C$390,2,0)</f>
        <v>286.14</v>
      </c>
    </row>
    <row r="342" spans="1:7" x14ac:dyDescent="0.2">
      <c r="A342" s="3" t="s">
        <v>313</v>
      </c>
      <c r="B342" s="3" t="s">
        <v>328</v>
      </c>
      <c r="C342" s="4">
        <v>-1852.78</v>
      </c>
      <c r="D342" s="4">
        <v>-756.63</v>
      </c>
      <c r="E342" s="4">
        <v>-1096.1500000000001</v>
      </c>
      <c r="F342" s="3" t="s">
        <v>1092</v>
      </c>
      <c r="G342" s="3">
        <f>VLOOKUP(B342,'Profit &amp; Loss'!$B$3:$C$390,2,0)</f>
        <v>-756.63</v>
      </c>
    </row>
    <row r="343" spans="1:7" s="18" customFormat="1" x14ac:dyDescent="0.2">
      <c r="A343" s="18" t="s">
        <v>313</v>
      </c>
      <c r="B343" s="18" t="s">
        <v>656</v>
      </c>
      <c r="C343" s="19">
        <v>2619.3000000000002</v>
      </c>
      <c r="D343" s="19">
        <v>0</v>
      </c>
      <c r="E343" s="19">
        <v>2619.3000000000002</v>
      </c>
      <c r="F343" s="18" t="s">
        <v>2</v>
      </c>
      <c r="G343" s="18">
        <f>VLOOKUP(B343,'Profit &amp; Loss'!$B$3:$C$390,2,0)</f>
        <v>0</v>
      </c>
    </row>
    <row r="344" spans="1:7" x14ac:dyDescent="0.2">
      <c r="A344" s="3" t="s">
        <v>313</v>
      </c>
      <c r="B344" s="3" t="s">
        <v>329</v>
      </c>
      <c r="C344" s="4">
        <v>8679.5400000000009</v>
      </c>
      <c r="D344" s="4">
        <v>6174.84</v>
      </c>
      <c r="E344" s="4">
        <v>2504.6999999999998</v>
      </c>
      <c r="F344" s="3" t="s">
        <v>922</v>
      </c>
      <c r="G344" s="3">
        <f>VLOOKUP(B344,'Profit &amp; Loss'!$B$3:$C$390,2,0)</f>
        <v>6174.84</v>
      </c>
    </row>
    <row r="345" spans="1:7" x14ac:dyDescent="0.2">
      <c r="A345" s="3" t="s">
        <v>313</v>
      </c>
      <c r="B345" s="3" t="s">
        <v>330</v>
      </c>
      <c r="C345" s="4">
        <v>2476.0100000000002</v>
      </c>
      <c r="D345" s="4">
        <v>890.78</v>
      </c>
      <c r="E345" s="4">
        <v>1585.23</v>
      </c>
      <c r="F345" s="3" t="s">
        <v>1093</v>
      </c>
      <c r="G345" s="3">
        <f>VLOOKUP(B345,'Profit &amp; Loss'!$B$3:$C$390,2,0)</f>
        <v>890.78</v>
      </c>
    </row>
    <row r="346" spans="1:7" x14ac:dyDescent="0.2">
      <c r="A346" s="3" t="s">
        <v>313</v>
      </c>
      <c r="B346" s="3" t="s">
        <v>331</v>
      </c>
      <c r="C346" s="4">
        <v>2431.83</v>
      </c>
      <c r="D346" s="4">
        <v>-3008.88</v>
      </c>
      <c r="E346" s="4">
        <v>5440.71</v>
      </c>
      <c r="F346" s="3" t="s">
        <v>1094</v>
      </c>
      <c r="G346" s="3">
        <f>VLOOKUP(B346,'Profit &amp; Loss'!$B$3:$C$390,2,0)</f>
        <v>-3008.88</v>
      </c>
    </row>
    <row r="347" spans="1:7" x14ac:dyDescent="0.2">
      <c r="A347" s="3" t="s">
        <v>313</v>
      </c>
      <c r="B347" s="3" t="s">
        <v>332</v>
      </c>
      <c r="C347" s="4">
        <v>96.96</v>
      </c>
      <c r="D347" s="4">
        <v>24.68</v>
      </c>
      <c r="E347" s="4">
        <v>72.28</v>
      </c>
      <c r="F347" s="3" t="s">
        <v>1095</v>
      </c>
      <c r="G347" s="3">
        <f>VLOOKUP(B347,'Profit &amp; Loss'!$B$3:$C$390,2,0)</f>
        <v>24.68</v>
      </c>
    </row>
    <row r="348" spans="1:7" x14ac:dyDescent="0.2">
      <c r="A348" s="3" t="s">
        <v>313</v>
      </c>
      <c r="B348" s="3" t="s">
        <v>333</v>
      </c>
      <c r="C348" s="4">
        <v>4223.08</v>
      </c>
      <c r="D348" s="4">
        <v>3308.5</v>
      </c>
      <c r="E348" s="4">
        <v>914.58</v>
      </c>
      <c r="F348" s="3" t="s">
        <v>753</v>
      </c>
      <c r="G348" s="3">
        <f>VLOOKUP(B348,'Profit &amp; Loss'!$B$3:$C$390,2,0)</f>
        <v>3308.5</v>
      </c>
    </row>
    <row r="349" spans="1:7" x14ac:dyDescent="0.2">
      <c r="A349" s="3" t="s">
        <v>313</v>
      </c>
      <c r="B349" s="3" t="s">
        <v>658</v>
      </c>
      <c r="C349" s="4">
        <v>2303.5500000000002</v>
      </c>
      <c r="D349" s="4">
        <v>2303.5500000000002</v>
      </c>
      <c r="E349" s="4">
        <v>0</v>
      </c>
      <c r="F349" s="3" t="s">
        <v>6</v>
      </c>
      <c r="G349" s="3">
        <f>VLOOKUP(B349,'Profit &amp; Loss'!$B$3:$C$390,2,0)</f>
        <v>2303.5500000000002</v>
      </c>
    </row>
    <row r="350" spans="1:7" x14ac:dyDescent="0.2">
      <c r="A350" s="3" t="s">
        <v>313</v>
      </c>
      <c r="B350" s="3" t="s">
        <v>2</v>
      </c>
      <c r="C350" s="4">
        <v>110830.41</v>
      </c>
      <c r="D350" s="4">
        <v>-3129.23</v>
      </c>
      <c r="E350" s="4">
        <v>113959.64</v>
      </c>
      <c r="F350" s="3" t="s">
        <v>1096</v>
      </c>
    </row>
    <row r="351" spans="1:7" x14ac:dyDescent="0.2">
      <c r="A351" s="3" t="s">
        <v>334</v>
      </c>
      <c r="B351" s="3" t="s">
        <v>335</v>
      </c>
      <c r="C351" s="4">
        <v>148723.21</v>
      </c>
      <c r="D351" s="4">
        <v>55035.39</v>
      </c>
      <c r="E351" s="4">
        <v>93687.82</v>
      </c>
      <c r="F351" s="3" t="s">
        <v>1097</v>
      </c>
      <c r="G351" s="3">
        <f>VLOOKUP(B351,'Profit &amp; Loss'!$B$3:$C$390,2,0)</f>
        <v>55035.39</v>
      </c>
    </row>
    <row r="352" spans="1:7" s="18" customFormat="1" x14ac:dyDescent="0.2">
      <c r="A352" s="18" t="s">
        <v>334</v>
      </c>
      <c r="B352" s="18" t="s">
        <v>562</v>
      </c>
      <c r="C352" s="19">
        <v>850.38</v>
      </c>
      <c r="D352" s="19">
        <v>0</v>
      </c>
      <c r="E352" s="19">
        <v>850.38</v>
      </c>
      <c r="F352" s="18" t="s">
        <v>2</v>
      </c>
      <c r="G352" s="18">
        <f>VLOOKUP(B352,'Profit &amp; Loss'!$B$3:$C$390,2,0)</f>
        <v>0</v>
      </c>
    </row>
    <row r="353" spans="1:7" x14ac:dyDescent="0.2">
      <c r="A353" s="3" t="s">
        <v>334</v>
      </c>
      <c r="B353" s="3" t="s">
        <v>336</v>
      </c>
      <c r="C353" s="4">
        <v>11545.29</v>
      </c>
      <c r="D353" s="4">
        <v>5279.69</v>
      </c>
      <c r="E353" s="4">
        <v>6265.6</v>
      </c>
      <c r="F353" s="3" t="s">
        <v>1098</v>
      </c>
      <c r="G353" s="3">
        <f>VLOOKUP(B353,'Profit &amp; Loss'!$B$3:$C$390,2,0)</f>
        <v>5279.69</v>
      </c>
    </row>
    <row r="354" spans="1:7" x14ac:dyDescent="0.2">
      <c r="A354" s="3" t="s">
        <v>334</v>
      </c>
      <c r="B354" s="3" t="s">
        <v>337</v>
      </c>
      <c r="C354" s="4">
        <v>4605.34</v>
      </c>
      <c r="D354" s="4">
        <v>2800.93</v>
      </c>
      <c r="E354" s="4">
        <v>1804.41</v>
      </c>
      <c r="F354" s="3" t="s">
        <v>731</v>
      </c>
      <c r="G354" s="3">
        <f>VLOOKUP(B354,'Profit &amp; Loss'!$B$3:$C$390,2,0)</f>
        <v>2800.93</v>
      </c>
    </row>
    <row r="355" spans="1:7" x14ac:dyDescent="0.2">
      <c r="A355" s="3" t="s">
        <v>334</v>
      </c>
      <c r="B355" s="3" t="s">
        <v>338</v>
      </c>
      <c r="C355" s="4">
        <v>20128.330000000002</v>
      </c>
      <c r="D355" s="4">
        <v>17648.05</v>
      </c>
      <c r="E355" s="4">
        <v>2480.2800000000002</v>
      </c>
      <c r="F355" s="3" t="s">
        <v>789</v>
      </c>
      <c r="G355" s="3">
        <f>VLOOKUP(B355,'Profit &amp; Loss'!$B$3:$C$390,2,0)</f>
        <v>17648.05</v>
      </c>
    </row>
    <row r="356" spans="1:7" s="18" customFormat="1" x14ac:dyDescent="0.2">
      <c r="A356" s="18" t="s">
        <v>334</v>
      </c>
      <c r="B356" s="18" t="s">
        <v>563</v>
      </c>
      <c r="C356" s="19">
        <v>165.75</v>
      </c>
      <c r="D356" s="19">
        <v>0</v>
      </c>
      <c r="E356" s="19">
        <v>165.75</v>
      </c>
      <c r="F356" s="18" t="s">
        <v>2</v>
      </c>
      <c r="G356" s="18">
        <f>VLOOKUP(B356,'Profit &amp; Loss'!$B$3:$C$390,2,0)</f>
        <v>0</v>
      </c>
    </row>
    <row r="357" spans="1:7" x14ac:dyDescent="0.2">
      <c r="A357" s="3" t="s">
        <v>334</v>
      </c>
      <c r="B357" s="3" t="s">
        <v>339</v>
      </c>
      <c r="C357" s="4">
        <v>6622.61</v>
      </c>
      <c r="D357" s="4">
        <v>4180.01</v>
      </c>
      <c r="E357" s="4">
        <v>2442.6</v>
      </c>
      <c r="F357" s="3" t="s">
        <v>797</v>
      </c>
      <c r="G357" s="3">
        <f>VLOOKUP(B357,'Profit &amp; Loss'!$B$3:$C$390,2,0)</f>
        <v>4180.01</v>
      </c>
    </row>
    <row r="358" spans="1:7" x14ac:dyDescent="0.2">
      <c r="A358" s="3" t="s">
        <v>334</v>
      </c>
      <c r="B358" s="3" t="s">
        <v>340</v>
      </c>
      <c r="C358" s="4">
        <v>24791.35</v>
      </c>
      <c r="D358" s="4">
        <v>10559.39</v>
      </c>
      <c r="E358" s="4">
        <v>14231.96</v>
      </c>
      <c r="F358" s="3" t="s">
        <v>966</v>
      </c>
      <c r="G358" s="3">
        <f>VLOOKUP(B358,'Profit &amp; Loss'!$B$3:$C$390,2,0)</f>
        <v>10559.39</v>
      </c>
    </row>
    <row r="359" spans="1:7" x14ac:dyDescent="0.2">
      <c r="A359" s="3" t="s">
        <v>334</v>
      </c>
      <c r="B359" s="3" t="s">
        <v>341</v>
      </c>
      <c r="C359" s="4">
        <v>36262.65</v>
      </c>
      <c r="D359" s="4">
        <v>18487.189999999999</v>
      </c>
      <c r="E359" s="4">
        <v>17775.46</v>
      </c>
      <c r="F359" s="3" t="s">
        <v>872</v>
      </c>
      <c r="G359" s="3">
        <f>VLOOKUP(B359,'Profit &amp; Loss'!$B$3:$C$390,2,0)</f>
        <v>18487.189999999999</v>
      </c>
    </row>
    <row r="360" spans="1:7" x14ac:dyDescent="0.2">
      <c r="A360" s="3" t="s">
        <v>334</v>
      </c>
      <c r="B360" s="3" t="s">
        <v>342</v>
      </c>
      <c r="C360" s="4">
        <v>3423.53</v>
      </c>
      <c r="D360" s="4">
        <v>2577.34</v>
      </c>
      <c r="E360" s="4">
        <v>846.19</v>
      </c>
      <c r="F360" s="3" t="s">
        <v>646</v>
      </c>
      <c r="G360" s="3">
        <f>VLOOKUP(B360,'Profit &amp; Loss'!$B$3:$C$390,2,0)</f>
        <v>2577.34</v>
      </c>
    </row>
    <row r="361" spans="1:7" x14ac:dyDescent="0.2">
      <c r="A361" s="3" t="s">
        <v>334</v>
      </c>
      <c r="B361" s="3" t="s">
        <v>343</v>
      </c>
      <c r="C361" s="4">
        <v>2596.52</v>
      </c>
      <c r="D361" s="4">
        <v>-203.37</v>
      </c>
      <c r="E361" s="4">
        <v>2799.89</v>
      </c>
      <c r="F361" s="3" t="s">
        <v>1099</v>
      </c>
      <c r="G361" s="3">
        <f>VLOOKUP(B361,'Profit &amp; Loss'!$B$3:$C$390,2,0)</f>
        <v>-203.37</v>
      </c>
    </row>
    <row r="362" spans="1:7" x14ac:dyDescent="0.2">
      <c r="A362" s="3" t="s">
        <v>334</v>
      </c>
      <c r="B362" s="3" t="s">
        <v>992</v>
      </c>
      <c r="C362" s="4">
        <v>733.43</v>
      </c>
      <c r="D362" s="4">
        <v>733.43</v>
      </c>
      <c r="E362" s="4">
        <v>0</v>
      </c>
      <c r="F362" s="3" t="s">
        <v>6</v>
      </c>
      <c r="G362" s="3">
        <f>VLOOKUP(B362,'Profit &amp; Loss'!$B$3:$C$390,2,0)</f>
        <v>733.43</v>
      </c>
    </row>
    <row r="363" spans="1:7" x14ac:dyDescent="0.2">
      <c r="A363" s="3" t="s">
        <v>334</v>
      </c>
      <c r="B363" s="3" t="s">
        <v>345</v>
      </c>
      <c r="C363" s="4">
        <v>27498.639999999999</v>
      </c>
      <c r="D363" s="4">
        <v>11989.03</v>
      </c>
      <c r="E363" s="4">
        <v>15509.61</v>
      </c>
      <c r="F363" s="3" t="s">
        <v>1100</v>
      </c>
      <c r="G363" s="3">
        <f>VLOOKUP(B363,'Profit &amp; Loss'!$B$3:$C$390,2,0)</f>
        <v>11989.03</v>
      </c>
    </row>
    <row r="364" spans="1:7" x14ac:dyDescent="0.2">
      <c r="A364" s="3" t="s">
        <v>334</v>
      </c>
      <c r="B364" s="3" t="s">
        <v>346</v>
      </c>
      <c r="C364" s="4">
        <v>9547.98</v>
      </c>
      <c r="D364" s="4">
        <v>4420.24</v>
      </c>
      <c r="E364" s="4">
        <v>5127.74</v>
      </c>
      <c r="F364" s="3" t="s">
        <v>1101</v>
      </c>
      <c r="G364" s="3">
        <f>VLOOKUP(B364,'Profit &amp; Loss'!$B$3:$C$390,2,0)</f>
        <v>4420.24</v>
      </c>
    </row>
    <row r="365" spans="1:7" x14ac:dyDescent="0.2">
      <c r="A365" s="3" t="s">
        <v>334</v>
      </c>
      <c r="B365" s="3" t="s">
        <v>347</v>
      </c>
      <c r="C365" s="4">
        <v>4587.62</v>
      </c>
      <c r="D365" s="4">
        <v>2182.88</v>
      </c>
      <c r="E365" s="4">
        <v>2404.7399999999998</v>
      </c>
      <c r="F365" s="3" t="s">
        <v>1102</v>
      </c>
      <c r="G365" s="3">
        <f>VLOOKUP(B365,'Profit &amp; Loss'!$B$3:$C$390,2,0)</f>
        <v>2182.88</v>
      </c>
    </row>
    <row r="366" spans="1:7" x14ac:dyDescent="0.2">
      <c r="A366" s="3" t="s">
        <v>334</v>
      </c>
      <c r="B366" s="3" t="s">
        <v>348</v>
      </c>
      <c r="C366" s="4">
        <v>13093.94</v>
      </c>
      <c r="D366" s="4">
        <v>5823.94</v>
      </c>
      <c r="E366" s="4">
        <v>7270</v>
      </c>
      <c r="F366" s="3" t="s">
        <v>1103</v>
      </c>
      <c r="G366" s="3">
        <f>VLOOKUP(B366,'Profit &amp; Loss'!$B$3:$C$390,2,0)</f>
        <v>5823.94</v>
      </c>
    </row>
    <row r="367" spans="1:7" x14ac:dyDescent="0.2">
      <c r="A367" s="3" t="s">
        <v>334</v>
      </c>
      <c r="B367" s="3" t="s">
        <v>349</v>
      </c>
      <c r="C367" s="4">
        <v>9608.17</v>
      </c>
      <c r="D367" s="4">
        <v>3750.29</v>
      </c>
      <c r="E367" s="4">
        <v>5857.88</v>
      </c>
      <c r="F367" s="3" t="s">
        <v>1104</v>
      </c>
      <c r="G367" s="3">
        <f>VLOOKUP(B367,'Profit &amp; Loss'!$B$3:$C$390,2,0)</f>
        <v>3750.29</v>
      </c>
    </row>
    <row r="368" spans="1:7" x14ac:dyDescent="0.2">
      <c r="A368" s="3" t="s">
        <v>334</v>
      </c>
      <c r="B368" s="3" t="s">
        <v>350</v>
      </c>
      <c r="C368" s="4">
        <v>9703.4</v>
      </c>
      <c r="D368" s="4">
        <v>5549.93</v>
      </c>
      <c r="E368" s="4">
        <v>4153.47</v>
      </c>
      <c r="F368" s="3" t="s">
        <v>1105</v>
      </c>
      <c r="G368" s="3">
        <f>VLOOKUP(B368,'Profit &amp; Loss'!$B$3:$C$390,2,0)</f>
        <v>5549.93</v>
      </c>
    </row>
    <row r="369" spans="1:7" x14ac:dyDescent="0.2">
      <c r="A369" s="3" t="s">
        <v>334</v>
      </c>
      <c r="B369" s="3" t="s">
        <v>351</v>
      </c>
      <c r="C369" s="4">
        <v>8274.52</v>
      </c>
      <c r="D369" s="4">
        <v>4678.2299999999996</v>
      </c>
      <c r="E369" s="4">
        <v>3596.29</v>
      </c>
      <c r="F369" s="3" t="s">
        <v>1106</v>
      </c>
      <c r="G369" s="3">
        <f>VLOOKUP(B369,'Profit &amp; Loss'!$B$3:$C$390,2,0)</f>
        <v>4678.2299999999996</v>
      </c>
    </row>
    <row r="370" spans="1:7" x14ac:dyDescent="0.2">
      <c r="A370" s="3" t="s">
        <v>334</v>
      </c>
      <c r="B370" s="3" t="s">
        <v>352</v>
      </c>
      <c r="C370" s="4">
        <v>1421.49</v>
      </c>
      <c r="D370" s="4">
        <v>1184.21</v>
      </c>
      <c r="E370" s="4">
        <v>237.28</v>
      </c>
      <c r="F370" s="3" t="s">
        <v>527</v>
      </c>
      <c r="G370" s="3">
        <f>VLOOKUP(B370,'Profit &amp; Loss'!$B$3:$C$390,2,0)</f>
        <v>1184.21</v>
      </c>
    </row>
    <row r="371" spans="1:7" x14ac:dyDescent="0.2">
      <c r="A371" s="3" t="s">
        <v>334</v>
      </c>
      <c r="B371" s="3" t="s">
        <v>569</v>
      </c>
      <c r="C371" s="4">
        <v>1388.56</v>
      </c>
      <c r="D371" s="4">
        <v>1388.56</v>
      </c>
      <c r="E371" s="4">
        <v>0</v>
      </c>
      <c r="F371" s="3" t="s">
        <v>6</v>
      </c>
      <c r="G371" s="3">
        <f>VLOOKUP(B371,'Profit &amp; Loss'!$B$3:$C$390,2,0)</f>
        <v>1388.56</v>
      </c>
    </row>
    <row r="372" spans="1:7" x14ac:dyDescent="0.2">
      <c r="A372" s="3" t="s">
        <v>334</v>
      </c>
      <c r="B372" s="3" t="s">
        <v>353</v>
      </c>
      <c r="C372" s="4">
        <v>1638.13</v>
      </c>
      <c r="D372" s="4">
        <v>1304.8699999999999</v>
      </c>
      <c r="E372" s="4">
        <v>333.26</v>
      </c>
      <c r="F372" s="3" t="s">
        <v>785</v>
      </c>
      <c r="G372" s="3">
        <f>VLOOKUP(B372,'Profit &amp; Loss'!$B$3:$C$390,2,0)</f>
        <v>1304.8699999999999</v>
      </c>
    </row>
    <row r="373" spans="1:7" x14ac:dyDescent="0.2">
      <c r="A373" s="3" t="s">
        <v>334</v>
      </c>
      <c r="B373" s="3" t="s">
        <v>354</v>
      </c>
      <c r="C373" s="4">
        <v>1393.5</v>
      </c>
      <c r="D373" s="4">
        <v>645.12</v>
      </c>
      <c r="E373" s="4">
        <v>748.38</v>
      </c>
      <c r="F373" s="3" t="s">
        <v>1101</v>
      </c>
      <c r="G373" s="3">
        <f>VLOOKUP(B373,'Profit &amp; Loss'!$B$3:$C$390,2,0)</f>
        <v>645.12</v>
      </c>
    </row>
    <row r="374" spans="1:7" x14ac:dyDescent="0.2">
      <c r="A374" s="3" t="s">
        <v>334</v>
      </c>
      <c r="B374" s="3" t="s">
        <v>355</v>
      </c>
      <c r="C374" s="4">
        <v>9307.15</v>
      </c>
      <c r="D374" s="4">
        <v>4654.41</v>
      </c>
      <c r="E374" s="4">
        <v>4652.74</v>
      </c>
      <c r="F374" s="3" t="s">
        <v>531</v>
      </c>
      <c r="G374" s="3">
        <f>VLOOKUP(B374,'Profit &amp; Loss'!$B$3:$C$390,2,0)</f>
        <v>4654.41</v>
      </c>
    </row>
    <row r="375" spans="1:7" x14ac:dyDescent="0.2">
      <c r="A375" s="3" t="s">
        <v>334</v>
      </c>
      <c r="B375" s="3" t="s">
        <v>356</v>
      </c>
      <c r="C375" s="4">
        <v>329.43</v>
      </c>
      <c r="D375" s="4">
        <v>164.53</v>
      </c>
      <c r="E375" s="4">
        <v>164.9</v>
      </c>
      <c r="F375" s="3" t="s">
        <v>1107</v>
      </c>
      <c r="G375" s="3">
        <f>VLOOKUP(B375,'Profit &amp; Loss'!$B$3:$C$390,2,0)</f>
        <v>164.53</v>
      </c>
    </row>
    <row r="376" spans="1:7" x14ac:dyDescent="0.2">
      <c r="A376" s="3" t="s">
        <v>334</v>
      </c>
      <c r="B376" s="3" t="s">
        <v>357</v>
      </c>
      <c r="C376" s="4">
        <v>1269.0999999999999</v>
      </c>
      <c r="D376" s="4">
        <v>1147.27</v>
      </c>
      <c r="E376" s="4">
        <v>121.83</v>
      </c>
      <c r="F376" s="3" t="s">
        <v>1108</v>
      </c>
      <c r="G376" s="3">
        <f>VLOOKUP(B376,'Profit &amp; Loss'!$B$3:$C$390,2,0)</f>
        <v>1147.27</v>
      </c>
    </row>
    <row r="377" spans="1:7" x14ac:dyDescent="0.2">
      <c r="A377" s="3" t="s">
        <v>334</v>
      </c>
      <c r="B377" s="3" t="s">
        <v>358</v>
      </c>
      <c r="C377" s="4">
        <v>5279.72</v>
      </c>
      <c r="D377" s="4">
        <v>3993.12</v>
      </c>
      <c r="E377" s="4">
        <v>1286.5999999999999</v>
      </c>
      <c r="F377" s="3" t="s">
        <v>1109</v>
      </c>
      <c r="G377" s="3">
        <f>VLOOKUP(B377,'Profit &amp; Loss'!$B$3:$C$390,2,0)</f>
        <v>3993.12</v>
      </c>
    </row>
    <row r="378" spans="1:7" x14ac:dyDescent="0.2">
      <c r="A378" s="3" t="s">
        <v>334</v>
      </c>
      <c r="B378" s="3" t="s">
        <v>359</v>
      </c>
      <c r="C378" s="4">
        <v>1270.6400000000001</v>
      </c>
      <c r="D378" s="4">
        <v>1270.6400000000001</v>
      </c>
      <c r="E378" s="4">
        <v>0</v>
      </c>
      <c r="F378" s="3" t="s">
        <v>6</v>
      </c>
      <c r="G378" s="3">
        <f>VLOOKUP(B378,'Profit &amp; Loss'!$B$3:$C$390,2,0)</f>
        <v>1270.6400000000001</v>
      </c>
    </row>
    <row r="379" spans="1:7" x14ac:dyDescent="0.2">
      <c r="A379" s="3" t="s">
        <v>334</v>
      </c>
      <c r="B379" s="3" t="s">
        <v>360</v>
      </c>
      <c r="C379" s="4">
        <v>34666.44</v>
      </c>
      <c r="D379" s="4">
        <v>16594.689999999999</v>
      </c>
      <c r="E379" s="4">
        <v>18071.75</v>
      </c>
      <c r="F379" s="3" t="s">
        <v>1110</v>
      </c>
      <c r="G379" s="3">
        <f>VLOOKUP(B379,'Profit &amp; Loss'!$B$3:$C$390,2,0)</f>
        <v>16594.689999999999</v>
      </c>
    </row>
    <row r="380" spans="1:7" x14ac:dyDescent="0.2">
      <c r="A380" s="3" t="s">
        <v>334</v>
      </c>
      <c r="B380" s="3" t="s">
        <v>571</v>
      </c>
      <c r="C380" s="4">
        <v>7423.55</v>
      </c>
      <c r="D380" s="4">
        <v>7423.55</v>
      </c>
      <c r="E380" s="4">
        <v>0</v>
      </c>
      <c r="F380" s="3" t="s">
        <v>6</v>
      </c>
      <c r="G380" s="3">
        <f>VLOOKUP(B380,'Profit &amp; Loss'!$B$3:$C$390,2,0)</f>
        <v>7423.55</v>
      </c>
    </row>
    <row r="381" spans="1:7" s="18" customFormat="1" x14ac:dyDescent="0.2">
      <c r="A381" s="18" t="s">
        <v>334</v>
      </c>
      <c r="B381" s="18" t="s">
        <v>1111</v>
      </c>
      <c r="C381" s="19">
        <v>1297.71</v>
      </c>
      <c r="D381" s="19">
        <v>0</v>
      </c>
      <c r="E381" s="19">
        <v>1297.71</v>
      </c>
      <c r="F381" s="18" t="s">
        <v>2</v>
      </c>
      <c r="G381" s="18">
        <f>VLOOKUP(B381,'Profit &amp; Loss'!$B$3:$C$390,2,0)</f>
        <v>0</v>
      </c>
    </row>
    <row r="382" spans="1:7" x14ac:dyDescent="0.2">
      <c r="A382" s="3" t="s">
        <v>334</v>
      </c>
      <c r="B382" s="3" t="s">
        <v>363</v>
      </c>
      <c r="C382" s="4">
        <v>3073.6</v>
      </c>
      <c r="D382" s="4">
        <v>1958.16</v>
      </c>
      <c r="E382" s="4">
        <v>1115.44</v>
      </c>
      <c r="F382" s="3" t="s">
        <v>1112</v>
      </c>
      <c r="G382" s="3">
        <f>VLOOKUP(B382,'Profit &amp; Loss'!$B$3:$C$390,2,0)</f>
        <v>1958.16</v>
      </c>
    </row>
    <row r="383" spans="1:7" x14ac:dyDescent="0.2">
      <c r="A383" s="3" t="s">
        <v>334</v>
      </c>
      <c r="B383" s="3" t="s">
        <v>2</v>
      </c>
      <c r="C383" s="4">
        <v>412521.68</v>
      </c>
      <c r="D383" s="4">
        <v>197221.72</v>
      </c>
      <c r="E383" s="4">
        <v>215299.96</v>
      </c>
      <c r="F383" s="3" t="s">
        <v>543</v>
      </c>
    </row>
    <row r="384" spans="1:7" x14ac:dyDescent="0.2">
      <c r="A384" s="3" t="s">
        <v>364</v>
      </c>
      <c r="B384" s="3" t="s">
        <v>366</v>
      </c>
      <c r="C384" s="4">
        <v>223.34</v>
      </c>
      <c r="D384" s="4">
        <v>223.34</v>
      </c>
      <c r="E384" s="4">
        <v>0</v>
      </c>
      <c r="F384" s="3" t="s">
        <v>6</v>
      </c>
      <c r="G384" s="3">
        <f>VLOOKUP(B384,'Profit &amp; Loss'!$B$3:$C$390,2,0)</f>
        <v>223.34</v>
      </c>
    </row>
    <row r="385" spans="1:7" x14ac:dyDescent="0.2">
      <c r="A385" s="3" t="s">
        <v>364</v>
      </c>
      <c r="B385" s="3" t="s">
        <v>367</v>
      </c>
      <c r="C385" s="4">
        <v>462.09</v>
      </c>
      <c r="D385" s="4">
        <v>462.09</v>
      </c>
      <c r="E385" s="4">
        <v>0</v>
      </c>
      <c r="F385" s="3" t="s">
        <v>6</v>
      </c>
      <c r="G385" s="3">
        <f>VLOOKUP(B385,'Profit &amp; Loss'!$B$3:$C$390,2,0)</f>
        <v>462.09</v>
      </c>
    </row>
    <row r="386" spans="1:7" x14ac:dyDescent="0.2">
      <c r="A386" s="3" t="s">
        <v>364</v>
      </c>
      <c r="B386" s="3" t="s">
        <v>368</v>
      </c>
      <c r="C386" s="4">
        <v>120.24</v>
      </c>
      <c r="D386" s="4">
        <v>120.24</v>
      </c>
      <c r="E386" s="4">
        <v>0</v>
      </c>
      <c r="F386" s="3" t="s">
        <v>6</v>
      </c>
      <c r="G386" s="3">
        <f>VLOOKUP(B386,'Profit &amp; Loss'!$B$3:$C$390,2,0)</f>
        <v>120.24</v>
      </c>
    </row>
    <row r="387" spans="1:7" x14ac:dyDescent="0.2">
      <c r="A387" s="3" t="s">
        <v>364</v>
      </c>
      <c r="B387" s="3" t="s">
        <v>369</v>
      </c>
      <c r="C387" s="4">
        <v>11.91</v>
      </c>
      <c r="D387" s="4">
        <v>11.91</v>
      </c>
      <c r="E387" s="4">
        <v>0</v>
      </c>
      <c r="F387" s="3" t="s">
        <v>6</v>
      </c>
      <c r="G387" s="3">
        <f>VLOOKUP(B387,'Profit &amp; Loss'!$B$3:$C$390,2,0)</f>
        <v>11.91</v>
      </c>
    </row>
    <row r="388" spans="1:7" x14ac:dyDescent="0.2">
      <c r="A388" s="3" t="s">
        <v>364</v>
      </c>
      <c r="B388" s="3" t="s">
        <v>372</v>
      </c>
      <c r="C388" s="4">
        <v>514.12</v>
      </c>
      <c r="D388" s="4">
        <v>247.77</v>
      </c>
      <c r="E388" s="4">
        <v>266.35000000000002</v>
      </c>
      <c r="F388" s="3" t="s">
        <v>564</v>
      </c>
      <c r="G388" s="3">
        <f>VLOOKUP(B388,'Profit &amp; Loss'!$B$3:$C$390,2,0)</f>
        <v>247.77</v>
      </c>
    </row>
    <row r="389" spans="1:7" s="18" customFormat="1" x14ac:dyDescent="0.2">
      <c r="A389" s="18" t="s">
        <v>364</v>
      </c>
      <c r="B389" s="18" t="s">
        <v>572</v>
      </c>
      <c r="C389" s="19">
        <v>168.54</v>
      </c>
      <c r="D389" s="19">
        <v>0</v>
      </c>
      <c r="E389" s="19">
        <v>168.54</v>
      </c>
      <c r="F389" s="18" t="s">
        <v>2</v>
      </c>
      <c r="G389" s="18">
        <f>VLOOKUP(B389,'Profit &amp; Loss'!$B$3:$C$390,2,0)</f>
        <v>0</v>
      </c>
    </row>
    <row r="390" spans="1:7" x14ac:dyDescent="0.2">
      <c r="A390" s="3" t="s">
        <v>364</v>
      </c>
      <c r="B390" s="3" t="s">
        <v>2</v>
      </c>
      <c r="C390" s="4">
        <v>1500.24</v>
      </c>
      <c r="D390" s="4">
        <v>1065.3499999999999</v>
      </c>
      <c r="E390" s="4">
        <v>434.89</v>
      </c>
      <c r="F390" s="3" t="s">
        <v>624</v>
      </c>
    </row>
    <row r="391" spans="1:7" x14ac:dyDescent="0.2">
      <c r="A391" s="3" t="s">
        <v>373</v>
      </c>
      <c r="B391" s="3" t="s">
        <v>374</v>
      </c>
      <c r="C391" s="4">
        <v>78.400000000000006</v>
      </c>
      <c r="D391" s="4">
        <v>2.44</v>
      </c>
      <c r="E391" s="4">
        <v>75.959999999999994</v>
      </c>
      <c r="F391" s="3" t="s">
        <v>1113</v>
      </c>
      <c r="G391" s="3">
        <f>VLOOKUP(B391,'Profit &amp; Loss'!$B$3:$C$390,2,0)</f>
        <v>2.44</v>
      </c>
    </row>
    <row r="392" spans="1:7" x14ac:dyDescent="0.2">
      <c r="A392" s="3" t="s">
        <v>373</v>
      </c>
      <c r="B392" s="3" t="s">
        <v>375</v>
      </c>
      <c r="C392" s="4">
        <v>104.41</v>
      </c>
      <c r="D392" s="4">
        <v>-429.67</v>
      </c>
      <c r="E392" s="4">
        <v>534.08000000000004</v>
      </c>
      <c r="F392" s="3" t="s">
        <v>879</v>
      </c>
      <c r="G392" s="3">
        <f>VLOOKUP(B392,'Profit &amp; Loss'!$B$3:$C$390,2,0)</f>
        <v>-429.67</v>
      </c>
    </row>
    <row r="393" spans="1:7" x14ac:dyDescent="0.2">
      <c r="A393" s="3" t="s">
        <v>373</v>
      </c>
      <c r="B393" s="3" t="s">
        <v>573</v>
      </c>
      <c r="C393" s="4">
        <v>939.64</v>
      </c>
      <c r="D393" s="4">
        <v>939.64</v>
      </c>
      <c r="E393" s="4">
        <v>0</v>
      </c>
      <c r="F393" s="3" t="s">
        <v>6</v>
      </c>
      <c r="G393" s="3">
        <f>VLOOKUP(B393,'Profit &amp; Loss'!$B$3:$C$390,2,0)</f>
        <v>939.64</v>
      </c>
    </row>
    <row r="394" spans="1:7" x14ac:dyDescent="0.2">
      <c r="A394" s="3" t="s">
        <v>373</v>
      </c>
      <c r="B394" s="3" t="s">
        <v>376</v>
      </c>
      <c r="C394" s="4">
        <v>1403.86</v>
      </c>
      <c r="D394" s="4">
        <v>654.64</v>
      </c>
      <c r="E394" s="4">
        <v>749.22</v>
      </c>
      <c r="F394" s="3" t="s">
        <v>1114</v>
      </c>
      <c r="G394" s="3">
        <f>VLOOKUP(B394,'Profit &amp; Loss'!$B$3:$C$390,2,0)</f>
        <v>654.64</v>
      </c>
    </row>
    <row r="395" spans="1:7" s="18" customFormat="1" x14ac:dyDescent="0.2">
      <c r="A395" s="18" t="s">
        <v>373</v>
      </c>
      <c r="B395" s="18" t="s">
        <v>377</v>
      </c>
      <c r="C395" s="19">
        <v>1022.18</v>
      </c>
      <c r="D395" s="19">
        <v>0</v>
      </c>
      <c r="E395" s="19">
        <v>1022.18</v>
      </c>
      <c r="F395" s="18" t="s">
        <v>2</v>
      </c>
      <c r="G395" s="18">
        <f>VLOOKUP(B395,'Profit &amp; Loss'!$B$3:$C$390,2,0)</f>
        <v>0</v>
      </c>
    </row>
    <row r="396" spans="1:7" s="18" customFormat="1" x14ac:dyDescent="0.2">
      <c r="A396" s="18" t="s">
        <v>373</v>
      </c>
      <c r="B396" s="18" t="s">
        <v>857</v>
      </c>
      <c r="C396" s="19">
        <v>9461.41</v>
      </c>
      <c r="D396" s="19">
        <v>0</v>
      </c>
      <c r="E396" s="19">
        <v>9461.41</v>
      </c>
      <c r="F396" s="18" t="s">
        <v>2</v>
      </c>
      <c r="G396" s="18">
        <f>VLOOKUP(B396,'Profit &amp; Loss'!$B$3:$C$390,2,0)</f>
        <v>0</v>
      </c>
    </row>
    <row r="397" spans="1:7" x14ac:dyDescent="0.2">
      <c r="A397" s="3" t="s">
        <v>373</v>
      </c>
      <c r="B397" s="3" t="s">
        <v>378</v>
      </c>
      <c r="C397" s="4">
        <v>7386.27</v>
      </c>
      <c r="D397" s="4">
        <v>679.62</v>
      </c>
      <c r="E397" s="4">
        <v>6706.65</v>
      </c>
      <c r="F397" s="3" t="s">
        <v>1115</v>
      </c>
      <c r="G397" s="3">
        <f>VLOOKUP(B397,'Profit &amp; Loss'!$B$3:$C$390,2,0)</f>
        <v>679.62</v>
      </c>
    </row>
    <row r="398" spans="1:7" x14ac:dyDescent="0.2">
      <c r="A398" s="3" t="s">
        <v>373</v>
      </c>
      <c r="B398" s="3" t="s">
        <v>2</v>
      </c>
      <c r="C398" s="4">
        <v>20396.169999999998</v>
      </c>
      <c r="D398" s="4">
        <v>1846.67</v>
      </c>
      <c r="E398" s="4">
        <v>18549.5</v>
      </c>
      <c r="F398" s="3" t="s">
        <v>1116</v>
      </c>
    </row>
    <row r="399" spans="1:7" x14ac:dyDescent="0.2">
      <c r="A399" s="3" t="s">
        <v>379</v>
      </c>
      <c r="B399" s="3" t="s">
        <v>380</v>
      </c>
      <c r="C399" s="4">
        <v>224.44</v>
      </c>
      <c r="D399" s="4">
        <v>94.24</v>
      </c>
      <c r="E399" s="4">
        <v>130.19999999999999</v>
      </c>
      <c r="F399" s="3" t="s">
        <v>1117</v>
      </c>
      <c r="G399" s="3">
        <f>VLOOKUP(B399,'Profit &amp; Loss'!$B$3:$C$390,2,0)</f>
        <v>94.24</v>
      </c>
    </row>
    <row r="400" spans="1:7" x14ac:dyDescent="0.2">
      <c r="A400" s="3" t="s">
        <v>379</v>
      </c>
      <c r="B400" s="3" t="s">
        <v>381</v>
      </c>
      <c r="C400" s="4">
        <v>271.27999999999997</v>
      </c>
      <c r="D400" s="4">
        <v>-870.15</v>
      </c>
      <c r="E400" s="4">
        <v>1141.43</v>
      </c>
      <c r="F400" s="3" t="s">
        <v>1118</v>
      </c>
      <c r="G400" s="3">
        <f>VLOOKUP(B400,'Profit &amp; Loss'!$B$3:$C$390,2,0)</f>
        <v>-870.15</v>
      </c>
    </row>
    <row r="401" spans="1:7" x14ac:dyDescent="0.2">
      <c r="A401" s="3" t="s">
        <v>379</v>
      </c>
      <c r="B401" s="3" t="s">
        <v>382</v>
      </c>
      <c r="C401" s="4">
        <v>2.54</v>
      </c>
      <c r="D401" s="4">
        <v>-237.73</v>
      </c>
      <c r="E401" s="4">
        <v>240.27</v>
      </c>
      <c r="F401" s="3" t="s">
        <v>1119</v>
      </c>
      <c r="G401" s="3">
        <f>VLOOKUP(B401,'Profit &amp; Loss'!$B$3:$C$390,2,0)</f>
        <v>-237.73</v>
      </c>
    </row>
    <row r="402" spans="1:7" x14ac:dyDescent="0.2">
      <c r="A402" s="3" t="s">
        <v>379</v>
      </c>
      <c r="B402" s="3" t="s">
        <v>2</v>
      </c>
      <c r="C402" s="4">
        <v>498.26</v>
      </c>
      <c r="D402" s="4">
        <v>-1013.64</v>
      </c>
      <c r="E402" s="4">
        <v>1511.9</v>
      </c>
      <c r="F402" s="3" t="s">
        <v>1120</v>
      </c>
    </row>
    <row r="403" spans="1:7" x14ac:dyDescent="0.2">
      <c r="A403" s="3" t="s">
        <v>383</v>
      </c>
      <c r="B403" s="3" t="s">
        <v>384</v>
      </c>
      <c r="C403" s="4">
        <v>159.28</v>
      </c>
      <c r="D403" s="4">
        <v>152.97999999999999</v>
      </c>
      <c r="E403" s="4">
        <v>6.3</v>
      </c>
      <c r="F403" s="3" t="s">
        <v>524</v>
      </c>
      <c r="G403" s="3">
        <f>VLOOKUP(B403,'Profit &amp; Loss'!$B$3:$C$390,2,0)</f>
        <v>152.97999999999999</v>
      </c>
    </row>
    <row r="404" spans="1:7" x14ac:dyDescent="0.2">
      <c r="A404" s="3" t="s">
        <v>383</v>
      </c>
      <c r="B404" s="3" t="s">
        <v>993</v>
      </c>
      <c r="C404" s="4">
        <v>-130594.91</v>
      </c>
      <c r="D404" s="4">
        <v>-130594.91</v>
      </c>
      <c r="E404" s="4">
        <v>0</v>
      </c>
      <c r="F404" s="3" t="s">
        <v>6</v>
      </c>
      <c r="G404" s="3">
        <f>VLOOKUP(B404,'Profit &amp; Loss'!$B$3:$C$390,2,0)</f>
        <v>-130594.91</v>
      </c>
    </row>
    <row r="405" spans="1:7" x14ac:dyDescent="0.2">
      <c r="A405" s="3" t="s">
        <v>383</v>
      </c>
      <c r="B405" s="3" t="s">
        <v>385</v>
      </c>
      <c r="C405" s="4">
        <v>8670.5400000000009</v>
      </c>
      <c r="D405" s="4">
        <v>3245.65</v>
      </c>
      <c r="E405" s="4">
        <v>5424.89</v>
      </c>
      <c r="F405" s="3" t="s">
        <v>1074</v>
      </c>
      <c r="G405" s="3">
        <f>VLOOKUP(B405,'Profit &amp; Loss'!$B$3:$C$390,2,0)</f>
        <v>3245.65</v>
      </c>
    </row>
    <row r="406" spans="1:7" x14ac:dyDescent="0.2">
      <c r="A406" s="3" t="s">
        <v>383</v>
      </c>
      <c r="B406" s="3" t="s">
        <v>386</v>
      </c>
      <c r="C406" s="4">
        <v>9565.32</v>
      </c>
      <c r="D406" s="4">
        <v>4774.8</v>
      </c>
      <c r="E406" s="4">
        <v>4790.5200000000004</v>
      </c>
      <c r="F406" s="3" t="s">
        <v>557</v>
      </c>
      <c r="G406" s="3">
        <f>VLOOKUP(B406,'Profit &amp; Loss'!$B$3:$C$390,2,0)</f>
        <v>4774.8</v>
      </c>
    </row>
    <row r="407" spans="1:7" x14ac:dyDescent="0.2">
      <c r="A407" s="3" t="s">
        <v>383</v>
      </c>
      <c r="B407" s="3" t="s">
        <v>387</v>
      </c>
      <c r="C407" s="4">
        <v>11965.55</v>
      </c>
      <c r="D407" s="4">
        <v>5944.89</v>
      </c>
      <c r="E407" s="4">
        <v>6020.66</v>
      </c>
      <c r="F407" s="3" t="s">
        <v>609</v>
      </c>
      <c r="G407" s="3">
        <f>VLOOKUP(B407,'Profit &amp; Loss'!$B$3:$C$390,2,0)</f>
        <v>5944.89</v>
      </c>
    </row>
    <row r="408" spans="1:7" x14ac:dyDescent="0.2">
      <c r="A408" s="3" t="s">
        <v>383</v>
      </c>
      <c r="B408" s="3" t="s">
        <v>2</v>
      </c>
      <c r="C408" s="4">
        <v>-100234.22</v>
      </c>
      <c r="D408" s="4">
        <v>-116476.59</v>
      </c>
      <c r="E408" s="4">
        <v>16242.37</v>
      </c>
      <c r="F408" s="3" t="s">
        <v>513</v>
      </c>
    </row>
    <row r="409" spans="1:7" x14ac:dyDescent="0.2">
      <c r="A409" s="3" t="s">
        <v>678</v>
      </c>
      <c r="B409" s="3" t="s">
        <v>994</v>
      </c>
      <c r="C409" s="4">
        <v>5.28</v>
      </c>
      <c r="D409" s="4">
        <v>1302.99</v>
      </c>
      <c r="E409" s="4">
        <v>-1297.71</v>
      </c>
      <c r="F409" s="3" t="s">
        <v>1121</v>
      </c>
      <c r="G409" s="3">
        <f>VLOOKUP(B409,'Profit &amp; Loss'!$B$3:$C$390,2,0)</f>
        <v>1302.99</v>
      </c>
    </row>
    <row r="410" spans="1:7" s="18" customFormat="1" x14ac:dyDescent="0.2">
      <c r="A410" s="18" t="s">
        <v>678</v>
      </c>
      <c r="B410" s="18" t="s">
        <v>679</v>
      </c>
      <c r="C410" s="19">
        <v>1394.23</v>
      </c>
      <c r="D410" s="19">
        <v>0</v>
      </c>
      <c r="E410" s="19">
        <v>1394.23</v>
      </c>
      <c r="F410" s="18" t="s">
        <v>2</v>
      </c>
      <c r="G410" s="18" t="e">
        <f>VLOOKUP(B410,'Profit &amp; Loss'!$B$3:$C$390,2,0)</f>
        <v>#N/A</v>
      </c>
    </row>
    <row r="411" spans="1:7" x14ac:dyDescent="0.2">
      <c r="A411" s="3" t="s">
        <v>678</v>
      </c>
      <c r="B411" s="3" t="s">
        <v>2</v>
      </c>
      <c r="C411" s="4">
        <v>1399.51</v>
      </c>
      <c r="D411" s="4">
        <v>1302.99</v>
      </c>
      <c r="E411" s="4">
        <v>96.52</v>
      </c>
      <c r="F411" s="3" t="s">
        <v>1122</v>
      </c>
    </row>
    <row r="412" spans="1:7" x14ac:dyDescent="0.2">
      <c r="A412" s="3" t="s">
        <v>388</v>
      </c>
      <c r="B412" s="3" t="s">
        <v>390</v>
      </c>
      <c r="C412" s="4">
        <v>944.73</v>
      </c>
      <c r="D412" s="4">
        <v>596.91</v>
      </c>
      <c r="E412" s="4">
        <v>347.82</v>
      </c>
      <c r="F412" s="3" t="s">
        <v>1123</v>
      </c>
      <c r="G412" s="3" t="e">
        <f>VLOOKUP(B412,'Profit &amp; Loss'!$B$3:$C$390,2,0)</f>
        <v>#N/A</v>
      </c>
    </row>
    <row r="413" spans="1:7" x14ac:dyDescent="0.2">
      <c r="A413" s="3" t="s">
        <v>388</v>
      </c>
      <c r="B413" s="3" t="s">
        <v>2</v>
      </c>
      <c r="C413" s="4">
        <v>944.73</v>
      </c>
      <c r="D413" s="4">
        <v>596.91</v>
      </c>
      <c r="E413" s="4">
        <v>347.82</v>
      </c>
      <c r="F413" s="3" t="s">
        <v>1123</v>
      </c>
    </row>
    <row r="414" spans="1:7" x14ac:dyDescent="0.2">
      <c r="A414" s="3" t="s">
        <v>391</v>
      </c>
      <c r="B414" s="3" t="s">
        <v>579</v>
      </c>
      <c r="C414" s="4">
        <v>295.13</v>
      </c>
      <c r="D414" s="4">
        <v>2.69</v>
      </c>
      <c r="E414" s="4">
        <v>292.44</v>
      </c>
      <c r="F414" s="3" t="s">
        <v>1124</v>
      </c>
      <c r="G414" s="3">
        <f>VLOOKUP(B414,'Profit &amp; Loss'!$B$3:$C$390,2,0)</f>
        <v>2.69</v>
      </c>
    </row>
    <row r="415" spans="1:7" x14ac:dyDescent="0.2">
      <c r="A415" s="3" t="s">
        <v>391</v>
      </c>
      <c r="B415" s="3" t="s">
        <v>392</v>
      </c>
      <c r="C415" s="4">
        <v>1140.07</v>
      </c>
      <c r="D415" s="4">
        <v>904.52</v>
      </c>
      <c r="E415" s="4">
        <v>235.55</v>
      </c>
      <c r="F415" s="3" t="s">
        <v>490</v>
      </c>
      <c r="G415" s="3">
        <f>VLOOKUP(B415,'Profit &amp; Loss'!$B$3:$C$390,2,0)</f>
        <v>904.52</v>
      </c>
    </row>
    <row r="416" spans="1:7" x14ac:dyDescent="0.2">
      <c r="A416" s="3" t="s">
        <v>391</v>
      </c>
      <c r="B416" s="3" t="s">
        <v>2</v>
      </c>
      <c r="C416" s="4">
        <v>1435.2</v>
      </c>
      <c r="D416" s="4">
        <v>907.21</v>
      </c>
      <c r="E416" s="4">
        <v>527.99</v>
      </c>
      <c r="F416" s="3" t="s">
        <v>691</v>
      </c>
    </row>
    <row r="417" spans="1:7" x14ac:dyDescent="0.2">
      <c r="A417" s="3" t="s">
        <v>393</v>
      </c>
      <c r="B417" s="3" t="s">
        <v>394</v>
      </c>
      <c r="C417" s="4">
        <v>2711.22</v>
      </c>
      <c r="D417" s="4">
        <v>1534.08</v>
      </c>
      <c r="E417" s="4">
        <v>1177.1400000000001</v>
      </c>
      <c r="F417" s="3" t="s">
        <v>1125</v>
      </c>
      <c r="G417" s="3">
        <f>VLOOKUP(B417,'Profit &amp; Loss'!$B$3:$C$390,2,0)</f>
        <v>1534.08</v>
      </c>
    </row>
    <row r="418" spans="1:7" x14ac:dyDescent="0.2">
      <c r="A418" s="3" t="s">
        <v>393</v>
      </c>
      <c r="B418" s="3" t="s">
        <v>395</v>
      </c>
      <c r="C418" s="4">
        <v>4564.7299999999996</v>
      </c>
      <c r="D418" s="4">
        <v>2034.12</v>
      </c>
      <c r="E418" s="4">
        <v>2530.61</v>
      </c>
      <c r="F418" s="3" t="s">
        <v>1126</v>
      </c>
      <c r="G418" s="3">
        <f>VLOOKUP(B418,'Profit &amp; Loss'!$B$3:$C$390,2,0)</f>
        <v>2034.12</v>
      </c>
    </row>
    <row r="419" spans="1:7" x14ac:dyDescent="0.2">
      <c r="A419" s="3" t="s">
        <v>393</v>
      </c>
      <c r="B419" s="3" t="s">
        <v>2</v>
      </c>
      <c r="C419" s="4">
        <v>7275.95</v>
      </c>
      <c r="D419" s="4">
        <v>3568.2</v>
      </c>
      <c r="E419" s="4">
        <v>3707.75</v>
      </c>
      <c r="F419" s="3" t="s">
        <v>1127</v>
      </c>
    </row>
    <row r="420" spans="1:7" x14ac:dyDescent="0.2">
      <c r="A420" s="3" t="s">
        <v>582</v>
      </c>
      <c r="B420" s="3" t="s">
        <v>583</v>
      </c>
      <c r="C420" s="4">
        <v>-35597.97</v>
      </c>
      <c r="D420" s="4">
        <v>-54602.16</v>
      </c>
      <c r="E420" s="4">
        <v>19004.189999999999</v>
      </c>
      <c r="F420" s="3" t="s">
        <v>626</v>
      </c>
      <c r="G420" s="3">
        <f>VLOOKUP(B420,'Profit &amp; Loss'!$B$3:$C$390,2,0)</f>
        <v>-54602.16</v>
      </c>
    </row>
    <row r="421" spans="1:7" x14ac:dyDescent="0.2">
      <c r="A421" s="3" t="s">
        <v>582</v>
      </c>
      <c r="B421" s="3" t="s">
        <v>584</v>
      </c>
      <c r="C421" s="4">
        <v>-25965.11</v>
      </c>
      <c r="D421" s="4">
        <v>-28044.34</v>
      </c>
      <c r="E421" s="4">
        <v>2079.23</v>
      </c>
      <c r="F421" s="3" t="s">
        <v>1122</v>
      </c>
      <c r="G421" s="3">
        <f>VLOOKUP(B421,'Profit &amp; Loss'!$B$3:$C$390,2,0)</f>
        <v>-28044.34</v>
      </c>
    </row>
    <row r="422" spans="1:7" x14ac:dyDescent="0.2">
      <c r="A422" s="3" t="s">
        <v>582</v>
      </c>
      <c r="B422" s="3" t="s">
        <v>684</v>
      </c>
      <c r="C422" s="4">
        <v>10280.790000000001</v>
      </c>
      <c r="D422" s="4">
        <v>-37.07</v>
      </c>
      <c r="E422" s="4">
        <v>10317.86</v>
      </c>
      <c r="F422" s="3" t="s">
        <v>1128</v>
      </c>
      <c r="G422" s="3">
        <f>VLOOKUP(B422,'Profit &amp; Loss'!$B$3:$C$390,2,0)</f>
        <v>-37.07</v>
      </c>
    </row>
    <row r="423" spans="1:7" x14ac:dyDescent="0.2">
      <c r="A423" s="3" t="s">
        <v>582</v>
      </c>
      <c r="B423" s="3" t="s">
        <v>2</v>
      </c>
      <c r="C423" s="4">
        <v>-51282.29</v>
      </c>
      <c r="D423" s="4">
        <v>-82683.570000000007</v>
      </c>
      <c r="E423" s="4">
        <v>31401.279999999999</v>
      </c>
      <c r="F423" s="3" t="s">
        <v>953</v>
      </c>
    </row>
    <row r="424" spans="1:7" x14ac:dyDescent="0.2">
      <c r="A424" s="3" t="s">
        <v>396</v>
      </c>
      <c r="B424" s="3" t="s">
        <v>397</v>
      </c>
      <c r="C424" s="4">
        <v>8858.66</v>
      </c>
      <c r="D424" s="4">
        <v>4528.21</v>
      </c>
      <c r="E424" s="4">
        <v>4330.45</v>
      </c>
      <c r="F424" s="3" t="s">
        <v>1129</v>
      </c>
      <c r="G424" s="3">
        <f>VLOOKUP(B424,'Profit &amp; Loss'!$B$3:$C$390,2,0)</f>
        <v>4528.21</v>
      </c>
    </row>
    <row r="425" spans="1:7" x14ac:dyDescent="0.2">
      <c r="A425" s="3" t="s">
        <v>396</v>
      </c>
      <c r="B425" s="3" t="s">
        <v>2</v>
      </c>
      <c r="C425" s="4">
        <v>8858.66</v>
      </c>
      <c r="D425" s="4">
        <v>4528.21</v>
      </c>
      <c r="E425" s="4">
        <v>4330.45</v>
      </c>
      <c r="F425" s="3" t="s">
        <v>1129</v>
      </c>
    </row>
    <row r="426" spans="1:7" x14ac:dyDescent="0.2">
      <c r="A426" s="3" t="s">
        <v>398</v>
      </c>
      <c r="B426" s="3" t="s">
        <v>399</v>
      </c>
      <c r="C426" s="4">
        <v>3581.77</v>
      </c>
      <c r="D426" s="4">
        <v>6517.4</v>
      </c>
      <c r="E426" s="4">
        <v>-2935.63</v>
      </c>
      <c r="F426" s="3" t="s">
        <v>1130</v>
      </c>
      <c r="G426" s="3">
        <f>VLOOKUP(B426,'Profit &amp; Loss'!$B$3:$C$390,2,0)</f>
        <v>6517.4</v>
      </c>
    </row>
    <row r="427" spans="1:7" x14ac:dyDescent="0.2">
      <c r="A427" s="3" t="s">
        <v>398</v>
      </c>
      <c r="B427" s="3" t="s">
        <v>2</v>
      </c>
      <c r="C427" s="4">
        <v>3581.77</v>
      </c>
      <c r="D427" s="4">
        <v>6517.4</v>
      </c>
      <c r="E427" s="4">
        <v>-2935.63</v>
      </c>
      <c r="F427" s="3" t="s">
        <v>1130</v>
      </c>
    </row>
    <row r="428" spans="1:7" x14ac:dyDescent="0.2">
      <c r="A428" s="3" t="s">
        <v>401</v>
      </c>
      <c r="B428" s="3" t="s">
        <v>402</v>
      </c>
      <c r="C428" s="4">
        <v>139.75</v>
      </c>
      <c r="D428" s="4">
        <v>139.75</v>
      </c>
      <c r="E428" s="4">
        <v>0</v>
      </c>
      <c r="F428" s="3" t="s">
        <v>6</v>
      </c>
      <c r="G428" s="3">
        <f>VLOOKUP(B428,'Profit &amp; Loss'!$B$3:$C$390,2,0)</f>
        <v>139.75</v>
      </c>
    </row>
    <row r="429" spans="1:7" x14ac:dyDescent="0.2">
      <c r="A429" s="3" t="s">
        <v>401</v>
      </c>
      <c r="B429" s="3" t="s">
        <v>2</v>
      </c>
      <c r="C429" s="4">
        <v>139.75</v>
      </c>
      <c r="D429" s="4">
        <v>139.75</v>
      </c>
      <c r="E429" s="4">
        <v>0</v>
      </c>
      <c r="F429" s="3" t="s">
        <v>6</v>
      </c>
    </row>
    <row r="430" spans="1:7" x14ac:dyDescent="0.2">
      <c r="A430" s="3" t="s">
        <v>403</v>
      </c>
      <c r="B430" s="3" t="s">
        <v>404</v>
      </c>
      <c r="C430" s="4">
        <v>2594.38</v>
      </c>
      <c r="D430" s="4">
        <v>1539.76</v>
      </c>
      <c r="E430" s="4">
        <v>1054.6199999999999</v>
      </c>
      <c r="F430" s="3" t="s">
        <v>1131</v>
      </c>
      <c r="G430" s="3">
        <f>VLOOKUP(B430,'Profit &amp; Loss'!$B$3:$C$390,2,0)</f>
        <v>1539.76</v>
      </c>
    </row>
    <row r="431" spans="1:7" x14ac:dyDescent="0.2">
      <c r="A431" s="3" t="s">
        <v>403</v>
      </c>
      <c r="B431" s="3" t="s">
        <v>405</v>
      </c>
      <c r="C431" s="4">
        <v>26473.39</v>
      </c>
      <c r="D431" s="4">
        <v>2743.74</v>
      </c>
      <c r="E431" s="4">
        <v>23729.65</v>
      </c>
      <c r="F431" s="3" t="s">
        <v>1132</v>
      </c>
      <c r="G431" s="3">
        <f>VLOOKUP(B431,'Profit &amp; Loss'!$B$3:$C$390,2,0)</f>
        <v>2743.74</v>
      </c>
    </row>
    <row r="432" spans="1:7" x14ac:dyDescent="0.2">
      <c r="A432" s="3" t="s">
        <v>403</v>
      </c>
      <c r="B432" s="3" t="s">
        <v>406</v>
      </c>
      <c r="C432" s="4">
        <v>38.549999999999997</v>
      </c>
      <c r="D432" s="4">
        <v>28.84</v>
      </c>
      <c r="E432" s="4">
        <v>9.7100000000000009</v>
      </c>
      <c r="F432" s="3" t="s">
        <v>668</v>
      </c>
      <c r="G432" s="3">
        <f>VLOOKUP(B432,'Profit &amp; Loss'!$B$3:$C$390,2,0)</f>
        <v>28.84</v>
      </c>
    </row>
    <row r="433" spans="1:7" x14ac:dyDescent="0.2">
      <c r="A433" s="3" t="s">
        <v>403</v>
      </c>
      <c r="B433" s="3" t="s">
        <v>686</v>
      </c>
      <c r="C433" s="4">
        <v>494.67</v>
      </c>
      <c r="D433" s="4">
        <v>494.67</v>
      </c>
      <c r="E433" s="4">
        <v>0</v>
      </c>
      <c r="F433" s="3" t="s">
        <v>6</v>
      </c>
      <c r="G433" s="3">
        <f>VLOOKUP(B433,'Profit &amp; Loss'!$B$3:$C$390,2,0)</f>
        <v>494.67</v>
      </c>
    </row>
    <row r="434" spans="1:7" x14ac:dyDescent="0.2">
      <c r="A434" s="3" t="s">
        <v>403</v>
      </c>
      <c r="B434" s="3" t="s">
        <v>2</v>
      </c>
      <c r="C434" s="4">
        <v>29600.99</v>
      </c>
      <c r="D434" s="4">
        <v>4807.01</v>
      </c>
      <c r="E434" s="4">
        <v>24793.98</v>
      </c>
      <c r="F434" s="3" t="s">
        <v>1133</v>
      </c>
    </row>
    <row r="435" spans="1:7" x14ac:dyDescent="0.2">
      <c r="A435" s="3" t="s">
        <v>408</v>
      </c>
      <c r="B435" s="3" t="s">
        <v>409</v>
      </c>
      <c r="C435" s="4">
        <v>7009.26</v>
      </c>
      <c r="D435" s="4">
        <v>3504.81</v>
      </c>
      <c r="E435" s="4">
        <v>3504.45</v>
      </c>
      <c r="F435" s="3" t="s">
        <v>531</v>
      </c>
      <c r="G435" s="3">
        <f>VLOOKUP(B435,'Profit &amp; Loss'!$B$3:$C$390,2,0)</f>
        <v>3504.81</v>
      </c>
    </row>
    <row r="436" spans="1:7" x14ac:dyDescent="0.2">
      <c r="A436" s="3" t="s">
        <v>408</v>
      </c>
      <c r="B436" s="3" t="s">
        <v>995</v>
      </c>
      <c r="C436" s="4">
        <v>16.510000000000002</v>
      </c>
      <c r="D436" s="4">
        <v>8.25</v>
      </c>
      <c r="E436" s="4">
        <v>8.26</v>
      </c>
      <c r="F436" s="3" t="s">
        <v>1134</v>
      </c>
      <c r="G436" s="3">
        <f>VLOOKUP(B436,'Profit &amp; Loss'!$B$3:$C$390,2,0)</f>
        <v>8.25</v>
      </c>
    </row>
    <row r="437" spans="1:7" x14ac:dyDescent="0.2">
      <c r="A437" s="3" t="s">
        <v>408</v>
      </c>
      <c r="B437" s="3" t="s">
        <v>410</v>
      </c>
      <c r="C437" s="4">
        <v>83.72</v>
      </c>
      <c r="D437" s="4">
        <v>34.97</v>
      </c>
      <c r="E437" s="4">
        <v>48.75</v>
      </c>
      <c r="F437" s="3" t="s">
        <v>1135</v>
      </c>
      <c r="G437" s="3">
        <f>VLOOKUP(B437,'Profit &amp; Loss'!$B$3:$C$390,2,0)</f>
        <v>34.97</v>
      </c>
    </row>
    <row r="438" spans="1:7" x14ac:dyDescent="0.2">
      <c r="A438" s="3" t="s">
        <v>408</v>
      </c>
      <c r="B438" s="3" t="s">
        <v>411</v>
      </c>
      <c r="C438" s="4">
        <v>4209.84</v>
      </c>
      <c r="D438" s="4">
        <v>2065.9299999999998</v>
      </c>
      <c r="E438" s="4">
        <v>2143.91</v>
      </c>
      <c r="F438" s="3" t="s">
        <v>1136</v>
      </c>
      <c r="G438" s="3">
        <f>VLOOKUP(B438,'Profit &amp; Loss'!$B$3:$C$390,2,0)</f>
        <v>2065.9299999999998</v>
      </c>
    </row>
    <row r="439" spans="1:7" x14ac:dyDescent="0.2">
      <c r="A439" s="3" t="s">
        <v>408</v>
      </c>
      <c r="B439" s="3" t="s">
        <v>412</v>
      </c>
      <c r="C439" s="4">
        <v>683.85</v>
      </c>
      <c r="D439" s="4">
        <v>409.3</v>
      </c>
      <c r="E439" s="4">
        <v>274.55</v>
      </c>
      <c r="F439" s="3" t="s">
        <v>1137</v>
      </c>
      <c r="G439" s="3">
        <f>VLOOKUP(B439,'Profit &amp; Loss'!$B$3:$C$390,2,0)</f>
        <v>409.3</v>
      </c>
    </row>
    <row r="440" spans="1:7" x14ac:dyDescent="0.2">
      <c r="A440" s="3" t="s">
        <v>408</v>
      </c>
      <c r="B440" s="3" t="s">
        <v>413</v>
      </c>
      <c r="C440" s="4">
        <v>3343.01</v>
      </c>
      <c r="D440" s="4">
        <v>1687.53</v>
      </c>
      <c r="E440" s="4">
        <v>1655.48</v>
      </c>
      <c r="F440" s="3" t="s">
        <v>695</v>
      </c>
      <c r="G440" s="3">
        <f>VLOOKUP(B440,'Profit &amp; Loss'!$B$3:$C$390,2,0)</f>
        <v>1687.53</v>
      </c>
    </row>
    <row r="441" spans="1:7" x14ac:dyDescent="0.2">
      <c r="A441" s="3" t="s">
        <v>408</v>
      </c>
      <c r="B441" s="3" t="s">
        <v>414</v>
      </c>
      <c r="C441" s="4">
        <v>2229.54</v>
      </c>
      <c r="D441" s="4">
        <v>1114.78</v>
      </c>
      <c r="E441" s="4">
        <v>1114.76</v>
      </c>
      <c r="F441" s="3" t="s">
        <v>531</v>
      </c>
      <c r="G441" s="3">
        <f>VLOOKUP(B441,'Profit &amp; Loss'!$B$3:$C$390,2,0)</f>
        <v>1114.78</v>
      </c>
    </row>
    <row r="442" spans="1:7" x14ac:dyDescent="0.2">
      <c r="A442" s="3" t="s">
        <v>408</v>
      </c>
      <c r="B442" s="3" t="s">
        <v>415</v>
      </c>
      <c r="C442" s="4">
        <v>111.17</v>
      </c>
      <c r="D442" s="4">
        <v>55.58</v>
      </c>
      <c r="E442" s="4">
        <v>55.59</v>
      </c>
      <c r="F442" s="3" t="s">
        <v>531</v>
      </c>
      <c r="G442" s="3">
        <f>VLOOKUP(B442,'Profit &amp; Loss'!$B$3:$C$390,2,0)</f>
        <v>55.58</v>
      </c>
    </row>
    <row r="443" spans="1:7" x14ac:dyDescent="0.2">
      <c r="A443" s="3" t="s">
        <v>408</v>
      </c>
      <c r="B443" s="3" t="s">
        <v>416</v>
      </c>
      <c r="C443" s="4">
        <v>7863.47</v>
      </c>
      <c r="D443" s="4">
        <v>5433.31</v>
      </c>
      <c r="E443" s="4">
        <v>2430.16</v>
      </c>
      <c r="F443" s="3" t="s">
        <v>1138</v>
      </c>
      <c r="G443" s="3">
        <f>VLOOKUP(B443,'Profit &amp; Loss'!$B$3:$C$390,2,0)</f>
        <v>5433.31</v>
      </c>
    </row>
    <row r="444" spans="1:7" x14ac:dyDescent="0.2">
      <c r="A444" s="3" t="s">
        <v>408</v>
      </c>
      <c r="B444" s="3" t="s">
        <v>417</v>
      </c>
      <c r="C444" s="4">
        <v>5832.88</v>
      </c>
      <c r="D444" s="4">
        <v>2916.44</v>
      </c>
      <c r="E444" s="4">
        <v>2916.44</v>
      </c>
      <c r="F444" s="3" t="s">
        <v>531</v>
      </c>
      <c r="G444" s="3">
        <f>VLOOKUP(B444,'Profit &amp; Loss'!$B$3:$C$390,2,0)</f>
        <v>2916.44</v>
      </c>
    </row>
    <row r="445" spans="1:7" x14ac:dyDescent="0.2">
      <c r="A445" s="3" t="s">
        <v>408</v>
      </c>
      <c r="B445" s="3" t="s">
        <v>689</v>
      </c>
      <c r="C445" s="4">
        <v>60617.71</v>
      </c>
      <c r="D445" s="4">
        <v>60617.71</v>
      </c>
      <c r="E445" s="4">
        <v>0</v>
      </c>
      <c r="F445" s="3" t="s">
        <v>6</v>
      </c>
      <c r="G445" s="3">
        <f>VLOOKUP(B445,'Profit &amp; Loss'!$B$3:$C$390,2,0)</f>
        <v>60617.71</v>
      </c>
    </row>
    <row r="446" spans="1:7" x14ac:dyDescent="0.2">
      <c r="A446" s="3" t="s">
        <v>408</v>
      </c>
      <c r="B446" s="3" t="s">
        <v>418</v>
      </c>
      <c r="C446" s="4">
        <v>18680.560000000001</v>
      </c>
      <c r="D446" s="4">
        <v>10835.77</v>
      </c>
      <c r="E446" s="4">
        <v>7844.79</v>
      </c>
      <c r="F446" s="3" t="s">
        <v>1139</v>
      </c>
      <c r="G446" s="3">
        <f>VLOOKUP(B446,'Profit &amp; Loss'!$B$3:$C$390,2,0)</f>
        <v>10835.77</v>
      </c>
    </row>
    <row r="447" spans="1:7" x14ac:dyDescent="0.2">
      <c r="A447" s="3" t="s">
        <v>408</v>
      </c>
      <c r="B447" s="3" t="s">
        <v>419</v>
      </c>
      <c r="C447" s="4">
        <v>10847.35</v>
      </c>
      <c r="D447" s="4">
        <v>5356.49</v>
      </c>
      <c r="E447" s="4">
        <v>5490.86</v>
      </c>
      <c r="F447" s="3" t="s">
        <v>1140</v>
      </c>
      <c r="G447" s="3">
        <f>VLOOKUP(B447,'Profit &amp; Loss'!$B$3:$C$390,2,0)</f>
        <v>5356.49</v>
      </c>
    </row>
    <row r="448" spans="1:7" x14ac:dyDescent="0.2">
      <c r="A448" s="3" t="s">
        <v>408</v>
      </c>
      <c r="B448" s="3" t="s">
        <v>2</v>
      </c>
      <c r="C448" s="4">
        <v>121528.87</v>
      </c>
      <c r="D448" s="4">
        <v>94040.87</v>
      </c>
      <c r="E448" s="4">
        <v>27488</v>
      </c>
      <c r="F448" s="3" t="s">
        <v>807</v>
      </c>
    </row>
    <row r="449" spans="1:7" x14ac:dyDescent="0.2">
      <c r="A449" s="3" t="s">
        <v>420</v>
      </c>
      <c r="B449" s="3" t="s">
        <v>421</v>
      </c>
      <c r="C449" s="4">
        <v>26764.23</v>
      </c>
      <c r="D449" s="4">
        <v>9127.73</v>
      </c>
      <c r="E449" s="4">
        <v>17636.5</v>
      </c>
      <c r="F449" s="3" t="s">
        <v>1141</v>
      </c>
      <c r="G449" s="3">
        <f>VLOOKUP(B449,'Profit &amp; Loss'!$B$3:$C$390,2,0)</f>
        <v>9127.73</v>
      </c>
    </row>
    <row r="450" spans="1:7" x14ac:dyDescent="0.2">
      <c r="A450" s="3" t="s">
        <v>420</v>
      </c>
      <c r="B450" s="3" t="s">
        <v>422</v>
      </c>
      <c r="C450" s="4">
        <v>8795.4</v>
      </c>
      <c r="D450" s="4">
        <v>4172.96</v>
      </c>
      <c r="E450" s="4">
        <v>4622.4399999999996</v>
      </c>
      <c r="F450" s="3" t="s">
        <v>1142</v>
      </c>
      <c r="G450" s="3">
        <f>VLOOKUP(B450,'Profit &amp; Loss'!$B$3:$C$390,2,0)</f>
        <v>4172.96</v>
      </c>
    </row>
    <row r="451" spans="1:7" x14ac:dyDescent="0.2">
      <c r="A451" s="3" t="s">
        <v>420</v>
      </c>
      <c r="B451" s="3" t="s">
        <v>423</v>
      </c>
      <c r="C451" s="4">
        <v>13438.74</v>
      </c>
      <c r="D451" s="4">
        <v>6431.37</v>
      </c>
      <c r="E451" s="4">
        <v>7007.37</v>
      </c>
      <c r="F451" s="3" t="s">
        <v>1143</v>
      </c>
      <c r="G451" s="3">
        <f>VLOOKUP(B451,'Profit &amp; Loss'!$B$3:$C$390,2,0)</f>
        <v>6431.37</v>
      </c>
    </row>
    <row r="452" spans="1:7" x14ac:dyDescent="0.2">
      <c r="A452" s="3" t="s">
        <v>420</v>
      </c>
      <c r="B452" s="3" t="s">
        <v>424</v>
      </c>
      <c r="C452" s="4">
        <v>5173.2700000000004</v>
      </c>
      <c r="D452" s="4">
        <v>2832.61</v>
      </c>
      <c r="E452" s="4">
        <v>2340.66</v>
      </c>
      <c r="F452" s="3" t="s">
        <v>1144</v>
      </c>
      <c r="G452" s="3">
        <f>VLOOKUP(B452,'Profit &amp; Loss'!$B$3:$C$390,2,0)</f>
        <v>2832.61</v>
      </c>
    </row>
    <row r="453" spans="1:7" x14ac:dyDescent="0.2">
      <c r="A453" s="3" t="s">
        <v>420</v>
      </c>
      <c r="B453" s="3" t="s">
        <v>588</v>
      </c>
      <c r="C453" s="4">
        <v>132.38999999999999</v>
      </c>
      <c r="D453" s="4">
        <v>104.5</v>
      </c>
      <c r="E453" s="4">
        <v>27.89</v>
      </c>
      <c r="F453" s="3" t="s">
        <v>960</v>
      </c>
      <c r="G453" s="3">
        <f>VLOOKUP(B453,'Profit &amp; Loss'!$B$3:$C$390,2,0)</f>
        <v>104.5</v>
      </c>
    </row>
    <row r="454" spans="1:7" x14ac:dyDescent="0.2">
      <c r="A454" s="3" t="s">
        <v>420</v>
      </c>
      <c r="B454" s="3" t="s">
        <v>425</v>
      </c>
      <c r="C454" s="4">
        <v>1229.17</v>
      </c>
      <c r="D454" s="4">
        <v>330.94</v>
      </c>
      <c r="E454" s="4">
        <v>898.23</v>
      </c>
      <c r="F454" s="3" t="s">
        <v>1145</v>
      </c>
      <c r="G454" s="3">
        <f>VLOOKUP(B454,'Profit &amp; Loss'!$B$3:$C$390,2,0)</f>
        <v>330.94</v>
      </c>
    </row>
    <row r="455" spans="1:7" x14ac:dyDescent="0.2">
      <c r="A455" s="3" t="s">
        <v>420</v>
      </c>
      <c r="B455" s="3" t="s">
        <v>795</v>
      </c>
      <c r="C455" s="4">
        <v>4528.78</v>
      </c>
      <c r="D455" s="4">
        <v>-7152.42</v>
      </c>
      <c r="E455" s="4">
        <v>11681.2</v>
      </c>
      <c r="F455" s="3" t="s">
        <v>1146</v>
      </c>
      <c r="G455" s="3">
        <f>VLOOKUP(B455,'Profit &amp; Loss'!$B$3:$C$390,2,0)</f>
        <v>-7152.42</v>
      </c>
    </row>
    <row r="456" spans="1:7" x14ac:dyDescent="0.2">
      <c r="A456" s="3" t="s">
        <v>420</v>
      </c>
      <c r="B456" s="3" t="s">
        <v>2</v>
      </c>
      <c r="C456" s="4">
        <v>60061.98</v>
      </c>
      <c r="D456" s="4">
        <v>15847.69</v>
      </c>
      <c r="E456" s="4">
        <v>44214.29</v>
      </c>
      <c r="F456" s="3" t="s">
        <v>1147</v>
      </c>
    </row>
    <row r="457" spans="1:7" s="18" customFormat="1" x14ac:dyDescent="0.2">
      <c r="A457" s="18" t="s">
        <v>426</v>
      </c>
      <c r="B457" s="18" t="s">
        <v>427</v>
      </c>
      <c r="C457" s="19">
        <v>190.9</v>
      </c>
      <c r="D457" s="19">
        <v>0</v>
      </c>
      <c r="E457" s="19">
        <v>190.9</v>
      </c>
      <c r="F457" s="18" t="s">
        <v>2</v>
      </c>
      <c r="G457" s="18">
        <f>VLOOKUP(B457,'Profit &amp; Loss'!$B$3:$C$390,2,0)</f>
        <v>0</v>
      </c>
    </row>
    <row r="458" spans="1:7" x14ac:dyDescent="0.2">
      <c r="A458" s="3" t="s">
        <v>426</v>
      </c>
      <c r="B458" s="3" t="s">
        <v>428</v>
      </c>
      <c r="C458" s="4">
        <v>601.38</v>
      </c>
      <c r="D458" s="4">
        <v>-347.23</v>
      </c>
      <c r="E458" s="4">
        <v>948.61</v>
      </c>
      <c r="F458" s="3" t="s">
        <v>1148</v>
      </c>
      <c r="G458" s="3">
        <f>VLOOKUP(B458,'Profit &amp; Loss'!$B$3:$C$390,2,0)</f>
        <v>-347.23</v>
      </c>
    </row>
    <row r="459" spans="1:7" x14ac:dyDescent="0.2">
      <c r="A459" s="3" t="s">
        <v>426</v>
      </c>
      <c r="B459" s="3" t="s">
        <v>429</v>
      </c>
      <c r="C459" s="4">
        <v>14153.08</v>
      </c>
      <c r="D459" s="4">
        <v>7237.53</v>
      </c>
      <c r="E459" s="4">
        <v>6915.55</v>
      </c>
      <c r="F459" s="3" t="s">
        <v>1129</v>
      </c>
      <c r="G459" s="3">
        <f>VLOOKUP(B459,'Profit &amp; Loss'!$B$3:$C$390,2,0)</f>
        <v>7237.53</v>
      </c>
    </row>
    <row r="460" spans="1:7" x14ac:dyDescent="0.2">
      <c r="A460" s="3" t="s">
        <v>426</v>
      </c>
      <c r="B460" s="3" t="s">
        <v>430</v>
      </c>
      <c r="C460" s="4">
        <v>2754.13</v>
      </c>
      <c r="D460" s="4">
        <v>378.03</v>
      </c>
      <c r="E460" s="4">
        <v>2376.1</v>
      </c>
      <c r="F460" s="3" t="s">
        <v>1149</v>
      </c>
      <c r="G460" s="3">
        <f>VLOOKUP(B460,'Profit &amp; Loss'!$B$3:$C$390,2,0)</f>
        <v>378.03</v>
      </c>
    </row>
    <row r="461" spans="1:7" x14ac:dyDescent="0.2">
      <c r="A461" s="3" t="s">
        <v>426</v>
      </c>
      <c r="B461" s="3" t="s">
        <v>2</v>
      </c>
      <c r="C461" s="4">
        <v>17699.490000000002</v>
      </c>
      <c r="D461" s="4">
        <v>7268.33</v>
      </c>
      <c r="E461" s="4">
        <v>10431.16</v>
      </c>
      <c r="F461" s="3" t="s">
        <v>1150</v>
      </c>
    </row>
    <row r="462" spans="1:7" x14ac:dyDescent="0.2">
      <c r="A462" s="3" t="s">
        <v>431</v>
      </c>
      <c r="B462" s="3" t="s">
        <v>432</v>
      </c>
      <c r="C462" s="4">
        <v>-198998.32</v>
      </c>
      <c r="D462" s="4">
        <v>-104275.76</v>
      </c>
      <c r="E462" s="4">
        <v>-94722.559999999998</v>
      </c>
      <c r="F462" s="3" t="s">
        <v>1083</v>
      </c>
      <c r="G462" s="3">
        <f>VLOOKUP(B462,'Profit &amp; Loss'!$B$3:$C$390,2,0)</f>
        <v>-104275.76</v>
      </c>
    </row>
    <row r="463" spans="1:7" x14ac:dyDescent="0.2">
      <c r="A463" s="3" t="s">
        <v>431</v>
      </c>
      <c r="B463" s="3" t="s">
        <v>2</v>
      </c>
      <c r="C463" s="4">
        <v>-198998.32</v>
      </c>
      <c r="D463" s="4">
        <v>-104275.76</v>
      </c>
      <c r="E463" s="4">
        <v>-94722.559999999998</v>
      </c>
      <c r="F463" s="3" t="s">
        <v>1083</v>
      </c>
    </row>
    <row r="464" spans="1:7" x14ac:dyDescent="0.2">
      <c r="A464" s="3" t="s">
        <v>433</v>
      </c>
      <c r="B464" s="3" t="s">
        <v>2</v>
      </c>
      <c r="C464" s="4">
        <v>336928.42</v>
      </c>
      <c r="D464" s="4">
        <v>35208.75</v>
      </c>
      <c r="E464" s="4">
        <v>301719.67</v>
      </c>
      <c r="F464" s="3" t="s">
        <v>1151</v>
      </c>
    </row>
    <row r="465" spans="1:7" x14ac:dyDescent="0.2">
      <c r="A465" s="3" t="s">
        <v>434</v>
      </c>
      <c r="B465" s="3" t="s">
        <v>590</v>
      </c>
      <c r="C465" s="4">
        <v>-98.26</v>
      </c>
      <c r="D465" s="4">
        <v>-98.26</v>
      </c>
      <c r="E465" s="4">
        <v>0</v>
      </c>
      <c r="F465" s="3" t="s">
        <v>6</v>
      </c>
      <c r="G465" s="3">
        <f>VLOOKUP(B465,'Profit &amp; Loss'!$B$3:$C$390,2,0)</f>
        <v>-98.26</v>
      </c>
    </row>
    <row r="466" spans="1:7" x14ac:dyDescent="0.2">
      <c r="A466" s="3" t="s">
        <v>434</v>
      </c>
      <c r="B466" s="3" t="s">
        <v>436</v>
      </c>
      <c r="C466" s="4">
        <v>57894.080000000002</v>
      </c>
      <c r="D466" s="4">
        <v>26750</v>
      </c>
      <c r="E466" s="4">
        <v>31144.080000000002</v>
      </c>
      <c r="F466" s="3" t="s">
        <v>1152</v>
      </c>
      <c r="G466" s="3">
        <f>VLOOKUP(B466,'Profit &amp; Loss'!$B$3:$C$390,2,0)</f>
        <v>26750</v>
      </c>
    </row>
    <row r="467" spans="1:7" x14ac:dyDescent="0.2">
      <c r="A467" s="3" t="s">
        <v>434</v>
      </c>
      <c r="B467" s="3" t="s">
        <v>2</v>
      </c>
      <c r="C467" s="4">
        <v>57795.82</v>
      </c>
      <c r="D467" s="4">
        <v>26651.74</v>
      </c>
      <c r="E467" s="4">
        <v>31144.080000000002</v>
      </c>
      <c r="F467" s="3" t="s">
        <v>1153</v>
      </c>
    </row>
    <row r="468" spans="1:7" x14ac:dyDescent="0.2">
      <c r="A468" s="3" t="s">
        <v>437</v>
      </c>
      <c r="B468" s="3" t="s">
        <v>438</v>
      </c>
      <c r="C468" s="4">
        <v>49157.87</v>
      </c>
      <c r="D468" s="4">
        <v>9806.14</v>
      </c>
      <c r="E468" s="4">
        <v>39351.730000000003</v>
      </c>
      <c r="F468" s="3" t="s">
        <v>1154</v>
      </c>
      <c r="G468" s="3">
        <f>VLOOKUP(B468,'Profit &amp; Loss'!$B$3:$C$390,2,0)</f>
        <v>9806.14</v>
      </c>
    </row>
    <row r="469" spans="1:7" x14ac:dyDescent="0.2">
      <c r="A469" s="3" t="s">
        <v>437</v>
      </c>
      <c r="B469" s="3" t="s">
        <v>439</v>
      </c>
      <c r="C469" s="4">
        <v>4089.02</v>
      </c>
      <c r="D469" s="4">
        <v>1430.38</v>
      </c>
      <c r="E469" s="4">
        <v>2658.64</v>
      </c>
      <c r="F469" s="3" t="s">
        <v>1155</v>
      </c>
      <c r="G469" s="3">
        <f>VLOOKUP(B469,'Profit &amp; Loss'!$B$3:$C$390,2,0)</f>
        <v>1430.38</v>
      </c>
    </row>
    <row r="470" spans="1:7" x14ac:dyDescent="0.2">
      <c r="A470" s="3" t="s">
        <v>437</v>
      </c>
      <c r="B470" s="3" t="s">
        <v>440</v>
      </c>
      <c r="C470" s="4">
        <v>12433.54</v>
      </c>
      <c r="D470" s="4">
        <v>7785.86</v>
      </c>
      <c r="E470" s="4">
        <v>4647.68</v>
      </c>
      <c r="F470" s="3" t="s">
        <v>1156</v>
      </c>
      <c r="G470" s="3">
        <f>VLOOKUP(B470,'Profit &amp; Loss'!$B$3:$C$390,2,0)</f>
        <v>7785.86</v>
      </c>
    </row>
    <row r="471" spans="1:7" x14ac:dyDescent="0.2">
      <c r="A471" s="3" t="s">
        <v>437</v>
      </c>
      <c r="B471" s="3" t="s">
        <v>2</v>
      </c>
      <c r="C471" s="4">
        <v>65680.429999999993</v>
      </c>
      <c r="D471" s="4">
        <v>19022.38</v>
      </c>
      <c r="E471" s="4">
        <v>46658.05</v>
      </c>
      <c r="F471" s="3" t="s">
        <v>1157</v>
      </c>
    </row>
    <row r="472" spans="1:7" x14ac:dyDescent="0.2">
      <c r="A472" s="3" t="s">
        <v>441</v>
      </c>
      <c r="B472" s="3" t="s">
        <v>2</v>
      </c>
      <c r="C472" s="4">
        <v>123476.25</v>
      </c>
      <c r="D472" s="4">
        <v>45674.12</v>
      </c>
      <c r="E472" s="4">
        <v>77802.13</v>
      </c>
      <c r="F472" s="3" t="s">
        <v>1158</v>
      </c>
    </row>
    <row r="473" spans="1:7" x14ac:dyDescent="0.2">
      <c r="A473" s="3" t="s">
        <v>442</v>
      </c>
      <c r="B473" s="3" t="s">
        <v>443</v>
      </c>
      <c r="C473" s="4">
        <v>-0.7</v>
      </c>
      <c r="D473" s="4">
        <v>-0.33</v>
      </c>
      <c r="E473" s="4">
        <v>-0.37</v>
      </c>
      <c r="F473" s="3" t="s">
        <v>1159</v>
      </c>
      <c r="G473" s="3">
        <f>VLOOKUP(B473,'Profit &amp; Loss'!$B$3:$C$390,2,0)</f>
        <v>-0.33</v>
      </c>
    </row>
    <row r="474" spans="1:7" x14ac:dyDescent="0.2">
      <c r="A474" s="3" t="s">
        <v>442</v>
      </c>
      <c r="B474" s="3" t="s">
        <v>2</v>
      </c>
      <c r="C474" s="4">
        <v>-0.7</v>
      </c>
      <c r="D474" s="4">
        <v>-0.33</v>
      </c>
      <c r="E474" s="4">
        <v>-0.37</v>
      </c>
      <c r="F474" s="3" t="s">
        <v>1159</v>
      </c>
    </row>
    <row r="475" spans="1:7" x14ac:dyDescent="0.2">
      <c r="A475" s="3" t="s">
        <v>444</v>
      </c>
      <c r="B475" s="3" t="s">
        <v>2</v>
      </c>
      <c r="C475" s="4">
        <v>-0.7</v>
      </c>
      <c r="D475" s="4">
        <v>-0.33</v>
      </c>
      <c r="E475" s="4">
        <v>-0.37</v>
      </c>
      <c r="F475" s="3" t="s">
        <v>1159</v>
      </c>
    </row>
    <row r="476" spans="1:7" x14ac:dyDescent="0.2">
      <c r="A476" s="3" t="s">
        <v>445</v>
      </c>
      <c r="B476" s="3" t="s">
        <v>692</v>
      </c>
      <c r="C476" s="4">
        <v>146.28</v>
      </c>
      <c r="D476" s="4">
        <v>69.52</v>
      </c>
      <c r="E476" s="4">
        <v>76.760000000000005</v>
      </c>
      <c r="F476" s="3" t="s">
        <v>1160</v>
      </c>
      <c r="G476" s="3">
        <f>VLOOKUP(B476,'Profit &amp; Loss'!$B$3:$C$390,2,0)</f>
        <v>69.52</v>
      </c>
    </row>
    <row r="477" spans="1:7" s="18" customFormat="1" x14ac:dyDescent="0.2">
      <c r="A477" s="18" t="s">
        <v>445</v>
      </c>
      <c r="B477" s="18" t="s">
        <v>1161</v>
      </c>
      <c r="C477" s="19">
        <v>3.48</v>
      </c>
      <c r="D477" s="19">
        <v>0</v>
      </c>
      <c r="E477" s="19">
        <v>3.48</v>
      </c>
      <c r="F477" s="18" t="s">
        <v>2</v>
      </c>
      <c r="G477" s="18">
        <f>VLOOKUP(B477,'Profit &amp; Loss'!$B$3:$C$390,2,0)</f>
        <v>0</v>
      </c>
    </row>
    <row r="478" spans="1:7" x14ac:dyDescent="0.2">
      <c r="A478" s="3" t="s">
        <v>445</v>
      </c>
      <c r="B478" s="3" t="s">
        <v>446</v>
      </c>
      <c r="C478" s="4">
        <v>4654.9399999999996</v>
      </c>
      <c r="D478" s="4">
        <v>2583.69</v>
      </c>
      <c r="E478" s="4">
        <v>2071.25</v>
      </c>
      <c r="F478" s="3" t="s">
        <v>1162</v>
      </c>
      <c r="G478" s="3">
        <f>VLOOKUP(B478,'Profit &amp; Loss'!$B$3:$C$390,2,0)</f>
        <v>2583.69</v>
      </c>
    </row>
    <row r="479" spans="1:7" x14ac:dyDescent="0.2">
      <c r="A479" s="3" t="s">
        <v>445</v>
      </c>
      <c r="B479" s="3" t="s">
        <v>996</v>
      </c>
      <c r="C479" s="4">
        <v>-2863.58</v>
      </c>
      <c r="D479" s="4">
        <v>-2863.58</v>
      </c>
      <c r="E479" s="4">
        <v>0</v>
      </c>
      <c r="F479" s="3" t="s">
        <v>6</v>
      </c>
      <c r="G479" s="3">
        <f>VLOOKUP(B479,'Profit &amp; Loss'!$B$3:$C$390,2,0)</f>
        <v>-2863.58</v>
      </c>
    </row>
    <row r="480" spans="1:7" x14ac:dyDescent="0.2">
      <c r="A480" s="3" t="s">
        <v>445</v>
      </c>
      <c r="B480" s="3" t="s">
        <v>2</v>
      </c>
      <c r="C480" s="4">
        <v>1941.12</v>
      </c>
      <c r="D480" s="4">
        <v>-210.37</v>
      </c>
      <c r="E480" s="4">
        <v>2151.4899999999998</v>
      </c>
      <c r="F480" s="3" t="s">
        <v>1163</v>
      </c>
    </row>
    <row r="481" spans="1:7" x14ac:dyDescent="0.2">
      <c r="A481" s="3" t="s">
        <v>447</v>
      </c>
      <c r="B481" s="3" t="s">
        <v>2</v>
      </c>
      <c r="C481" s="4">
        <v>1941.12</v>
      </c>
      <c r="D481" s="4">
        <v>-210.37</v>
      </c>
      <c r="E481" s="4">
        <v>2151.4899999999998</v>
      </c>
      <c r="F481" s="3" t="s">
        <v>1163</v>
      </c>
    </row>
    <row r="482" spans="1:7" x14ac:dyDescent="0.2">
      <c r="A482" s="3" t="s">
        <v>237</v>
      </c>
      <c r="B482" s="3" t="s">
        <v>448</v>
      </c>
      <c r="C482" s="4">
        <v>-3716623.58</v>
      </c>
      <c r="D482" s="4">
        <v>-2189195.84</v>
      </c>
      <c r="E482" s="4">
        <v>-1527427.74</v>
      </c>
      <c r="F482" s="3" t="s">
        <v>1164</v>
      </c>
    </row>
    <row r="483" spans="1:7" x14ac:dyDescent="0.2">
      <c r="A483" s="3" t="s">
        <v>237</v>
      </c>
      <c r="B483" s="5" t="s">
        <v>449</v>
      </c>
      <c r="C483" s="4">
        <v>0</v>
      </c>
      <c r="D483" s="4">
        <v>0</v>
      </c>
      <c r="E483" s="4">
        <v>0</v>
      </c>
      <c r="F483" s="3" t="s">
        <v>2</v>
      </c>
    </row>
    <row r="484" spans="1:7" x14ac:dyDescent="0.2">
      <c r="A484" s="3" t="s">
        <v>450</v>
      </c>
      <c r="B484" s="3" t="s">
        <v>451</v>
      </c>
      <c r="C484" s="4">
        <v>0</v>
      </c>
      <c r="D484" s="4">
        <v>0</v>
      </c>
      <c r="E484" s="4">
        <v>0</v>
      </c>
      <c r="F484" s="3" t="s">
        <v>2</v>
      </c>
    </row>
    <row r="485" spans="1:7" x14ac:dyDescent="0.2">
      <c r="A485" s="3" t="s">
        <v>450</v>
      </c>
      <c r="B485" s="5" t="s">
        <v>234</v>
      </c>
      <c r="C485" s="4">
        <v>0</v>
      </c>
      <c r="D485" s="4">
        <v>0</v>
      </c>
      <c r="E485" s="4">
        <v>0</v>
      </c>
      <c r="F485" s="3" t="s">
        <v>2</v>
      </c>
    </row>
    <row r="486" spans="1:7" x14ac:dyDescent="0.2">
      <c r="A486" s="3" t="s">
        <v>452</v>
      </c>
      <c r="B486" s="3" t="s">
        <v>453</v>
      </c>
      <c r="C486" s="4">
        <v>0</v>
      </c>
      <c r="D486" s="4">
        <v>0</v>
      </c>
      <c r="E486" s="4">
        <v>0</v>
      </c>
      <c r="F486" s="3" t="s">
        <v>2</v>
      </c>
    </row>
    <row r="487" spans="1:7" x14ac:dyDescent="0.2">
      <c r="A487" s="3" t="s">
        <v>452</v>
      </c>
      <c r="B487" s="3" t="s">
        <v>2</v>
      </c>
      <c r="C487" s="4">
        <v>3716623.58</v>
      </c>
      <c r="D487" s="4">
        <v>2189195.84</v>
      </c>
      <c r="E487" s="4">
        <v>1527427.74</v>
      </c>
      <c r="F487" s="3" t="s">
        <v>552</v>
      </c>
    </row>
    <row r="488" spans="1:7" x14ac:dyDescent="0.2">
      <c r="A488" s="3" t="s">
        <v>450</v>
      </c>
      <c r="B488" s="3" t="s">
        <v>2</v>
      </c>
      <c r="C488" s="4">
        <v>3716623.58</v>
      </c>
      <c r="D488" s="4">
        <v>2189195.84</v>
      </c>
      <c r="E488" s="4">
        <v>1527427.74</v>
      </c>
      <c r="F488" s="3" t="s">
        <v>552</v>
      </c>
    </row>
    <row r="489" spans="1:7" x14ac:dyDescent="0.2">
      <c r="A489" s="3" t="s">
        <v>454</v>
      </c>
      <c r="B489" s="3" t="s">
        <v>455</v>
      </c>
      <c r="C489" s="4">
        <v>0</v>
      </c>
      <c r="D489" s="4">
        <v>0</v>
      </c>
      <c r="E489" s="4">
        <v>0</v>
      </c>
      <c r="F489" s="3" t="s">
        <v>2</v>
      </c>
    </row>
    <row r="490" spans="1:7" x14ac:dyDescent="0.2">
      <c r="A490" s="3" t="s">
        <v>454</v>
      </c>
      <c r="B490" s="5" t="s">
        <v>456</v>
      </c>
      <c r="C490" s="4">
        <v>0</v>
      </c>
      <c r="D490" s="4">
        <v>0</v>
      </c>
      <c r="E490" s="4">
        <v>0</v>
      </c>
      <c r="F490" s="3" t="s">
        <v>2</v>
      </c>
    </row>
    <row r="491" spans="1:7" x14ac:dyDescent="0.2">
      <c r="A491" s="3" t="s">
        <v>454</v>
      </c>
      <c r="B491" s="3" t="s">
        <v>457</v>
      </c>
      <c r="C491" s="4">
        <v>-76575.92</v>
      </c>
      <c r="D491" s="4">
        <v>-59020.02</v>
      </c>
      <c r="E491" s="4">
        <v>-17555.900000000001</v>
      </c>
      <c r="F491" s="3" t="s">
        <v>1165</v>
      </c>
      <c r="G491" s="3" t="e">
        <f>VLOOKUP(B491,'Profit &amp; Loss'!$B$3:$C$390,2,0)</f>
        <v>#N/A</v>
      </c>
    </row>
    <row r="492" spans="1:7" x14ac:dyDescent="0.2">
      <c r="A492" s="3" t="s">
        <v>454</v>
      </c>
      <c r="B492" s="3" t="s">
        <v>458</v>
      </c>
      <c r="C492" s="4">
        <v>-63216.11</v>
      </c>
      <c r="D492" s="4">
        <v>-59792.38</v>
      </c>
      <c r="E492" s="4">
        <v>-3423.73</v>
      </c>
      <c r="F492" s="3" t="s">
        <v>685</v>
      </c>
      <c r="G492" s="3" t="e">
        <f>VLOOKUP(B492,'Profit &amp; Loss'!$B$3:$C$390,2,0)</f>
        <v>#N/A</v>
      </c>
    </row>
    <row r="493" spans="1:7" x14ac:dyDescent="0.2">
      <c r="A493" s="3" t="s">
        <v>454</v>
      </c>
      <c r="B493" s="3" t="s">
        <v>694</v>
      </c>
      <c r="C493" s="4">
        <v>279.27</v>
      </c>
      <c r="D493" s="4">
        <v>279.27</v>
      </c>
      <c r="E493" s="4">
        <v>0</v>
      </c>
      <c r="F493" s="3" t="s">
        <v>6</v>
      </c>
      <c r="G493" s="3" t="e">
        <f>VLOOKUP(B493,'Profit &amp; Loss'!$B$3:$C$390,2,0)</f>
        <v>#N/A</v>
      </c>
    </row>
    <row r="494" spans="1:7" x14ac:dyDescent="0.2">
      <c r="A494" s="3" t="s">
        <v>454</v>
      </c>
      <c r="B494" s="3" t="s">
        <v>459</v>
      </c>
      <c r="C494" s="4">
        <v>26092.18</v>
      </c>
      <c r="D494" s="4">
        <v>25743.47</v>
      </c>
      <c r="E494" s="4">
        <v>348.71</v>
      </c>
      <c r="F494" s="3" t="s">
        <v>936</v>
      </c>
      <c r="G494" s="3" t="e">
        <f>VLOOKUP(B494,'Profit &amp; Loss'!$B$3:$C$390,2,0)</f>
        <v>#N/A</v>
      </c>
    </row>
    <row r="495" spans="1:7" x14ac:dyDescent="0.2">
      <c r="A495" s="3" t="s">
        <v>454</v>
      </c>
      <c r="B495" s="3" t="s">
        <v>460</v>
      </c>
      <c r="C495" s="4">
        <v>-40507.79</v>
      </c>
      <c r="D495" s="4">
        <v>-40507.79</v>
      </c>
      <c r="E495" s="4">
        <v>0</v>
      </c>
      <c r="F495" s="3" t="s">
        <v>6</v>
      </c>
      <c r="G495" s="3" t="e">
        <f>VLOOKUP(B495,'Profit &amp; Loss'!$B$3:$C$390,2,0)</f>
        <v>#N/A</v>
      </c>
    </row>
    <row r="496" spans="1:7" x14ac:dyDescent="0.2">
      <c r="A496" s="3" t="s">
        <v>454</v>
      </c>
      <c r="B496" s="3" t="s">
        <v>461</v>
      </c>
      <c r="C496" s="4">
        <v>-153928.37</v>
      </c>
      <c r="D496" s="4">
        <v>-133297.45000000001</v>
      </c>
      <c r="E496" s="4">
        <v>-20630.919999999998</v>
      </c>
      <c r="F496" s="3" t="s">
        <v>1166</v>
      </c>
    </row>
    <row r="497" spans="1:6" x14ac:dyDescent="0.2">
      <c r="A497" s="3" t="s">
        <v>454</v>
      </c>
      <c r="B497" s="5" t="s">
        <v>462</v>
      </c>
      <c r="C497" s="4">
        <v>0</v>
      </c>
      <c r="D497" s="4">
        <v>0</v>
      </c>
      <c r="E497" s="4">
        <v>0</v>
      </c>
      <c r="F497" s="3" t="s">
        <v>2</v>
      </c>
    </row>
  </sheetData>
  <autoFilter ref="A1:G497" xr:uid="{D78F5B55-DA1B-4785-83A3-796F958233E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5CDB-082A-4CAF-A0BB-2DFF84170971}">
  <dimension ref="A1:G509"/>
  <sheetViews>
    <sheetView topLeftCell="A263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7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  <c r="G1" s="3" t="s">
        <v>1571</v>
      </c>
    </row>
    <row r="2" spans="1:7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s">
        <v>2</v>
      </c>
      <c r="G2" s="3" t="e">
        <f>VLOOKUP(B2,'Profit &amp; Loss'!$B$3:$C$390,2,0)</f>
        <v>#N/A</v>
      </c>
    </row>
    <row r="3" spans="1:7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s">
        <v>2</v>
      </c>
      <c r="G3" s="3" t="e">
        <f>VLOOKUP(B3,'Profit &amp; Loss'!$B$3:$C$390,2,0)</f>
        <v>#N/A</v>
      </c>
    </row>
    <row r="4" spans="1:7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s">
        <v>6</v>
      </c>
      <c r="G4" s="3" t="e">
        <f>VLOOKUP(B4,'Profit &amp; Loss'!$B$3:$C$390,2,0)</f>
        <v>#N/A</v>
      </c>
    </row>
    <row r="5" spans="1:7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s">
        <v>6</v>
      </c>
      <c r="G5" s="3" t="e">
        <f>VLOOKUP(B5,'Profit &amp; Loss'!$B$3:$C$390,2,0)</f>
        <v>#N/A</v>
      </c>
    </row>
    <row r="6" spans="1:7" x14ac:dyDescent="0.2">
      <c r="A6" s="3" t="s">
        <v>4</v>
      </c>
      <c r="B6" s="3" t="s">
        <v>8</v>
      </c>
      <c r="C6" s="4">
        <v>26519.23</v>
      </c>
      <c r="D6" s="4">
        <v>27836.1</v>
      </c>
      <c r="E6" s="4">
        <v>-1316.87</v>
      </c>
      <c r="F6" s="3" t="s">
        <v>469</v>
      </c>
      <c r="G6" s="3" t="e">
        <f>VLOOKUP(B6,'Profit &amp; Loss'!$B$3:$C$390,2,0)</f>
        <v>#N/A</v>
      </c>
    </row>
    <row r="7" spans="1:7" x14ac:dyDescent="0.2">
      <c r="A7" s="3" t="s">
        <v>4</v>
      </c>
      <c r="B7" s="3" t="s">
        <v>9</v>
      </c>
      <c r="C7" s="4">
        <v>-23252.66</v>
      </c>
      <c r="D7" s="4">
        <v>-23238.240000000002</v>
      </c>
      <c r="E7" s="4">
        <v>-14.42</v>
      </c>
      <c r="F7" s="3" t="s">
        <v>625</v>
      </c>
      <c r="G7" s="3" t="e">
        <f>VLOOKUP(B7,'Profit &amp; Loss'!$B$3:$C$390,2,0)</f>
        <v>#N/A</v>
      </c>
    </row>
    <row r="8" spans="1:7" x14ac:dyDescent="0.2">
      <c r="A8" s="3" t="s">
        <v>4</v>
      </c>
      <c r="B8" s="3" t="s">
        <v>10</v>
      </c>
      <c r="C8" s="4">
        <v>68.59</v>
      </c>
      <c r="D8" s="4">
        <v>68.59</v>
      </c>
      <c r="E8" s="4">
        <v>0</v>
      </c>
      <c r="F8" s="3" t="s">
        <v>6</v>
      </c>
      <c r="G8" s="3" t="e">
        <f>VLOOKUP(B8,'Profit &amp; Loss'!$B$3:$C$390,2,0)</f>
        <v>#N/A</v>
      </c>
    </row>
    <row r="9" spans="1:7" x14ac:dyDescent="0.2">
      <c r="A9" s="3" t="s">
        <v>4</v>
      </c>
      <c r="B9" s="3" t="s">
        <v>11</v>
      </c>
      <c r="C9" s="4">
        <v>2.84</v>
      </c>
      <c r="D9" s="4">
        <v>2.73</v>
      </c>
      <c r="E9" s="4">
        <v>0.11</v>
      </c>
      <c r="F9" s="3" t="s">
        <v>912</v>
      </c>
      <c r="G9" s="3" t="e">
        <f>VLOOKUP(B9,'Profit &amp; Loss'!$B$3:$C$390,2,0)</f>
        <v>#N/A</v>
      </c>
    </row>
    <row r="10" spans="1:7" x14ac:dyDescent="0.2">
      <c r="A10" s="3" t="s">
        <v>4</v>
      </c>
      <c r="B10" s="3" t="s">
        <v>2</v>
      </c>
      <c r="C10" s="4">
        <v>4277.5200000000004</v>
      </c>
      <c r="D10" s="4">
        <v>5608.7</v>
      </c>
      <c r="E10" s="4">
        <v>-1331.18</v>
      </c>
      <c r="F10" s="3" t="s">
        <v>1167</v>
      </c>
      <c r="G10" s="3" t="e">
        <f>VLOOKUP(B10,'Profit &amp; Loss'!$B$3:$C$390,2,0)</f>
        <v>#N/A</v>
      </c>
    </row>
    <row r="11" spans="1:7" x14ac:dyDescent="0.2">
      <c r="A11" s="3" t="s">
        <v>12</v>
      </c>
      <c r="B11" s="3" t="s">
        <v>2</v>
      </c>
      <c r="C11" s="4">
        <v>4277.5200000000004</v>
      </c>
      <c r="D11" s="4">
        <v>5608.7</v>
      </c>
      <c r="E11" s="4">
        <v>-1331.18</v>
      </c>
      <c r="F11" s="3" t="s">
        <v>1167</v>
      </c>
      <c r="G11" s="3" t="e">
        <f>VLOOKUP(B11,'Profit &amp; Loss'!$B$3:$C$390,2,0)</f>
        <v>#N/A</v>
      </c>
    </row>
    <row r="12" spans="1:7" x14ac:dyDescent="0.2">
      <c r="A12" s="3" t="s">
        <v>13</v>
      </c>
      <c r="B12" s="3" t="s">
        <v>14</v>
      </c>
      <c r="C12" s="4">
        <v>13924123.08</v>
      </c>
      <c r="D12" s="4">
        <v>14048204.039999999</v>
      </c>
      <c r="E12" s="4">
        <v>-124080.96000000001</v>
      </c>
      <c r="F12" s="3" t="s">
        <v>499</v>
      </c>
      <c r="G12" s="3" t="e">
        <f>VLOOKUP(B12,'Profit &amp; Loss'!$B$3:$C$390,2,0)</f>
        <v>#N/A</v>
      </c>
    </row>
    <row r="13" spans="1:7" x14ac:dyDescent="0.2">
      <c r="A13" s="3" t="s">
        <v>13</v>
      </c>
      <c r="B13" s="3" t="s">
        <v>15</v>
      </c>
      <c r="C13" s="4">
        <v>10113.67</v>
      </c>
      <c r="D13" s="4">
        <v>-25280.23</v>
      </c>
      <c r="E13" s="4">
        <v>35393.9</v>
      </c>
      <c r="F13" s="3" t="s">
        <v>1168</v>
      </c>
      <c r="G13" s="3" t="e">
        <f>VLOOKUP(B13,'Profit &amp; Loss'!$B$3:$C$390,2,0)</f>
        <v>#N/A</v>
      </c>
    </row>
    <row r="14" spans="1:7" x14ac:dyDescent="0.2">
      <c r="A14" s="3" t="s">
        <v>13</v>
      </c>
      <c r="B14" s="3" t="s">
        <v>16</v>
      </c>
      <c r="C14" s="4">
        <v>1601828.45</v>
      </c>
      <c r="D14" s="4">
        <v>1608482</v>
      </c>
      <c r="E14" s="4">
        <v>-6653.55</v>
      </c>
      <c r="F14" s="3" t="s">
        <v>470</v>
      </c>
      <c r="G14" s="3" t="e">
        <f>VLOOKUP(B14,'Profit &amp; Loss'!$B$3:$C$390,2,0)</f>
        <v>#N/A</v>
      </c>
    </row>
    <row r="15" spans="1:7" x14ac:dyDescent="0.2">
      <c r="A15" s="3" t="s">
        <v>13</v>
      </c>
      <c r="B15" s="3" t="s">
        <v>17</v>
      </c>
      <c r="C15" s="4">
        <v>-97348.32</v>
      </c>
      <c r="D15" s="4">
        <v>-99743.94</v>
      </c>
      <c r="E15" s="4">
        <v>2395.62</v>
      </c>
      <c r="F15" s="3" t="s">
        <v>817</v>
      </c>
      <c r="G15" s="3" t="e">
        <f>VLOOKUP(B15,'Profit &amp; Loss'!$B$3:$C$390,2,0)</f>
        <v>#N/A</v>
      </c>
    </row>
    <row r="16" spans="1:7" x14ac:dyDescent="0.2">
      <c r="A16" s="3" t="s">
        <v>13</v>
      </c>
      <c r="B16" s="3" t="s">
        <v>2</v>
      </c>
      <c r="C16" s="4">
        <v>15438716.880000001</v>
      </c>
      <c r="D16" s="4">
        <v>15531661.869999999</v>
      </c>
      <c r="E16" s="4">
        <v>-92944.99</v>
      </c>
      <c r="F16" s="3" t="s">
        <v>610</v>
      </c>
      <c r="G16" s="3" t="e">
        <f>VLOOKUP(B16,'Profit &amp; Loss'!$B$3:$C$390,2,0)</f>
        <v>#N/A</v>
      </c>
    </row>
    <row r="17" spans="1:7" x14ac:dyDescent="0.2">
      <c r="A17" s="3" t="s">
        <v>18</v>
      </c>
      <c r="B17" s="3" t="s">
        <v>19</v>
      </c>
      <c r="C17" s="4">
        <v>-40127.620000000003</v>
      </c>
      <c r="D17" s="4">
        <v>-41048.25</v>
      </c>
      <c r="E17" s="4">
        <v>920.63</v>
      </c>
      <c r="F17" s="3" t="s">
        <v>530</v>
      </c>
      <c r="G17" s="3" t="e">
        <f>VLOOKUP(B17,'Profit &amp; Loss'!$B$3:$C$390,2,0)</f>
        <v>#N/A</v>
      </c>
    </row>
    <row r="18" spans="1:7" x14ac:dyDescent="0.2">
      <c r="A18" s="3" t="s">
        <v>18</v>
      </c>
      <c r="B18" s="3" t="s">
        <v>2</v>
      </c>
      <c r="C18" s="4">
        <v>-40127.620000000003</v>
      </c>
      <c r="D18" s="4">
        <v>-41048.25</v>
      </c>
      <c r="E18" s="4">
        <v>920.63</v>
      </c>
      <c r="F18" s="3" t="s">
        <v>530</v>
      </c>
      <c r="G18" s="3" t="e">
        <f>VLOOKUP(B18,'Profit &amp; Loss'!$B$3:$C$390,2,0)</f>
        <v>#N/A</v>
      </c>
    </row>
    <row r="19" spans="1:7" x14ac:dyDescent="0.2">
      <c r="A19" s="3" t="s">
        <v>20</v>
      </c>
      <c r="B19" s="3" t="s">
        <v>2</v>
      </c>
      <c r="C19" s="4">
        <v>15398589.26</v>
      </c>
      <c r="D19" s="4">
        <v>15490613.619999999</v>
      </c>
      <c r="E19" s="4">
        <v>-92024.36</v>
      </c>
      <c r="F19" s="3" t="s">
        <v>610</v>
      </c>
      <c r="G19" s="3" t="e">
        <f>VLOOKUP(B19,'Profit &amp; Loss'!$B$3:$C$390,2,0)</f>
        <v>#N/A</v>
      </c>
    </row>
    <row r="20" spans="1:7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s">
        <v>6</v>
      </c>
      <c r="G20" s="3" t="e">
        <f>VLOOKUP(B20,'Profit &amp; Loss'!$B$3:$C$390,2,0)</f>
        <v>#N/A</v>
      </c>
    </row>
    <row r="21" spans="1:7" x14ac:dyDescent="0.2">
      <c r="A21" s="3" t="s">
        <v>21</v>
      </c>
      <c r="B21" s="3" t="s">
        <v>25</v>
      </c>
      <c r="C21" s="4">
        <v>42291.62</v>
      </c>
      <c r="D21" s="4">
        <v>6118.96</v>
      </c>
      <c r="E21" s="4">
        <v>36172.660000000003</v>
      </c>
      <c r="F21" s="3" t="s">
        <v>1169</v>
      </c>
      <c r="G21" s="3" t="e">
        <f>VLOOKUP(B21,'Profit &amp; Loss'!$B$3:$C$390,2,0)</f>
        <v>#N/A</v>
      </c>
    </row>
    <row r="22" spans="1:7" x14ac:dyDescent="0.2">
      <c r="A22" s="3" t="s">
        <v>21</v>
      </c>
      <c r="B22" s="3" t="s">
        <v>26</v>
      </c>
      <c r="C22" s="4">
        <v>0.01</v>
      </c>
      <c r="D22" s="4">
        <v>0.01</v>
      </c>
      <c r="E22" s="4">
        <v>0</v>
      </c>
      <c r="F22" s="3" t="s">
        <v>6</v>
      </c>
      <c r="G22" s="3" t="e">
        <f>VLOOKUP(B22,'Profit &amp; Loss'!$B$3:$C$390,2,0)</f>
        <v>#N/A</v>
      </c>
    </row>
    <row r="23" spans="1:7" x14ac:dyDescent="0.2">
      <c r="A23" s="3" t="s">
        <v>21</v>
      </c>
      <c r="B23" s="3" t="s">
        <v>27</v>
      </c>
      <c r="C23" s="4">
        <v>27128.57</v>
      </c>
      <c r="D23" s="4">
        <v>10131.290000000001</v>
      </c>
      <c r="E23" s="4">
        <v>16997.28</v>
      </c>
      <c r="F23" s="3" t="s">
        <v>1170</v>
      </c>
      <c r="G23" s="3" t="e">
        <f>VLOOKUP(B23,'Profit &amp; Loss'!$B$3:$C$390,2,0)</f>
        <v>#N/A</v>
      </c>
    </row>
    <row r="24" spans="1:7" x14ac:dyDescent="0.2">
      <c r="A24" s="3" t="s">
        <v>21</v>
      </c>
      <c r="B24" s="3" t="s">
        <v>28</v>
      </c>
      <c r="C24" s="4">
        <v>46253.61</v>
      </c>
      <c r="D24" s="4">
        <v>14529.03</v>
      </c>
      <c r="E24" s="4">
        <v>31724.58</v>
      </c>
      <c r="F24" s="3" t="s">
        <v>1171</v>
      </c>
      <c r="G24" s="3" t="e">
        <f>VLOOKUP(B24,'Profit &amp; Loss'!$B$3:$C$390,2,0)</f>
        <v>#N/A</v>
      </c>
    </row>
    <row r="25" spans="1:7" x14ac:dyDescent="0.2">
      <c r="A25" s="3" t="s">
        <v>21</v>
      </c>
      <c r="B25" s="3" t="s">
        <v>29</v>
      </c>
      <c r="C25" s="4">
        <v>19.350000000000001</v>
      </c>
      <c r="D25" s="4">
        <v>19.350000000000001</v>
      </c>
      <c r="E25" s="4">
        <v>0</v>
      </c>
      <c r="F25" s="3" t="s">
        <v>6</v>
      </c>
      <c r="G25" s="3" t="e">
        <f>VLOOKUP(B25,'Profit &amp; Loss'!$B$3:$C$390,2,0)</f>
        <v>#N/A</v>
      </c>
    </row>
    <row r="26" spans="1:7" x14ac:dyDescent="0.2">
      <c r="A26" s="3" t="s">
        <v>21</v>
      </c>
      <c r="B26" s="3" t="s">
        <v>2</v>
      </c>
      <c r="C26" s="4">
        <v>115693.17</v>
      </c>
      <c r="D26" s="4">
        <v>30798.65</v>
      </c>
      <c r="E26" s="4">
        <v>84894.52</v>
      </c>
      <c r="F26" s="3" t="s">
        <v>1172</v>
      </c>
      <c r="G26" s="3" t="e">
        <f>VLOOKUP(B26,'Profit &amp; Loss'!$B$3:$C$390,2,0)</f>
        <v>#N/A</v>
      </c>
    </row>
    <row r="27" spans="1:7" x14ac:dyDescent="0.2">
      <c r="A27" s="3" t="s">
        <v>30</v>
      </c>
      <c r="B27" s="3" t="s">
        <v>31</v>
      </c>
      <c r="C27" s="4">
        <v>-7566.42</v>
      </c>
      <c r="D27" s="4">
        <v>6663.53</v>
      </c>
      <c r="E27" s="4">
        <v>-14229.95</v>
      </c>
      <c r="F27" s="3" t="s">
        <v>1173</v>
      </c>
      <c r="G27" s="3" t="e">
        <f>VLOOKUP(B27,'Profit &amp; Loss'!$B$3:$C$390,2,0)</f>
        <v>#N/A</v>
      </c>
    </row>
    <row r="28" spans="1:7" x14ac:dyDescent="0.2">
      <c r="A28" s="3" t="s">
        <v>30</v>
      </c>
      <c r="B28" s="3" t="s">
        <v>2</v>
      </c>
      <c r="C28" s="4">
        <v>-7566.42</v>
      </c>
      <c r="D28" s="4">
        <v>6663.53</v>
      </c>
      <c r="E28" s="4">
        <v>-14229.95</v>
      </c>
      <c r="F28" s="3" t="s">
        <v>1173</v>
      </c>
      <c r="G28" s="3" t="e">
        <f>VLOOKUP(B28,'Profit &amp; Loss'!$B$3:$C$390,2,0)</f>
        <v>#N/A</v>
      </c>
    </row>
    <row r="29" spans="1:7" x14ac:dyDescent="0.2">
      <c r="A29" s="3" t="s">
        <v>32</v>
      </c>
      <c r="B29" s="3" t="s">
        <v>33</v>
      </c>
      <c r="C29" s="4">
        <v>67008.31</v>
      </c>
      <c r="D29" s="4">
        <v>51364.45</v>
      </c>
      <c r="E29" s="4">
        <v>15643.86</v>
      </c>
      <c r="F29" s="3" t="s">
        <v>743</v>
      </c>
      <c r="G29" s="3" t="e">
        <f>VLOOKUP(B29,'Profit &amp; Loss'!$B$3:$C$390,2,0)</f>
        <v>#N/A</v>
      </c>
    </row>
    <row r="30" spans="1:7" x14ac:dyDescent="0.2">
      <c r="A30" s="3" t="s">
        <v>32</v>
      </c>
      <c r="B30" s="3" t="s">
        <v>34</v>
      </c>
      <c r="C30" s="4">
        <v>14.94</v>
      </c>
      <c r="D30" s="4">
        <v>-95.7</v>
      </c>
      <c r="E30" s="4">
        <v>110.64</v>
      </c>
      <c r="F30" s="3" t="s">
        <v>1174</v>
      </c>
      <c r="G30" s="3" t="e">
        <f>VLOOKUP(B30,'Profit &amp; Loss'!$B$3:$C$390,2,0)</f>
        <v>#N/A</v>
      </c>
    </row>
    <row r="31" spans="1:7" x14ac:dyDescent="0.2">
      <c r="A31" s="3" t="s">
        <v>32</v>
      </c>
      <c r="B31" s="3" t="s">
        <v>971</v>
      </c>
      <c r="C31" s="4">
        <v>277.08</v>
      </c>
      <c r="D31" s="4">
        <v>0</v>
      </c>
      <c r="E31" s="4">
        <v>277.08</v>
      </c>
      <c r="F31" s="3" t="s">
        <v>2</v>
      </c>
      <c r="G31" s="3" t="e">
        <f>VLOOKUP(B31,'Profit &amp; Loss'!$B$3:$C$390,2,0)</f>
        <v>#N/A</v>
      </c>
    </row>
    <row r="32" spans="1:7" x14ac:dyDescent="0.2">
      <c r="A32" s="3" t="s">
        <v>32</v>
      </c>
      <c r="B32" s="3" t="s">
        <v>972</v>
      </c>
      <c r="C32" s="4">
        <v>1.19</v>
      </c>
      <c r="D32" s="4">
        <v>0</v>
      </c>
      <c r="E32" s="4">
        <v>1.19</v>
      </c>
      <c r="F32" s="3" t="s">
        <v>2</v>
      </c>
      <c r="G32" s="3" t="e">
        <f>VLOOKUP(B32,'Profit &amp; Loss'!$B$3:$C$390,2,0)</f>
        <v>#N/A</v>
      </c>
    </row>
    <row r="33" spans="1:7" x14ac:dyDescent="0.2">
      <c r="A33" s="3" t="s">
        <v>32</v>
      </c>
      <c r="B33" s="3" t="s">
        <v>35</v>
      </c>
      <c r="C33" s="4">
        <v>2597.52</v>
      </c>
      <c r="D33" s="4">
        <v>2597.52</v>
      </c>
      <c r="E33" s="4">
        <v>0</v>
      </c>
      <c r="F33" s="3" t="s">
        <v>6</v>
      </c>
      <c r="G33" s="3" t="e">
        <f>VLOOKUP(B33,'Profit &amp; Loss'!$B$3:$C$390,2,0)</f>
        <v>#N/A</v>
      </c>
    </row>
    <row r="34" spans="1:7" x14ac:dyDescent="0.2">
      <c r="A34" s="3" t="s">
        <v>32</v>
      </c>
      <c r="B34" s="3" t="s">
        <v>1005</v>
      </c>
      <c r="C34" s="4">
        <v>0</v>
      </c>
      <c r="D34" s="4">
        <v>-216227.47</v>
      </c>
      <c r="E34" s="4">
        <v>216227.47</v>
      </c>
      <c r="F34" s="3" t="s">
        <v>531</v>
      </c>
      <c r="G34" s="3" t="e">
        <f>VLOOKUP(B34,'Profit &amp; Loss'!$B$3:$C$390,2,0)</f>
        <v>#N/A</v>
      </c>
    </row>
    <row r="35" spans="1:7" x14ac:dyDescent="0.2">
      <c r="A35" s="3" t="s">
        <v>32</v>
      </c>
      <c r="B35" s="3" t="s">
        <v>1006</v>
      </c>
      <c r="C35" s="4">
        <v>0</v>
      </c>
      <c r="D35" s="4">
        <v>149.63999999999999</v>
      </c>
      <c r="E35" s="4">
        <v>-149.63999999999999</v>
      </c>
      <c r="F35" s="3" t="s">
        <v>475</v>
      </c>
      <c r="G35" s="3" t="e">
        <f>VLOOKUP(B35,'Profit &amp; Loss'!$B$3:$C$390,2,0)</f>
        <v>#N/A</v>
      </c>
    </row>
    <row r="36" spans="1:7" x14ac:dyDescent="0.2">
      <c r="A36" s="3" t="s">
        <v>32</v>
      </c>
      <c r="B36" s="3" t="s">
        <v>36</v>
      </c>
      <c r="C36" s="4">
        <v>348.54</v>
      </c>
      <c r="D36" s="4">
        <v>-1319.57</v>
      </c>
      <c r="E36" s="4">
        <v>1668.11</v>
      </c>
      <c r="F36" s="3" t="s">
        <v>1175</v>
      </c>
      <c r="G36" s="3" t="e">
        <f>VLOOKUP(B36,'Profit &amp; Loss'!$B$3:$C$390,2,0)</f>
        <v>#N/A</v>
      </c>
    </row>
    <row r="37" spans="1:7" x14ac:dyDescent="0.2">
      <c r="A37" s="3" t="s">
        <v>32</v>
      </c>
      <c r="B37" s="3" t="s">
        <v>39</v>
      </c>
      <c r="C37" s="4">
        <v>2821.42</v>
      </c>
      <c r="D37" s="4">
        <v>2971.13</v>
      </c>
      <c r="E37" s="4">
        <v>-149.71</v>
      </c>
      <c r="F37" s="3" t="s">
        <v>726</v>
      </c>
      <c r="G37" s="3" t="e">
        <f>VLOOKUP(B37,'Profit &amp; Loss'!$B$3:$C$390,2,0)</f>
        <v>#N/A</v>
      </c>
    </row>
    <row r="38" spans="1:7" x14ac:dyDescent="0.2">
      <c r="A38" s="3" t="s">
        <v>32</v>
      </c>
      <c r="B38" s="3" t="s">
        <v>40</v>
      </c>
      <c r="C38" s="4">
        <v>-0.35</v>
      </c>
      <c r="D38" s="4">
        <v>0</v>
      </c>
      <c r="E38" s="4">
        <v>-0.35</v>
      </c>
      <c r="F38" s="3" t="s">
        <v>2</v>
      </c>
      <c r="G38" s="3" t="e">
        <f>VLOOKUP(B38,'Profit &amp; Loss'!$B$3:$C$390,2,0)</f>
        <v>#N/A</v>
      </c>
    </row>
    <row r="39" spans="1:7" x14ac:dyDescent="0.2">
      <c r="A39" s="3" t="s">
        <v>32</v>
      </c>
      <c r="B39" s="3" t="s">
        <v>42</v>
      </c>
      <c r="C39" s="4">
        <v>39.9</v>
      </c>
      <c r="D39" s="4">
        <v>40.25</v>
      </c>
      <c r="E39" s="4">
        <v>-0.35</v>
      </c>
      <c r="F39" s="3" t="s">
        <v>499</v>
      </c>
      <c r="G39" s="3" t="e">
        <f>VLOOKUP(B39,'Profit &amp; Loss'!$B$3:$C$390,2,0)</f>
        <v>#N/A</v>
      </c>
    </row>
    <row r="40" spans="1:7" x14ac:dyDescent="0.2">
      <c r="A40" s="3" t="s">
        <v>32</v>
      </c>
      <c r="B40" s="3" t="s">
        <v>2</v>
      </c>
      <c r="C40" s="4">
        <v>73108.55</v>
      </c>
      <c r="D40" s="4">
        <v>-160519.75</v>
      </c>
      <c r="E40" s="4">
        <v>233628.3</v>
      </c>
      <c r="F40" s="3" t="s">
        <v>1176</v>
      </c>
      <c r="G40" s="3" t="e">
        <f>VLOOKUP(B40,'Profit &amp; Loss'!$B$3:$C$390,2,0)</f>
        <v>#N/A</v>
      </c>
    </row>
    <row r="41" spans="1:7" x14ac:dyDescent="0.2">
      <c r="A41" s="3" t="s">
        <v>43</v>
      </c>
      <c r="B41" s="3" t="s">
        <v>2</v>
      </c>
      <c r="C41" s="4">
        <v>181235.3</v>
      </c>
      <c r="D41" s="4">
        <v>-123057.57</v>
      </c>
      <c r="E41" s="4">
        <v>304292.87</v>
      </c>
      <c r="F41" s="3" t="s">
        <v>1177</v>
      </c>
      <c r="G41" s="3" t="e">
        <f>VLOOKUP(B41,'Profit &amp; Loss'!$B$3:$C$390,2,0)</f>
        <v>#N/A</v>
      </c>
    </row>
    <row r="42" spans="1:7" x14ac:dyDescent="0.2">
      <c r="A42" s="3" t="s">
        <v>44</v>
      </c>
      <c r="B42" s="3" t="s">
        <v>973</v>
      </c>
      <c r="C42" s="4">
        <v>-0.1</v>
      </c>
      <c r="D42" s="4">
        <v>-0.1</v>
      </c>
      <c r="E42" s="4">
        <v>0</v>
      </c>
      <c r="F42" s="3" t="s">
        <v>6</v>
      </c>
      <c r="G42" s="3" t="e">
        <f>VLOOKUP(B42,'Profit &amp; Loss'!$B$3:$C$390,2,0)</f>
        <v>#N/A</v>
      </c>
    </row>
    <row r="43" spans="1:7" x14ac:dyDescent="0.2">
      <c r="A43" s="3" t="s">
        <v>44</v>
      </c>
      <c r="B43" s="3" t="s">
        <v>45</v>
      </c>
      <c r="C43" s="4">
        <v>-33464.480000000003</v>
      </c>
      <c r="D43" s="4">
        <v>-33464.480000000003</v>
      </c>
      <c r="E43" s="4">
        <v>0</v>
      </c>
      <c r="F43" s="3" t="s">
        <v>6</v>
      </c>
      <c r="G43" s="3" t="e">
        <f>VLOOKUP(B43,'Profit &amp; Loss'!$B$3:$C$390,2,0)</f>
        <v>#N/A</v>
      </c>
    </row>
    <row r="44" spans="1:7" x14ac:dyDescent="0.2">
      <c r="A44" s="3" t="s">
        <v>44</v>
      </c>
      <c r="B44" s="3" t="s">
        <v>46</v>
      </c>
      <c r="C44" s="4">
        <v>1668.98</v>
      </c>
      <c r="D44" s="4">
        <v>1668.98</v>
      </c>
      <c r="E44" s="4">
        <v>0</v>
      </c>
      <c r="F44" s="3" t="s">
        <v>6</v>
      </c>
      <c r="G44" s="3" t="e">
        <f>VLOOKUP(B44,'Profit &amp; Loss'!$B$3:$C$390,2,0)</f>
        <v>#N/A</v>
      </c>
    </row>
    <row r="45" spans="1:7" x14ac:dyDescent="0.2">
      <c r="A45" s="3" t="s">
        <v>44</v>
      </c>
      <c r="B45" s="3" t="s">
        <v>2</v>
      </c>
      <c r="C45" s="4">
        <v>-31795.599999999999</v>
      </c>
      <c r="D45" s="4">
        <v>-31795.599999999999</v>
      </c>
      <c r="E45" s="4">
        <v>0</v>
      </c>
      <c r="F45" s="3" t="s">
        <v>6</v>
      </c>
      <c r="G45" s="3" t="e">
        <f>VLOOKUP(B45,'Profit &amp; Loss'!$B$3:$C$390,2,0)</f>
        <v>#N/A</v>
      </c>
    </row>
    <row r="46" spans="1:7" x14ac:dyDescent="0.2">
      <c r="A46" s="3" t="s">
        <v>47</v>
      </c>
      <c r="B46" s="3" t="s">
        <v>48</v>
      </c>
      <c r="C46" s="4">
        <v>11629217.189999999</v>
      </c>
      <c r="D46" s="4">
        <v>10866254.09</v>
      </c>
      <c r="E46" s="4">
        <v>762963.1</v>
      </c>
      <c r="F46" s="3" t="s">
        <v>959</v>
      </c>
      <c r="G46" s="3" t="e">
        <f>VLOOKUP(B46,'Profit &amp; Loss'!$B$3:$C$390,2,0)</f>
        <v>#N/A</v>
      </c>
    </row>
    <row r="47" spans="1:7" x14ac:dyDescent="0.2">
      <c r="A47" s="3" t="s">
        <v>47</v>
      </c>
      <c r="B47" s="3" t="s">
        <v>599</v>
      </c>
      <c r="C47" s="4">
        <v>836.37</v>
      </c>
      <c r="D47" s="4">
        <v>0</v>
      </c>
      <c r="E47" s="4">
        <v>836.37</v>
      </c>
      <c r="F47" s="3" t="s">
        <v>2</v>
      </c>
      <c r="G47" s="3" t="e">
        <f>VLOOKUP(B47,'Profit &amp; Loss'!$B$3:$C$390,2,0)</f>
        <v>#N/A</v>
      </c>
    </row>
    <row r="48" spans="1:7" x14ac:dyDescent="0.2">
      <c r="A48" s="3" t="s">
        <v>47</v>
      </c>
      <c r="B48" s="3" t="s">
        <v>49</v>
      </c>
      <c r="C48" s="4">
        <v>273943.08</v>
      </c>
      <c r="D48" s="4">
        <v>175592.08</v>
      </c>
      <c r="E48" s="4">
        <v>98351</v>
      </c>
      <c r="F48" s="3" t="s">
        <v>1178</v>
      </c>
      <c r="G48" s="3" t="e">
        <f>VLOOKUP(B48,'Profit &amp; Loss'!$B$3:$C$390,2,0)</f>
        <v>#N/A</v>
      </c>
    </row>
    <row r="49" spans="1:7" x14ac:dyDescent="0.2">
      <c r="A49" s="3" t="s">
        <v>47</v>
      </c>
      <c r="B49" s="3" t="s">
        <v>50</v>
      </c>
      <c r="C49" s="4">
        <v>1525955.11</v>
      </c>
      <c r="D49" s="4">
        <v>1033498.64</v>
      </c>
      <c r="E49" s="4">
        <v>492456.47</v>
      </c>
      <c r="F49" s="3" t="s">
        <v>1179</v>
      </c>
      <c r="G49" s="3" t="e">
        <f>VLOOKUP(B49,'Profit &amp; Loss'!$B$3:$C$390,2,0)</f>
        <v>#N/A</v>
      </c>
    </row>
    <row r="50" spans="1:7" x14ac:dyDescent="0.2">
      <c r="A50" s="3" t="s">
        <v>47</v>
      </c>
      <c r="B50" s="3" t="s">
        <v>51</v>
      </c>
      <c r="C50" s="4">
        <v>1713481.53</v>
      </c>
      <c r="D50" s="4">
        <v>2040396.83</v>
      </c>
      <c r="E50" s="4">
        <v>-326915.3</v>
      </c>
      <c r="F50" s="3" t="s">
        <v>1180</v>
      </c>
      <c r="G50" s="3" t="e">
        <f>VLOOKUP(B50,'Profit &amp; Loss'!$B$3:$C$390,2,0)</f>
        <v>#N/A</v>
      </c>
    </row>
    <row r="51" spans="1:7" x14ac:dyDescent="0.2">
      <c r="A51" s="3" t="s">
        <v>47</v>
      </c>
      <c r="B51" s="3" t="s">
        <v>52</v>
      </c>
      <c r="C51" s="4">
        <v>3762968.12</v>
      </c>
      <c r="D51" s="4">
        <v>3211252.78</v>
      </c>
      <c r="E51" s="4">
        <v>551715.34</v>
      </c>
      <c r="F51" s="3" t="s">
        <v>551</v>
      </c>
      <c r="G51" s="3" t="e">
        <f>VLOOKUP(B51,'Profit &amp; Loss'!$B$3:$C$390,2,0)</f>
        <v>#N/A</v>
      </c>
    </row>
    <row r="52" spans="1:7" x14ac:dyDescent="0.2">
      <c r="A52" s="3" t="s">
        <v>47</v>
      </c>
      <c r="B52" s="3" t="s">
        <v>54</v>
      </c>
      <c r="C52" s="4">
        <v>18980.04</v>
      </c>
      <c r="D52" s="4">
        <v>29295.38</v>
      </c>
      <c r="E52" s="4">
        <v>-10315.34</v>
      </c>
      <c r="F52" s="3" t="s">
        <v>1181</v>
      </c>
      <c r="G52" s="3" t="e">
        <f>VLOOKUP(B52,'Profit &amp; Loss'!$B$3:$C$390,2,0)</f>
        <v>#N/A</v>
      </c>
    </row>
    <row r="53" spans="1:7" x14ac:dyDescent="0.2">
      <c r="A53" s="3" t="s">
        <v>47</v>
      </c>
      <c r="B53" s="3" t="s">
        <v>55</v>
      </c>
      <c r="C53" s="4">
        <v>-1413605.36</v>
      </c>
      <c r="D53" s="4">
        <v>-1498165.64</v>
      </c>
      <c r="E53" s="4">
        <v>84560.28</v>
      </c>
      <c r="F53" s="3" t="s">
        <v>706</v>
      </c>
      <c r="G53" s="3" t="e">
        <f>VLOOKUP(B53,'Profit &amp; Loss'!$B$3:$C$390,2,0)</f>
        <v>#N/A</v>
      </c>
    </row>
    <row r="54" spans="1:7" x14ac:dyDescent="0.2">
      <c r="A54" s="3" t="s">
        <v>47</v>
      </c>
      <c r="B54" s="3" t="s">
        <v>56</v>
      </c>
      <c r="C54" s="4">
        <v>14874.62</v>
      </c>
      <c r="D54" s="4">
        <v>12096.12</v>
      </c>
      <c r="E54" s="4">
        <v>2778.5</v>
      </c>
      <c r="F54" s="3" t="s">
        <v>848</v>
      </c>
      <c r="G54" s="3" t="e">
        <f>VLOOKUP(B54,'Profit &amp; Loss'!$B$3:$C$390,2,0)</f>
        <v>#N/A</v>
      </c>
    </row>
    <row r="55" spans="1:7" x14ac:dyDescent="0.2">
      <c r="A55" s="3" t="s">
        <v>47</v>
      </c>
      <c r="B55" s="3" t="s">
        <v>57</v>
      </c>
      <c r="C55" s="4">
        <v>-19907.25</v>
      </c>
      <c r="D55" s="4">
        <v>-17464.919999999998</v>
      </c>
      <c r="E55" s="4">
        <v>-2442.33</v>
      </c>
      <c r="F55" s="3" t="s">
        <v>1182</v>
      </c>
      <c r="G55" s="3" t="e">
        <f>VLOOKUP(B55,'Profit &amp; Loss'!$B$3:$C$390,2,0)</f>
        <v>#N/A</v>
      </c>
    </row>
    <row r="56" spans="1:7" x14ac:dyDescent="0.2">
      <c r="A56" s="3" t="s">
        <v>47</v>
      </c>
      <c r="B56" s="3" t="s">
        <v>58</v>
      </c>
      <c r="C56" s="4">
        <v>335.4</v>
      </c>
      <c r="D56" s="4">
        <v>-1693.06</v>
      </c>
      <c r="E56" s="4">
        <v>2028.46</v>
      </c>
      <c r="F56" s="3" t="s">
        <v>1183</v>
      </c>
      <c r="G56" s="3" t="e">
        <f>VLOOKUP(B56,'Profit &amp; Loss'!$B$3:$C$390,2,0)</f>
        <v>#N/A</v>
      </c>
    </row>
    <row r="57" spans="1:7" x14ac:dyDescent="0.2">
      <c r="A57" s="3" t="s">
        <v>47</v>
      </c>
      <c r="B57" s="3" t="s">
        <v>2</v>
      </c>
      <c r="C57" s="4">
        <v>17507078.850000001</v>
      </c>
      <c r="D57" s="4">
        <v>15851062.300000001</v>
      </c>
      <c r="E57" s="4">
        <v>1656016.55</v>
      </c>
      <c r="F57" s="3" t="s">
        <v>929</v>
      </c>
      <c r="G57" s="3" t="e">
        <f>VLOOKUP(B57,'Profit &amp; Loss'!$B$3:$C$390,2,0)</f>
        <v>#N/A</v>
      </c>
    </row>
    <row r="58" spans="1:7" x14ac:dyDescent="0.2">
      <c r="A58" s="3" t="s">
        <v>59</v>
      </c>
      <c r="B58" s="3" t="s">
        <v>60</v>
      </c>
      <c r="C58" s="4">
        <v>275669.67</v>
      </c>
      <c r="D58" s="4">
        <v>464607.53</v>
      </c>
      <c r="E58" s="4">
        <v>-188937.86</v>
      </c>
      <c r="F58" s="3" t="s">
        <v>1184</v>
      </c>
      <c r="G58" s="3" t="e">
        <f>VLOOKUP(B58,'Profit &amp; Loss'!$B$3:$C$390,2,0)</f>
        <v>#N/A</v>
      </c>
    </row>
    <row r="59" spans="1:7" x14ac:dyDescent="0.2">
      <c r="A59" s="3" t="s">
        <v>59</v>
      </c>
      <c r="B59" s="3" t="s">
        <v>975</v>
      </c>
      <c r="C59" s="4">
        <v>-4793.88</v>
      </c>
      <c r="D59" s="4">
        <v>-4793.88</v>
      </c>
      <c r="E59" s="4">
        <v>0</v>
      </c>
      <c r="F59" s="3" t="s">
        <v>6</v>
      </c>
      <c r="G59" s="3" t="e">
        <f>VLOOKUP(B59,'Profit &amp; Loss'!$B$3:$C$390,2,0)</f>
        <v>#N/A</v>
      </c>
    </row>
    <row r="60" spans="1:7" x14ac:dyDescent="0.2">
      <c r="A60" s="3" t="s">
        <v>59</v>
      </c>
      <c r="B60" s="3" t="s">
        <v>883</v>
      </c>
      <c r="C60" s="4">
        <v>946.22</v>
      </c>
      <c r="D60" s="4">
        <v>946.22</v>
      </c>
      <c r="E60" s="4">
        <v>0</v>
      </c>
      <c r="F60" s="3" t="s">
        <v>6</v>
      </c>
      <c r="G60" s="3" t="e">
        <f>VLOOKUP(B60,'Profit &amp; Loss'!$B$3:$C$390,2,0)</f>
        <v>#N/A</v>
      </c>
    </row>
    <row r="61" spans="1:7" x14ac:dyDescent="0.2">
      <c r="A61" s="3" t="s">
        <v>59</v>
      </c>
      <c r="B61" s="3" t="s">
        <v>61</v>
      </c>
      <c r="C61" s="4">
        <v>238.46</v>
      </c>
      <c r="D61" s="4">
        <v>94.38</v>
      </c>
      <c r="E61" s="4">
        <v>144.08000000000001</v>
      </c>
      <c r="F61" s="3" t="s">
        <v>1185</v>
      </c>
      <c r="G61" s="3" t="e">
        <f>VLOOKUP(B61,'Profit &amp; Loss'!$B$3:$C$390,2,0)</f>
        <v>#N/A</v>
      </c>
    </row>
    <row r="62" spans="1:7" x14ac:dyDescent="0.2">
      <c r="A62" s="3" t="s">
        <v>59</v>
      </c>
      <c r="B62" s="3" t="s">
        <v>62</v>
      </c>
      <c r="C62" s="4">
        <v>226446.67</v>
      </c>
      <c r="D62" s="4">
        <v>249658.84</v>
      </c>
      <c r="E62" s="4">
        <v>-23212.17</v>
      </c>
      <c r="F62" s="3" t="s">
        <v>946</v>
      </c>
      <c r="G62" s="3" t="e">
        <f>VLOOKUP(B62,'Profit &amp; Loss'!$B$3:$C$390,2,0)</f>
        <v>#N/A</v>
      </c>
    </row>
    <row r="63" spans="1:7" x14ac:dyDescent="0.2">
      <c r="A63" s="3" t="s">
        <v>59</v>
      </c>
      <c r="B63" s="3" t="s">
        <v>63</v>
      </c>
      <c r="C63" s="4">
        <v>59012.47</v>
      </c>
      <c r="D63" s="4">
        <v>29970.55</v>
      </c>
      <c r="E63" s="4">
        <v>29041.919999999998</v>
      </c>
      <c r="F63" s="3" t="s">
        <v>1186</v>
      </c>
      <c r="G63" s="3" t="e">
        <f>VLOOKUP(B63,'Profit &amp; Loss'!$B$3:$C$390,2,0)</f>
        <v>#N/A</v>
      </c>
    </row>
    <row r="64" spans="1:7" x14ac:dyDescent="0.2">
      <c r="A64" s="3" t="s">
        <v>59</v>
      </c>
      <c r="B64" s="3" t="s">
        <v>64</v>
      </c>
      <c r="C64" s="4">
        <v>420.63</v>
      </c>
      <c r="D64" s="4">
        <v>432.91</v>
      </c>
      <c r="E64" s="4">
        <v>-12.28</v>
      </c>
      <c r="F64" s="3" t="s">
        <v>505</v>
      </c>
      <c r="G64" s="3" t="e">
        <f>VLOOKUP(B64,'Profit &amp; Loss'!$B$3:$C$390,2,0)</f>
        <v>#N/A</v>
      </c>
    </row>
    <row r="65" spans="1:7" x14ac:dyDescent="0.2">
      <c r="A65" s="3" t="s">
        <v>59</v>
      </c>
      <c r="B65" s="3" t="s">
        <v>2</v>
      </c>
      <c r="C65" s="4">
        <v>557940.24</v>
      </c>
      <c r="D65" s="4">
        <v>740916.55</v>
      </c>
      <c r="E65" s="4">
        <v>-182976.31</v>
      </c>
      <c r="F65" s="3" t="s">
        <v>1187</v>
      </c>
      <c r="G65" s="3" t="e">
        <f>VLOOKUP(B65,'Profit &amp; Loss'!$B$3:$C$390,2,0)</f>
        <v>#N/A</v>
      </c>
    </row>
    <row r="66" spans="1:7" x14ac:dyDescent="0.2">
      <c r="A66" s="3" t="s">
        <v>65</v>
      </c>
      <c r="B66" s="3" t="s">
        <v>2</v>
      </c>
      <c r="C66" s="4">
        <v>18033223.489999998</v>
      </c>
      <c r="D66" s="4">
        <v>16560183.25</v>
      </c>
      <c r="E66" s="4">
        <v>1473040.24</v>
      </c>
      <c r="F66" s="3" t="s">
        <v>907</v>
      </c>
      <c r="G66" s="3" t="e">
        <f>VLOOKUP(B66,'Profit &amp; Loss'!$B$3:$C$390,2,0)</f>
        <v>#N/A</v>
      </c>
    </row>
    <row r="67" spans="1:7" x14ac:dyDescent="0.2">
      <c r="A67" s="3" t="s">
        <v>976</v>
      </c>
      <c r="B67" s="3" t="s">
        <v>977</v>
      </c>
      <c r="C67" s="4">
        <v>14166.64</v>
      </c>
      <c r="D67" s="4">
        <v>14166.64</v>
      </c>
      <c r="E67" s="4">
        <v>0</v>
      </c>
      <c r="F67" s="3" t="s">
        <v>6</v>
      </c>
      <c r="G67" s="3" t="e">
        <f>VLOOKUP(B67,'Profit &amp; Loss'!$B$3:$C$390,2,0)</f>
        <v>#N/A</v>
      </c>
    </row>
    <row r="68" spans="1:7" x14ac:dyDescent="0.2">
      <c r="A68" s="3" t="s">
        <v>976</v>
      </c>
      <c r="B68" s="3" t="s">
        <v>2</v>
      </c>
      <c r="C68" s="4">
        <v>14166.64</v>
      </c>
      <c r="D68" s="4">
        <v>14166.64</v>
      </c>
      <c r="E68" s="4">
        <v>0</v>
      </c>
      <c r="F68" s="3" t="s">
        <v>6</v>
      </c>
      <c r="G68" s="3" t="e">
        <f>VLOOKUP(B68,'Profit &amp; Loss'!$B$3:$C$390,2,0)</f>
        <v>#N/A</v>
      </c>
    </row>
    <row r="69" spans="1:7" x14ac:dyDescent="0.2">
      <c r="A69" s="3" t="s">
        <v>978</v>
      </c>
      <c r="B69" s="3" t="s">
        <v>2</v>
      </c>
      <c r="C69" s="4">
        <v>14166.64</v>
      </c>
      <c r="D69" s="4">
        <v>14166.64</v>
      </c>
      <c r="E69" s="4">
        <v>0</v>
      </c>
      <c r="F69" s="3" t="s">
        <v>6</v>
      </c>
      <c r="G69" s="3" t="e">
        <f>VLOOKUP(B69,'Profit &amp; Loss'!$B$3:$C$390,2,0)</f>
        <v>#N/A</v>
      </c>
    </row>
    <row r="70" spans="1:7" x14ac:dyDescent="0.2">
      <c r="A70" s="3" t="s">
        <v>66</v>
      </c>
      <c r="B70" s="3" t="s">
        <v>67</v>
      </c>
      <c r="C70" s="4">
        <v>-6135.39</v>
      </c>
      <c r="D70" s="4">
        <v>-6135.39</v>
      </c>
      <c r="E70" s="4">
        <v>0</v>
      </c>
      <c r="F70" s="3" t="s">
        <v>6</v>
      </c>
      <c r="G70" s="3" t="e">
        <f>VLOOKUP(B70,'Profit &amp; Loss'!$B$3:$C$390,2,0)</f>
        <v>#N/A</v>
      </c>
    </row>
    <row r="71" spans="1:7" x14ac:dyDescent="0.2">
      <c r="A71" s="3" t="s">
        <v>66</v>
      </c>
      <c r="B71" s="3" t="s">
        <v>68</v>
      </c>
      <c r="C71" s="4">
        <v>10317.040000000001</v>
      </c>
      <c r="D71" s="4">
        <v>10893.75</v>
      </c>
      <c r="E71" s="4">
        <v>-576.71</v>
      </c>
      <c r="F71" s="3" t="s">
        <v>600</v>
      </c>
      <c r="G71" s="3" t="e">
        <f>VLOOKUP(B71,'Profit &amp; Loss'!$B$3:$C$390,2,0)</f>
        <v>#N/A</v>
      </c>
    </row>
    <row r="72" spans="1:7" x14ac:dyDescent="0.2">
      <c r="A72" s="3" t="s">
        <v>66</v>
      </c>
      <c r="B72" s="3" t="s">
        <v>979</v>
      </c>
      <c r="C72" s="4">
        <v>6329.17</v>
      </c>
      <c r="D72" s="4">
        <v>6329.17</v>
      </c>
      <c r="E72" s="4">
        <v>0</v>
      </c>
      <c r="F72" s="3" t="s">
        <v>6</v>
      </c>
      <c r="G72" s="3" t="e">
        <f>VLOOKUP(B72,'Profit &amp; Loss'!$B$3:$C$390,2,0)</f>
        <v>#N/A</v>
      </c>
    </row>
    <row r="73" spans="1:7" x14ac:dyDescent="0.2">
      <c r="A73" s="3" t="s">
        <v>66</v>
      </c>
      <c r="B73" s="3" t="s">
        <v>491</v>
      </c>
      <c r="C73" s="4">
        <v>0</v>
      </c>
      <c r="D73" s="4">
        <v>558.74</v>
      </c>
      <c r="E73" s="4">
        <v>-558.74</v>
      </c>
      <c r="F73" s="3" t="s">
        <v>475</v>
      </c>
      <c r="G73" s="3" t="e">
        <f>VLOOKUP(B73,'Profit &amp; Loss'!$B$3:$C$390,2,0)</f>
        <v>#N/A</v>
      </c>
    </row>
    <row r="74" spans="1:7" x14ac:dyDescent="0.2">
      <c r="A74" s="3" t="s">
        <v>66</v>
      </c>
      <c r="B74" s="3" t="s">
        <v>492</v>
      </c>
      <c r="C74" s="4">
        <v>0</v>
      </c>
      <c r="D74" s="4">
        <v>-2.1</v>
      </c>
      <c r="E74" s="4">
        <v>2.1</v>
      </c>
      <c r="F74" s="3" t="s">
        <v>531</v>
      </c>
      <c r="G74" s="3" t="e">
        <f>VLOOKUP(B74,'Profit &amp; Loss'!$B$3:$C$390,2,0)</f>
        <v>#N/A</v>
      </c>
    </row>
    <row r="75" spans="1:7" x14ac:dyDescent="0.2">
      <c r="A75" s="3" t="s">
        <v>66</v>
      </c>
      <c r="B75" s="3" t="s">
        <v>493</v>
      </c>
      <c r="C75" s="4">
        <v>-2.25</v>
      </c>
      <c r="D75" s="4">
        <v>-85.94</v>
      </c>
      <c r="E75" s="4">
        <v>83.69</v>
      </c>
      <c r="F75" s="3" t="s">
        <v>683</v>
      </c>
      <c r="G75" s="3" t="e">
        <f>VLOOKUP(B75,'Profit &amp; Loss'!$B$3:$C$390,2,0)</f>
        <v>#N/A</v>
      </c>
    </row>
    <row r="76" spans="1:7" x14ac:dyDescent="0.2">
      <c r="A76" s="3" t="s">
        <v>66</v>
      </c>
      <c r="B76" s="3" t="s">
        <v>494</v>
      </c>
      <c r="C76" s="4">
        <v>0.02</v>
      </c>
      <c r="D76" s="4">
        <v>-0.44</v>
      </c>
      <c r="E76" s="4">
        <v>0.46</v>
      </c>
      <c r="F76" s="3" t="s">
        <v>1188</v>
      </c>
      <c r="G76" s="3" t="e">
        <f>VLOOKUP(B76,'Profit &amp; Loss'!$B$3:$C$390,2,0)</f>
        <v>#N/A</v>
      </c>
    </row>
    <row r="77" spans="1:7" x14ac:dyDescent="0.2">
      <c r="A77" s="3" t="s">
        <v>66</v>
      </c>
      <c r="B77" s="3" t="s">
        <v>2</v>
      </c>
      <c r="C77" s="4">
        <v>10508.59</v>
      </c>
      <c r="D77" s="4">
        <v>11557.79</v>
      </c>
      <c r="E77" s="4">
        <v>-1049.2</v>
      </c>
      <c r="F77" s="3" t="s">
        <v>1189</v>
      </c>
      <c r="G77" s="3" t="e">
        <f>VLOOKUP(B77,'Profit &amp; Loss'!$B$3:$C$390,2,0)</f>
        <v>#N/A</v>
      </c>
    </row>
    <row r="78" spans="1:7" x14ac:dyDescent="0.2">
      <c r="A78" s="3" t="s">
        <v>69</v>
      </c>
      <c r="B78" s="3" t="s">
        <v>2</v>
      </c>
      <c r="C78" s="4">
        <v>10508.59</v>
      </c>
      <c r="D78" s="4">
        <v>11557.79</v>
      </c>
      <c r="E78" s="4">
        <v>-1049.2</v>
      </c>
      <c r="F78" s="3" t="s">
        <v>1189</v>
      </c>
      <c r="G78" s="3" t="e">
        <f>VLOOKUP(B78,'Profit &amp; Loss'!$B$3:$C$390,2,0)</f>
        <v>#N/A</v>
      </c>
    </row>
    <row r="79" spans="1:7" x14ac:dyDescent="0.2">
      <c r="A79" s="3" t="s">
        <v>70</v>
      </c>
      <c r="B79" s="3" t="s">
        <v>71</v>
      </c>
      <c r="C79" s="4">
        <v>359163.46</v>
      </c>
      <c r="D79" s="4">
        <v>359163.46</v>
      </c>
      <c r="E79" s="4">
        <v>0</v>
      </c>
      <c r="F79" s="3" t="s">
        <v>6</v>
      </c>
      <c r="G79" s="3" t="e">
        <f>VLOOKUP(B79,'Profit &amp; Loss'!$B$3:$C$390,2,0)</f>
        <v>#N/A</v>
      </c>
    </row>
    <row r="80" spans="1:7" x14ac:dyDescent="0.2">
      <c r="A80" s="3" t="s">
        <v>70</v>
      </c>
      <c r="B80" s="3" t="s">
        <v>72</v>
      </c>
      <c r="C80" s="4">
        <v>-259267.02</v>
      </c>
      <c r="D80" s="4">
        <v>-258152.24</v>
      </c>
      <c r="E80" s="4">
        <v>-1114.78</v>
      </c>
      <c r="F80" s="3" t="s">
        <v>470</v>
      </c>
      <c r="G80" s="3" t="e">
        <f>VLOOKUP(B80,'Profit &amp; Loss'!$B$3:$C$390,2,0)</f>
        <v>#N/A</v>
      </c>
    </row>
    <row r="81" spans="1:7" x14ac:dyDescent="0.2">
      <c r="A81" s="3" t="s">
        <v>70</v>
      </c>
      <c r="B81" s="3" t="s">
        <v>2</v>
      </c>
      <c r="C81" s="4">
        <v>99896.44</v>
      </c>
      <c r="D81" s="4">
        <v>101011.22</v>
      </c>
      <c r="E81" s="4">
        <v>-1114.78</v>
      </c>
      <c r="F81" s="3" t="s">
        <v>903</v>
      </c>
      <c r="G81" s="3" t="e">
        <f>VLOOKUP(B81,'Profit &amp; Loss'!$B$3:$C$390,2,0)</f>
        <v>#N/A</v>
      </c>
    </row>
    <row r="82" spans="1:7" x14ac:dyDescent="0.2">
      <c r="A82" s="3" t="s">
        <v>73</v>
      </c>
      <c r="B82" s="3" t="s">
        <v>74</v>
      </c>
      <c r="C82" s="4">
        <v>132848.63</v>
      </c>
      <c r="D82" s="4">
        <v>132848.63</v>
      </c>
      <c r="E82" s="4">
        <v>0</v>
      </c>
      <c r="F82" s="3" t="s">
        <v>6</v>
      </c>
      <c r="G82" s="3" t="e">
        <f>VLOOKUP(B82,'Profit &amp; Loss'!$B$3:$C$390,2,0)</f>
        <v>#N/A</v>
      </c>
    </row>
    <row r="83" spans="1:7" x14ac:dyDescent="0.2">
      <c r="A83" s="3" t="s">
        <v>73</v>
      </c>
      <c r="B83" s="3" t="s">
        <v>75</v>
      </c>
      <c r="C83" s="4">
        <v>476913.35</v>
      </c>
      <c r="D83" s="4">
        <v>476214.59</v>
      </c>
      <c r="E83" s="4">
        <v>698.76</v>
      </c>
      <c r="F83" s="3" t="s">
        <v>471</v>
      </c>
      <c r="G83" s="3" t="e">
        <f>VLOOKUP(B83,'Profit &amp; Loss'!$B$3:$C$390,2,0)</f>
        <v>#N/A</v>
      </c>
    </row>
    <row r="84" spans="1:7" x14ac:dyDescent="0.2">
      <c r="A84" s="3" t="s">
        <v>73</v>
      </c>
      <c r="B84" s="3" t="s">
        <v>76</v>
      </c>
      <c r="C84" s="4">
        <v>380820.83</v>
      </c>
      <c r="D84" s="4">
        <v>390466.49</v>
      </c>
      <c r="E84" s="4">
        <v>-9645.66</v>
      </c>
      <c r="F84" s="3" t="s">
        <v>614</v>
      </c>
      <c r="G84" s="3" t="e">
        <f>VLOOKUP(B84,'Profit &amp; Loss'!$B$3:$C$390,2,0)</f>
        <v>#N/A</v>
      </c>
    </row>
    <row r="85" spans="1:7" x14ac:dyDescent="0.2">
      <c r="A85" s="3" t="s">
        <v>73</v>
      </c>
      <c r="B85" s="3" t="s">
        <v>77</v>
      </c>
      <c r="C85" s="4">
        <v>495.24</v>
      </c>
      <c r="D85" s="4">
        <v>495.24</v>
      </c>
      <c r="E85" s="4">
        <v>0</v>
      </c>
      <c r="F85" s="3" t="s">
        <v>6</v>
      </c>
      <c r="G85" s="3" t="e">
        <f>VLOOKUP(B85,'Profit &amp; Loss'!$B$3:$C$390,2,0)</f>
        <v>#N/A</v>
      </c>
    </row>
    <row r="86" spans="1:7" x14ac:dyDescent="0.2">
      <c r="A86" s="3" t="s">
        <v>73</v>
      </c>
      <c r="B86" s="3" t="s">
        <v>78</v>
      </c>
      <c r="C86" s="4">
        <v>245275.31</v>
      </c>
      <c r="D86" s="4">
        <v>242483.73</v>
      </c>
      <c r="E86" s="4">
        <v>2791.58</v>
      </c>
      <c r="F86" s="3" t="s">
        <v>507</v>
      </c>
      <c r="G86" s="3" t="e">
        <f>VLOOKUP(B86,'Profit &amp; Loss'!$B$3:$C$390,2,0)</f>
        <v>#N/A</v>
      </c>
    </row>
    <row r="87" spans="1:7" x14ac:dyDescent="0.2">
      <c r="A87" s="3" t="s">
        <v>73</v>
      </c>
      <c r="B87" s="3" t="s">
        <v>79</v>
      </c>
      <c r="C87" s="4">
        <v>-125820.4</v>
      </c>
      <c r="D87" s="4">
        <v>-125545.89</v>
      </c>
      <c r="E87" s="4">
        <v>-274.51</v>
      </c>
      <c r="F87" s="3" t="s">
        <v>498</v>
      </c>
      <c r="G87" s="3" t="e">
        <f>VLOOKUP(B87,'Profit &amp; Loss'!$B$3:$C$390,2,0)</f>
        <v>#N/A</v>
      </c>
    </row>
    <row r="88" spans="1:7" x14ac:dyDescent="0.2">
      <c r="A88" s="3" t="s">
        <v>73</v>
      </c>
      <c r="B88" s="3" t="s">
        <v>80</v>
      </c>
      <c r="C88" s="4">
        <v>-298528.28999999998</v>
      </c>
      <c r="D88" s="4">
        <v>-295037.25</v>
      </c>
      <c r="E88" s="4">
        <v>-3491.04</v>
      </c>
      <c r="F88" s="3" t="s">
        <v>482</v>
      </c>
      <c r="G88" s="3" t="e">
        <f>VLOOKUP(B88,'Profit &amp; Loss'!$B$3:$C$390,2,0)</f>
        <v>#N/A</v>
      </c>
    </row>
    <row r="89" spans="1:7" x14ac:dyDescent="0.2">
      <c r="A89" s="3" t="s">
        <v>73</v>
      </c>
      <c r="B89" s="3" t="s">
        <v>81</v>
      </c>
      <c r="C89" s="4">
        <v>-302132.39</v>
      </c>
      <c r="D89" s="4">
        <v>-314663.27</v>
      </c>
      <c r="E89" s="4">
        <v>12530.88</v>
      </c>
      <c r="F89" s="3" t="s">
        <v>912</v>
      </c>
      <c r="G89" s="3" t="e">
        <f>VLOOKUP(B89,'Profit &amp; Loss'!$B$3:$C$390,2,0)</f>
        <v>#N/A</v>
      </c>
    </row>
    <row r="90" spans="1:7" x14ac:dyDescent="0.2">
      <c r="A90" s="3" t="s">
        <v>73</v>
      </c>
      <c r="B90" s="3" t="s">
        <v>82</v>
      </c>
      <c r="C90" s="4">
        <v>-486.99</v>
      </c>
      <c r="D90" s="4">
        <v>-478.74</v>
      </c>
      <c r="E90" s="4">
        <v>-8.25</v>
      </c>
      <c r="F90" s="3" t="s">
        <v>631</v>
      </c>
      <c r="G90" s="3" t="e">
        <f>VLOOKUP(B90,'Profit &amp; Loss'!$B$3:$C$390,2,0)</f>
        <v>#N/A</v>
      </c>
    </row>
    <row r="91" spans="1:7" x14ac:dyDescent="0.2">
      <c r="A91" s="3" t="s">
        <v>73</v>
      </c>
      <c r="B91" s="3" t="s">
        <v>83</v>
      </c>
      <c r="C91" s="4">
        <v>-209527.28</v>
      </c>
      <c r="D91" s="4">
        <v>-208362.78</v>
      </c>
      <c r="E91" s="4">
        <v>-1164.5</v>
      </c>
      <c r="F91" s="3" t="s">
        <v>610</v>
      </c>
      <c r="G91" s="3" t="e">
        <f>VLOOKUP(B91,'Profit &amp; Loss'!$B$3:$C$390,2,0)</f>
        <v>#N/A</v>
      </c>
    </row>
    <row r="92" spans="1:7" x14ac:dyDescent="0.2">
      <c r="A92" s="3" t="s">
        <v>73</v>
      </c>
      <c r="B92" s="3" t="s">
        <v>2</v>
      </c>
      <c r="C92" s="4">
        <v>299858.01</v>
      </c>
      <c r="D92" s="4">
        <v>298420.75</v>
      </c>
      <c r="E92" s="4">
        <v>1437.26</v>
      </c>
      <c r="F92" s="3" t="s">
        <v>497</v>
      </c>
      <c r="G92" s="3" t="e">
        <f>VLOOKUP(B92,'Profit &amp; Loss'!$B$3:$C$390,2,0)</f>
        <v>#N/A</v>
      </c>
    </row>
    <row r="93" spans="1:7" x14ac:dyDescent="0.2">
      <c r="A93" s="3" t="s">
        <v>84</v>
      </c>
      <c r="B93" s="3" t="s">
        <v>85</v>
      </c>
      <c r="C93" s="4">
        <v>15647518.970000001</v>
      </c>
      <c r="D93" s="4">
        <v>13606619.83</v>
      </c>
      <c r="E93" s="4">
        <v>2040899.14</v>
      </c>
      <c r="F93" s="3" t="s">
        <v>595</v>
      </c>
      <c r="G93" s="3" t="e">
        <f>VLOOKUP(B93,'Profit &amp; Loss'!$B$3:$C$390,2,0)</f>
        <v>#N/A</v>
      </c>
    </row>
    <row r="94" spans="1:7" x14ac:dyDescent="0.2">
      <c r="A94" s="3" t="s">
        <v>84</v>
      </c>
      <c r="B94" s="3" t="s">
        <v>86</v>
      </c>
      <c r="C94" s="4">
        <v>-5357668.2</v>
      </c>
      <c r="D94" s="4">
        <v>-5175179.5999999996</v>
      </c>
      <c r="E94" s="4">
        <v>-182488.6</v>
      </c>
      <c r="F94" s="3" t="s">
        <v>730</v>
      </c>
      <c r="G94" s="3" t="e">
        <f>VLOOKUP(B94,'Profit &amp; Loss'!$B$3:$C$390,2,0)</f>
        <v>#N/A</v>
      </c>
    </row>
    <row r="95" spans="1:7" x14ac:dyDescent="0.2">
      <c r="A95" s="3" t="s">
        <v>84</v>
      </c>
      <c r="B95" s="3" t="s">
        <v>2</v>
      </c>
      <c r="C95" s="4">
        <v>10289850.77</v>
      </c>
      <c r="D95" s="4">
        <v>8431440.2300000004</v>
      </c>
      <c r="E95" s="4">
        <v>1858410.54</v>
      </c>
      <c r="F95" s="3" t="s">
        <v>598</v>
      </c>
      <c r="G95" s="3" t="e">
        <f>VLOOKUP(B95,'Profit &amp; Loss'!$B$3:$C$390,2,0)</f>
        <v>#N/A</v>
      </c>
    </row>
    <row r="96" spans="1:7" x14ac:dyDescent="0.2">
      <c r="A96" s="3" t="s">
        <v>87</v>
      </c>
      <c r="B96" s="3" t="s">
        <v>88</v>
      </c>
      <c r="C96" s="4">
        <v>152624.47</v>
      </c>
      <c r="D96" s="4">
        <v>138093.67000000001</v>
      </c>
      <c r="E96" s="4">
        <v>14530.8</v>
      </c>
      <c r="F96" s="3" t="s">
        <v>736</v>
      </c>
      <c r="G96" s="3" t="e">
        <f>VLOOKUP(B96,'Profit &amp; Loss'!$B$3:$C$390,2,0)</f>
        <v>#N/A</v>
      </c>
    </row>
    <row r="97" spans="1:7" x14ac:dyDescent="0.2">
      <c r="A97" s="3" t="s">
        <v>87</v>
      </c>
      <c r="B97" s="3" t="s">
        <v>89</v>
      </c>
      <c r="C97" s="4">
        <v>733771.45</v>
      </c>
      <c r="D97" s="4">
        <v>855138.11</v>
      </c>
      <c r="E97" s="4">
        <v>-121366.66</v>
      </c>
      <c r="F97" s="3" t="s">
        <v>713</v>
      </c>
      <c r="G97" s="3" t="e">
        <f>VLOOKUP(B97,'Profit &amp; Loss'!$B$3:$C$390,2,0)</f>
        <v>#N/A</v>
      </c>
    </row>
    <row r="98" spans="1:7" x14ac:dyDescent="0.2">
      <c r="A98" s="3" t="s">
        <v>87</v>
      </c>
      <c r="B98" s="3" t="s">
        <v>90</v>
      </c>
      <c r="C98" s="4">
        <v>-151457.21</v>
      </c>
      <c r="D98" s="4">
        <v>-136870.82999999999</v>
      </c>
      <c r="E98" s="4">
        <v>-14586.38</v>
      </c>
      <c r="F98" s="3" t="s">
        <v>944</v>
      </c>
      <c r="G98" s="3" t="e">
        <f>VLOOKUP(B98,'Profit &amp; Loss'!$B$3:$C$390,2,0)</f>
        <v>#N/A</v>
      </c>
    </row>
    <row r="99" spans="1:7" x14ac:dyDescent="0.2">
      <c r="A99" s="3" t="s">
        <v>87</v>
      </c>
      <c r="B99" s="3" t="s">
        <v>91</v>
      </c>
      <c r="C99" s="4">
        <v>-748249.16</v>
      </c>
      <c r="D99" s="4">
        <v>-867914.9</v>
      </c>
      <c r="E99" s="4">
        <v>119665.74</v>
      </c>
      <c r="F99" s="3" t="s">
        <v>677</v>
      </c>
      <c r="G99" s="3" t="e">
        <f>VLOOKUP(B99,'Profit &amp; Loss'!$B$3:$C$390,2,0)</f>
        <v>#N/A</v>
      </c>
    </row>
    <row r="100" spans="1:7" x14ac:dyDescent="0.2">
      <c r="A100" s="3" t="s">
        <v>87</v>
      </c>
      <c r="B100" s="3" t="s">
        <v>2</v>
      </c>
      <c r="C100" s="4">
        <v>-13310.45</v>
      </c>
      <c r="D100" s="4">
        <v>-11553.95</v>
      </c>
      <c r="E100" s="4">
        <v>-1756.5</v>
      </c>
      <c r="F100" s="3" t="s">
        <v>901</v>
      </c>
      <c r="G100" s="3" t="e">
        <f>VLOOKUP(B100,'Profit &amp; Loss'!$B$3:$C$390,2,0)</f>
        <v>#N/A</v>
      </c>
    </row>
    <row r="101" spans="1:7" x14ac:dyDescent="0.2">
      <c r="A101" s="3" t="s">
        <v>92</v>
      </c>
      <c r="B101" s="3" t="s">
        <v>93</v>
      </c>
      <c r="C101" s="4">
        <v>4903.3100000000004</v>
      </c>
      <c r="D101" s="4">
        <v>4060.75</v>
      </c>
      <c r="E101" s="4">
        <v>842.56</v>
      </c>
      <c r="F101" s="3" t="s">
        <v>919</v>
      </c>
      <c r="G101" s="3" t="e">
        <f>VLOOKUP(B101,'Profit &amp; Loss'!$B$3:$C$390,2,0)</f>
        <v>#N/A</v>
      </c>
    </row>
    <row r="102" spans="1:7" x14ac:dyDescent="0.2">
      <c r="A102" s="3" t="s">
        <v>92</v>
      </c>
      <c r="B102" s="3" t="s">
        <v>94</v>
      </c>
      <c r="C102" s="4">
        <v>246154.76</v>
      </c>
      <c r="D102" s="4">
        <v>242293.22</v>
      </c>
      <c r="E102" s="4">
        <v>3861.54</v>
      </c>
      <c r="F102" s="3" t="s">
        <v>861</v>
      </c>
      <c r="G102" s="3" t="e">
        <f>VLOOKUP(B102,'Profit &amp; Loss'!$B$3:$C$390,2,0)</f>
        <v>#N/A</v>
      </c>
    </row>
    <row r="103" spans="1:7" x14ac:dyDescent="0.2">
      <c r="A103" s="3" t="s">
        <v>92</v>
      </c>
      <c r="B103" s="3" t="s">
        <v>95</v>
      </c>
      <c r="C103" s="4">
        <v>-3351.59</v>
      </c>
      <c r="D103" s="4">
        <v>-3256.02</v>
      </c>
      <c r="E103" s="4">
        <v>-95.57</v>
      </c>
      <c r="F103" s="3" t="s">
        <v>714</v>
      </c>
      <c r="G103" s="3" t="e">
        <f>VLOOKUP(B103,'Profit &amp; Loss'!$B$3:$C$390,2,0)</f>
        <v>#N/A</v>
      </c>
    </row>
    <row r="104" spans="1:7" x14ac:dyDescent="0.2">
      <c r="A104" s="3" t="s">
        <v>92</v>
      </c>
      <c r="B104" s="3" t="s">
        <v>96</v>
      </c>
      <c r="C104" s="4">
        <v>-155790</v>
      </c>
      <c r="D104" s="4">
        <v>-150187.14000000001</v>
      </c>
      <c r="E104" s="4">
        <v>-5602.86</v>
      </c>
      <c r="F104" s="3" t="s">
        <v>629</v>
      </c>
      <c r="G104" s="3" t="e">
        <f>VLOOKUP(B104,'Profit &amp; Loss'!$B$3:$C$390,2,0)</f>
        <v>#N/A</v>
      </c>
    </row>
    <row r="105" spans="1:7" x14ac:dyDescent="0.2">
      <c r="A105" s="3" t="s">
        <v>92</v>
      </c>
      <c r="B105" s="3" t="s">
        <v>2</v>
      </c>
      <c r="C105" s="4">
        <v>91916.479999999996</v>
      </c>
      <c r="D105" s="4">
        <v>92910.81</v>
      </c>
      <c r="E105" s="4">
        <v>-994.33</v>
      </c>
      <c r="F105" s="3" t="s">
        <v>903</v>
      </c>
      <c r="G105" s="3" t="e">
        <f>VLOOKUP(B105,'Profit &amp; Loss'!$B$3:$C$390,2,0)</f>
        <v>#N/A</v>
      </c>
    </row>
    <row r="106" spans="1:7" x14ac:dyDescent="0.2">
      <c r="A106" s="3" t="s">
        <v>97</v>
      </c>
      <c r="B106" s="3" t="s">
        <v>98</v>
      </c>
      <c r="C106" s="4">
        <v>174986.36</v>
      </c>
      <c r="D106" s="4">
        <v>174986.36</v>
      </c>
      <c r="E106" s="4">
        <v>0</v>
      </c>
      <c r="F106" s="3" t="s">
        <v>6</v>
      </c>
      <c r="G106" s="3" t="e">
        <f>VLOOKUP(B106,'Profit &amp; Loss'!$B$3:$C$390,2,0)</f>
        <v>#N/A</v>
      </c>
    </row>
    <row r="107" spans="1:7" x14ac:dyDescent="0.2">
      <c r="A107" s="3" t="s">
        <v>97</v>
      </c>
      <c r="B107" s="3" t="s">
        <v>99</v>
      </c>
      <c r="C107" s="4">
        <v>-92761.13</v>
      </c>
      <c r="D107" s="4">
        <v>-89844.69</v>
      </c>
      <c r="E107" s="4">
        <v>-2916.44</v>
      </c>
      <c r="F107" s="3" t="s">
        <v>876</v>
      </c>
      <c r="G107" s="3" t="e">
        <f>VLOOKUP(B107,'Profit &amp; Loss'!$B$3:$C$390,2,0)</f>
        <v>#N/A</v>
      </c>
    </row>
    <row r="108" spans="1:7" x14ac:dyDescent="0.2">
      <c r="A108" s="3" t="s">
        <v>97</v>
      </c>
      <c r="B108" s="3" t="s">
        <v>2</v>
      </c>
      <c r="C108" s="4">
        <v>82225.23</v>
      </c>
      <c r="D108" s="4">
        <v>85141.67</v>
      </c>
      <c r="E108" s="4">
        <v>-2916.44</v>
      </c>
      <c r="F108" s="3" t="s">
        <v>823</v>
      </c>
      <c r="G108" s="3" t="e">
        <f>VLOOKUP(B108,'Profit &amp; Loss'!$B$3:$C$390,2,0)</f>
        <v>#N/A</v>
      </c>
    </row>
    <row r="109" spans="1:7" x14ac:dyDescent="0.2">
      <c r="A109" s="3" t="s">
        <v>100</v>
      </c>
      <c r="B109" s="3" t="s">
        <v>101</v>
      </c>
      <c r="C109" s="4">
        <v>121705.74</v>
      </c>
      <c r="D109" s="4">
        <v>121130.17</v>
      </c>
      <c r="E109" s="4">
        <v>575.57000000000005</v>
      </c>
      <c r="F109" s="3" t="s">
        <v>497</v>
      </c>
      <c r="G109" s="3" t="e">
        <f>VLOOKUP(B109,'Profit &amp; Loss'!$B$3:$C$390,2,0)</f>
        <v>#N/A</v>
      </c>
    </row>
    <row r="110" spans="1:7" x14ac:dyDescent="0.2">
      <c r="A110" s="3" t="s">
        <v>100</v>
      </c>
      <c r="B110" s="3" t="s">
        <v>980</v>
      </c>
      <c r="C110" s="4">
        <v>101857.79</v>
      </c>
      <c r="D110" s="4">
        <v>101857.79</v>
      </c>
      <c r="E110" s="4">
        <v>0</v>
      </c>
      <c r="F110" s="3" t="s">
        <v>6</v>
      </c>
      <c r="G110" s="3" t="e">
        <f>VLOOKUP(B110,'Profit &amp; Loss'!$B$3:$C$390,2,0)</f>
        <v>#N/A</v>
      </c>
    </row>
    <row r="111" spans="1:7" x14ac:dyDescent="0.2">
      <c r="A111" s="3" t="s">
        <v>100</v>
      </c>
      <c r="B111" s="3" t="s">
        <v>102</v>
      </c>
      <c r="C111" s="4">
        <v>-105437.16</v>
      </c>
      <c r="D111" s="4">
        <v>-104888.75</v>
      </c>
      <c r="E111" s="4">
        <v>-548.41</v>
      </c>
      <c r="F111" s="3" t="s">
        <v>887</v>
      </c>
      <c r="G111" s="3" t="e">
        <f>VLOOKUP(B111,'Profit &amp; Loss'!$B$3:$C$390,2,0)</f>
        <v>#N/A</v>
      </c>
    </row>
    <row r="112" spans="1:7" x14ac:dyDescent="0.2">
      <c r="A112" s="3" t="s">
        <v>100</v>
      </c>
      <c r="B112" s="3" t="s">
        <v>981</v>
      </c>
      <c r="C112" s="4">
        <v>-101857.79</v>
      </c>
      <c r="D112" s="4">
        <v>-101857.79</v>
      </c>
      <c r="E112" s="4">
        <v>0</v>
      </c>
      <c r="F112" s="3" t="s">
        <v>6</v>
      </c>
      <c r="G112" s="3" t="e">
        <f>VLOOKUP(B112,'Profit &amp; Loss'!$B$3:$C$390,2,0)</f>
        <v>#N/A</v>
      </c>
    </row>
    <row r="113" spans="1:7" x14ac:dyDescent="0.2">
      <c r="A113" s="3" t="s">
        <v>100</v>
      </c>
      <c r="B113" s="3" t="s">
        <v>2</v>
      </c>
      <c r="C113" s="4">
        <v>16268.58</v>
      </c>
      <c r="D113" s="4">
        <v>16241.42</v>
      </c>
      <c r="E113" s="4">
        <v>27.16</v>
      </c>
      <c r="F113" s="3" t="s">
        <v>488</v>
      </c>
      <c r="G113" s="3" t="e">
        <f>VLOOKUP(B113,'Profit &amp; Loss'!$B$3:$C$390,2,0)</f>
        <v>#N/A</v>
      </c>
    </row>
    <row r="114" spans="1:7" x14ac:dyDescent="0.2">
      <c r="A114" s="3" t="s">
        <v>103</v>
      </c>
      <c r="B114" s="3" t="s">
        <v>2</v>
      </c>
      <c r="C114" s="4">
        <v>10866705.060000001</v>
      </c>
      <c r="D114" s="4">
        <v>9013612.1500000004</v>
      </c>
      <c r="E114" s="4">
        <v>1853092.91</v>
      </c>
      <c r="F114" s="3" t="s">
        <v>916</v>
      </c>
      <c r="G114" s="3" t="e">
        <f>VLOOKUP(B114,'Profit &amp; Loss'!$B$3:$C$390,2,0)</f>
        <v>#N/A</v>
      </c>
    </row>
    <row r="115" spans="1:7" x14ac:dyDescent="0.2">
      <c r="A115" s="3" t="s">
        <v>104</v>
      </c>
      <c r="B115" s="3" t="s">
        <v>105</v>
      </c>
      <c r="C115" s="4">
        <v>2113106.6</v>
      </c>
      <c r="D115" s="4">
        <v>2113106.6</v>
      </c>
      <c r="E115" s="4">
        <v>0</v>
      </c>
      <c r="F115" s="3" t="s">
        <v>6</v>
      </c>
      <c r="G115" s="3" t="e">
        <f>VLOOKUP(B115,'Profit &amp; Loss'!$B$3:$C$390,2,0)</f>
        <v>#N/A</v>
      </c>
    </row>
    <row r="116" spans="1:7" x14ac:dyDescent="0.2">
      <c r="A116" s="3" t="s">
        <v>104</v>
      </c>
      <c r="B116" s="3" t="s">
        <v>106</v>
      </c>
      <c r="C116" s="4">
        <v>678752.24</v>
      </c>
      <c r="D116" s="4">
        <v>678752.24</v>
      </c>
      <c r="E116" s="4">
        <v>0</v>
      </c>
      <c r="F116" s="3" t="s">
        <v>6</v>
      </c>
      <c r="G116" s="3" t="e">
        <f>VLOOKUP(B116,'Profit &amp; Loss'!$B$3:$C$390,2,0)</f>
        <v>#N/A</v>
      </c>
    </row>
    <row r="117" spans="1:7" x14ac:dyDescent="0.2">
      <c r="A117" s="3" t="s">
        <v>104</v>
      </c>
      <c r="B117" s="3" t="s">
        <v>107</v>
      </c>
      <c r="C117" s="4">
        <v>-2113106.6</v>
      </c>
      <c r="D117" s="4">
        <v>-2113106.6</v>
      </c>
      <c r="E117" s="4">
        <v>0</v>
      </c>
      <c r="F117" s="3" t="s">
        <v>6</v>
      </c>
      <c r="G117" s="3" t="e">
        <f>VLOOKUP(B117,'Profit &amp; Loss'!$B$3:$C$390,2,0)</f>
        <v>#N/A</v>
      </c>
    </row>
    <row r="118" spans="1:7" x14ac:dyDescent="0.2">
      <c r="A118" s="3" t="s">
        <v>104</v>
      </c>
      <c r="B118" s="3" t="s">
        <v>108</v>
      </c>
      <c r="C118" s="4">
        <v>-553008.38</v>
      </c>
      <c r="D118" s="4">
        <v>-545163.59</v>
      </c>
      <c r="E118" s="4">
        <v>-7844.79</v>
      </c>
      <c r="F118" s="3" t="s">
        <v>630</v>
      </c>
      <c r="G118" s="3" t="e">
        <f>VLOOKUP(B118,'Profit &amp; Loss'!$B$3:$C$390,2,0)</f>
        <v>#N/A</v>
      </c>
    </row>
    <row r="119" spans="1:7" x14ac:dyDescent="0.2">
      <c r="A119" s="3" t="s">
        <v>104</v>
      </c>
      <c r="B119" s="3" t="s">
        <v>109</v>
      </c>
      <c r="C119" s="4">
        <v>-80257.42</v>
      </c>
      <c r="D119" s="4">
        <v>-80257.42</v>
      </c>
      <c r="E119" s="4">
        <v>0</v>
      </c>
      <c r="F119" s="3" t="s">
        <v>6</v>
      </c>
      <c r="G119" s="3" t="e">
        <f>VLOOKUP(B119,'Profit &amp; Loss'!$B$3:$C$390,2,0)</f>
        <v>#N/A</v>
      </c>
    </row>
    <row r="120" spans="1:7" x14ac:dyDescent="0.2">
      <c r="A120" s="3" t="s">
        <v>104</v>
      </c>
      <c r="B120" s="3" t="s">
        <v>110</v>
      </c>
      <c r="C120" s="4">
        <v>11976.55</v>
      </c>
      <c r="D120" s="4">
        <v>12094.41</v>
      </c>
      <c r="E120" s="4">
        <v>-117.86</v>
      </c>
      <c r="F120" s="3" t="s">
        <v>503</v>
      </c>
      <c r="G120" s="3" t="e">
        <f>VLOOKUP(B120,'Profit &amp; Loss'!$B$3:$C$390,2,0)</f>
        <v>#N/A</v>
      </c>
    </row>
    <row r="121" spans="1:7" x14ac:dyDescent="0.2">
      <c r="A121" s="3" t="s">
        <v>104</v>
      </c>
      <c r="B121" s="3" t="s">
        <v>2</v>
      </c>
      <c r="C121" s="4">
        <v>57462.99</v>
      </c>
      <c r="D121" s="4">
        <v>65425.64</v>
      </c>
      <c r="E121" s="4">
        <v>-7962.65</v>
      </c>
      <c r="F121" s="3" t="s">
        <v>634</v>
      </c>
      <c r="G121" s="3" t="e">
        <f>VLOOKUP(B121,'Profit &amp; Loss'!$B$3:$C$390,2,0)</f>
        <v>#N/A</v>
      </c>
    </row>
    <row r="122" spans="1:7" x14ac:dyDescent="0.2">
      <c r="A122" s="3" t="s">
        <v>112</v>
      </c>
      <c r="B122" s="3" t="s">
        <v>2</v>
      </c>
      <c r="C122" s="4">
        <v>57462.99</v>
      </c>
      <c r="D122" s="4">
        <v>65425.64</v>
      </c>
      <c r="E122" s="4">
        <v>-7962.65</v>
      </c>
      <c r="F122" s="3" t="s">
        <v>634</v>
      </c>
      <c r="G122" s="3" t="e">
        <f>VLOOKUP(B122,'Profit &amp; Loss'!$B$3:$C$390,2,0)</f>
        <v>#N/A</v>
      </c>
    </row>
    <row r="123" spans="1:7" x14ac:dyDescent="0.2">
      <c r="A123" s="3" t="s">
        <v>0</v>
      </c>
      <c r="B123" s="3" t="s">
        <v>113</v>
      </c>
      <c r="C123" s="4">
        <v>44566168.850000001</v>
      </c>
      <c r="D123" s="4">
        <v>41038110.219999999</v>
      </c>
      <c r="E123" s="4">
        <v>3528058.63</v>
      </c>
      <c r="F123" s="3" t="s">
        <v>899</v>
      </c>
      <c r="G123" s="3" t="e">
        <f>VLOOKUP(B123,'Profit &amp; Loss'!$B$3:$C$390,2,0)</f>
        <v>#N/A</v>
      </c>
    </row>
    <row r="124" spans="1:7" x14ac:dyDescent="0.2">
      <c r="A124" s="3" t="s">
        <v>0</v>
      </c>
      <c r="B124" s="5" t="s">
        <v>114</v>
      </c>
      <c r="C124" s="4">
        <v>0</v>
      </c>
      <c r="D124" s="4">
        <v>0</v>
      </c>
      <c r="E124" s="4">
        <v>0</v>
      </c>
      <c r="F124" s="3" t="s">
        <v>2</v>
      </c>
      <c r="G124" s="3" t="e">
        <f>VLOOKUP(B124,'Profit &amp; Loss'!$B$3:$C$390,2,0)</f>
        <v>#N/A</v>
      </c>
    </row>
    <row r="125" spans="1:7" x14ac:dyDescent="0.2">
      <c r="A125" s="3" t="s">
        <v>115</v>
      </c>
      <c r="B125" s="3" t="s">
        <v>116</v>
      </c>
      <c r="C125" s="4">
        <v>0</v>
      </c>
      <c r="D125" s="4">
        <v>0</v>
      </c>
      <c r="E125" s="4">
        <v>0</v>
      </c>
      <c r="F125" s="3" t="s">
        <v>2</v>
      </c>
      <c r="G125" s="3" t="e">
        <f>VLOOKUP(B125,'Profit &amp; Loss'!$B$3:$C$390,2,0)</f>
        <v>#N/A</v>
      </c>
    </row>
    <row r="126" spans="1:7" x14ac:dyDescent="0.2">
      <c r="A126" s="3" t="s">
        <v>115</v>
      </c>
      <c r="B126" s="5" t="s">
        <v>117</v>
      </c>
      <c r="C126" s="4">
        <v>0</v>
      </c>
      <c r="D126" s="4">
        <v>0</v>
      </c>
      <c r="E126" s="4">
        <v>0</v>
      </c>
      <c r="F126" s="3" t="s">
        <v>2</v>
      </c>
      <c r="G126" s="3" t="e">
        <f>VLOOKUP(B126,'Profit &amp; Loss'!$B$3:$C$390,2,0)</f>
        <v>#N/A</v>
      </c>
    </row>
    <row r="127" spans="1:7" x14ac:dyDescent="0.2">
      <c r="A127" s="3" t="s">
        <v>118</v>
      </c>
      <c r="B127" s="3" t="s">
        <v>119</v>
      </c>
      <c r="C127" s="4">
        <v>-62903.3</v>
      </c>
      <c r="D127" s="4">
        <v>-30942.94</v>
      </c>
      <c r="E127" s="4">
        <v>-31960.36</v>
      </c>
      <c r="F127" s="3" t="s">
        <v>1190</v>
      </c>
      <c r="G127" s="3" t="e">
        <f>VLOOKUP(B127,'Profit &amp; Loss'!$B$3:$C$390,2,0)</f>
        <v>#N/A</v>
      </c>
    </row>
    <row r="128" spans="1:7" x14ac:dyDescent="0.2">
      <c r="A128" s="3" t="s">
        <v>118</v>
      </c>
      <c r="B128" s="3" t="s">
        <v>120</v>
      </c>
      <c r="C128" s="4">
        <v>-5.27</v>
      </c>
      <c r="D128" s="4">
        <v>72.56</v>
      </c>
      <c r="E128" s="4">
        <v>-77.83</v>
      </c>
      <c r="F128" s="3" t="s">
        <v>1191</v>
      </c>
      <c r="G128" s="3" t="e">
        <f>VLOOKUP(B128,'Profit &amp; Loss'!$B$3:$C$390,2,0)</f>
        <v>#N/A</v>
      </c>
    </row>
    <row r="129" spans="1:7" x14ac:dyDescent="0.2">
      <c r="A129" s="3" t="s">
        <v>118</v>
      </c>
      <c r="B129" s="3" t="s">
        <v>984</v>
      </c>
      <c r="C129" s="4">
        <v>-995</v>
      </c>
      <c r="D129" s="4">
        <v>-945</v>
      </c>
      <c r="E129" s="4">
        <v>-50</v>
      </c>
      <c r="F129" s="3" t="s">
        <v>600</v>
      </c>
      <c r="G129" s="3" t="e">
        <f>VLOOKUP(B129,'Profit &amp; Loss'!$B$3:$C$390,2,0)</f>
        <v>#N/A</v>
      </c>
    </row>
    <row r="130" spans="1:7" x14ac:dyDescent="0.2">
      <c r="A130" s="3" t="s">
        <v>118</v>
      </c>
      <c r="B130" s="3" t="s">
        <v>2</v>
      </c>
      <c r="C130" s="4">
        <v>-63903.57</v>
      </c>
      <c r="D130" s="4">
        <v>-31815.38</v>
      </c>
      <c r="E130" s="4">
        <v>-32088.19</v>
      </c>
      <c r="F130" s="3" t="s">
        <v>1192</v>
      </c>
      <c r="G130" s="3" t="e">
        <f>VLOOKUP(B130,'Profit &amp; Loss'!$B$3:$C$390,2,0)</f>
        <v>#N/A</v>
      </c>
    </row>
    <row r="131" spans="1:7" x14ac:dyDescent="0.2">
      <c r="A131" s="3" t="s">
        <v>121</v>
      </c>
      <c r="B131" s="3" t="s">
        <v>2</v>
      </c>
      <c r="C131" s="4">
        <v>-63903.57</v>
      </c>
      <c r="D131" s="4">
        <v>-31815.38</v>
      </c>
      <c r="E131" s="4">
        <v>-32088.19</v>
      </c>
      <c r="F131" s="3" t="s">
        <v>1192</v>
      </c>
      <c r="G131" s="3" t="e">
        <f>VLOOKUP(B131,'Profit &amp; Loss'!$B$3:$C$390,2,0)</f>
        <v>#N/A</v>
      </c>
    </row>
    <row r="132" spans="1:7" x14ac:dyDescent="0.2">
      <c r="A132" s="3" t="s">
        <v>122</v>
      </c>
      <c r="B132" s="3" t="s">
        <v>123</v>
      </c>
      <c r="C132" s="4">
        <v>-432528.62</v>
      </c>
      <c r="D132" s="4">
        <v>-355949.7</v>
      </c>
      <c r="E132" s="4">
        <v>-76578.92</v>
      </c>
      <c r="F132" s="3" t="s">
        <v>744</v>
      </c>
      <c r="G132" s="3" t="e">
        <f>VLOOKUP(B132,'Profit &amp; Loss'!$B$3:$C$390,2,0)</f>
        <v>#N/A</v>
      </c>
    </row>
    <row r="133" spans="1:7" x14ac:dyDescent="0.2">
      <c r="A133" s="3" t="s">
        <v>122</v>
      </c>
      <c r="B133" s="3" t="s">
        <v>124</v>
      </c>
      <c r="C133" s="4">
        <v>-213.11</v>
      </c>
      <c r="D133" s="4">
        <v>464.02</v>
      </c>
      <c r="E133" s="4">
        <v>-677.13</v>
      </c>
      <c r="F133" s="3" t="s">
        <v>1193</v>
      </c>
      <c r="G133" s="3" t="e">
        <f>VLOOKUP(B133,'Profit &amp; Loss'!$B$3:$C$390,2,0)</f>
        <v>#N/A</v>
      </c>
    </row>
    <row r="134" spans="1:7" x14ac:dyDescent="0.2">
      <c r="A134" s="3" t="s">
        <v>122</v>
      </c>
      <c r="B134" s="3" t="s">
        <v>126</v>
      </c>
      <c r="C134" s="4">
        <v>2939732.1</v>
      </c>
      <c r="D134" s="4">
        <v>2477245.27</v>
      </c>
      <c r="E134" s="4">
        <v>462486.83</v>
      </c>
      <c r="F134" s="3" t="s">
        <v>802</v>
      </c>
      <c r="G134" s="3" t="e">
        <f>VLOOKUP(B134,'Profit &amp; Loss'!$B$3:$C$390,2,0)</f>
        <v>#N/A</v>
      </c>
    </row>
    <row r="135" spans="1:7" x14ac:dyDescent="0.2">
      <c r="A135" s="3" t="s">
        <v>122</v>
      </c>
      <c r="B135" s="3" t="s">
        <v>127</v>
      </c>
      <c r="C135" s="4">
        <v>3886.59</v>
      </c>
      <c r="D135" s="4">
        <v>2635.96</v>
      </c>
      <c r="E135" s="4">
        <v>1250.6300000000001</v>
      </c>
      <c r="F135" s="3" t="s">
        <v>1194</v>
      </c>
      <c r="G135" s="3" t="e">
        <f>VLOOKUP(B135,'Profit &amp; Loss'!$B$3:$C$390,2,0)</f>
        <v>#N/A</v>
      </c>
    </row>
    <row r="136" spans="1:7" x14ac:dyDescent="0.2">
      <c r="A136" s="3" t="s">
        <v>122</v>
      </c>
      <c r="B136" s="3" t="s">
        <v>128</v>
      </c>
      <c r="C136" s="4">
        <v>42389.56</v>
      </c>
      <c r="D136" s="4">
        <v>26875.75</v>
      </c>
      <c r="E136" s="4">
        <v>15513.81</v>
      </c>
      <c r="F136" s="3" t="s">
        <v>1195</v>
      </c>
      <c r="G136" s="3" t="e">
        <f>VLOOKUP(B136,'Profit &amp; Loss'!$B$3:$C$390,2,0)</f>
        <v>#N/A</v>
      </c>
    </row>
    <row r="137" spans="1:7" x14ac:dyDescent="0.2">
      <c r="A137" s="3" t="s">
        <v>122</v>
      </c>
      <c r="B137" s="3" t="s">
        <v>129</v>
      </c>
      <c r="C137" s="4">
        <v>-2939732.1</v>
      </c>
      <c r="D137" s="4">
        <v>-2477245.27</v>
      </c>
      <c r="E137" s="4">
        <v>-462486.83</v>
      </c>
      <c r="F137" s="3" t="s">
        <v>1196</v>
      </c>
      <c r="G137" s="3" t="e">
        <f>VLOOKUP(B137,'Profit &amp; Loss'!$B$3:$C$390,2,0)</f>
        <v>#N/A</v>
      </c>
    </row>
    <row r="138" spans="1:7" x14ac:dyDescent="0.2">
      <c r="A138" s="3" t="s">
        <v>122</v>
      </c>
      <c r="B138" s="3" t="s">
        <v>130</v>
      </c>
      <c r="C138" s="4">
        <v>-3886.59</v>
      </c>
      <c r="D138" s="4">
        <v>-2635.96</v>
      </c>
      <c r="E138" s="4">
        <v>-1250.6300000000001</v>
      </c>
      <c r="F138" s="3" t="s">
        <v>1197</v>
      </c>
      <c r="G138" s="3" t="e">
        <f>VLOOKUP(B138,'Profit &amp; Loss'!$B$3:$C$390,2,0)</f>
        <v>#N/A</v>
      </c>
    </row>
    <row r="139" spans="1:7" x14ac:dyDescent="0.2">
      <c r="A139" s="3" t="s">
        <v>122</v>
      </c>
      <c r="B139" s="3" t="s">
        <v>131</v>
      </c>
      <c r="C139" s="4">
        <v>-42389.56</v>
      </c>
      <c r="D139" s="4">
        <v>-26875.75</v>
      </c>
      <c r="E139" s="4">
        <v>-15513.81</v>
      </c>
      <c r="F139" s="3" t="s">
        <v>1198</v>
      </c>
      <c r="G139" s="3" t="e">
        <f>VLOOKUP(B139,'Profit &amp; Loss'!$B$3:$C$390,2,0)</f>
        <v>#N/A</v>
      </c>
    </row>
    <row r="140" spans="1:7" x14ac:dyDescent="0.2">
      <c r="A140" s="3" t="s">
        <v>122</v>
      </c>
      <c r="B140" s="3" t="s">
        <v>132</v>
      </c>
      <c r="C140" s="4">
        <v>-46244.92</v>
      </c>
      <c r="D140" s="4">
        <v>-11474.76</v>
      </c>
      <c r="E140" s="4">
        <v>-34770.160000000003</v>
      </c>
      <c r="F140" s="3" t="s">
        <v>1199</v>
      </c>
      <c r="G140" s="3" t="e">
        <f>VLOOKUP(B140,'Profit &amp; Loss'!$B$3:$C$390,2,0)</f>
        <v>#N/A</v>
      </c>
    </row>
    <row r="141" spans="1:7" x14ac:dyDescent="0.2">
      <c r="A141" s="3" t="s">
        <v>122</v>
      </c>
      <c r="B141" s="3" t="s">
        <v>133</v>
      </c>
      <c r="C141" s="4">
        <v>46244.92</v>
      </c>
      <c r="D141" s="4">
        <v>11474.76</v>
      </c>
      <c r="E141" s="4">
        <v>34770.160000000003</v>
      </c>
      <c r="F141" s="3" t="s">
        <v>1200</v>
      </c>
      <c r="G141" s="3" t="e">
        <f>VLOOKUP(B141,'Profit &amp; Loss'!$B$3:$C$390,2,0)</f>
        <v>#N/A</v>
      </c>
    </row>
    <row r="142" spans="1:7" x14ac:dyDescent="0.2">
      <c r="A142" s="3" t="s">
        <v>122</v>
      </c>
      <c r="B142" s="3" t="s">
        <v>134</v>
      </c>
      <c r="C142" s="4">
        <v>-3979.65</v>
      </c>
      <c r="D142" s="4">
        <v>-5281.09</v>
      </c>
      <c r="E142" s="4">
        <v>1301.44</v>
      </c>
      <c r="F142" s="3" t="s">
        <v>868</v>
      </c>
      <c r="G142" s="3" t="e">
        <f>VLOOKUP(B142,'Profit &amp; Loss'!$B$3:$C$390,2,0)</f>
        <v>#N/A</v>
      </c>
    </row>
    <row r="143" spans="1:7" x14ac:dyDescent="0.2">
      <c r="A143" s="3" t="s">
        <v>122</v>
      </c>
      <c r="B143" s="3" t="s">
        <v>135</v>
      </c>
      <c r="C143" s="4">
        <v>3979.65</v>
      </c>
      <c r="D143" s="4">
        <v>5281.09</v>
      </c>
      <c r="E143" s="4">
        <v>-1301.44</v>
      </c>
      <c r="F143" s="3" t="s">
        <v>1201</v>
      </c>
      <c r="G143" s="3" t="e">
        <f>VLOOKUP(B143,'Profit &amp; Loss'!$B$3:$C$390,2,0)</f>
        <v>#N/A</v>
      </c>
    </row>
    <row r="144" spans="1:7" x14ac:dyDescent="0.2">
      <c r="A144" s="3" t="s">
        <v>122</v>
      </c>
      <c r="B144" s="3" t="s">
        <v>136</v>
      </c>
      <c r="C144" s="4">
        <v>-17940.939999999999</v>
      </c>
      <c r="D144" s="4">
        <v>-24849.07</v>
      </c>
      <c r="E144" s="4">
        <v>6908.13</v>
      </c>
      <c r="F144" s="3" t="s">
        <v>791</v>
      </c>
      <c r="G144" s="3" t="e">
        <f>VLOOKUP(B144,'Profit &amp; Loss'!$B$3:$C$390,2,0)</f>
        <v>#N/A</v>
      </c>
    </row>
    <row r="145" spans="1:7" x14ac:dyDescent="0.2">
      <c r="A145" s="3" t="s">
        <v>122</v>
      </c>
      <c r="B145" s="3" t="s">
        <v>137</v>
      </c>
      <c r="C145" s="4">
        <v>17940.939999999999</v>
      </c>
      <c r="D145" s="4">
        <v>24849.07</v>
      </c>
      <c r="E145" s="4">
        <v>-6908.13</v>
      </c>
      <c r="F145" s="3" t="s">
        <v>1202</v>
      </c>
      <c r="G145" s="3" t="e">
        <f>VLOOKUP(B145,'Profit &amp; Loss'!$B$3:$C$390,2,0)</f>
        <v>#N/A</v>
      </c>
    </row>
    <row r="146" spans="1:7" x14ac:dyDescent="0.2">
      <c r="A146" s="3" t="s">
        <v>122</v>
      </c>
      <c r="B146" s="3" t="s">
        <v>138</v>
      </c>
      <c r="C146" s="4">
        <v>-1561.22</v>
      </c>
      <c r="D146" s="4">
        <v>-4383.26</v>
      </c>
      <c r="E146" s="4">
        <v>2822.04</v>
      </c>
      <c r="F146" s="3" t="s">
        <v>731</v>
      </c>
      <c r="G146" s="3" t="e">
        <f>VLOOKUP(B146,'Profit &amp; Loss'!$B$3:$C$390,2,0)</f>
        <v>#N/A</v>
      </c>
    </row>
    <row r="147" spans="1:7" x14ac:dyDescent="0.2">
      <c r="A147" s="3" t="s">
        <v>122</v>
      </c>
      <c r="B147" s="3" t="s">
        <v>139</v>
      </c>
      <c r="C147" s="4">
        <v>1561.22</v>
      </c>
      <c r="D147" s="4">
        <v>4383.26</v>
      </c>
      <c r="E147" s="4">
        <v>-2822.04</v>
      </c>
      <c r="F147" s="3" t="s">
        <v>1203</v>
      </c>
      <c r="G147" s="3" t="e">
        <f>VLOOKUP(B147,'Profit &amp; Loss'!$B$3:$C$390,2,0)</f>
        <v>#N/A</v>
      </c>
    </row>
    <row r="148" spans="1:7" x14ac:dyDescent="0.2">
      <c r="A148" s="3" t="s">
        <v>122</v>
      </c>
      <c r="B148" s="3" t="s">
        <v>985</v>
      </c>
      <c r="C148" s="4">
        <v>-2043.18</v>
      </c>
      <c r="D148" s="4">
        <v>-473.65</v>
      </c>
      <c r="E148" s="4">
        <v>-1569.53</v>
      </c>
      <c r="F148" s="3" t="s">
        <v>1204</v>
      </c>
      <c r="G148" s="3" t="e">
        <f>VLOOKUP(B148,'Profit &amp; Loss'!$B$3:$C$390,2,0)</f>
        <v>#N/A</v>
      </c>
    </row>
    <row r="149" spans="1:7" x14ac:dyDescent="0.2">
      <c r="A149" s="3" t="s">
        <v>122</v>
      </c>
      <c r="B149" s="3" t="s">
        <v>986</v>
      </c>
      <c r="C149" s="4">
        <v>2043.18</v>
      </c>
      <c r="D149" s="4">
        <v>473.65</v>
      </c>
      <c r="E149" s="4">
        <v>1569.53</v>
      </c>
      <c r="F149" s="3" t="s">
        <v>1205</v>
      </c>
      <c r="G149" s="3" t="e">
        <f>VLOOKUP(B149,'Profit &amp; Loss'!$B$3:$C$390,2,0)</f>
        <v>#N/A</v>
      </c>
    </row>
    <row r="150" spans="1:7" x14ac:dyDescent="0.2">
      <c r="A150" s="3" t="s">
        <v>122</v>
      </c>
      <c r="B150" s="3" t="s">
        <v>140</v>
      </c>
      <c r="C150" s="4">
        <v>-95178.6</v>
      </c>
      <c r="D150" s="4">
        <v>-34463.910000000003</v>
      </c>
      <c r="E150" s="4">
        <v>-60714.69</v>
      </c>
      <c r="F150" s="3" t="s">
        <v>1206</v>
      </c>
      <c r="G150" s="3" t="e">
        <f>VLOOKUP(B150,'Profit &amp; Loss'!$B$3:$C$390,2,0)</f>
        <v>#N/A</v>
      </c>
    </row>
    <row r="151" spans="1:7" x14ac:dyDescent="0.2">
      <c r="A151" s="3" t="s">
        <v>122</v>
      </c>
      <c r="B151" s="3" t="s">
        <v>141</v>
      </c>
      <c r="C151" s="4">
        <v>95178.6</v>
      </c>
      <c r="D151" s="4">
        <v>34463.910000000003</v>
      </c>
      <c r="E151" s="4">
        <v>60714.69</v>
      </c>
      <c r="F151" s="3" t="s">
        <v>1207</v>
      </c>
      <c r="G151" s="3" t="e">
        <f>VLOOKUP(B151,'Profit &amp; Loss'!$B$3:$C$390,2,0)</f>
        <v>#N/A</v>
      </c>
    </row>
    <row r="152" spans="1:7" x14ac:dyDescent="0.2">
      <c r="A152" s="3" t="s">
        <v>122</v>
      </c>
      <c r="B152" s="3" t="s">
        <v>142</v>
      </c>
      <c r="C152" s="4">
        <v>-60400.65</v>
      </c>
      <c r="D152" s="4">
        <v>-51523.44</v>
      </c>
      <c r="E152" s="4">
        <v>-8877.2099999999991</v>
      </c>
      <c r="F152" s="3" t="s">
        <v>511</v>
      </c>
      <c r="G152" s="3" t="e">
        <f>VLOOKUP(B152,'Profit &amp; Loss'!$B$3:$C$390,2,0)</f>
        <v>#N/A</v>
      </c>
    </row>
    <row r="153" spans="1:7" x14ac:dyDescent="0.2">
      <c r="A153" s="3" t="s">
        <v>122</v>
      </c>
      <c r="B153" s="3" t="s">
        <v>143</v>
      </c>
      <c r="C153" s="4">
        <v>59566.16</v>
      </c>
      <c r="D153" s="4">
        <v>61267.86</v>
      </c>
      <c r="E153" s="4">
        <v>-1701.7</v>
      </c>
      <c r="F153" s="3" t="s">
        <v>505</v>
      </c>
      <c r="G153" s="3" t="e">
        <f>VLOOKUP(B153,'Profit &amp; Loss'!$B$3:$C$390,2,0)</f>
        <v>#N/A</v>
      </c>
    </row>
    <row r="154" spans="1:7" x14ac:dyDescent="0.2">
      <c r="A154" s="3" t="s">
        <v>122</v>
      </c>
      <c r="B154" s="3" t="s">
        <v>144</v>
      </c>
      <c r="C154" s="4">
        <v>176731.45</v>
      </c>
      <c r="D154" s="4">
        <v>176731.45</v>
      </c>
      <c r="E154" s="4">
        <v>0</v>
      </c>
      <c r="F154" s="3" t="s">
        <v>6</v>
      </c>
      <c r="G154" s="3" t="e">
        <f>VLOOKUP(B154,'Profit &amp; Loss'!$B$3:$C$390,2,0)</f>
        <v>#N/A</v>
      </c>
    </row>
    <row r="155" spans="1:7" x14ac:dyDescent="0.2">
      <c r="A155" s="3" t="s">
        <v>122</v>
      </c>
      <c r="B155" s="3" t="s">
        <v>145</v>
      </c>
      <c r="C155" s="4">
        <v>-0.48</v>
      </c>
      <c r="D155" s="4">
        <v>4790.5200000000004</v>
      </c>
      <c r="E155" s="4">
        <v>-4791</v>
      </c>
      <c r="F155" s="3" t="s">
        <v>475</v>
      </c>
      <c r="G155" s="3" t="e">
        <f>VLOOKUP(B155,'Profit &amp; Loss'!$B$3:$C$390,2,0)</f>
        <v>#N/A</v>
      </c>
    </row>
    <row r="156" spans="1:7" x14ac:dyDescent="0.2">
      <c r="A156" s="3" t="s">
        <v>122</v>
      </c>
      <c r="B156" s="3" t="s">
        <v>146</v>
      </c>
      <c r="C156" s="4">
        <v>0.48</v>
      </c>
      <c r="D156" s="4">
        <v>-31.32</v>
      </c>
      <c r="E156" s="4">
        <v>31.8</v>
      </c>
      <c r="F156" s="3" t="s">
        <v>586</v>
      </c>
      <c r="G156" s="3" t="e">
        <f>VLOOKUP(B156,'Profit &amp; Loss'!$B$3:$C$390,2,0)</f>
        <v>#N/A</v>
      </c>
    </row>
    <row r="157" spans="1:7" x14ac:dyDescent="0.2">
      <c r="A157" s="3" t="s">
        <v>122</v>
      </c>
      <c r="B157" s="3" t="s">
        <v>147</v>
      </c>
      <c r="C157" s="4">
        <v>-2527376.35</v>
      </c>
      <c r="D157" s="4">
        <v>-2525079.4700000002</v>
      </c>
      <c r="E157" s="4">
        <v>-2296.88</v>
      </c>
      <c r="F157" s="3" t="s">
        <v>625</v>
      </c>
      <c r="G157" s="3" t="e">
        <f>VLOOKUP(B157,'Profit &amp; Loss'!$B$3:$C$390,2,0)</f>
        <v>#N/A</v>
      </c>
    </row>
    <row r="158" spans="1:7" x14ac:dyDescent="0.2">
      <c r="A158" s="3" t="s">
        <v>122</v>
      </c>
      <c r="B158" s="3" t="s">
        <v>2</v>
      </c>
      <c r="C158" s="4">
        <v>-2784221.12</v>
      </c>
      <c r="D158" s="4">
        <v>-2689330.08</v>
      </c>
      <c r="E158" s="4">
        <v>-94891.04</v>
      </c>
      <c r="F158" s="3" t="s">
        <v>730</v>
      </c>
      <c r="G158" s="3" t="e">
        <f>VLOOKUP(B158,'Profit &amp; Loss'!$B$3:$C$390,2,0)</f>
        <v>#N/A</v>
      </c>
    </row>
    <row r="159" spans="1:7" x14ac:dyDescent="0.2">
      <c r="A159" s="3" t="s">
        <v>148</v>
      </c>
      <c r="B159" s="3" t="s">
        <v>2</v>
      </c>
      <c r="C159" s="4">
        <v>-2784221.12</v>
      </c>
      <c r="D159" s="4">
        <v>-2689330.08</v>
      </c>
      <c r="E159" s="4">
        <v>-94891.04</v>
      </c>
      <c r="F159" s="3" t="s">
        <v>730</v>
      </c>
      <c r="G159" s="3" t="e">
        <f>VLOOKUP(B159,'Profit &amp; Loss'!$B$3:$C$390,2,0)</f>
        <v>#N/A</v>
      </c>
    </row>
    <row r="160" spans="1:7" x14ac:dyDescent="0.2">
      <c r="A160" s="3" t="s">
        <v>149</v>
      </c>
      <c r="B160" s="3" t="s">
        <v>150</v>
      </c>
      <c r="C160" s="4">
        <v>108.76</v>
      </c>
      <c r="D160" s="4">
        <v>108.76</v>
      </c>
      <c r="E160" s="4">
        <v>0</v>
      </c>
      <c r="F160" s="3" t="s">
        <v>6</v>
      </c>
      <c r="G160" s="3" t="e">
        <f>VLOOKUP(B160,'Profit &amp; Loss'!$B$3:$C$390,2,0)</f>
        <v>#N/A</v>
      </c>
    </row>
    <row r="161" spans="1:7" x14ac:dyDescent="0.2">
      <c r="A161" s="3" t="s">
        <v>149</v>
      </c>
      <c r="B161" s="3" t="s">
        <v>151</v>
      </c>
      <c r="C161" s="4">
        <v>-627.17999999999995</v>
      </c>
      <c r="D161" s="4">
        <v>-324.48</v>
      </c>
      <c r="E161" s="4">
        <v>-302.7</v>
      </c>
      <c r="F161" s="3" t="s">
        <v>1208</v>
      </c>
      <c r="G161" s="3" t="e">
        <f>VLOOKUP(B161,'Profit &amp; Loss'!$B$3:$C$390,2,0)</f>
        <v>#N/A</v>
      </c>
    </row>
    <row r="162" spans="1:7" x14ac:dyDescent="0.2">
      <c r="A162" s="3" t="s">
        <v>149</v>
      </c>
      <c r="B162" s="3" t="s">
        <v>152</v>
      </c>
      <c r="C162" s="4">
        <v>4855.91</v>
      </c>
      <c r="D162" s="4">
        <v>4855.91</v>
      </c>
      <c r="E162" s="4">
        <v>0</v>
      </c>
      <c r="F162" s="3" t="s">
        <v>6</v>
      </c>
      <c r="G162" s="3" t="e">
        <f>VLOOKUP(B162,'Profit &amp; Loss'!$B$3:$C$390,2,0)</f>
        <v>#N/A</v>
      </c>
    </row>
    <row r="163" spans="1:7" x14ac:dyDescent="0.2">
      <c r="A163" s="3" t="s">
        <v>149</v>
      </c>
      <c r="B163" s="3" t="s">
        <v>153</v>
      </c>
      <c r="C163" s="4">
        <v>-248.8</v>
      </c>
      <c r="D163" s="4">
        <v>-248.8</v>
      </c>
      <c r="E163" s="4">
        <v>0</v>
      </c>
      <c r="F163" s="3" t="s">
        <v>6</v>
      </c>
      <c r="G163" s="3" t="e">
        <f>VLOOKUP(B163,'Profit &amp; Loss'!$B$3:$C$390,2,0)</f>
        <v>#N/A</v>
      </c>
    </row>
    <row r="164" spans="1:7" x14ac:dyDescent="0.2">
      <c r="A164" s="3" t="s">
        <v>149</v>
      </c>
      <c r="B164" s="3" t="s">
        <v>154</v>
      </c>
      <c r="C164" s="4">
        <v>-2212.33</v>
      </c>
      <c r="D164" s="4">
        <v>-1855.06</v>
      </c>
      <c r="E164" s="4">
        <v>-357.27</v>
      </c>
      <c r="F164" s="3" t="s">
        <v>761</v>
      </c>
      <c r="G164" s="3" t="e">
        <f>VLOOKUP(B164,'Profit &amp; Loss'!$B$3:$C$390,2,0)</f>
        <v>#N/A</v>
      </c>
    </row>
    <row r="165" spans="1:7" x14ac:dyDescent="0.2">
      <c r="A165" s="3" t="s">
        <v>149</v>
      </c>
      <c r="B165" s="3" t="s">
        <v>2</v>
      </c>
      <c r="C165" s="4">
        <v>1876.36</v>
      </c>
      <c r="D165" s="4">
        <v>2536.33</v>
      </c>
      <c r="E165" s="4">
        <v>-659.97</v>
      </c>
      <c r="F165" s="3" t="s">
        <v>1025</v>
      </c>
      <c r="G165" s="3" t="e">
        <f>VLOOKUP(B165,'Profit &amp; Loss'!$B$3:$C$390,2,0)</f>
        <v>#N/A</v>
      </c>
    </row>
    <row r="166" spans="1:7" x14ac:dyDescent="0.2">
      <c r="A166" s="3" t="s">
        <v>155</v>
      </c>
      <c r="B166" s="3" t="s">
        <v>2</v>
      </c>
      <c r="C166" s="4">
        <v>1876.36</v>
      </c>
      <c r="D166" s="4">
        <v>2536.33</v>
      </c>
      <c r="E166" s="4">
        <v>-659.97</v>
      </c>
      <c r="F166" s="3" t="s">
        <v>1025</v>
      </c>
      <c r="G166" s="3" t="e">
        <f>VLOOKUP(B166,'Profit &amp; Loss'!$B$3:$C$390,2,0)</f>
        <v>#N/A</v>
      </c>
    </row>
    <row r="167" spans="1:7" x14ac:dyDescent="0.2">
      <c r="A167" s="3" t="s">
        <v>156</v>
      </c>
      <c r="B167" s="3" t="s">
        <v>157</v>
      </c>
      <c r="C167" s="4">
        <v>-1534.99</v>
      </c>
      <c r="D167" s="4">
        <v>-2135.1</v>
      </c>
      <c r="E167" s="4">
        <v>600.11</v>
      </c>
      <c r="F167" s="3" t="s">
        <v>690</v>
      </c>
      <c r="G167" s="3" t="e">
        <f>VLOOKUP(B167,'Profit &amp; Loss'!$B$3:$C$390,2,0)</f>
        <v>#N/A</v>
      </c>
    </row>
    <row r="168" spans="1:7" x14ac:dyDescent="0.2">
      <c r="A168" s="3" t="s">
        <v>156</v>
      </c>
      <c r="B168" s="3" t="s">
        <v>158</v>
      </c>
      <c r="C168" s="4">
        <v>1168.55</v>
      </c>
      <c r="D168" s="4">
        <v>1168.55</v>
      </c>
      <c r="E168" s="4">
        <v>0</v>
      </c>
      <c r="F168" s="3" t="s">
        <v>6</v>
      </c>
      <c r="G168" s="3" t="e">
        <f>VLOOKUP(B168,'Profit &amp; Loss'!$B$3:$C$390,2,0)</f>
        <v>#N/A</v>
      </c>
    </row>
    <row r="169" spans="1:7" x14ac:dyDescent="0.2">
      <c r="A169" s="3" t="s">
        <v>156</v>
      </c>
      <c r="B169" s="3" t="s">
        <v>160</v>
      </c>
      <c r="C169" s="4">
        <v>-556.95000000000005</v>
      </c>
      <c r="D169" s="4">
        <v>-556.95000000000005</v>
      </c>
      <c r="E169" s="4">
        <v>0</v>
      </c>
      <c r="F169" s="3" t="s">
        <v>6</v>
      </c>
      <c r="G169" s="3" t="e">
        <f>VLOOKUP(B169,'Profit &amp; Loss'!$B$3:$C$390,2,0)</f>
        <v>#N/A</v>
      </c>
    </row>
    <row r="170" spans="1:7" x14ac:dyDescent="0.2">
      <c r="A170" s="3" t="s">
        <v>156</v>
      </c>
      <c r="B170" s="3" t="s">
        <v>161</v>
      </c>
      <c r="C170" s="4">
        <v>-4660.32</v>
      </c>
      <c r="D170" s="4">
        <v>-4935.3100000000004</v>
      </c>
      <c r="E170" s="4">
        <v>274.99</v>
      </c>
      <c r="F170" s="3" t="s">
        <v>706</v>
      </c>
      <c r="G170" s="3" t="e">
        <f>VLOOKUP(B170,'Profit &amp; Loss'!$B$3:$C$390,2,0)</f>
        <v>#N/A</v>
      </c>
    </row>
    <row r="171" spans="1:7" x14ac:dyDescent="0.2">
      <c r="A171" s="3" t="s">
        <v>156</v>
      </c>
      <c r="B171" s="3" t="s">
        <v>2</v>
      </c>
      <c r="C171" s="4">
        <v>-5583.71</v>
      </c>
      <c r="D171" s="4">
        <v>-6458.81</v>
      </c>
      <c r="E171" s="4">
        <v>875.1</v>
      </c>
      <c r="F171" s="3" t="s">
        <v>618</v>
      </c>
      <c r="G171" s="3" t="e">
        <f>VLOOKUP(B171,'Profit &amp; Loss'!$B$3:$C$390,2,0)</f>
        <v>#N/A</v>
      </c>
    </row>
    <row r="172" spans="1:7" x14ac:dyDescent="0.2">
      <c r="A172" s="3" t="s">
        <v>162</v>
      </c>
      <c r="B172" s="3" t="s">
        <v>163</v>
      </c>
      <c r="C172" s="4">
        <v>-68234.289999999994</v>
      </c>
      <c r="D172" s="4">
        <v>-68234.289999999994</v>
      </c>
      <c r="E172" s="4">
        <v>0</v>
      </c>
      <c r="F172" s="3" t="s">
        <v>6</v>
      </c>
      <c r="G172" s="3" t="e">
        <f>VLOOKUP(B172,'Profit &amp; Loss'!$B$3:$C$390,2,0)</f>
        <v>#N/A</v>
      </c>
    </row>
    <row r="173" spans="1:7" x14ac:dyDescent="0.2">
      <c r="A173" s="3" t="s">
        <v>162</v>
      </c>
      <c r="B173" s="3" t="s">
        <v>164</v>
      </c>
      <c r="C173" s="4">
        <v>-326262.76</v>
      </c>
      <c r="D173" s="4">
        <v>-325784.84000000003</v>
      </c>
      <c r="E173" s="4">
        <v>-477.92</v>
      </c>
      <c r="F173" s="3" t="s">
        <v>625</v>
      </c>
      <c r="G173" s="3" t="e">
        <f>VLOOKUP(B173,'Profit &amp; Loss'!$B$3:$C$390,2,0)</f>
        <v>#N/A</v>
      </c>
    </row>
    <row r="174" spans="1:7" x14ac:dyDescent="0.2">
      <c r="A174" s="3" t="s">
        <v>162</v>
      </c>
      <c r="B174" s="3" t="s">
        <v>165</v>
      </c>
      <c r="C174" s="4">
        <v>-252471.49</v>
      </c>
      <c r="D174" s="4">
        <v>-245914.25</v>
      </c>
      <c r="E174" s="4">
        <v>-6557.24</v>
      </c>
      <c r="F174" s="3" t="s">
        <v>727</v>
      </c>
      <c r="G174" s="3" t="e">
        <f>VLOOKUP(B174,'Profit &amp; Loss'!$B$3:$C$390,2,0)</f>
        <v>#N/A</v>
      </c>
    </row>
    <row r="175" spans="1:7" x14ac:dyDescent="0.2">
      <c r="A175" s="3" t="s">
        <v>162</v>
      </c>
      <c r="B175" s="3" t="s">
        <v>166</v>
      </c>
      <c r="C175" s="4">
        <v>-83008.56</v>
      </c>
      <c r="D175" s="4">
        <v>-71788.78</v>
      </c>
      <c r="E175" s="4">
        <v>-11219.78</v>
      </c>
      <c r="F175" s="3" t="s">
        <v>1209</v>
      </c>
      <c r="G175" s="3" t="e">
        <f>VLOOKUP(B175,'Profit &amp; Loss'!$B$3:$C$390,2,0)</f>
        <v>#N/A</v>
      </c>
    </row>
    <row r="176" spans="1:7" x14ac:dyDescent="0.2">
      <c r="A176" s="3" t="s">
        <v>162</v>
      </c>
      <c r="B176" s="3" t="s">
        <v>167</v>
      </c>
      <c r="C176" s="4">
        <v>-599006.63</v>
      </c>
      <c r="D176" s="4">
        <v>-584852.93999999994</v>
      </c>
      <c r="E176" s="4">
        <v>-14153.69</v>
      </c>
      <c r="F176" s="3" t="s">
        <v>717</v>
      </c>
      <c r="G176" s="3" t="e">
        <f>VLOOKUP(B176,'Profit &amp; Loss'!$B$3:$C$390,2,0)</f>
        <v>#N/A</v>
      </c>
    </row>
    <row r="177" spans="1:7" x14ac:dyDescent="0.2">
      <c r="A177" s="3" t="s">
        <v>162</v>
      </c>
      <c r="B177" s="3" t="s">
        <v>168</v>
      </c>
      <c r="C177" s="4">
        <v>-53905.599999999999</v>
      </c>
      <c r="D177" s="4">
        <v>-53821.24</v>
      </c>
      <c r="E177" s="4">
        <v>-84.36</v>
      </c>
      <c r="F177" s="3" t="s">
        <v>498</v>
      </c>
      <c r="G177" s="3" t="e">
        <f>VLOOKUP(B177,'Profit &amp; Loss'!$B$3:$C$390,2,0)</f>
        <v>#N/A</v>
      </c>
    </row>
    <row r="178" spans="1:7" x14ac:dyDescent="0.2">
      <c r="A178" s="3" t="s">
        <v>162</v>
      </c>
      <c r="B178" s="3" t="s">
        <v>169</v>
      </c>
      <c r="C178" s="4">
        <v>-465.19</v>
      </c>
      <c r="D178" s="4">
        <v>-464.44</v>
      </c>
      <c r="E178" s="4">
        <v>-0.75</v>
      </c>
      <c r="F178" s="3" t="s">
        <v>498</v>
      </c>
      <c r="G178" s="3" t="e">
        <f>VLOOKUP(B178,'Profit &amp; Loss'!$B$3:$C$390,2,0)</f>
        <v>#N/A</v>
      </c>
    </row>
    <row r="179" spans="1:7" x14ac:dyDescent="0.2">
      <c r="A179" s="3" t="s">
        <v>162</v>
      </c>
      <c r="B179" s="3" t="s">
        <v>170</v>
      </c>
      <c r="C179" s="4">
        <v>-308884.90000000002</v>
      </c>
      <c r="D179" s="4">
        <v>-308429.65999999997</v>
      </c>
      <c r="E179" s="4">
        <v>-455.24</v>
      </c>
      <c r="F179" s="3" t="s">
        <v>625</v>
      </c>
      <c r="G179" s="3" t="e">
        <f>VLOOKUP(B179,'Profit &amp; Loss'!$B$3:$C$390,2,0)</f>
        <v>#N/A</v>
      </c>
    </row>
    <row r="180" spans="1:7" x14ac:dyDescent="0.2">
      <c r="A180" s="3" t="s">
        <v>162</v>
      </c>
      <c r="B180" s="3" t="s">
        <v>171</v>
      </c>
      <c r="C180" s="4">
        <v>-259231.71</v>
      </c>
      <c r="D180" s="4">
        <v>-258851.16</v>
      </c>
      <c r="E180" s="4">
        <v>-380.55</v>
      </c>
      <c r="F180" s="3" t="s">
        <v>625</v>
      </c>
      <c r="G180" s="3" t="e">
        <f>VLOOKUP(B180,'Profit &amp; Loss'!$B$3:$C$390,2,0)</f>
        <v>#N/A</v>
      </c>
    </row>
    <row r="181" spans="1:7" x14ac:dyDescent="0.2">
      <c r="A181" s="3" t="s">
        <v>162</v>
      </c>
      <c r="B181" s="3" t="s">
        <v>2</v>
      </c>
      <c r="C181" s="4">
        <v>-1951471.13</v>
      </c>
      <c r="D181" s="4">
        <v>-1918141.6</v>
      </c>
      <c r="E181" s="4">
        <v>-33329.53</v>
      </c>
      <c r="F181" s="3" t="s">
        <v>631</v>
      </c>
      <c r="G181" s="3" t="e">
        <f>VLOOKUP(B181,'Profit &amp; Loss'!$B$3:$C$390,2,0)</f>
        <v>#N/A</v>
      </c>
    </row>
    <row r="182" spans="1:7" x14ac:dyDescent="0.2">
      <c r="A182" s="3" t="s">
        <v>172</v>
      </c>
      <c r="B182" s="3" t="s">
        <v>173</v>
      </c>
      <c r="C182" s="4">
        <v>-286.08</v>
      </c>
      <c r="D182" s="4">
        <v>-479.73</v>
      </c>
      <c r="E182" s="4">
        <v>193.65</v>
      </c>
      <c r="F182" s="3" t="s">
        <v>1210</v>
      </c>
      <c r="G182" s="3" t="e">
        <f>VLOOKUP(B182,'Profit &amp; Loss'!$B$3:$C$390,2,0)</f>
        <v>#N/A</v>
      </c>
    </row>
    <row r="183" spans="1:7" x14ac:dyDescent="0.2">
      <c r="A183" s="3" t="s">
        <v>172</v>
      </c>
      <c r="B183" s="3" t="s">
        <v>2</v>
      </c>
      <c r="C183" s="4">
        <v>-286.08</v>
      </c>
      <c r="D183" s="4">
        <v>-479.73</v>
      </c>
      <c r="E183" s="4">
        <v>193.65</v>
      </c>
      <c r="F183" s="3" t="s">
        <v>1210</v>
      </c>
      <c r="G183" s="3" t="e">
        <f>VLOOKUP(B183,'Profit &amp; Loss'!$B$3:$C$390,2,0)</f>
        <v>#N/A</v>
      </c>
    </row>
    <row r="184" spans="1:7" x14ac:dyDescent="0.2">
      <c r="A184" s="3" t="s">
        <v>174</v>
      </c>
      <c r="B184" s="3" t="s">
        <v>175</v>
      </c>
      <c r="C184" s="4">
        <v>2158.42</v>
      </c>
      <c r="D184" s="4">
        <v>2243.2399999999998</v>
      </c>
      <c r="E184" s="4">
        <v>-84.82</v>
      </c>
      <c r="F184" s="3" t="s">
        <v>712</v>
      </c>
      <c r="G184" s="3" t="e">
        <f>VLOOKUP(B184,'Profit &amp; Loss'!$B$3:$C$390,2,0)</f>
        <v>#N/A</v>
      </c>
    </row>
    <row r="185" spans="1:7" x14ac:dyDescent="0.2">
      <c r="A185" s="3" t="s">
        <v>174</v>
      </c>
      <c r="B185" s="3" t="s">
        <v>176</v>
      </c>
      <c r="C185" s="4">
        <v>-637846.86</v>
      </c>
      <c r="D185" s="4">
        <v>-630444.31999999995</v>
      </c>
      <c r="E185" s="4">
        <v>-7402.54</v>
      </c>
      <c r="F185" s="3" t="s">
        <v>482</v>
      </c>
      <c r="G185" s="3" t="e">
        <f>VLOOKUP(B185,'Profit &amp; Loss'!$B$3:$C$390,2,0)</f>
        <v>#N/A</v>
      </c>
    </row>
    <row r="186" spans="1:7" x14ac:dyDescent="0.2">
      <c r="A186" s="3" t="s">
        <v>174</v>
      </c>
      <c r="B186" s="3" t="s">
        <v>177</v>
      </c>
      <c r="C186" s="4">
        <v>-60269.51</v>
      </c>
      <c r="D186" s="4">
        <v>-60312.99</v>
      </c>
      <c r="E186" s="4">
        <v>43.48</v>
      </c>
      <c r="F186" s="3" t="s">
        <v>471</v>
      </c>
      <c r="G186" s="3" t="e">
        <f>VLOOKUP(B186,'Profit &amp; Loss'!$B$3:$C$390,2,0)</f>
        <v>#N/A</v>
      </c>
    </row>
    <row r="187" spans="1:7" x14ac:dyDescent="0.2">
      <c r="A187" s="3" t="s">
        <v>174</v>
      </c>
      <c r="B187" s="3" t="s">
        <v>2</v>
      </c>
      <c r="C187" s="4">
        <v>-695957.95</v>
      </c>
      <c r="D187" s="4">
        <v>-688514.07</v>
      </c>
      <c r="E187" s="4">
        <v>-7443.88</v>
      </c>
      <c r="F187" s="3" t="s">
        <v>903</v>
      </c>
      <c r="G187" s="3" t="e">
        <f>VLOOKUP(B187,'Profit &amp; Loss'!$B$3:$C$390,2,0)</f>
        <v>#N/A</v>
      </c>
    </row>
    <row r="188" spans="1:7" x14ac:dyDescent="0.2">
      <c r="A188" s="3" t="s">
        <v>178</v>
      </c>
      <c r="B188" s="3" t="s">
        <v>179</v>
      </c>
      <c r="C188" s="4">
        <v>-872131.44</v>
      </c>
      <c r="D188" s="4">
        <v>-707900.62</v>
      </c>
      <c r="E188" s="4">
        <v>-164230.82</v>
      </c>
      <c r="F188" s="3" t="s">
        <v>633</v>
      </c>
      <c r="G188" s="3" t="e">
        <f>VLOOKUP(B188,'Profit &amp; Loss'!$B$3:$C$390,2,0)</f>
        <v>#N/A</v>
      </c>
    </row>
    <row r="189" spans="1:7" x14ac:dyDescent="0.2">
      <c r="A189" s="3" t="s">
        <v>178</v>
      </c>
      <c r="B189" s="3" t="s">
        <v>180</v>
      </c>
      <c r="C189" s="4">
        <v>-184.64</v>
      </c>
      <c r="D189" s="4">
        <v>7851.38</v>
      </c>
      <c r="E189" s="4">
        <v>-8036.02</v>
      </c>
      <c r="F189" s="3" t="s">
        <v>1211</v>
      </c>
      <c r="G189" s="3" t="e">
        <f>VLOOKUP(B189,'Profit &amp; Loss'!$B$3:$C$390,2,0)</f>
        <v>#N/A</v>
      </c>
    </row>
    <row r="190" spans="1:7" x14ac:dyDescent="0.2">
      <c r="A190" s="3" t="s">
        <v>178</v>
      </c>
      <c r="B190" s="3" t="s">
        <v>181</v>
      </c>
      <c r="C190" s="4">
        <v>846.64</v>
      </c>
      <c r="D190" s="4">
        <v>66845.31</v>
      </c>
      <c r="E190" s="4">
        <v>-65998.67</v>
      </c>
      <c r="F190" s="3" t="s">
        <v>1212</v>
      </c>
      <c r="G190" s="3" t="e">
        <f>VLOOKUP(B190,'Profit &amp; Loss'!$B$3:$C$390,2,0)</f>
        <v>#N/A</v>
      </c>
    </row>
    <row r="191" spans="1:7" x14ac:dyDescent="0.2">
      <c r="A191" s="3" t="s">
        <v>178</v>
      </c>
      <c r="B191" s="3" t="s">
        <v>182</v>
      </c>
      <c r="C191" s="4">
        <v>-948.5</v>
      </c>
      <c r="D191" s="4">
        <v>-948.5</v>
      </c>
      <c r="E191" s="4">
        <v>0</v>
      </c>
      <c r="F191" s="3" t="s">
        <v>6</v>
      </c>
      <c r="G191" s="3" t="e">
        <f>VLOOKUP(B191,'Profit &amp; Loss'!$B$3:$C$390,2,0)</f>
        <v>#N/A</v>
      </c>
    </row>
    <row r="192" spans="1:7" x14ac:dyDescent="0.2">
      <c r="A192" s="3" t="s">
        <v>178</v>
      </c>
      <c r="B192" s="3" t="s">
        <v>184</v>
      </c>
      <c r="C192" s="4">
        <v>-1002</v>
      </c>
      <c r="D192" s="4">
        <v>-1002</v>
      </c>
      <c r="E192" s="4">
        <v>0</v>
      </c>
      <c r="F192" s="3" t="s">
        <v>6</v>
      </c>
      <c r="G192" s="3" t="e">
        <f>VLOOKUP(B192,'Profit &amp; Loss'!$B$3:$C$390,2,0)</f>
        <v>#N/A</v>
      </c>
    </row>
    <row r="193" spans="1:7" x14ac:dyDescent="0.2">
      <c r="A193" s="3" t="s">
        <v>178</v>
      </c>
      <c r="B193" s="3" t="s">
        <v>1036</v>
      </c>
      <c r="C193" s="4">
        <v>0</v>
      </c>
      <c r="D193" s="4">
        <v>21104.46</v>
      </c>
      <c r="E193" s="4">
        <v>-21104.46</v>
      </c>
      <c r="F193" s="3" t="s">
        <v>475</v>
      </c>
      <c r="G193" s="3" t="e">
        <f>VLOOKUP(B193,'Profit &amp; Loss'!$B$3:$C$390,2,0)</f>
        <v>#N/A</v>
      </c>
    </row>
    <row r="194" spans="1:7" x14ac:dyDescent="0.2">
      <c r="A194" s="3" t="s">
        <v>178</v>
      </c>
      <c r="B194" s="3" t="s">
        <v>186</v>
      </c>
      <c r="C194" s="4">
        <v>-200</v>
      </c>
      <c r="D194" s="4">
        <v>-200</v>
      </c>
      <c r="E194" s="4">
        <v>0</v>
      </c>
      <c r="F194" s="3" t="s">
        <v>6</v>
      </c>
      <c r="G194" s="3" t="e">
        <f>VLOOKUP(B194,'Profit &amp; Loss'!$B$3:$C$390,2,0)</f>
        <v>#N/A</v>
      </c>
    </row>
    <row r="195" spans="1:7" x14ac:dyDescent="0.2">
      <c r="A195" s="3" t="s">
        <v>178</v>
      </c>
      <c r="B195" s="3" t="s">
        <v>187</v>
      </c>
      <c r="C195" s="4">
        <v>282.17</v>
      </c>
      <c r="D195" s="4">
        <v>282.17</v>
      </c>
      <c r="E195" s="4">
        <v>0</v>
      </c>
      <c r="F195" s="3" t="s">
        <v>6</v>
      </c>
      <c r="G195" s="3" t="e">
        <f>VLOOKUP(B195,'Profit &amp; Loss'!$B$3:$C$390,2,0)</f>
        <v>#N/A</v>
      </c>
    </row>
    <row r="196" spans="1:7" x14ac:dyDescent="0.2">
      <c r="A196" s="3" t="s">
        <v>178</v>
      </c>
      <c r="B196" s="3" t="s">
        <v>188</v>
      </c>
      <c r="C196" s="4">
        <v>-1455.24</v>
      </c>
      <c r="D196" s="4">
        <v>-1455.24</v>
      </c>
      <c r="E196" s="4">
        <v>0</v>
      </c>
      <c r="F196" s="3" t="s">
        <v>6</v>
      </c>
      <c r="G196" s="3" t="e">
        <f>VLOOKUP(B196,'Profit &amp; Loss'!$B$3:$C$390,2,0)</f>
        <v>#N/A</v>
      </c>
    </row>
    <row r="197" spans="1:7" x14ac:dyDescent="0.2">
      <c r="A197" s="3" t="s">
        <v>178</v>
      </c>
      <c r="B197" s="3" t="s">
        <v>189</v>
      </c>
      <c r="C197" s="4">
        <v>42.47</v>
      </c>
      <c r="D197" s="4">
        <v>0</v>
      </c>
      <c r="E197" s="4">
        <v>42.47</v>
      </c>
      <c r="F197" s="3" t="s">
        <v>2</v>
      </c>
      <c r="G197" s="3" t="e">
        <f>VLOOKUP(B197,'Profit &amp; Loss'!$B$3:$C$390,2,0)</f>
        <v>#N/A</v>
      </c>
    </row>
    <row r="198" spans="1:7" x14ac:dyDescent="0.2">
      <c r="A198" s="3" t="s">
        <v>178</v>
      </c>
      <c r="B198" s="3" t="s">
        <v>190</v>
      </c>
      <c r="C198" s="4">
        <v>245.99</v>
      </c>
      <c r="D198" s="4">
        <v>336.52</v>
      </c>
      <c r="E198" s="4">
        <v>-90.53</v>
      </c>
      <c r="F198" s="3" t="s">
        <v>741</v>
      </c>
      <c r="G198" s="3" t="e">
        <f>VLOOKUP(B198,'Profit &amp; Loss'!$B$3:$C$390,2,0)</f>
        <v>#N/A</v>
      </c>
    </row>
    <row r="199" spans="1:7" x14ac:dyDescent="0.2">
      <c r="A199" s="3" t="s">
        <v>178</v>
      </c>
      <c r="B199" s="3" t="s">
        <v>191</v>
      </c>
      <c r="C199" s="4">
        <v>-100.2</v>
      </c>
      <c r="D199" s="4">
        <v>-100.2</v>
      </c>
      <c r="E199" s="4">
        <v>0</v>
      </c>
      <c r="F199" s="3" t="s">
        <v>6</v>
      </c>
      <c r="G199" s="3" t="e">
        <f>VLOOKUP(B199,'Profit &amp; Loss'!$B$3:$C$390,2,0)</f>
        <v>#N/A</v>
      </c>
    </row>
    <row r="200" spans="1:7" x14ac:dyDescent="0.2">
      <c r="A200" s="3" t="s">
        <v>178</v>
      </c>
      <c r="B200" s="3" t="s">
        <v>192</v>
      </c>
      <c r="C200" s="4">
        <v>19220.38</v>
      </c>
      <c r="D200" s="4">
        <v>10223.719999999999</v>
      </c>
      <c r="E200" s="4">
        <v>8996.66</v>
      </c>
      <c r="F200" s="3" t="s">
        <v>1213</v>
      </c>
      <c r="G200" s="3" t="e">
        <f>VLOOKUP(B200,'Profit &amp; Loss'!$B$3:$C$390,2,0)</f>
        <v>#N/A</v>
      </c>
    </row>
    <row r="201" spans="1:7" x14ac:dyDescent="0.2">
      <c r="A201" s="3" t="s">
        <v>178</v>
      </c>
      <c r="B201" s="3" t="s">
        <v>194</v>
      </c>
      <c r="C201" s="4">
        <v>-23655.87</v>
      </c>
      <c r="D201" s="4">
        <v>-23672.59</v>
      </c>
      <c r="E201" s="4">
        <v>16.72</v>
      </c>
      <c r="F201" s="3" t="s">
        <v>471</v>
      </c>
      <c r="G201" s="3" t="e">
        <f>VLOOKUP(B201,'Profit &amp; Loss'!$B$3:$C$390,2,0)</f>
        <v>#N/A</v>
      </c>
    </row>
    <row r="202" spans="1:7" x14ac:dyDescent="0.2">
      <c r="A202" s="3" t="s">
        <v>178</v>
      </c>
      <c r="B202" s="3" t="s">
        <v>195</v>
      </c>
      <c r="C202" s="4">
        <v>-184962.12</v>
      </c>
      <c r="D202" s="4">
        <v>-38552.18</v>
      </c>
      <c r="E202" s="4">
        <v>-146409.94</v>
      </c>
      <c r="F202" s="3" t="s">
        <v>1214</v>
      </c>
      <c r="G202" s="3" t="e">
        <f>VLOOKUP(B202,'Profit &amp; Loss'!$B$3:$C$390,2,0)</f>
        <v>#N/A</v>
      </c>
    </row>
    <row r="203" spans="1:7" x14ac:dyDescent="0.2">
      <c r="A203" s="3" t="s">
        <v>178</v>
      </c>
      <c r="B203" s="3" t="s">
        <v>196</v>
      </c>
      <c r="C203" s="4">
        <v>-27367.18</v>
      </c>
      <c r="D203" s="4">
        <v>-27070.18</v>
      </c>
      <c r="E203" s="4">
        <v>-297</v>
      </c>
      <c r="F203" s="3" t="s">
        <v>903</v>
      </c>
      <c r="G203" s="3" t="e">
        <f>VLOOKUP(B203,'Profit &amp; Loss'!$B$3:$C$390,2,0)</f>
        <v>#N/A</v>
      </c>
    </row>
    <row r="204" spans="1:7" x14ac:dyDescent="0.2">
      <c r="A204" s="3" t="s">
        <v>178</v>
      </c>
      <c r="B204" s="3" t="s">
        <v>2</v>
      </c>
      <c r="C204" s="4">
        <v>-1091369.54</v>
      </c>
      <c r="D204" s="4">
        <v>-694257.95</v>
      </c>
      <c r="E204" s="4">
        <v>-397111.59</v>
      </c>
      <c r="F204" s="3" t="s">
        <v>811</v>
      </c>
      <c r="G204" s="3" t="e">
        <f>VLOOKUP(B204,'Profit &amp; Loss'!$B$3:$C$390,2,0)</f>
        <v>#N/A</v>
      </c>
    </row>
    <row r="205" spans="1:7" x14ac:dyDescent="0.2">
      <c r="A205" s="3" t="s">
        <v>197</v>
      </c>
      <c r="B205" s="3" t="s">
        <v>2</v>
      </c>
      <c r="C205" s="4">
        <v>-3744668.41</v>
      </c>
      <c r="D205" s="4">
        <v>-3307852.16</v>
      </c>
      <c r="E205" s="4">
        <v>-436816.25</v>
      </c>
      <c r="F205" s="3" t="s">
        <v>620</v>
      </c>
      <c r="G205" s="3" t="e">
        <f>VLOOKUP(B205,'Profit &amp; Loss'!$B$3:$C$390,2,0)</f>
        <v>#N/A</v>
      </c>
    </row>
    <row r="206" spans="1:7" x14ac:dyDescent="0.2">
      <c r="A206" s="3" t="s">
        <v>198</v>
      </c>
      <c r="B206" s="3" t="s">
        <v>199</v>
      </c>
      <c r="C206" s="4">
        <v>310453.28000000003</v>
      </c>
      <c r="D206" s="4">
        <v>80587.259999999995</v>
      </c>
      <c r="E206" s="4">
        <v>229866.02</v>
      </c>
      <c r="F206" s="3" t="s">
        <v>1215</v>
      </c>
      <c r="G206" s="3" t="e">
        <f>VLOOKUP(B206,'Profit &amp; Loss'!$B$3:$C$390,2,0)</f>
        <v>#N/A</v>
      </c>
    </row>
    <row r="207" spans="1:7" x14ac:dyDescent="0.2">
      <c r="A207" s="3" t="s">
        <v>198</v>
      </c>
      <c r="B207" s="3" t="s">
        <v>2</v>
      </c>
      <c r="C207" s="4">
        <v>310453.28000000003</v>
      </c>
      <c r="D207" s="4">
        <v>80587.259999999995</v>
      </c>
      <c r="E207" s="4">
        <v>229866.02</v>
      </c>
      <c r="F207" s="3" t="s">
        <v>1215</v>
      </c>
      <c r="G207" s="3" t="e">
        <f>VLOOKUP(B207,'Profit &amp; Loss'!$B$3:$C$390,2,0)</f>
        <v>#N/A</v>
      </c>
    </row>
    <row r="208" spans="1:7" x14ac:dyDescent="0.2">
      <c r="A208" s="3" t="s">
        <v>200</v>
      </c>
      <c r="B208" s="3" t="s">
        <v>201</v>
      </c>
      <c r="C208" s="4">
        <v>-5252.67</v>
      </c>
      <c r="D208" s="4">
        <v>-5252.67</v>
      </c>
      <c r="E208" s="4">
        <v>0</v>
      </c>
      <c r="F208" s="3" t="s">
        <v>6</v>
      </c>
      <c r="G208" s="3" t="e">
        <f>VLOOKUP(B208,'Profit &amp; Loss'!$B$3:$C$390,2,0)</f>
        <v>#N/A</v>
      </c>
    </row>
    <row r="209" spans="1:7" x14ac:dyDescent="0.2">
      <c r="A209" s="3" t="s">
        <v>200</v>
      </c>
      <c r="B209" s="3" t="s">
        <v>203</v>
      </c>
      <c r="C209" s="4">
        <v>-10671.57</v>
      </c>
      <c r="D209" s="4">
        <v>-10671.57</v>
      </c>
      <c r="E209" s="4">
        <v>0</v>
      </c>
      <c r="F209" s="3" t="s">
        <v>6</v>
      </c>
      <c r="G209" s="3" t="e">
        <f>VLOOKUP(B209,'Profit &amp; Loss'!$B$3:$C$390,2,0)</f>
        <v>#N/A</v>
      </c>
    </row>
    <row r="210" spans="1:7" x14ac:dyDescent="0.2">
      <c r="A210" s="3" t="s">
        <v>200</v>
      </c>
      <c r="B210" s="3" t="s">
        <v>204</v>
      </c>
      <c r="C210" s="4">
        <v>-20871.29</v>
      </c>
      <c r="D210" s="4">
        <v>-21013.47</v>
      </c>
      <c r="E210" s="4">
        <v>142.18</v>
      </c>
      <c r="F210" s="3" t="s">
        <v>487</v>
      </c>
      <c r="G210" s="3" t="e">
        <f>VLOOKUP(B210,'Profit &amp; Loss'!$B$3:$C$390,2,0)</f>
        <v>#N/A</v>
      </c>
    </row>
    <row r="211" spans="1:7" x14ac:dyDescent="0.2">
      <c r="A211" s="3" t="s">
        <v>200</v>
      </c>
      <c r="B211" s="3" t="s">
        <v>205</v>
      </c>
      <c r="C211" s="4">
        <v>-5.01</v>
      </c>
      <c r="D211" s="4">
        <v>-5.01</v>
      </c>
      <c r="E211" s="4">
        <v>0</v>
      </c>
      <c r="F211" s="3" t="s">
        <v>6</v>
      </c>
      <c r="G211" s="3" t="e">
        <f>VLOOKUP(B211,'Profit &amp; Loss'!$B$3:$C$390,2,0)</f>
        <v>#N/A</v>
      </c>
    </row>
    <row r="212" spans="1:7" x14ac:dyDescent="0.2">
      <c r="A212" s="3" t="s">
        <v>200</v>
      </c>
      <c r="B212" s="3" t="s">
        <v>209</v>
      </c>
      <c r="C212" s="4">
        <v>-0.03</v>
      </c>
      <c r="D212" s="4">
        <v>-0.03</v>
      </c>
      <c r="E212" s="4">
        <v>0</v>
      </c>
      <c r="F212" s="3" t="s">
        <v>6</v>
      </c>
      <c r="G212" s="3" t="e">
        <f>VLOOKUP(B212,'Profit &amp; Loss'!$B$3:$C$390,2,0)</f>
        <v>#N/A</v>
      </c>
    </row>
    <row r="213" spans="1:7" x14ac:dyDescent="0.2">
      <c r="A213" s="3" t="s">
        <v>200</v>
      </c>
      <c r="B213" s="3" t="s">
        <v>2</v>
      </c>
      <c r="C213" s="4">
        <v>-36800.57</v>
      </c>
      <c r="D213" s="4">
        <v>-36942.75</v>
      </c>
      <c r="E213" s="4">
        <v>142.18</v>
      </c>
      <c r="F213" s="3" t="s">
        <v>576</v>
      </c>
      <c r="G213" s="3" t="e">
        <f>VLOOKUP(B213,'Profit &amp; Loss'!$B$3:$C$390,2,0)</f>
        <v>#N/A</v>
      </c>
    </row>
    <row r="214" spans="1:7" x14ac:dyDescent="0.2">
      <c r="A214" s="3" t="s">
        <v>210</v>
      </c>
      <c r="B214" s="3" t="s">
        <v>2</v>
      </c>
      <c r="C214" s="4">
        <v>273652.71000000002</v>
      </c>
      <c r="D214" s="4">
        <v>43644.51</v>
      </c>
      <c r="E214" s="4">
        <v>230008.2</v>
      </c>
      <c r="F214" s="3" t="s">
        <v>1216</v>
      </c>
      <c r="G214" s="3" t="e">
        <f>VLOOKUP(B214,'Profit &amp; Loss'!$B$3:$C$390,2,0)</f>
        <v>#N/A</v>
      </c>
    </row>
    <row r="215" spans="1:7" x14ac:dyDescent="0.2">
      <c r="A215" s="3" t="s">
        <v>211</v>
      </c>
      <c r="B215" s="3" t="s">
        <v>212</v>
      </c>
      <c r="C215" s="4">
        <v>-91742.080000000002</v>
      </c>
      <c r="D215" s="4">
        <v>-91742.080000000002</v>
      </c>
      <c r="E215" s="4">
        <v>0</v>
      </c>
      <c r="F215" s="3" t="s">
        <v>6</v>
      </c>
      <c r="G215" s="3" t="e">
        <f>VLOOKUP(B215,'Profit &amp; Loss'!$B$3:$C$390,2,0)</f>
        <v>#N/A</v>
      </c>
    </row>
    <row r="216" spans="1:7" x14ac:dyDescent="0.2">
      <c r="A216" s="3" t="s">
        <v>211</v>
      </c>
      <c r="B216" s="3" t="s">
        <v>213</v>
      </c>
      <c r="C216" s="4">
        <v>-94110.68</v>
      </c>
      <c r="D216" s="4">
        <v>-95304.27</v>
      </c>
      <c r="E216" s="4">
        <v>1193.5899999999999</v>
      </c>
      <c r="F216" s="3" t="s">
        <v>816</v>
      </c>
      <c r="G216" s="3" t="e">
        <f>VLOOKUP(B216,'Profit &amp; Loss'!$B$3:$C$390,2,0)</f>
        <v>#N/A</v>
      </c>
    </row>
    <row r="217" spans="1:7" x14ac:dyDescent="0.2">
      <c r="A217" s="3" t="s">
        <v>211</v>
      </c>
      <c r="B217" s="3" t="s">
        <v>214</v>
      </c>
      <c r="C217" s="4">
        <v>-74076.929999999993</v>
      </c>
      <c r="D217" s="4">
        <v>-75454.679999999993</v>
      </c>
      <c r="E217" s="4">
        <v>1377.75</v>
      </c>
      <c r="F217" s="3" t="s">
        <v>520</v>
      </c>
      <c r="G217" s="3" t="e">
        <f>VLOOKUP(B217,'Profit &amp; Loss'!$B$3:$C$390,2,0)</f>
        <v>#N/A</v>
      </c>
    </row>
    <row r="218" spans="1:7" x14ac:dyDescent="0.2">
      <c r="A218" s="3" t="s">
        <v>211</v>
      </c>
      <c r="B218" s="3" t="s">
        <v>215</v>
      </c>
      <c r="C218" s="4">
        <v>-67684.28</v>
      </c>
      <c r="D218" s="4">
        <v>-67684.28</v>
      </c>
      <c r="E218" s="4">
        <v>0</v>
      </c>
      <c r="F218" s="3" t="s">
        <v>6</v>
      </c>
      <c r="G218" s="3" t="e">
        <f>VLOOKUP(B218,'Profit &amp; Loss'!$B$3:$C$390,2,0)</f>
        <v>#N/A</v>
      </c>
    </row>
    <row r="219" spans="1:7" x14ac:dyDescent="0.2">
      <c r="A219" s="3" t="s">
        <v>211</v>
      </c>
      <c r="B219" s="3" t="s">
        <v>216</v>
      </c>
      <c r="C219" s="4">
        <v>-35167.980000000003</v>
      </c>
      <c r="D219" s="4">
        <v>-41513.4</v>
      </c>
      <c r="E219" s="4">
        <v>6345.42</v>
      </c>
      <c r="F219" s="3" t="s">
        <v>1217</v>
      </c>
      <c r="G219" s="3" t="e">
        <f>VLOOKUP(B219,'Profit &amp; Loss'!$B$3:$C$390,2,0)</f>
        <v>#N/A</v>
      </c>
    </row>
    <row r="220" spans="1:7" x14ac:dyDescent="0.2">
      <c r="A220" s="3" t="s">
        <v>211</v>
      </c>
      <c r="B220" s="3" t="s">
        <v>217</v>
      </c>
      <c r="C220" s="4">
        <v>-244798.64</v>
      </c>
      <c r="D220" s="4">
        <v>-245172.2</v>
      </c>
      <c r="E220" s="4">
        <v>373.56</v>
      </c>
      <c r="F220" s="3" t="s">
        <v>488</v>
      </c>
      <c r="G220" s="3" t="e">
        <f>VLOOKUP(B220,'Profit &amp; Loss'!$B$3:$C$390,2,0)</f>
        <v>#N/A</v>
      </c>
    </row>
    <row r="221" spans="1:7" x14ac:dyDescent="0.2">
      <c r="A221" s="3" t="s">
        <v>211</v>
      </c>
      <c r="B221" s="3" t="s">
        <v>2</v>
      </c>
      <c r="C221" s="4">
        <v>-607580.59</v>
      </c>
      <c r="D221" s="4">
        <v>-616870.91</v>
      </c>
      <c r="E221" s="4">
        <v>9290.32</v>
      </c>
      <c r="F221" s="3" t="s">
        <v>724</v>
      </c>
      <c r="G221" s="3" t="e">
        <f>VLOOKUP(B221,'Profit &amp; Loss'!$B$3:$C$390,2,0)</f>
        <v>#N/A</v>
      </c>
    </row>
    <row r="222" spans="1:7" x14ac:dyDescent="0.2">
      <c r="A222" s="3" t="s">
        <v>218</v>
      </c>
      <c r="B222" s="3" t="s">
        <v>2</v>
      </c>
      <c r="C222" s="4">
        <v>-607580.59</v>
      </c>
      <c r="D222" s="4">
        <v>-616870.91</v>
      </c>
      <c r="E222" s="4">
        <v>9290.32</v>
      </c>
      <c r="F222" s="3" t="s">
        <v>724</v>
      </c>
      <c r="G222" s="3" t="e">
        <f>VLOOKUP(B222,'Profit &amp; Loss'!$B$3:$C$390,2,0)</f>
        <v>#N/A</v>
      </c>
    </row>
    <row r="223" spans="1:7" x14ac:dyDescent="0.2">
      <c r="A223" s="3" t="s">
        <v>219</v>
      </c>
      <c r="B223" s="3" t="s">
        <v>220</v>
      </c>
      <c r="C223" s="4">
        <v>120.57</v>
      </c>
      <c r="D223" s="4">
        <v>120.57</v>
      </c>
      <c r="E223" s="4">
        <v>0</v>
      </c>
      <c r="F223" s="3" t="s">
        <v>6</v>
      </c>
      <c r="G223" s="3" t="e">
        <f>VLOOKUP(B223,'Profit &amp; Loss'!$B$3:$C$390,2,0)</f>
        <v>#N/A</v>
      </c>
    </row>
    <row r="224" spans="1:7" x14ac:dyDescent="0.2">
      <c r="A224" s="3" t="s">
        <v>219</v>
      </c>
      <c r="B224" s="3" t="s">
        <v>221</v>
      </c>
      <c r="C224" s="4">
        <v>596.78</v>
      </c>
      <c r="D224" s="4">
        <v>596.78</v>
      </c>
      <c r="E224" s="4">
        <v>0</v>
      </c>
      <c r="F224" s="3" t="s">
        <v>6</v>
      </c>
      <c r="G224" s="3" t="e">
        <f>VLOOKUP(B224,'Profit &amp; Loss'!$B$3:$C$390,2,0)</f>
        <v>#N/A</v>
      </c>
    </row>
    <row r="225" spans="1:7" x14ac:dyDescent="0.2">
      <c r="A225" s="3" t="s">
        <v>219</v>
      </c>
      <c r="B225" s="3" t="s">
        <v>222</v>
      </c>
      <c r="C225" s="4">
        <v>53238493.469999999</v>
      </c>
      <c r="D225" s="4">
        <v>55033414.060000002</v>
      </c>
      <c r="E225" s="4">
        <v>-1794920.59</v>
      </c>
      <c r="F225" s="3" t="s">
        <v>601</v>
      </c>
      <c r="G225" s="3" t="e">
        <f>VLOOKUP(B225,'Profit &amp; Loss'!$B$3:$C$390,2,0)</f>
        <v>#N/A</v>
      </c>
    </row>
    <row r="226" spans="1:7" x14ac:dyDescent="0.2">
      <c r="A226" s="3" t="s">
        <v>219</v>
      </c>
      <c r="B226" s="3" t="s">
        <v>2</v>
      </c>
      <c r="C226" s="4">
        <v>53239210.82</v>
      </c>
      <c r="D226" s="4">
        <v>55034131.409999996</v>
      </c>
      <c r="E226" s="4">
        <v>-1794920.59</v>
      </c>
      <c r="F226" s="3" t="s">
        <v>601</v>
      </c>
      <c r="G226" s="3" t="e">
        <f>VLOOKUP(B226,'Profit &amp; Loss'!$B$3:$C$390,2,0)</f>
        <v>#N/A</v>
      </c>
    </row>
    <row r="227" spans="1:7" x14ac:dyDescent="0.2">
      <c r="A227" s="3" t="s">
        <v>223</v>
      </c>
      <c r="B227" s="3" t="s">
        <v>2</v>
      </c>
      <c r="C227" s="4">
        <v>53239210.82</v>
      </c>
      <c r="D227" s="4">
        <v>55034131.409999996</v>
      </c>
      <c r="E227" s="4">
        <v>-1794920.59</v>
      </c>
      <c r="F227" s="3" t="s">
        <v>601</v>
      </c>
      <c r="G227" s="3" t="e">
        <f>VLOOKUP(B227,'Profit &amp; Loss'!$B$3:$C$390,2,0)</f>
        <v>#N/A</v>
      </c>
    </row>
    <row r="228" spans="1:7" x14ac:dyDescent="0.2">
      <c r="A228" s="3" t="s">
        <v>224</v>
      </c>
      <c r="B228" s="3" t="s">
        <v>2</v>
      </c>
      <c r="C228" s="4">
        <v>46314366.200000003</v>
      </c>
      <c r="D228" s="4">
        <v>48434443.719999999</v>
      </c>
      <c r="E228" s="4">
        <v>-2120077.52</v>
      </c>
      <c r="F228" s="3" t="s">
        <v>933</v>
      </c>
      <c r="G228" s="3" t="e">
        <f>VLOOKUP(B228,'Profit &amp; Loss'!$B$3:$C$390,2,0)</f>
        <v>#N/A</v>
      </c>
    </row>
    <row r="229" spans="1:7" x14ac:dyDescent="0.2">
      <c r="A229" s="3" t="s">
        <v>225</v>
      </c>
      <c r="B229" s="3" t="s">
        <v>226</v>
      </c>
      <c r="C229" s="4">
        <v>-85746371.450000003</v>
      </c>
      <c r="D229" s="4">
        <v>-85746371.450000003</v>
      </c>
      <c r="E229" s="4">
        <v>0</v>
      </c>
      <c r="F229" s="3" t="s">
        <v>6</v>
      </c>
      <c r="G229" s="3" t="e">
        <f>VLOOKUP(B229,'Profit &amp; Loss'!$B$3:$C$390,2,0)</f>
        <v>#N/A</v>
      </c>
    </row>
    <row r="230" spans="1:7" x14ac:dyDescent="0.2">
      <c r="A230" s="3" t="s">
        <v>225</v>
      </c>
      <c r="B230" s="3" t="s">
        <v>2</v>
      </c>
      <c r="C230" s="4">
        <v>-85746371.450000003</v>
      </c>
      <c r="D230" s="4">
        <v>-85746371.450000003</v>
      </c>
      <c r="E230" s="4">
        <v>0</v>
      </c>
      <c r="F230" s="3" t="s">
        <v>6</v>
      </c>
      <c r="G230" s="3" t="e">
        <f>VLOOKUP(B230,'Profit &amp; Loss'!$B$3:$C$390,2,0)</f>
        <v>#N/A</v>
      </c>
    </row>
    <row r="231" spans="1:7" x14ac:dyDescent="0.2">
      <c r="A231" s="3" t="s">
        <v>227</v>
      </c>
      <c r="B231" s="3" t="s">
        <v>2</v>
      </c>
      <c r="C231" s="4">
        <v>-85746371.450000003</v>
      </c>
      <c r="D231" s="4">
        <v>-85746371.450000003</v>
      </c>
      <c r="E231" s="4">
        <v>0</v>
      </c>
      <c r="F231" s="3" t="s">
        <v>6</v>
      </c>
      <c r="G231" s="3" t="e">
        <f>VLOOKUP(B231,'Profit &amp; Loss'!$B$3:$C$390,2,0)</f>
        <v>#N/A</v>
      </c>
    </row>
    <row r="232" spans="1:7" x14ac:dyDescent="0.2">
      <c r="A232" s="3" t="s">
        <v>228</v>
      </c>
      <c r="B232" s="3" t="s">
        <v>2</v>
      </c>
      <c r="C232" s="4">
        <v>-85746371.450000003</v>
      </c>
      <c r="D232" s="4">
        <v>-85746371.450000003</v>
      </c>
      <c r="E232" s="4">
        <v>0</v>
      </c>
      <c r="F232" s="3" t="s">
        <v>6</v>
      </c>
      <c r="G232" s="3" t="e">
        <f>VLOOKUP(B232,'Profit &amp; Loss'!$B$3:$C$390,2,0)</f>
        <v>#N/A</v>
      </c>
    </row>
    <row r="233" spans="1:7" x14ac:dyDescent="0.2">
      <c r="A233" s="3" t="s">
        <v>229</v>
      </c>
      <c r="B233" s="3" t="s">
        <v>230</v>
      </c>
      <c r="C233" s="4">
        <v>0</v>
      </c>
      <c r="D233" s="4">
        <v>0</v>
      </c>
      <c r="E233" s="4">
        <v>0</v>
      </c>
      <c r="F233" s="3" t="s">
        <v>2</v>
      </c>
      <c r="G233" s="3" t="e">
        <f>VLOOKUP(B233,'Profit &amp; Loss'!$B$3:$C$390,2,0)</f>
        <v>#N/A</v>
      </c>
    </row>
    <row r="234" spans="1:7" x14ac:dyDescent="0.2">
      <c r="A234" s="3" t="s">
        <v>229</v>
      </c>
      <c r="B234" s="5" t="s">
        <v>231</v>
      </c>
      <c r="C234" s="4">
        <v>0</v>
      </c>
      <c r="D234" s="4">
        <v>0</v>
      </c>
      <c r="E234" s="4">
        <v>0</v>
      </c>
      <c r="F234" s="3" t="s">
        <v>2</v>
      </c>
      <c r="G234" s="3" t="e">
        <f>VLOOKUP(B234,'Profit &amp; Loss'!$B$3:$C$390,2,0)</f>
        <v>#N/A</v>
      </c>
    </row>
    <row r="235" spans="1:7" x14ac:dyDescent="0.2">
      <c r="A235" s="3" t="s">
        <v>232</v>
      </c>
      <c r="B235" s="3" t="s">
        <v>2</v>
      </c>
      <c r="C235" s="4">
        <v>-5134163.5999999996</v>
      </c>
      <c r="D235" s="4">
        <v>-3726182.49</v>
      </c>
      <c r="E235" s="4">
        <v>-1407981.11</v>
      </c>
      <c r="F235" s="3" t="s">
        <v>1218</v>
      </c>
      <c r="G235" s="3" t="e">
        <f>VLOOKUP(B235,'Profit &amp; Loss'!$B$3:$C$390,2,0)</f>
        <v>#N/A</v>
      </c>
    </row>
    <row r="236" spans="1:7" x14ac:dyDescent="0.2">
      <c r="A236" s="3" t="s">
        <v>229</v>
      </c>
      <c r="B236" s="3" t="s">
        <v>233</v>
      </c>
      <c r="C236" s="4">
        <v>-5134163.5999999996</v>
      </c>
      <c r="D236" s="4">
        <v>-3726182.49</v>
      </c>
      <c r="E236" s="4">
        <v>-1407981.11</v>
      </c>
      <c r="F236" s="3" t="s">
        <v>1218</v>
      </c>
      <c r="G236" s="3" t="e">
        <f>VLOOKUP(B236,'Profit &amp; Loss'!$B$3:$C$390,2,0)</f>
        <v>#N/A</v>
      </c>
    </row>
    <row r="237" spans="1:7" x14ac:dyDescent="0.2">
      <c r="A237" s="3" t="s">
        <v>229</v>
      </c>
      <c r="B237" s="5" t="s">
        <v>234</v>
      </c>
      <c r="C237" s="4">
        <v>0</v>
      </c>
      <c r="D237" s="4">
        <v>0</v>
      </c>
      <c r="E237" s="4">
        <v>0</v>
      </c>
      <c r="F237" s="3" t="s">
        <v>2</v>
      </c>
      <c r="G237" s="3" t="e">
        <f>VLOOKUP(B237,'Profit &amp; Loss'!$B$3:$C$390,2,0)</f>
        <v>#N/A</v>
      </c>
    </row>
    <row r="238" spans="1:7" x14ac:dyDescent="0.2">
      <c r="A238" s="3" t="s">
        <v>115</v>
      </c>
      <c r="B238" s="3" t="s">
        <v>235</v>
      </c>
      <c r="C238" s="4">
        <v>-44566168.850000001</v>
      </c>
      <c r="D238" s="4">
        <v>-41038110.219999999</v>
      </c>
      <c r="E238" s="4">
        <v>-3528058.63</v>
      </c>
      <c r="F238" s="3" t="s">
        <v>819</v>
      </c>
      <c r="G238" s="3" t="e">
        <f>VLOOKUP(B238,'Profit &amp; Loss'!$B$3:$C$390,2,0)</f>
        <v>#N/A</v>
      </c>
    </row>
    <row r="239" spans="1:7" x14ac:dyDescent="0.2">
      <c r="A239" s="3" t="s">
        <v>115</v>
      </c>
      <c r="B239" s="5" t="s">
        <v>236</v>
      </c>
      <c r="C239" s="4">
        <v>0</v>
      </c>
      <c r="D239" s="4">
        <v>0</v>
      </c>
      <c r="E239" s="4">
        <v>0</v>
      </c>
      <c r="F239" s="3" t="s">
        <v>2</v>
      </c>
      <c r="G239" s="3" t="e">
        <f>VLOOKUP(B239,'Profit &amp; Loss'!$B$3:$C$390,2,0)</f>
        <v>#N/A</v>
      </c>
    </row>
    <row r="240" spans="1:7" x14ac:dyDescent="0.2">
      <c r="A240" s="3" t="s">
        <v>237</v>
      </c>
      <c r="B240" s="3" t="s">
        <v>238</v>
      </c>
      <c r="C240" s="4">
        <v>0</v>
      </c>
      <c r="D240" s="4">
        <v>0</v>
      </c>
      <c r="E240" s="4">
        <v>0</v>
      </c>
      <c r="F240" s="3" t="s">
        <v>2</v>
      </c>
      <c r="G240" s="3">
        <f>VLOOKUP(B240,'Profit &amp; Loss'!$B$3:$C$390,2,0)</f>
        <v>0</v>
      </c>
    </row>
    <row r="241" spans="1:7" x14ac:dyDescent="0.2">
      <c r="A241" s="3" t="s">
        <v>237</v>
      </c>
      <c r="B241" s="5" t="s">
        <v>239</v>
      </c>
      <c r="C241" s="4">
        <v>0</v>
      </c>
      <c r="D241" s="4">
        <v>0</v>
      </c>
      <c r="E241" s="4">
        <v>0</v>
      </c>
      <c r="F241" s="3" t="s">
        <v>2</v>
      </c>
      <c r="G241" s="3" t="e">
        <f>VLOOKUP(B241,'Profit &amp; Loss'!$B$3:$C$390,2,0)</f>
        <v>#N/A</v>
      </c>
    </row>
    <row r="242" spans="1:7" x14ac:dyDescent="0.2">
      <c r="A242" s="3" t="s">
        <v>240</v>
      </c>
      <c r="B242" s="3" t="s">
        <v>241</v>
      </c>
      <c r="C242" s="4">
        <v>-58033.760000000002</v>
      </c>
      <c r="D242" s="4">
        <v>-58033.760000000002</v>
      </c>
      <c r="E242" s="4">
        <v>0</v>
      </c>
      <c r="F242" s="3" t="s">
        <v>6</v>
      </c>
      <c r="G242" s="3">
        <f>VLOOKUP(B242,'Profit &amp; Loss'!$B$3:$C$390,2,0)</f>
        <v>-58033.760000000002</v>
      </c>
    </row>
    <row r="243" spans="1:7" x14ac:dyDescent="0.2">
      <c r="A243" s="3" t="s">
        <v>240</v>
      </c>
      <c r="B243" s="3" t="s">
        <v>824</v>
      </c>
      <c r="C243" s="4">
        <v>3837.96</v>
      </c>
      <c r="D243" s="4">
        <v>3837.96</v>
      </c>
      <c r="E243" s="4">
        <v>0</v>
      </c>
      <c r="F243" s="3" t="s">
        <v>6</v>
      </c>
      <c r="G243" s="3">
        <f>VLOOKUP(B243,'Profit &amp; Loss'!$B$3:$C$390,2,0)</f>
        <v>3837.96</v>
      </c>
    </row>
    <row r="244" spans="1:7" x14ac:dyDescent="0.2">
      <c r="A244" s="3" t="s">
        <v>240</v>
      </c>
      <c r="B244" s="3" t="s">
        <v>2</v>
      </c>
      <c r="C244" s="4">
        <v>-54195.8</v>
      </c>
      <c r="D244" s="4">
        <v>-54195.8</v>
      </c>
      <c r="E244" s="4">
        <v>0</v>
      </c>
      <c r="F244" s="3" t="s">
        <v>6</v>
      </c>
      <c r="G244" s="3" t="e">
        <f>VLOOKUP(B244,'Profit &amp; Loss'!$B$3:$C$390,2,0)</f>
        <v>#N/A</v>
      </c>
    </row>
    <row r="245" spans="1:7" x14ac:dyDescent="0.2">
      <c r="A245" s="3" t="s">
        <v>244</v>
      </c>
      <c r="B245" s="3" t="s">
        <v>245</v>
      </c>
      <c r="C245" s="4">
        <v>-14711029.42</v>
      </c>
      <c r="D245" s="4">
        <v>-9353719.9900000002</v>
      </c>
      <c r="E245" s="4">
        <v>-5357309.43</v>
      </c>
      <c r="F245" s="3" t="s">
        <v>602</v>
      </c>
      <c r="G245" s="3">
        <f>VLOOKUP(B245,'Profit &amp; Loss'!$B$3:$C$390,2,0)</f>
        <v>-4673022.7699999996</v>
      </c>
    </row>
    <row r="246" spans="1:7" x14ac:dyDescent="0.2">
      <c r="A246" s="3" t="s">
        <v>244</v>
      </c>
      <c r="B246" s="3" t="s">
        <v>536</v>
      </c>
      <c r="C246" s="4">
        <v>-20930.36</v>
      </c>
      <c r="D246" s="4">
        <v>-20930.36</v>
      </c>
      <c r="E246" s="4">
        <v>0</v>
      </c>
      <c r="F246" s="3" t="s">
        <v>6</v>
      </c>
      <c r="G246" s="3">
        <f>VLOOKUP(B246,'Profit &amp; Loss'!$B$3:$C$390,2,0)</f>
        <v>-9457.2900000000009</v>
      </c>
    </row>
    <row r="247" spans="1:7" x14ac:dyDescent="0.2">
      <c r="A247" s="3" t="s">
        <v>244</v>
      </c>
      <c r="B247" s="3" t="s">
        <v>537</v>
      </c>
      <c r="C247" s="4">
        <v>471.94</v>
      </c>
      <c r="D247" s="4">
        <v>471.94</v>
      </c>
      <c r="E247" s="4">
        <v>0</v>
      </c>
      <c r="F247" s="3" t="s">
        <v>6</v>
      </c>
      <c r="G247" s="3">
        <f>VLOOKUP(B247,'Profit &amp; Loss'!$B$3:$C$390,2,0)</f>
        <v>0.01</v>
      </c>
    </row>
    <row r="248" spans="1:7" x14ac:dyDescent="0.2">
      <c r="A248" s="3" t="s">
        <v>244</v>
      </c>
      <c r="B248" s="3" t="s">
        <v>246</v>
      </c>
      <c r="C248" s="4">
        <v>-146336.09</v>
      </c>
      <c r="D248" s="4">
        <v>-88783.17</v>
      </c>
      <c r="E248" s="4">
        <v>-57552.92</v>
      </c>
      <c r="F248" s="3" t="s">
        <v>1219</v>
      </c>
      <c r="G248" s="3">
        <f>VLOOKUP(B248,'Profit &amp; Loss'!$B$3:$C$390,2,0)</f>
        <v>-49623.57</v>
      </c>
    </row>
    <row r="249" spans="1:7" x14ac:dyDescent="0.2">
      <c r="A249" s="3" t="s">
        <v>244</v>
      </c>
      <c r="B249" s="3" t="s">
        <v>247</v>
      </c>
      <c r="C249" s="4">
        <v>-100.04</v>
      </c>
      <c r="D249" s="4">
        <v>-34.71</v>
      </c>
      <c r="E249" s="4">
        <v>-65.33</v>
      </c>
      <c r="F249" s="3" t="s">
        <v>1220</v>
      </c>
      <c r="G249" s="3">
        <f>VLOOKUP(B249,'Profit &amp; Loss'!$B$3:$C$390,2,0)</f>
        <v>-27.12</v>
      </c>
    </row>
    <row r="250" spans="1:7" x14ac:dyDescent="0.2">
      <c r="A250" s="3" t="s">
        <v>244</v>
      </c>
      <c r="B250" s="3" t="s">
        <v>949</v>
      </c>
      <c r="C250" s="4">
        <v>-149983.57999999999</v>
      </c>
      <c r="D250" s="4">
        <v>-133950.59</v>
      </c>
      <c r="E250" s="4">
        <v>-16032.99</v>
      </c>
      <c r="F250" s="3" t="s">
        <v>889</v>
      </c>
      <c r="G250" s="3">
        <f>VLOOKUP(B250,'Profit &amp; Loss'!$B$3:$C$390,2,0)</f>
        <v>-133950.59</v>
      </c>
    </row>
    <row r="251" spans="1:7" x14ac:dyDescent="0.2">
      <c r="A251" s="3" t="s">
        <v>244</v>
      </c>
      <c r="B251" s="3" t="s">
        <v>248</v>
      </c>
      <c r="C251" s="4">
        <v>-279006.68</v>
      </c>
      <c r="D251" s="4">
        <v>-146463.94</v>
      </c>
      <c r="E251" s="4">
        <v>-132542.74</v>
      </c>
      <c r="F251" s="3" t="s">
        <v>828</v>
      </c>
      <c r="G251" s="3">
        <f>VLOOKUP(B251,'Profit &amp; Loss'!$B$3:$C$390,2,0)</f>
        <v>0</v>
      </c>
    </row>
    <row r="252" spans="1:7" s="18" customFormat="1" x14ac:dyDescent="0.2">
      <c r="A252" s="18" t="s">
        <v>244</v>
      </c>
      <c r="B252" s="18" t="s">
        <v>249</v>
      </c>
      <c r="C252" s="19">
        <v>-146097.82999999999</v>
      </c>
      <c r="D252" s="19">
        <v>0</v>
      </c>
      <c r="E252" s="19">
        <v>-146097.82999999999</v>
      </c>
      <c r="F252" s="18" t="s">
        <v>2</v>
      </c>
      <c r="G252" s="18">
        <f>VLOOKUP(B252,'Profit &amp; Loss'!$B$3:$C$390,2,0)</f>
        <v>0</v>
      </c>
    </row>
    <row r="253" spans="1:7" x14ac:dyDescent="0.2">
      <c r="A253" s="3" t="s">
        <v>244</v>
      </c>
      <c r="B253" s="3" t="s">
        <v>250</v>
      </c>
      <c r="C253" s="4">
        <v>-2131.5500000000002</v>
      </c>
      <c r="D253" s="4">
        <v>-1572.31</v>
      </c>
      <c r="E253" s="4">
        <v>-559.24</v>
      </c>
      <c r="F253" s="3" t="s">
        <v>593</v>
      </c>
      <c r="G253" s="3">
        <f>VLOOKUP(B253,'Profit &amp; Loss'!$B$3:$C$390,2,0)</f>
        <v>-1606.18</v>
      </c>
    </row>
    <row r="254" spans="1:7" x14ac:dyDescent="0.2">
      <c r="A254" s="3" t="s">
        <v>244</v>
      </c>
      <c r="B254" s="3" t="s">
        <v>251</v>
      </c>
      <c r="C254" s="4">
        <v>34930.26</v>
      </c>
      <c r="D254" s="4">
        <v>20272.41</v>
      </c>
      <c r="E254" s="4">
        <v>14657.85</v>
      </c>
      <c r="F254" s="3" t="s">
        <v>1221</v>
      </c>
      <c r="G254" s="3">
        <f>VLOOKUP(B254,'Profit &amp; Loss'!$B$3:$C$390,2,0)</f>
        <v>12361.59</v>
      </c>
    </row>
    <row r="255" spans="1:7" x14ac:dyDescent="0.2">
      <c r="A255" s="3" t="s">
        <v>244</v>
      </c>
      <c r="B255" s="3" t="s">
        <v>252</v>
      </c>
      <c r="C255" s="4">
        <v>-16139.73</v>
      </c>
      <c r="D255" s="4">
        <v>-9916.3799999999992</v>
      </c>
      <c r="E255" s="4">
        <v>-6223.35</v>
      </c>
      <c r="F255" s="3" t="s">
        <v>1222</v>
      </c>
      <c r="G255" s="3">
        <f>VLOOKUP(B255,'Profit &amp; Loss'!$B$3:$C$390,2,0)</f>
        <v>0</v>
      </c>
    </row>
    <row r="256" spans="1:7" x14ac:dyDescent="0.2">
      <c r="A256" s="3" t="s">
        <v>244</v>
      </c>
      <c r="B256" s="3" t="s">
        <v>2</v>
      </c>
      <c r="C256" s="4">
        <v>-15436353.08</v>
      </c>
      <c r="D256" s="4">
        <v>-9734627.0999999996</v>
      </c>
      <c r="E256" s="4">
        <v>-5701725.9800000004</v>
      </c>
      <c r="F256" s="3" t="s">
        <v>1223</v>
      </c>
      <c r="G256" s="3" t="e">
        <f>VLOOKUP(B256,'Profit &amp; Loss'!$B$3:$C$390,2,0)</f>
        <v>#N/A</v>
      </c>
    </row>
    <row r="257" spans="1:7" x14ac:dyDescent="0.2">
      <c r="A257" s="3" t="s">
        <v>253</v>
      </c>
      <c r="B257" s="3" t="s">
        <v>254</v>
      </c>
      <c r="C257" s="4">
        <v>136253.15</v>
      </c>
      <c r="D257" s="4">
        <v>91510.78</v>
      </c>
      <c r="E257" s="4">
        <v>44742.37</v>
      </c>
      <c r="F257" s="3" t="s">
        <v>659</v>
      </c>
      <c r="G257" s="3">
        <f>VLOOKUP(B257,'Profit &amp; Loss'!$B$3:$C$390,2,0)</f>
        <v>31846.94</v>
      </c>
    </row>
    <row r="258" spans="1:7" x14ac:dyDescent="0.2">
      <c r="A258" s="3" t="s">
        <v>253</v>
      </c>
      <c r="B258" s="3" t="s">
        <v>255</v>
      </c>
      <c r="C258" s="4">
        <v>-106830.53</v>
      </c>
      <c r="D258" s="4">
        <v>-53910.89</v>
      </c>
      <c r="E258" s="4">
        <v>-52919.64</v>
      </c>
      <c r="F258" s="3" t="s">
        <v>1224</v>
      </c>
      <c r="G258" s="3">
        <f>VLOOKUP(B258,'Profit &amp; Loss'!$B$3:$C$390,2,0)</f>
        <v>-31894.21</v>
      </c>
    </row>
    <row r="259" spans="1:7" x14ac:dyDescent="0.2">
      <c r="A259" s="3" t="s">
        <v>253</v>
      </c>
      <c r="B259" s="3" t="s">
        <v>256</v>
      </c>
      <c r="C259" s="4">
        <v>-46670.63</v>
      </c>
      <c r="D259" s="4">
        <v>-30363.33</v>
      </c>
      <c r="E259" s="4">
        <v>-16307.3</v>
      </c>
      <c r="F259" s="3" t="s">
        <v>1225</v>
      </c>
      <c r="G259" s="3">
        <f>VLOOKUP(B259,'Profit &amp; Loss'!$B$3:$C$390,2,0)</f>
        <v>-17785.87</v>
      </c>
    </row>
    <row r="260" spans="1:7" x14ac:dyDescent="0.2">
      <c r="A260" s="3" t="s">
        <v>253</v>
      </c>
      <c r="B260" s="3" t="s">
        <v>257</v>
      </c>
      <c r="C260" s="4">
        <v>-827622.23</v>
      </c>
      <c r="D260" s="4">
        <v>-487404.88</v>
      </c>
      <c r="E260" s="4">
        <v>-340217.35</v>
      </c>
      <c r="F260" s="3" t="s">
        <v>1164</v>
      </c>
      <c r="G260" s="3">
        <f>VLOOKUP(B260,'Profit &amp; Loss'!$B$3:$C$390,2,0)</f>
        <v>-222549.26</v>
      </c>
    </row>
    <row r="261" spans="1:7" x14ac:dyDescent="0.2">
      <c r="A261" s="3" t="s">
        <v>253</v>
      </c>
      <c r="B261" s="3" t="s">
        <v>258</v>
      </c>
      <c r="C261" s="4">
        <v>21064.23</v>
      </c>
      <c r="D261" s="4">
        <v>10164.94</v>
      </c>
      <c r="E261" s="4">
        <v>10899.29</v>
      </c>
      <c r="F261" s="3" t="s">
        <v>1226</v>
      </c>
      <c r="G261" s="3">
        <f>VLOOKUP(B261,'Profit &amp; Loss'!$B$3:$C$390,2,0)</f>
        <v>4.93</v>
      </c>
    </row>
    <row r="262" spans="1:7" s="18" customFormat="1" x14ac:dyDescent="0.2">
      <c r="A262" s="18" t="s">
        <v>253</v>
      </c>
      <c r="B262" s="18" t="s">
        <v>259</v>
      </c>
      <c r="C262" s="19">
        <v>-228.71</v>
      </c>
      <c r="D262" s="19">
        <v>0</v>
      </c>
      <c r="E262" s="19">
        <v>-228.71</v>
      </c>
      <c r="F262" s="18" t="s">
        <v>2</v>
      </c>
      <c r="G262" s="18">
        <f>VLOOKUP(B262,'Profit &amp; Loss'!$B$3:$C$390,2,0)</f>
        <v>0</v>
      </c>
    </row>
    <row r="263" spans="1:7" s="18" customFormat="1" x14ac:dyDescent="0.2">
      <c r="A263" s="18" t="s">
        <v>253</v>
      </c>
      <c r="B263" s="18" t="s">
        <v>1227</v>
      </c>
      <c r="C263" s="19">
        <v>-142.18</v>
      </c>
      <c r="D263" s="19">
        <v>0</v>
      </c>
      <c r="E263" s="19">
        <v>-142.18</v>
      </c>
      <c r="F263" s="18" t="s">
        <v>2</v>
      </c>
      <c r="G263" s="18">
        <f>VLOOKUP(B263,'Profit &amp; Loss'!$B$3:$C$390,2,0)</f>
        <v>0</v>
      </c>
    </row>
    <row r="264" spans="1:7" x14ac:dyDescent="0.2">
      <c r="A264" s="3" t="s">
        <v>253</v>
      </c>
      <c r="B264" s="3" t="s">
        <v>989</v>
      </c>
      <c r="C264" s="4">
        <v>5.01</v>
      </c>
      <c r="D264" s="4">
        <v>5.01</v>
      </c>
      <c r="E264" s="4">
        <v>0</v>
      </c>
      <c r="F264" s="3" t="s">
        <v>6</v>
      </c>
      <c r="G264" s="3">
        <f>VLOOKUP(B264,'Profit &amp; Loss'!$B$3:$C$390,2,0)</f>
        <v>5.01</v>
      </c>
    </row>
    <row r="265" spans="1:7" x14ac:dyDescent="0.2">
      <c r="A265" s="3" t="s">
        <v>253</v>
      </c>
      <c r="B265" s="3" t="s">
        <v>2</v>
      </c>
      <c r="C265" s="4">
        <v>-824171.89</v>
      </c>
      <c r="D265" s="4">
        <v>-469998.37</v>
      </c>
      <c r="E265" s="4">
        <v>-354173.52</v>
      </c>
      <c r="F265" s="3" t="s">
        <v>515</v>
      </c>
      <c r="G265" s="3" t="e">
        <f>VLOOKUP(B265,'Profit &amp; Loss'!$B$3:$C$390,2,0)</f>
        <v>#N/A</v>
      </c>
    </row>
    <row r="266" spans="1:7" x14ac:dyDescent="0.2">
      <c r="A266" s="3" t="s">
        <v>260</v>
      </c>
      <c r="B266" s="3" t="s">
        <v>261</v>
      </c>
      <c r="C266" s="4">
        <v>-1566034.45</v>
      </c>
      <c r="D266" s="4">
        <v>-1143748.21</v>
      </c>
      <c r="E266" s="4">
        <v>-422286.24</v>
      </c>
      <c r="F266" s="3" t="s">
        <v>1228</v>
      </c>
      <c r="G266" s="3">
        <f>VLOOKUP(B266,'Profit &amp; Loss'!$B$3:$C$390,2,0)</f>
        <v>-646517.02</v>
      </c>
    </row>
    <row r="267" spans="1:7" x14ac:dyDescent="0.2">
      <c r="A267" s="3" t="s">
        <v>260</v>
      </c>
      <c r="B267" s="3" t="s">
        <v>2</v>
      </c>
      <c r="C267" s="4">
        <v>-1566034.45</v>
      </c>
      <c r="D267" s="4">
        <v>-1143748.21</v>
      </c>
      <c r="E267" s="4">
        <v>-422286.24</v>
      </c>
      <c r="F267" s="3" t="s">
        <v>1228</v>
      </c>
      <c r="G267" s="3" t="e">
        <f>VLOOKUP(B267,'Profit &amp; Loss'!$B$3:$C$390,2,0)</f>
        <v>#N/A</v>
      </c>
    </row>
    <row r="268" spans="1:7" x14ac:dyDescent="0.2">
      <c r="A268" s="3" t="s">
        <v>263</v>
      </c>
      <c r="B268" s="3" t="s">
        <v>264</v>
      </c>
      <c r="C268" s="4">
        <v>-310453.28000000003</v>
      </c>
      <c r="D268" s="4">
        <v>-80587.259999999995</v>
      </c>
      <c r="E268" s="4">
        <v>-229866.02</v>
      </c>
      <c r="F268" s="3" t="s">
        <v>1229</v>
      </c>
      <c r="G268" s="3">
        <f>VLOOKUP(B268,'Profit &amp; Loss'!$B$3:$C$390,2,0)</f>
        <v>-52009.78</v>
      </c>
    </row>
    <row r="269" spans="1:7" x14ac:dyDescent="0.2">
      <c r="A269" s="3" t="s">
        <v>263</v>
      </c>
      <c r="B269" s="3" t="s">
        <v>2</v>
      </c>
      <c r="C269" s="4">
        <v>-310453.28000000003</v>
      </c>
      <c r="D269" s="4">
        <v>-80587.259999999995</v>
      </c>
      <c r="E269" s="4">
        <v>-229866.02</v>
      </c>
      <c r="F269" s="3" t="s">
        <v>1229</v>
      </c>
      <c r="G269" s="3" t="e">
        <f>VLOOKUP(B269,'Profit &amp; Loss'!$B$3:$C$390,2,0)</f>
        <v>#N/A</v>
      </c>
    </row>
    <row r="270" spans="1:7" x14ac:dyDescent="0.2">
      <c r="A270" s="3" t="s">
        <v>265</v>
      </c>
      <c r="B270" s="3" t="s">
        <v>2</v>
      </c>
      <c r="C270" s="4">
        <v>-18191208.5</v>
      </c>
      <c r="D270" s="4">
        <v>-11483156.74</v>
      </c>
      <c r="E270" s="4">
        <v>-6708051.7599999998</v>
      </c>
      <c r="F270" s="3" t="s">
        <v>603</v>
      </c>
      <c r="G270" s="3" t="e">
        <f>VLOOKUP(B270,'Profit &amp; Loss'!$B$3:$C$390,2,0)</f>
        <v>#N/A</v>
      </c>
    </row>
    <row r="271" spans="1:7" x14ac:dyDescent="0.2">
      <c r="A271" s="3" t="s">
        <v>266</v>
      </c>
      <c r="B271" s="3" t="s">
        <v>267</v>
      </c>
      <c r="C271" s="4">
        <v>35994.629999999997</v>
      </c>
      <c r="D271" s="4">
        <v>35994.629999999997</v>
      </c>
      <c r="E271" s="4">
        <v>0</v>
      </c>
      <c r="F271" s="3" t="s">
        <v>6</v>
      </c>
      <c r="G271" s="3">
        <f>VLOOKUP(B271,'Profit &amp; Loss'!$B$3:$C$390,2,0)</f>
        <v>35994.629999999997</v>
      </c>
    </row>
    <row r="272" spans="1:7" x14ac:dyDescent="0.2">
      <c r="A272" s="3" t="s">
        <v>266</v>
      </c>
      <c r="B272" s="3" t="s">
        <v>542</v>
      </c>
      <c r="C272" s="4">
        <v>70.900000000000006</v>
      </c>
      <c r="D272" s="4">
        <v>70.900000000000006</v>
      </c>
      <c r="E272" s="4">
        <v>0</v>
      </c>
      <c r="F272" s="3" t="s">
        <v>6</v>
      </c>
      <c r="G272" s="3">
        <f>VLOOKUP(B272,'Profit &amp; Loss'!$B$3:$C$390,2,0)</f>
        <v>0</v>
      </c>
    </row>
    <row r="273" spans="1:7" x14ac:dyDescent="0.2">
      <c r="A273" s="3" t="s">
        <v>266</v>
      </c>
      <c r="B273" s="3" t="s">
        <v>270</v>
      </c>
      <c r="C273" s="4">
        <v>1700</v>
      </c>
      <c r="D273" s="4">
        <v>1700</v>
      </c>
      <c r="E273" s="4">
        <v>0</v>
      </c>
      <c r="F273" s="3" t="s">
        <v>6</v>
      </c>
      <c r="G273" s="3">
        <f>VLOOKUP(B273,'Profit &amp; Loss'!$B$3:$C$390,2,0)</f>
        <v>1700</v>
      </c>
    </row>
    <row r="274" spans="1:7" x14ac:dyDescent="0.2">
      <c r="A274" s="3" t="s">
        <v>266</v>
      </c>
      <c r="B274" s="3" t="s">
        <v>271</v>
      </c>
      <c r="C274" s="4">
        <v>1213.56</v>
      </c>
      <c r="D274" s="4">
        <v>1213.56</v>
      </c>
      <c r="E274" s="4">
        <v>0</v>
      </c>
      <c r="F274" s="3" t="s">
        <v>6</v>
      </c>
      <c r="G274" s="3">
        <f>VLOOKUP(B274,'Profit &amp; Loss'!$B$3:$C$390,2,0)</f>
        <v>687.98</v>
      </c>
    </row>
    <row r="275" spans="1:7" x14ac:dyDescent="0.2">
      <c r="A275" s="3" t="s">
        <v>266</v>
      </c>
      <c r="B275" s="3" t="s">
        <v>272</v>
      </c>
      <c r="C275" s="4">
        <v>3744.15</v>
      </c>
      <c r="D275" s="4">
        <v>3744.15</v>
      </c>
      <c r="E275" s="4">
        <v>0</v>
      </c>
      <c r="F275" s="3" t="s">
        <v>6</v>
      </c>
      <c r="G275" s="3">
        <f>VLOOKUP(B275,'Profit &amp; Loss'!$B$3:$C$390,2,0)</f>
        <v>3744.15</v>
      </c>
    </row>
    <row r="276" spans="1:7" x14ac:dyDescent="0.2">
      <c r="A276" s="3" t="s">
        <v>266</v>
      </c>
      <c r="B276" s="3" t="s">
        <v>273</v>
      </c>
      <c r="C276" s="4">
        <v>107.78</v>
      </c>
      <c r="D276" s="4">
        <v>107.78</v>
      </c>
      <c r="E276" s="4">
        <v>0</v>
      </c>
      <c r="F276" s="3" t="s">
        <v>6</v>
      </c>
      <c r="G276" s="3">
        <f>VLOOKUP(B276,'Profit &amp; Loss'!$B$3:$C$390,2,0)</f>
        <v>0</v>
      </c>
    </row>
    <row r="277" spans="1:7" x14ac:dyDescent="0.2">
      <c r="A277" s="3" t="s">
        <v>266</v>
      </c>
      <c r="B277" s="3" t="s">
        <v>274</v>
      </c>
      <c r="C277" s="4">
        <v>54.02</v>
      </c>
      <c r="D277" s="4">
        <v>54.02</v>
      </c>
      <c r="E277" s="4">
        <v>0</v>
      </c>
      <c r="F277" s="3" t="s">
        <v>6</v>
      </c>
      <c r="G277" s="3">
        <f>VLOOKUP(B277,'Profit &amp; Loss'!$B$3:$C$390,2,0)</f>
        <v>54.02</v>
      </c>
    </row>
    <row r="278" spans="1:7" x14ac:dyDescent="0.2">
      <c r="A278" s="3" t="s">
        <v>266</v>
      </c>
      <c r="B278" s="3" t="s">
        <v>641</v>
      </c>
      <c r="C278" s="4">
        <v>276.83</v>
      </c>
      <c r="D278" s="4">
        <v>178.04</v>
      </c>
      <c r="E278" s="4">
        <v>98.79</v>
      </c>
      <c r="F278" s="3" t="s">
        <v>1230</v>
      </c>
      <c r="G278" s="3">
        <f>VLOOKUP(B278,'Profit &amp; Loss'!$B$3:$C$390,2,0)</f>
        <v>0</v>
      </c>
    </row>
    <row r="279" spans="1:7" x14ac:dyDescent="0.2">
      <c r="A279" s="3" t="s">
        <v>266</v>
      </c>
      <c r="B279" s="3" t="s">
        <v>275</v>
      </c>
      <c r="C279" s="4">
        <v>-1093.8699999999999</v>
      </c>
      <c r="D279" s="4">
        <v>-493.76</v>
      </c>
      <c r="E279" s="4">
        <v>-600.11</v>
      </c>
      <c r="F279" s="3" t="s">
        <v>1231</v>
      </c>
      <c r="G279" s="3">
        <f>VLOOKUP(B279,'Profit &amp; Loss'!$B$3:$C$390,2,0)</f>
        <v>270.11</v>
      </c>
    </row>
    <row r="280" spans="1:7" x14ac:dyDescent="0.2">
      <c r="A280" s="3" t="s">
        <v>266</v>
      </c>
      <c r="B280" s="3" t="s">
        <v>276</v>
      </c>
      <c r="C280" s="4">
        <v>1811.59</v>
      </c>
      <c r="D280" s="4">
        <v>1811.59</v>
      </c>
      <c r="E280" s="4">
        <v>0</v>
      </c>
      <c r="F280" s="3" t="s">
        <v>6</v>
      </c>
      <c r="G280" s="3">
        <f>VLOOKUP(B280,'Profit &amp; Loss'!$B$3:$C$390,2,0)</f>
        <v>1027.45</v>
      </c>
    </row>
    <row r="281" spans="1:7" x14ac:dyDescent="0.2">
      <c r="A281" s="3" t="s">
        <v>266</v>
      </c>
      <c r="B281" s="3" t="s">
        <v>279</v>
      </c>
      <c r="C281" s="4">
        <v>-994.36</v>
      </c>
      <c r="D281" s="4">
        <v>-994.36</v>
      </c>
      <c r="E281" s="4">
        <v>0</v>
      </c>
      <c r="F281" s="3" t="s">
        <v>6</v>
      </c>
      <c r="G281" s="3">
        <f>VLOOKUP(B281,'Profit &amp; Loss'!$B$3:$C$390,2,0)</f>
        <v>611.70000000000005</v>
      </c>
    </row>
    <row r="282" spans="1:7" x14ac:dyDescent="0.2">
      <c r="A282" s="3" t="s">
        <v>266</v>
      </c>
      <c r="B282" s="3" t="s">
        <v>280</v>
      </c>
      <c r="C282" s="4">
        <v>-1974.34</v>
      </c>
      <c r="D282" s="4">
        <v>-6177.34</v>
      </c>
      <c r="E282" s="4">
        <v>4203</v>
      </c>
      <c r="F282" s="3" t="s">
        <v>1232</v>
      </c>
      <c r="G282" s="3">
        <f>VLOOKUP(B282,'Profit &amp; Loss'!$B$3:$C$390,2,0)</f>
        <v>0</v>
      </c>
    </row>
    <row r="283" spans="1:7" x14ac:dyDescent="0.2">
      <c r="A283" s="3" t="s">
        <v>266</v>
      </c>
      <c r="B283" s="3" t="s">
        <v>281</v>
      </c>
      <c r="C283" s="4">
        <v>-1251.47</v>
      </c>
      <c r="D283" s="4">
        <v>-5084.49</v>
      </c>
      <c r="E283" s="4">
        <v>3833.02</v>
      </c>
      <c r="F283" s="3" t="s">
        <v>514</v>
      </c>
      <c r="G283" s="3">
        <f>VLOOKUP(B283,'Profit &amp; Loss'!$B$3:$C$390,2,0)</f>
        <v>-195.89</v>
      </c>
    </row>
    <row r="284" spans="1:7" x14ac:dyDescent="0.2">
      <c r="A284" s="3" t="s">
        <v>266</v>
      </c>
      <c r="B284" s="3" t="s">
        <v>282</v>
      </c>
      <c r="C284" s="4">
        <v>-60.88</v>
      </c>
      <c r="D284" s="4">
        <v>-60.88</v>
      </c>
      <c r="E284" s="4">
        <v>0</v>
      </c>
      <c r="F284" s="3" t="s">
        <v>6</v>
      </c>
      <c r="G284" s="3">
        <f>VLOOKUP(B284,'Profit &amp; Loss'!$B$3:$C$390,2,0)</f>
        <v>0</v>
      </c>
    </row>
    <row r="285" spans="1:7" x14ac:dyDescent="0.2">
      <c r="A285" s="3" t="s">
        <v>266</v>
      </c>
      <c r="B285" s="3" t="s">
        <v>829</v>
      </c>
      <c r="C285" s="4">
        <v>-423.26</v>
      </c>
      <c r="D285" s="4">
        <v>-66421.929999999993</v>
      </c>
      <c r="E285" s="4">
        <v>65998.67</v>
      </c>
      <c r="F285" s="3" t="s">
        <v>1233</v>
      </c>
      <c r="G285" s="3">
        <f>VLOOKUP(B285,'Profit &amp; Loss'!$B$3:$C$390,2,0)</f>
        <v>199.48</v>
      </c>
    </row>
    <row r="286" spans="1:7" x14ac:dyDescent="0.2">
      <c r="A286" s="3" t="s">
        <v>266</v>
      </c>
      <c r="B286" s="3" t="s">
        <v>283</v>
      </c>
      <c r="C286" s="4">
        <v>-1955.09</v>
      </c>
      <c r="D286" s="4">
        <v>-1955.09</v>
      </c>
      <c r="E286" s="4">
        <v>0</v>
      </c>
      <c r="F286" s="3" t="s">
        <v>6</v>
      </c>
      <c r="G286" s="3">
        <f>VLOOKUP(B286,'Profit &amp; Loss'!$B$3:$C$390,2,0)</f>
        <v>1000</v>
      </c>
    </row>
    <row r="287" spans="1:7" x14ac:dyDescent="0.2">
      <c r="A287" s="3" t="s">
        <v>266</v>
      </c>
      <c r="B287" s="3" t="s">
        <v>284</v>
      </c>
      <c r="C287" s="4">
        <v>-455.7</v>
      </c>
      <c r="D287" s="4">
        <v>-455.7</v>
      </c>
      <c r="E287" s="4">
        <v>0</v>
      </c>
      <c r="F287" s="3" t="s">
        <v>6</v>
      </c>
      <c r="G287" s="3">
        <f>VLOOKUP(B287,'Profit &amp; Loss'!$B$3:$C$390,2,0)</f>
        <v>536.67999999999995</v>
      </c>
    </row>
    <row r="288" spans="1:7" x14ac:dyDescent="0.2">
      <c r="A288" s="3" t="s">
        <v>266</v>
      </c>
      <c r="B288" s="3" t="s">
        <v>1062</v>
      </c>
      <c r="C288" s="4">
        <v>0</v>
      </c>
      <c r="D288" s="4">
        <v>-21104.46</v>
      </c>
      <c r="E288" s="4">
        <v>21104.46</v>
      </c>
      <c r="F288" s="3" t="s">
        <v>531</v>
      </c>
      <c r="G288" s="3">
        <f>VLOOKUP(B288,'Profit &amp; Loss'!$B$3:$C$390,2,0)</f>
        <v>0</v>
      </c>
    </row>
    <row r="289" spans="1:7" x14ac:dyDescent="0.2">
      <c r="A289" s="3" t="s">
        <v>266</v>
      </c>
      <c r="B289" s="3" t="s">
        <v>285</v>
      </c>
      <c r="C289" s="4">
        <v>-400</v>
      </c>
      <c r="D289" s="4">
        <v>-400</v>
      </c>
      <c r="E289" s="4">
        <v>0</v>
      </c>
      <c r="F289" s="3" t="s">
        <v>6</v>
      </c>
      <c r="G289" s="3">
        <f>VLOOKUP(B289,'Profit &amp; Loss'!$B$3:$C$390,2,0)</f>
        <v>200</v>
      </c>
    </row>
    <row r="290" spans="1:7" x14ac:dyDescent="0.2">
      <c r="A290" s="3" t="s">
        <v>266</v>
      </c>
      <c r="B290" s="3" t="s">
        <v>2</v>
      </c>
      <c r="C290" s="4">
        <v>36364.49</v>
      </c>
      <c r="D290" s="4">
        <v>-58273.34</v>
      </c>
      <c r="E290" s="4">
        <v>94637.83</v>
      </c>
      <c r="F290" s="3" t="s">
        <v>1234</v>
      </c>
      <c r="G290" s="3" t="e">
        <f>VLOOKUP(B290,'Profit &amp; Loss'!$B$3:$C$390,2,0)</f>
        <v>#N/A</v>
      </c>
    </row>
    <row r="291" spans="1:7" x14ac:dyDescent="0.2">
      <c r="A291" s="3" t="s">
        <v>286</v>
      </c>
      <c r="B291" s="3" t="s">
        <v>287</v>
      </c>
      <c r="C291" s="4">
        <v>10025439.02</v>
      </c>
      <c r="D291" s="4">
        <v>6368456.6699999999</v>
      </c>
      <c r="E291" s="4">
        <v>3656982.35</v>
      </c>
      <c r="F291" s="3" t="s">
        <v>545</v>
      </c>
      <c r="G291" s="3">
        <f>VLOOKUP(B291,'Profit &amp; Loss'!$B$3:$C$390,2,0)</f>
        <v>3184835.62</v>
      </c>
    </row>
    <row r="292" spans="1:7" x14ac:dyDescent="0.2">
      <c r="A292" s="3" t="s">
        <v>286</v>
      </c>
      <c r="B292" s="3" t="s">
        <v>548</v>
      </c>
      <c r="C292" s="4">
        <v>10335.219999999999</v>
      </c>
      <c r="D292" s="4">
        <v>10335.219999999999</v>
      </c>
      <c r="E292" s="4">
        <v>0</v>
      </c>
      <c r="F292" s="3" t="s">
        <v>6</v>
      </c>
      <c r="G292" s="3">
        <f>VLOOKUP(B292,'Profit &amp; Loss'!$B$3:$C$390,2,0)</f>
        <v>7169.99</v>
      </c>
    </row>
    <row r="293" spans="1:7" x14ac:dyDescent="0.2">
      <c r="A293" s="3" t="s">
        <v>286</v>
      </c>
      <c r="B293" s="3" t="s">
        <v>288</v>
      </c>
      <c r="C293" s="4">
        <v>78109.86</v>
      </c>
      <c r="D293" s="4">
        <v>48819.51</v>
      </c>
      <c r="E293" s="4">
        <v>29290.35</v>
      </c>
      <c r="F293" s="3" t="s">
        <v>1235</v>
      </c>
      <c r="G293" s="3">
        <f>VLOOKUP(B293,'Profit &amp; Loss'!$B$3:$C$390,2,0)</f>
        <v>28211.14</v>
      </c>
    </row>
    <row r="294" spans="1:7" x14ac:dyDescent="0.2">
      <c r="A294" s="3" t="s">
        <v>286</v>
      </c>
      <c r="B294" s="3" t="s">
        <v>289</v>
      </c>
      <c r="C294" s="4">
        <v>66.64</v>
      </c>
      <c r="D294" s="4">
        <v>23.26</v>
      </c>
      <c r="E294" s="4">
        <v>43.38</v>
      </c>
      <c r="F294" s="3" t="s">
        <v>1236</v>
      </c>
      <c r="G294" s="3">
        <f>VLOOKUP(B294,'Profit &amp; Loss'!$B$3:$C$390,2,0)</f>
        <v>18.079999999999998</v>
      </c>
    </row>
    <row r="295" spans="1:7" x14ac:dyDescent="0.2">
      <c r="A295" s="3" t="s">
        <v>286</v>
      </c>
      <c r="B295" s="3" t="s">
        <v>952</v>
      </c>
      <c r="C295" s="4">
        <v>9771.2099999999991</v>
      </c>
      <c r="D295" s="4">
        <v>8746</v>
      </c>
      <c r="E295" s="4">
        <v>1025.21</v>
      </c>
      <c r="F295" s="3" t="s">
        <v>675</v>
      </c>
      <c r="G295" s="3">
        <f>VLOOKUP(B295,'Profit &amp; Loss'!$B$3:$C$390,2,0)</f>
        <v>8746</v>
      </c>
    </row>
    <row r="296" spans="1:7" x14ac:dyDescent="0.2">
      <c r="A296" s="3" t="s">
        <v>286</v>
      </c>
      <c r="B296" s="3" t="s">
        <v>290</v>
      </c>
      <c r="C296" s="4">
        <v>44193.69</v>
      </c>
      <c r="D296" s="4">
        <v>79143.070000000007</v>
      </c>
      <c r="E296" s="4">
        <v>-34949.379999999997</v>
      </c>
      <c r="F296" s="3" t="s">
        <v>1237</v>
      </c>
      <c r="G296" s="3">
        <f>VLOOKUP(B296,'Profit &amp; Loss'!$B$3:$C$390,2,0)</f>
        <v>-21923.22</v>
      </c>
    </row>
    <row r="297" spans="1:7" x14ac:dyDescent="0.2">
      <c r="A297" s="3" t="s">
        <v>286</v>
      </c>
      <c r="B297" s="3" t="s">
        <v>291</v>
      </c>
      <c r="C297" s="4">
        <v>-217464.61</v>
      </c>
      <c r="D297" s="4">
        <v>-193087.57</v>
      </c>
      <c r="E297" s="4">
        <v>-24377.040000000001</v>
      </c>
      <c r="F297" s="3" t="s">
        <v>705</v>
      </c>
      <c r="G297" s="3">
        <f>VLOOKUP(B297,'Profit &amp; Loss'!$B$3:$C$390,2,0)</f>
        <v>-107667</v>
      </c>
    </row>
    <row r="298" spans="1:7" s="18" customFormat="1" x14ac:dyDescent="0.2">
      <c r="A298" s="18" t="s">
        <v>286</v>
      </c>
      <c r="B298" s="18" t="s">
        <v>292</v>
      </c>
      <c r="C298" s="19">
        <v>31726.73</v>
      </c>
      <c r="D298" s="19">
        <v>0</v>
      </c>
      <c r="E298" s="19">
        <v>31726.73</v>
      </c>
      <c r="F298" s="18" t="s">
        <v>2</v>
      </c>
      <c r="G298" s="18">
        <f>VLOOKUP(B298,'Profit &amp; Loss'!$B$3:$C$390,2,0)</f>
        <v>0</v>
      </c>
    </row>
    <row r="299" spans="1:7" x14ac:dyDescent="0.2">
      <c r="A299" s="3" t="s">
        <v>286</v>
      </c>
      <c r="B299" s="3" t="s">
        <v>293</v>
      </c>
      <c r="C299" s="4">
        <v>168433.87</v>
      </c>
      <c r="D299" s="4">
        <v>75321.83</v>
      </c>
      <c r="E299" s="4">
        <v>93112.04</v>
      </c>
      <c r="F299" s="3" t="s">
        <v>1238</v>
      </c>
      <c r="G299" s="3">
        <f>VLOOKUP(B299,'Profit &amp; Loss'!$B$3:$C$390,2,0)</f>
        <v>0</v>
      </c>
    </row>
    <row r="300" spans="1:7" s="18" customFormat="1" x14ac:dyDescent="0.2">
      <c r="A300" s="18" t="s">
        <v>286</v>
      </c>
      <c r="B300" s="18" t="s">
        <v>294</v>
      </c>
      <c r="C300" s="19">
        <v>1465.22</v>
      </c>
      <c r="D300" s="19">
        <v>0</v>
      </c>
      <c r="E300" s="19">
        <v>1465.22</v>
      </c>
      <c r="F300" s="18" t="s">
        <v>2</v>
      </c>
      <c r="G300" s="18">
        <f>VLOOKUP(B300,'Profit &amp; Loss'!$B$3:$C$390,2,0)</f>
        <v>0</v>
      </c>
    </row>
    <row r="301" spans="1:7" x14ac:dyDescent="0.2">
      <c r="A301" s="3" t="s">
        <v>286</v>
      </c>
      <c r="B301" s="3" t="s">
        <v>296</v>
      </c>
      <c r="C301" s="4">
        <v>690.13</v>
      </c>
      <c r="D301" s="4">
        <v>1266.6300000000001</v>
      </c>
      <c r="E301" s="4">
        <v>-576.5</v>
      </c>
      <c r="F301" s="3" t="s">
        <v>1239</v>
      </c>
      <c r="G301" s="3">
        <f>VLOOKUP(B301,'Profit &amp; Loss'!$B$3:$C$390,2,0)</f>
        <v>-1015.33</v>
      </c>
    </row>
    <row r="302" spans="1:7" x14ac:dyDescent="0.2">
      <c r="A302" s="3" t="s">
        <v>286</v>
      </c>
      <c r="B302" s="3" t="s">
        <v>2</v>
      </c>
      <c r="C302" s="4">
        <v>10152766.98</v>
      </c>
      <c r="D302" s="4">
        <v>6399024.6200000001</v>
      </c>
      <c r="E302" s="4">
        <v>3753742.36</v>
      </c>
      <c r="F302" s="3" t="s">
        <v>1240</v>
      </c>
      <c r="G302" s="3" t="e">
        <f>VLOOKUP(B302,'Profit &amp; Loss'!$B$3:$C$390,2,0)</f>
        <v>#N/A</v>
      </c>
    </row>
    <row r="303" spans="1:7" x14ac:dyDescent="0.2">
      <c r="A303" s="3" t="s">
        <v>297</v>
      </c>
      <c r="B303" s="3" t="s">
        <v>298</v>
      </c>
      <c r="C303" s="4">
        <v>98675.88</v>
      </c>
      <c r="D303" s="4">
        <v>49422.39</v>
      </c>
      <c r="E303" s="4">
        <v>49253.49</v>
      </c>
      <c r="F303" s="3" t="s">
        <v>1241</v>
      </c>
      <c r="G303" s="3">
        <f>VLOOKUP(B303,'Profit &amp; Loss'!$B$3:$C$390,2,0)</f>
        <v>28187.67</v>
      </c>
    </row>
    <row r="304" spans="1:7" x14ac:dyDescent="0.2">
      <c r="A304" s="3" t="s">
        <v>297</v>
      </c>
      <c r="B304" s="3" t="s">
        <v>299</v>
      </c>
      <c r="C304" s="4">
        <v>406829.72</v>
      </c>
      <c r="D304" s="4">
        <v>237304.87</v>
      </c>
      <c r="E304" s="4">
        <v>169524.85</v>
      </c>
      <c r="F304" s="3" t="s">
        <v>682</v>
      </c>
      <c r="G304" s="3">
        <f>VLOOKUP(B304,'Profit &amp; Loss'!$B$3:$C$390,2,0)</f>
        <v>111346.46</v>
      </c>
    </row>
    <row r="305" spans="1:7" s="18" customFormat="1" x14ac:dyDescent="0.2">
      <c r="A305" s="18" t="s">
        <v>297</v>
      </c>
      <c r="B305" s="18" t="s">
        <v>300</v>
      </c>
      <c r="C305" s="19">
        <v>286.14</v>
      </c>
      <c r="D305" s="19">
        <v>0</v>
      </c>
      <c r="E305" s="19">
        <v>286.14</v>
      </c>
      <c r="F305" s="18" t="s">
        <v>2</v>
      </c>
      <c r="G305" s="18">
        <f>VLOOKUP(B305,'Profit &amp; Loss'!$B$3:$C$390,2,0)</f>
        <v>0</v>
      </c>
    </row>
    <row r="306" spans="1:7" x14ac:dyDescent="0.2">
      <c r="A306" s="3" t="s">
        <v>297</v>
      </c>
      <c r="B306" s="3" t="s">
        <v>2</v>
      </c>
      <c r="C306" s="4">
        <v>505791.74</v>
      </c>
      <c r="D306" s="4">
        <v>286727.26</v>
      </c>
      <c r="E306" s="4">
        <v>219064.48</v>
      </c>
      <c r="F306" s="3" t="s">
        <v>1054</v>
      </c>
      <c r="G306" s="3" t="e">
        <f>VLOOKUP(B306,'Profit &amp; Loss'!$B$3:$C$390,2,0)</f>
        <v>#N/A</v>
      </c>
    </row>
    <row r="307" spans="1:7" x14ac:dyDescent="0.2">
      <c r="A307" s="3" t="s">
        <v>301</v>
      </c>
      <c r="B307" s="3" t="s">
        <v>302</v>
      </c>
      <c r="C307" s="4">
        <v>17551.22</v>
      </c>
      <c r="D307" s="4">
        <v>11414.94</v>
      </c>
      <c r="E307" s="4">
        <v>6136.28</v>
      </c>
      <c r="F307" s="3" t="s">
        <v>1242</v>
      </c>
      <c r="G307" s="3">
        <f>VLOOKUP(B307,'Profit &amp; Loss'!$B$3:$C$390,2,0)</f>
        <v>5793.22</v>
      </c>
    </row>
    <row r="308" spans="1:7" x14ac:dyDescent="0.2">
      <c r="A308" s="3" t="s">
        <v>301</v>
      </c>
      <c r="B308" s="3" t="s">
        <v>303</v>
      </c>
      <c r="C308" s="4">
        <v>11258.63</v>
      </c>
      <c r="D308" s="4">
        <v>10211.73</v>
      </c>
      <c r="E308" s="4">
        <v>1046.9000000000001</v>
      </c>
      <c r="F308" s="3" t="s">
        <v>831</v>
      </c>
      <c r="G308" s="3">
        <f>VLOOKUP(B308,'Profit &amp; Loss'!$B$3:$C$390,2,0)</f>
        <v>2303.9899999999998</v>
      </c>
    </row>
    <row r="309" spans="1:7" x14ac:dyDescent="0.2">
      <c r="A309" s="3" t="s">
        <v>301</v>
      </c>
      <c r="B309" s="3" t="s">
        <v>305</v>
      </c>
      <c r="C309" s="4">
        <v>40397.660000000003</v>
      </c>
      <c r="D309" s="4">
        <v>24944.1</v>
      </c>
      <c r="E309" s="4">
        <v>15453.56</v>
      </c>
      <c r="F309" s="3" t="s">
        <v>1243</v>
      </c>
      <c r="G309" s="3">
        <f>VLOOKUP(B309,'Profit &amp; Loss'!$B$3:$C$390,2,0)</f>
        <v>9337.1200000000008</v>
      </c>
    </row>
    <row r="310" spans="1:7" x14ac:dyDescent="0.2">
      <c r="A310" s="3" t="s">
        <v>301</v>
      </c>
      <c r="B310" s="3" t="s">
        <v>306</v>
      </c>
      <c r="C310" s="4">
        <v>318895.88</v>
      </c>
      <c r="D310" s="4">
        <v>152633.81</v>
      </c>
      <c r="E310" s="4">
        <v>166262.07</v>
      </c>
      <c r="F310" s="3" t="s">
        <v>1110</v>
      </c>
      <c r="G310" s="3">
        <f>VLOOKUP(B310,'Profit &amp; Loss'!$B$3:$C$390,2,0)</f>
        <v>86638.62</v>
      </c>
    </row>
    <row r="311" spans="1:7" x14ac:dyDescent="0.2">
      <c r="A311" s="3" t="s">
        <v>301</v>
      </c>
      <c r="B311" s="3" t="s">
        <v>838</v>
      </c>
      <c r="C311" s="4">
        <v>-31</v>
      </c>
      <c r="D311" s="4">
        <v>-31</v>
      </c>
      <c r="E311" s="4">
        <v>0</v>
      </c>
      <c r="F311" s="3" t="s">
        <v>6</v>
      </c>
      <c r="G311" s="3">
        <f>VLOOKUP(B311,'Profit &amp; Loss'!$B$3:$C$390,2,0)</f>
        <v>0</v>
      </c>
    </row>
    <row r="312" spans="1:7" x14ac:dyDescent="0.2">
      <c r="A312" s="3" t="s">
        <v>301</v>
      </c>
      <c r="B312" s="3" t="s">
        <v>307</v>
      </c>
      <c r="C312" s="4">
        <v>472444.54</v>
      </c>
      <c r="D312" s="4">
        <v>305409.5</v>
      </c>
      <c r="E312" s="4">
        <v>167035.04</v>
      </c>
      <c r="F312" s="3" t="s">
        <v>541</v>
      </c>
      <c r="G312" s="3">
        <f>VLOOKUP(B312,'Profit &amp; Loss'!$B$3:$C$390,2,0)</f>
        <v>155566</v>
      </c>
    </row>
    <row r="313" spans="1:7" x14ac:dyDescent="0.2">
      <c r="A313" s="3" t="s">
        <v>301</v>
      </c>
      <c r="B313" s="3" t="s">
        <v>308</v>
      </c>
      <c r="C313" s="4">
        <v>5356.12</v>
      </c>
      <c r="D313" s="4">
        <v>5356.12</v>
      </c>
      <c r="E313" s="4">
        <v>0</v>
      </c>
      <c r="F313" s="3" t="s">
        <v>6</v>
      </c>
      <c r="G313" s="3">
        <f>VLOOKUP(B313,'Profit &amp; Loss'!$B$3:$C$390,2,0)</f>
        <v>5356.12</v>
      </c>
    </row>
    <row r="314" spans="1:7" x14ac:dyDescent="0.2">
      <c r="A314" s="3" t="s">
        <v>301</v>
      </c>
      <c r="B314" s="3" t="s">
        <v>2</v>
      </c>
      <c r="C314" s="4">
        <v>865873.05</v>
      </c>
      <c r="D314" s="4">
        <v>509939.20000000001</v>
      </c>
      <c r="E314" s="4">
        <v>355933.85</v>
      </c>
      <c r="F314" s="3" t="s">
        <v>552</v>
      </c>
      <c r="G314" s="3" t="e">
        <f>VLOOKUP(B314,'Profit &amp; Loss'!$B$3:$C$390,2,0)</f>
        <v>#N/A</v>
      </c>
    </row>
    <row r="315" spans="1:7" x14ac:dyDescent="0.2">
      <c r="A315" s="3" t="s">
        <v>310</v>
      </c>
      <c r="B315" s="3" t="s">
        <v>311</v>
      </c>
      <c r="C315" s="4">
        <v>214158.91</v>
      </c>
      <c r="D315" s="4">
        <v>55939.92</v>
      </c>
      <c r="E315" s="4">
        <v>158218.99</v>
      </c>
      <c r="F315" s="3" t="s">
        <v>1244</v>
      </c>
      <c r="G315" s="3">
        <f>VLOOKUP(B315,'Profit &amp; Loss'!$B$3:$C$390,2,0)</f>
        <v>32947.410000000003</v>
      </c>
    </row>
    <row r="316" spans="1:7" x14ac:dyDescent="0.2">
      <c r="A316" s="3" t="s">
        <v>310</v>
      </c>
      <c r="B316" s="3" t="s">
        <v>2</v>
      </c>
      <c r="C316" s="4">
        <v>214158.91</v>
      </c>
      <c r="D316" s="4">
        <v>55939.92</v>
      </c>
      <c r="E316" s="4">
        <v>158218.99</v>
      </c>
      <c r="F316" s="3" t="s">
        <v>1244</v>
      </c>
      <c r="G316" s="3" t="e">
        <f>VLOOKUP(B316,'Profit &amp; Loss'!$B$3:$C$390,2,0)</f>
        <v>#N/A</v>
      </c>
    </row>
    <row r="317" spans="1:7" x14ac:dyDescent="0.2">
      <c r="A317" s="3" t="s">
        <v>312</v>
      </c>
      <c r="B317" s="3" t="s">
        <v>2</v>
      </c>
      <c r="C317" s="4">
        <v>11774955.17</v>
      </c>
      <c r="D317" s="4">
        <v>7193357.6600000001</v>
      </c>
      <c r="E317" s="4">
        <v>4581597.51</v>
      </c>
      <c r="F317" s="3" t="s">
        <v>1245</v>
      </c>
      <c r="G317" s="3" t="e">
        <f>VLOOKUP(B317,'Profit &amp; Loss'!$B$3:$C$390,2,0)</f>
        <v>#N/A</v>
      </c>
    </row>
    <row r="318" spans="1:7" x14ac:dyDescent="0.2">
      <c r="A318" s="3" t="s">
        <v>313</v>
      </c>
      <c r="B318" s="3" t="s">
        <v>314</v>
      </c>
      <c r="C318" s="4">
        <v>165690.39000000001</v>
      </c>
      <c r="D318" s="4">
        <v>108875.36</v>
      </c>
      <c r="E318" s="4">
        <v>56815.03</v>
      </c>
      <c r="F318" s="3" t="s">
        <v>896</v>
      </c>
      <c r="G318" s="3">
        <f>VLOOKUP(B318,'Profit &amp; Loss'!$B$3:$C$390,2,0)</f>
        <v>47720.12</v>
      </c>
    </row>
    <row r="319" spans="1:7" x14ac:dyDescent="0.2">
      <c r="A319" s="3" t="s">
        <v>313</v>
      </c>
      <c r="B319" s="3" t="s">
        <v>315</v>
      </c>
      <c r="C319" s="4">
        <v>5784.84</v>
      </c>
      <c r="D319" s="4">
        <v>4635.6499999999996</v>
      </c>
      <c r="E319" s="4">
        <v>1149.19</v>
      </c>
      <c r="F319" s="3" t="s">
        <v>628</v>
      </c>
      <c r="G319" s="3">
        <f>VLOOKUP(B319,'Profit &amp; Loss'!$B$3:$C$390,2,0)</f>
        <v>3030.51</v>
      </c>
    </row>
    <row r="320" spans="1:7" x14ac:dyDescent="0.2">
      <c r="A320" s="3" t="s">
        <v>313</v>
      </c>
      <c r="B320" s="3" t="s">
        <v>558</v>
      </c>
      <c r="C320" s="4">
        <v>1574.29</v>
      </c>
      <c r="D320" s="4">
        <v>1574.29</v>
      </c>
      <c r="E320" s="4">
        <v>0</v>
      </c>
      <c r="F320" s="3" t="s">
        <v>6</v>
      </c>
      <c r="G320" s="3">
        <f>VLOOKUP(B320,'Profit &amp; Loss'!$B$3:$C$390,2,0)</f>
        <v>0</v>
      </c>
    </row>
    <row r="321" spans="1:7" x14ac:dyDescent="0.2">
      <c r="A321" s="3" t="s">
        <v>313</v>
      </c>
      <c r="B321" s="3" t="s">
        <v>559</v>
      </c>
      <c r="C321" s="4">
        <v>4408.71</v>
      </c>
      <c r="D321" s="4">
        <v>4279.72</v>
      </c>
      <c r="E321" s="4">
        <v>128.99</v>
      </c>
      <c r="F321" s="3" t="s">
        <v>696</v>
      </c>
      <c r="G321" s="3">
        <f>VLOOKUP(B321,'Profit &amp; Loss'!$B$3:$C$390,2,0)</f>
        <v>3030.51</v>
      </c>
    </row>
    <row r="322" spans="1:7" x14ac:dyDescent="0.2">
      <c r="A322" s="3" t="s">
        <v>313</v>
      </c>
      <c r="B322" s="3" t="s">
        <v>316</v>
      </c>
      <c r="C322" s="4">
        <v>38600.1</v>
      </c>
      <c r="D322" s="4">
        <v>25592.02</v>
      </c>
      <c r="E322" s="4">
        <v>13008.08</v>
      </c>
      <c r="F322" s="3" t="s">
        <v>1246</v>
      </c>
      <c r="G322" s="3">
        <f>VLOOKUP(B322,'Profit &amp; Loss'!$B$3:$C$390,2,0)</f>
        <v>21674.33</v>
      </c>
    </row>
    <row r="323" spans="1:7" x14ac:dyDescent="0.2">
      <c r="A323" s="3" t="s">
        <v>313</v>
      </c>
      <c r="B323" s="3" t="s">
        <v>317</v>
      </c>
      <c r="C323" s="4">
        <v>717.7</v>
      </c>
      <c r="D323" s="4">
        <v>527.91</v>
      </c>
      <c r="E323" s="4">
        <v>189.79</v>
      </c>
      <c r="F323" s="3" t="s">
        <v>793</v>
      </c>
      <c r="G323" s="3">
        <f>VLOOKUP(B323,'Profit &amp; Loss'!$B$3:$C$390,2,0)</f>
        <v>423.23</v>
      </c>
    </row>
    <row r="324" spans="1:7" x14ac:dyDescent="0.2">
      <c r="A324" s="3" t="s">
        <v>313</v>
      </c>
      <c r="B324" s="3" t="s">
        <v>318</v>
      </c>
      <c r="C324" s="4">
        <v>28342.91</v>
      </c>
      <c r="D324" s="4">
        <v>22349.7</v>
      </c>
      <c r="E324" s="4">
        <v>5993.21</v>
      </c>
      <c r="F324" s="3" t="s">
        <v>485</v>
      </c>
      <c r="G324" s="3">
        <f>VLOOKUP(B324,'Profit &amp; Loss'!$B$3:$C$390,2,0)</f>
        <v>12048.91</v>
      </c>
    </row>
    <row r="325" spans="1:7" x14ac:dyDescent="0.2">
      <c r="A325" s="3" t="s">
        <v>313</v>
      </c>
      <c r="B325" s="3" t="s">
        <v>319</v>
      </c>
      <c r="C325" s="4">
        <v>121419.43</v>
      </c>
      <c r="D325" s="4">
        <v>80783.929999999993</v>
      </c>
      <c r="E325" s="4">
        <v>40635.5</v>
      </c>
      <c r="F325" s="3" t="s">
        <v>856</v>
      </c>
      <c r="G325" s="3">
        <f>VLOOKUP(B325,'Profit &amp; Loss'!$B$3:$C$390,2,0)</f>
        <v>40731.18</v>
      </c>
    </row>
    <row r="326" spans="1:7" x14ac:dyDescent="0.2">
      <c r="A326" s="3" t="s">
        <v>313</v>
      </c>
      <c r="B326" s="3" t="s">
        <v>320</v>
      </c>
      <c r="C326" s="4">
        <v>12357.51</v>
      </c>
      <c r="D326" s="4">
        <v>7534.53</v>
      </c>
      <c r="E326" s="4">
        <v>4822.9799999999996</v>
      </c>
      <c r="F326" s="3" t="s">
        <v>1044</v>
      </c>
      <c r="G326" s="3">
        <f>VLOOKUP(B326,'Profit &amp; Loss'!$B$3:$C$390,2,0)</f>
        <v>4675.82</v>
      </c>
    </row>
    <row r="327" spans="1:7" x14ac:dyDescent="0.2">
      <c r="A327" s="3" t="s">
        <v>313</v>
      </c>
      <c r="B327" s="3" t="s">
        <v>321</v>
      </c>
      <c r="C327" s="4">
        <v>-376741.97</v>
      </c>
      <c r="D327" s="4">
        <v>-243221.34</v>
      </c>
      <c r="E327" s="4">
        <v>-133520.63</v>
      </c>
      <c r="F327" s="3" t="s">
        <v>1052</v>
      </c>
      <c r="G327" s="3">
        <f>VLOOKUP(B327,'Profit &amp; Loss'!$B$3:$C$390,2,0)</f>
        <v>-127447.83</v>
      </c>
    </row>
    <row r="328" spans="1:7" x14ac:dyDescent="0.2">
      <c r="A328" s="3" t="s">
        <v>313</v>
      </c>
      <c r="B328" s="3" t="s">
        <v>841</v>
      </c>
      <c r="C328" s="4">
        <v>26848.11</v>
      </c>
      <c r="D328" s="4">
        <v>-8686.39</v>
      </c>
      <c r="E328" s="4">
        <v>35534.5</v>
      </c>
      <c r="F328" s="3" t="s">
        <v>1247</v>
      </c>
      <c r="G328" s="3">
        <f>VLOOKUP(B328,'Profit &amp; Loss'!$B$3:$C$390,2,0)</f>
        <v>-27313.17</v>
      </c>
    </row>
    <row r="329" spans="1:7" x14ac:dyDescent="0.2">
      <c r="A329" s="3" t="s">
        <v>313</v>
      </c>
      <c r="B329" s="3" t="s">
        <v>560</v>
      </c>
      <c r="C329" s="4">
        <v>17199.07</v>
      </c>
      <c r="D329" s="4">
        <v>17199.07</v>
      </c>
      <c r="E329" s="4">
        <v>0</v>
      </c>
      <c r="F329" s="3" t="s">
        <v>6</v>
      </c>
      <c r="G329" s="3">
        <f>VLOOKUP(B329,'Profit &amp; Loss'!$B$3:$C$390,2,0)</f>
        <v>1760.34</v>
      </c>
    </row>
    <row r="330" spans="1:7" x14ac:dyDescent="0.2">
      <c r="A330" s="3" t="s">
        <v>313</v>
      </c>
      <c r="B330" s="3" t="s">
        <v>1085</v>
      </c>
      <c r="C330" s="4">
        <v>575.25</v>
      </c>
      <c r="D330" s="4">
        <v>575.25</v>
      </c>
      <c r="E330" s="4">
        <v>0</v>
      </c>
      <c r="F330" s="3" t="s">
        <v>6</v>
      </c>
      <c r="G330" s="3">
        <f>VLOOKUP(B330,'Profit &amp; Loss'!$B$3:$C$390,2,0)</f>
        <v>0</v>
      </c>
    </row>
    <row r="331" spans="1:7" x14ac:dyDescent="0.2">
      <c r="A331" s="3" t="s">
        <v>313</v>
      </c>
      <c r="B331" s="3" t="s">
        <v>990</v>
      </c>
      <c r="C331" s="4">
        <v>-160.66</v>
      </c>
      <c r="D331" s="4">
        <v>-160.66</v>
      </c>
      <c r="E331" s="4">
        <v>0</v>
      </c>
      <c r="F331" s="3" t="s">
        <v>6</v>
      </c>
      <c r="G331" s="3">
        <f>VLOOKUP(B331,'Profit &amp; Loss'!$B$3:$C$390,2,0)</f>
        <v>-40.28</v>
      </c>
    </row>
    <row r="332" spans="1:7" x14ac:dyDescent="0.2">
      <c r="A332" s="3" t="s">
        <v>313</v>
      </c>
      <c r="B332" s="3" t="s">
        <v>322</v>
      </c>
      <c r="C332" s="4">
        <v>153.31</v>
      </c>
      <c r="D332" s="4">
        <v>50.87</v>
      </c>
      <c r="E332" s="4">
        <v>102.44</v>
      </c>
      <c r="F332" s="3" t="s">
        <v>1248</v>
      </c>
      <c r="G332" s="3">
        <f>VLOOKUP(B332,'Profit &amp; Loss'!$B$3:$C$390,2,0)</f>
        <v>2.09</v>
      </c>
    </row>
    <row r="333" spans="1:7" x14ac:dyDescent="0.2">
      <c r="A333" s="3" t="s">
        <v>313</v>
      </c>
      <c r="B333" s="3" t="s">
        <v>652</v>
      </c>
      <c r="C333" s="4">
        <v>111.23</v>
      </c>
      <c r="D333" s="4">
        <v>90.31</v>
      </c>
      <c r="E333" s="4">
        <v>20.92</v>
      </c>
      <c r="F333" s="3" t="s">
        <v>776</v>
      </c>
      <c r="G333" s="3">
        <f>VLOOKUP(B333,'Profit &amp; Loss'!$B$3:$C$390,2,0)</f>
        <v>35.14</v>
      </c>
    </row>
    <row r="334" spans="1:7" x14ac:dyDescent="0.2">
      <c r="A334" s="3" t="s">
        <v>313</v>
      </c>
      <c r="B334" s="3" t="s">
        <v>323</v>
      </c>
      <c r="C334" s="4">
        <v>7825.89</v>
      </c>
      <c r="D334" s="4">
        <v>3243.68</v>
      </c>
      <c r="E334" s="4">
        <v>4582.21</v>
      </c>
      <c r="F334" s="3" t="s">
        <v>1249</v>
      </c>
      <c r="G334" s="3">
        <f>VLOOKUP(B334,'Profit &amp; Loss'!$B$3:$C$390,2,0)</f>
        <v>3243.68</v>
      </c>
    </row>
    <row r="335" spans="1:7" x14ac:dyDescent="0.2">
      <c r="A335" s="3" t="s">
        <v>313</v>
      </c>
      <c r="B335" s="3" t="s">
        <v>324</v>
      </c>
      <c r="C335" s="4">
        <v>88693.3</v>
      </c>
      <c r="D335" s="4">
        <v>51670.78</v>
      </c>
      <c r="E335" s="4">
        <v>37022.519999999997</v>
      </c>
      <c r="F335" s="3" t="s">
        <v>1250</v>
      </c>
      <c r="G335" s="3">
        <f>VLOOKUP(B335,'Profit &amp; Loss'!$B$3:$C$390,2,0)</f>
        <v>33298</v>
      </c>
    </row>
    <row r="336" spans="1:7" x14ac:dyDescent="0.2">
      <c r="A336" s="3" t="s">
        <v>313</v>
      </c>
      <c r="B336" s="3" t="s">
        <v>913</v>
      </c>
      <c r="C336" s="4">
        <v>118.21</v>
      </c>
      <c r="D336" s="4">
        <v>118.21</v>
      </c>
      <c r="E336" s="4">
        <v>0</v>
      </c>
      <c r="F336" s="3" t="s">
        <v>6</v>
      </c>
      <c r="G336" s="3">
        <f>VLOOKUP(B336,'Profit &amp; Loss'!$B$3:$C$390,2,0)</f>
        <v>0</v>
      </c>
    </row>
    <row r="337" spans="1:7" x14ac:dyDescent="0.2">
      <c r="A337" s="3" t="s">
        <v>313</v>
      </c>
      <c r="B337" s="3" t="s">
        <v>561</v>
      </c>
      <c r="C337" s="4">
        <v>402.41</v>
      </c>
      <c r="D337" s="4">
        <v>89.1</v>
      </c>
      <c r="E337" s="4">
        <v>313.31</v>
      </c>
      <c r="F337" s="3" t="s">
        <v>1251</v>
      </c>
      <c r="G337" s="3">
        <f>VLOOKUP(B337,'Profit &amp; Loss'!$B$3:$C$390,2,0)</f>
        <v>0</v>
      </c>
    </row>
    <row r="338" spans="1:7" x14ac:dyDescent="0.2">
      <c r="A338" s="3" t="s">
        <v>313</v>
      </c>
      <c r="B338" s="3" t="s">
        <v>654</v>
      </c>
      <c r="C338" s="4">
        <v>868.82</v>
      </c>
      <c r="D338" s="4">
        <v>868.82</v>
      </c>
      <c r="E338" s="4">
        <v>0</v>
      </c>
      <c r="F338" s="3" t="s">
        <v>6</v>
      </c>
      <c r="G338" s="3">
        <f>VLOOKUP(B338,'Profit &amp; Loss'!$B$3:$C$390,2,0)</f>
        <v>36.44</v>
      </c>
    </row>
    <row r="339" spans="1:7" x14ac:dyDescent="0.2">
      <c r="A339" s="3" t="s">
        <v>313</v>
      </c>
      <c r="B339" s="3" t="s">
        <v>991</v>
      </c>
      <c r="C339" s="4">
        <v>39956.959999999999</v>
      </c>
      <c r="D339" s="4">
        <v>1184.6400000000001</v>
      </c>
      <c r="E339" s="4">
        <v>38772.32</v>
      </c>
      <c r="F339" s="3" t="s">
        <v>1252</v>
      </c>
      <c r="G339" s="3">
        <f>VLOOKUP(B339,'Profit &amp; Loss'!$B$3:$C$390,2,0)</f>
        <v>-28825.55</v>
      </c>
    </row>
    <row r="340" spans="1:7" x14ac:dyDescent="0.2">
      <c r="A340" s="3" t="s">
        <v>313</v>
      </c>
      <c r="B340" s="3" t="s">
        <v>326</v>
      </c>
      <c r="C340" s="4">
        <v>16855.45</v>
      </c>
      <c r="D340" s="4">
        <v>10391.33</v>
      </c>
      <c r="E340" s="4">
        <v>6464.12</v>
      </c>
      <c r="F340" s="3" t="s">
        <v>1253</v>
      </c>
      <c r="G340" s="3">
        <f>VLOOKUP(B340,'Profit &amp; Loss'!$B$3:$C$390,2,0)</f>
        <v>-435.68</v>
      </c>
    </row>
    <row r="341" spans="1:7" s="18" customFormat="1" x14ac:dyDescent="0.2">
      <c r="A341" s="18" t="s">
        <v>313</v>
      </c>
      <c r="B341" s="18" t="s">
        <v>1254</v>
      </c>
      <c r="C341" s="19">
        <v>124.19</v>
      </c>
      <c r="D341" s="19">
        <v>0</v>
      </c>
      <c r="E341" s="19">
        <v>124.19</v>
      </c>
      <c r="F341" s="18" t="s">
        <v>2</v>
      </c>
      <c r="G341" s="18">
        <f>VLOOKUP(B341,'Profit &amp; Loss'!$B$3:$C$390,2,0)</f>
        <v>0</v>
      </c>
    </row>
    <row r="342" spans="1:7" x14ac:dyDescent="0.2">
      <c r="A342" s="3" t="s">
        <v>313</v>
      </c>
      <c r="B342" s="3" t="s">
        <v>327</v>
      </c>
      <c r="C342" s="4">
        <v>286.14</v>
      </c>
      <c r="D342" s="4">
        <v>286.14</v>
      </c>
      <c r="E342" s="4">
        <v>0</v>
      </c>
      <c r="F342" s="3" t="s">
        <v>6</v>
      </c>
      <c r="G342" s="3">
        <f>VLOOKUP(B342,'Profit &amp; Loss'!$B$3:$C$390,2,0)</f>
        <v>286.14</v>
      </c>
    </row>
    <row r="343" spans="1:7" x14ac:dyDescent="0.2">
      <c r="A343" s="3" t="s">
        <v>313</v>
      </c>
      <c r="B343" s="3" t="s">
        <v>328</v>
      </c>
      <c r="C343" s="4">
        <v>-1662.77</v>
      </c>
      <c r="D343" s="4">
        <v>-1852.78</v>
      </c>
      <c r="E343" s="4">
        <v>190.01</v>
      </c>
      <c r="F343" s="3" t="s">
        <v>831</v>
      </c>
      <c r="G343" s="3">
        <f>VLOOKUP(B343,'Profit &amp; Loss'!$B$3:$C$390,2,0)</f>
        <v>-756.63</v>
      </c>
    </row>
    <row r="344" spans="1:7" x14ac:dyDescent="0.2">
      <c r="A344" s="3" t="s">
        <v>313</v>
      </c>
      <c r="B344" s="3" t="s">
        <v>656</v>
      </c>
      <c r="C344" s="4">
        <v>21443.759999999998</v>
      </c>
      <c r="D344" s="4">
        <v>2619.3000000000002</v>
      </c>
      <c r="E344" s="4">
        <v>18824.46</v>
      </c>
      <c r="F344" s="3" t="s">
        <v>1255</v>
      </c>
      <c r="G344" s="3">
        <f>VLOOKUP(B344,'Profit &amp; Loss'!$B$3:$C$390,2,0)</f>
        <v>0</v>
      </c>
    </row>
    <row r="345" spans="1:7" x14ac:dyDescent="0.2">
      <c r="A345" s="3" t="s">
        <v>313</v>
      </c>
      <c r="B345" s="3" t="s">
        <v>329</v>
      </c>
      <c r="C345" s="4">
        <v>14130.63</v>
      </c>
      <c r="D345" s="4">
        <v>8679.5400000000009</v>
      </c>
      <c r="E345" s="4">
        <v>5451.09</v>
      </c>
      <c r="F345" s="3" t="s">
        <v>1256</v>
      </c>
      <c r="G345" s="3">
        <f>VLOOKUP(B345,'Profit &amp; Loss'!$B$3:$C$390,2,0)</f>
        <v>6174.84</v>
      </c>
    </row>
    <row r="346" spans="1:7" x14ac:dyDescent="0.2">
      <c r="A346" s="3" t="s">
        <v>313</v>
      </c>
      <c r="B346" s="3" t="s">
        <v>330</v>
      </c>
      <c r="C346" s="4">
        <v>3882.95</v>
      </c>
      <c r="D346" s="4">
        <v>2476.0100000000002</v>
      </c>
      <c r="E346" s="4">
        <v>1406.94</v>
      </c>
      <c r="F346" s="3" t="s">
        <v>648</v>
      </c>
      <c r="G346" s="3">
        <f>VLOOKUP(B346,'Profit &amp; Loss'!$B$3:$C$390,2,0)</f>
        <v>890.78</v>
      </c>
    </row>
    <row r="347" spans="1:7" x14ac:dyDescent="0.2">
      <c r="A347" s="3" t="s">
        <v>313</v>
      </c>
      <c r="B347" s="3" t="s">
        <v>331</v>
      </c>
      <c r="C347" s="4">
        <v>11776.82</v>
      </c>
      <c r="D347" s="4">
        <v>2431.83</v>
      </c>
      <c r="E347" s="4">
        <v>9344.99</v>
      </c>
      <c r="F347" s="3" t="s">
        <v>1257</v>
      </c>
      <c r="G347" s="3">
        <f>VLOOKUP(B347,'Profit &amp; Loss'!$B$3:$C$390,2,0)</f>
        <v>-3008.88</v>
      </c>
    </row>
    <row r="348" spans="1:7" x14ac:dyDescent="0.2">
      <c r="A348" s="3" t="s">
        <v>313</v>
      </c>
      <c r="B348" s="3" t="s">
        <v>332</v>
      </c>
      <c r="C348" s="4">
        <v>186.42</v>
      </c>
      <c r="D348" s="4">
        <v>96.96</v>
      </c>
      <c r="E348" s="4">
        <v>89.46</v>
      </c>
      <c r="F348" s="3" t="s">
        <v>1258</v>
      </c>
      <c r="G348" s="3">
        <f>VLOOKUP(B348,'Profit &amp; Loss'!$B$3:$C$390,2,0)</f>
        <v>24.68</v>
      </c>
    </row>
    <row r="349" spans="1:7" s="18" customFormat="1" x14ac:dyDescent="0.2">
      <c r="A349" s="18" t="s">
        <v>313</v>
      </c>
      <c r="B349" s="18" t="s">
        <v>657</v>
      </c>
      <c r="C349" s="19">
        <v>66385.83</v>
      </c>
      <c r="D349" s="19">
        <v>0</v>
      </c>
      <c r="E349" s="19">
        <v>66385.83</v>
      </c>
      <c r="F349" s="18" t="s">
        <v>2</v>
      </c>
      <c r="G349" s="18">
        <f>VLOOKUP(B349,'Profit &amp; Loss'!$B$3:$C$390,2,0)</f>
        <v>0</v>
      </c>
    </row>
    <row r="350" spans="1:7" x14ac:dyDescent="0.2">
      <c r="A350" s="3" t="s">
        <v>313</v>
      </c>
      <c r="B350" s="3" t="s">
        <v>333</v>
      </c>
      <c r="C350" s="4">
        <v>7724.36</v>
      </c>
      <c r="D350" s="4">
        <v>4223.08</v>
      </c>
      <c r="E350" s="4">
        <v>3501.28</v>
      </c>
      <c r="F350" s="3" t="s">
        <v>1259</v>
      </c>
      <c r="G350" s="3">
        <f>VLOOKUP(B350,'Profit &amp; Loss'!$B$3:$C$390,2,0)</f>
        <v>3308.5</v>
      </c>
    </row>
    <row r="351" spans="1:7" x14ac:dyDescent="0.2">
      <c r="A351" s="3" t="s">
        <v>313</v>
      </c>
      <c r="B351" s="3" t="s">
        <v>658</v>
      </c>
      <c r="C351" s="4">
        <v>0</v>
      </c>
      <c r="D351" s="4">
        <v>2303.5500000000002</v>
      </c>
      <c r="E351" s="4">
        <v>-2303.5500000000002</v>
      </c>
      <c r="F351" s="3" t="s">
        <v>475</v>
      </c>
      <c r="G351" s="3">
        <f>VLOOKUP(B351,'Profit &amp; Loss'!$B$3:$C$390,2,0)</f>
        <v>2303.5500000000002</v>
      </c>
    </row>
    <row r="352" spans="1:7" x14ac:dyDescent="0.2">
      <c r="A352" s="3" t="s">
        <v>313</v>
      </c>
      <c r="B352" s="3" t="s">
        <v>2</v>
      </c>
      <c r="C352" s="4">
        <v>325879.59000000003</v>
      </c>
      <c r="D352" s="4">
        <v>110830.41</v>
      </c>
      <c r="E352" s="4">
        <v>215049.18</v>
      </c>
      <c r="F352" s="3" t="s">
        <v>1260</v>
      </c>
      <c r="G352" s="3" t="e">
        <f>VLOOKUP(B352,'Profit &amp; Loss'!$B$3:$C$390,2,0)</f>
        <v>#N/A</v>
      </c>
    </row>
    <row r="353" spans="1:7" x14ac:dyDescent="0.2">
      <c r="A353" s="3" t="s">
        <v>334</v>
      </c>
      <c r="B353" s="3" t="s">
        <v>335</v>
      </c>
      <c r="C353" s="4">
        <v>223733.47</v>
      </c>
      <c r="D353" s="4">
        <v>148723.21</v>
      </c>
      <c r="E353" s="4">
        <v>75010.259999999995</v>
      </c>
      <c r="F353" s="3" t="s">
        <v>651</v>
      </c>
      <c r="G353" s="3">
        <f>VLOOKUP(B353,'Profit &amp; Loss'!$B$3:$C$390,2,0)</f>
        <v>55035.39</v>
      </c>
    </row>
    <row r="354" spans="1:7" x14ac:dyDescent="0.2">
      <c r="A354" s="3" t="s">
        <v>334</v>
      </c>
      <c r="B354" s="3" t="s">
        <v>562</v>
      </c>
      <c r="C354" s="4">
        <v>850.38</v>
      </c>
      <c r="D354" s="4">
        <v>850.38</v>
      </c>
      <c r="E354" s="4">
        <v>0</v>
      </c>
      <c r="F354" s="3" t="s">
        <v>6</v>
      </c>
      <c r="G354" s="3">
        <f>VLOOKUP(B354,'Profit &amp; Loss'!$B$3:$C$390,2,0)</f>
        <v>0</v>
      </c>
    </row>
    <row r="355" spans="1:7" x14ac:dyDescent="0.2">
      <c r="A355" s="3" t="s">
        <v>334</v>
      </c>
      <c r="B355" s="3" t="s">
        <v>336</v>
      </c>
      <c r="C355" s="4">
        <v>17796.150000000001</v>
      </c>
      <c r="D355" s="4">
        <v>11545.29</v>
      </c>
      <c r="E355" s="4">
        <v>6250.86</v>
      </c>
      <c r="F355" s="3" t="s">
        <v>1261</v>
      </c>
      <c r="G355" s="3">
        <f>VLOOKUP(B355,'Profit &amp; Loss'!$B$3:$C$390,2,0)</f>
        <v>5279.69</v>
      </c>
    </row>
    <row r="356" spans="1:7" x14ac:dyDescent="0.2">
      <c r="A356" s="3" t="s">
        <v>334</v>
      </c>
      <c r="B356" s="3" t="s">
        <v>337</v>
      </c>
      <c r="C356" s="4">
        <v>6612.51</v>
      </c>
      <c r="D356" s="4">
        <v>4605.34</v>
      </c>
      <c r="E356" s="4">
        <v>2007.17</v>
      </c>
      <c r="F356" s="3" t="s">
        <v>665</v>
      </c>
      <c r="G356" s="3">
        <f>VLOOKUP(B356,'Profit &amp; Loss'!$B$3:$C$390,2,0)</f>
        <v>2800.93</v>
      </c>
    </row>
    <row r="357" spans="1:7" x14ac:dyDescent="0.2">
      <c r="A357" s="3" t="s">
        <v>334</v>
      </c>
      <c r="B357" s="3" t="s">
        <v>338</v>
      </c>
      <c r="C357" s="4">
        <v>75381.509999999995</v>
      </c>
      <c r="D357" s="4">
        <v>20128.330000000002</v>
      </c>
      <c r="E357" s="4">
        <v>55253.18</v>
      </c>
      <c r="F357" s="3" t="s">
        <v>1262</v>
      </c>
      <c r="G357" s="3">
        <f>VLOOKUP(B357,'Profit &amp; Loss'!$B$3:$C$390,2,0)</f>
        <v>17648.05</v>
      </c>
    </row>
    <row r="358" spans="1:7" x14ac:dyDescent="0.2">
      <c r="A358" s="3" t="s">
        <v>334</v>
      </c>
      <c r="B358" s="3" t="s">
        <v>563</v>
      </c>
      <c r="C358" s="4">
        <v>165.75</v>
      </c>
      <c r="D358" s="4">
        <v>165.75</v>
      </c>
      <c r="E358" s="4">
        <v>0</v>
      </c>
      <c r="F358" s="3" t="s">
        <v>6</v>
      </c>
      <c r="G358" s="3">
        <f>VLOOKUP(B358,'Profit &amp; Loss'!$B$3:$C$390,2,0)</f>
        <v>0</v>
      </c>
    </row>
    <row r="359" spans="1:7" x14ac:dyDescent="0.2">
      <c r="A359" s="3" t="s">
        <v>334</v>
      </c>
      <c r="B359" s="3" t="s">
        <v>339</v>
      </c>
      <c r="C359" s="4">
        <v>9391.1</v>
      </c>
      <c r="D359" s="4">
        <v>6622.61</v>
      </c>
      <c r="E359" s="4">
        <v>2768.49</v>
      </c>
      <c r="F359" s="3" t="s">
        <v>1263</v>
      </c>
      <c r="G359" s="3">
        <f>VLOOKUP(B359,'Profit &amp; Loss'!$B$3:$C$390,2,0)</f>
        <v>4180.01</v>
      </c>
    </row>
    <row r="360" spans="1:7" x14ac:dyDescent="0.2">
      <c r="A360" s="3" t="s">
        <v>334</v>
      </c>
      <c r="B360" s="3" t="s">
        <v>340</v>
      </c>
      <c r="C360" s="4">
        <v>37293.06</v>
      </c>
      <c r="D360" s="4">
        <v>24791.35</v>
      </c>
      <c r="E360" s="4">
        <v>12501.71</v>
      </c>
      <c r="F360" s="3" t="s">
        <v>651</v>
      </c>
      <c r="G360" s="3">
        <f>VLOOKUP(B360,'Profit &amp; Loss'!$B$3:$C$390,2,0)</f>
        <v>10559.39</v>
      </c>
    </row>
    <row r="361" spans="1:7" x14ac:dyDescent="0.2">
      <c r="A361" s="3" t="s">
        <v>334</v>
      </c>
      <c r="B361" s="3" t="s">
        <v>341</v>
      </c>
      <c r="C361" s="4">
        <v>52029.57</v>
      </c>
      <c r="D361" s="4">
        <v>36262.65</v>
      </c>
      <c r="E361" s="4">
        <v>15766.92</v>
      </c>
      <c r="F361" s="3" t="s">
        <v>1264</v>
      </c>
      <c r="G361" s="3">
        <f>VLOOKUP(B361,'Profit &amp; Loss'!$B$3:$C$390,2,0)</f>
        <v>18487.189999999999</v>
      </c>
    </row>
    <row r="362" spans="1:7" x14ac:dyDescent="0.2">
      <c r="A362" s="3" t="s">
        <v>334</v>
      </c>
      <c r="B362" s="3" t="s">
        <v>342</v>
      </c>
      <c r="C362" s="4">
        <v>3822.27</v>
      </c>
      <c r="D362" s="4">
        <v>3423.53</v>
      </c>
      <c r="E362" s="4">
        <v>398.74</v>
      </c>
      <c r="F362" s="3" t="s">
        <v>898</v>
      </c>
      <c r="G362" s="3">
        <f>VLOOKUP(B362,'Profit &amp; Loss'!$B$3:$C$390,2,0)</f>
        <v>2577.34</v>
      </c>
    </row>
    <row r="363" spans="1:7" s="18" customFormat="1" x14ac:dyDescent="0.2">
      <c r="A363" s="18" t="s">
        <v>334</v>
      </c>
      <c r="B363" s="18" t="s">
        <v>566</v>
      </c>
      <c r="C363" s="19">
        <v>244.29</v>
      </c>
      <c r="D363" s="19">
        <v>0</v>
      </c>
      <c r="E363" s="19">
        <v>244.29</v>
      </c>
      <c r="F363" s="18" t="s">
        <v>2</v>
      </c>
      <c r="G363" s="18">
        <f>VLOOKUP(B363,'Profit &amp; Loss'!$B$3:$C$390,2,0)</f>
        <v>0</v>
      </c>
    </row>
    <row r="364" spans="1:7" x14ac:dyDescent="0.2">
      <c r="A364" s="3" t="s">
        <v>334</v>
      </c>
      <c r="B364" s="3" t="s">
        <v>343</v>
      </c>
      <c r="C364" s="4">
        <v>5203.82</v>
      </c>
      <c r="D364" s="4">
        <v>2596.52</v>
      </c>
      <c r="E364" s="4">
        <v>2607.3000000000002</v>
      </c>
      <c r="F364" s="3" t="s">
        <v>547</v>
      </c>
      <c r="G364" s="3">
        <f>VLOOKUP(B364,'Profit &amp; Loss'!$B$3:$C$390,2,0)</f>
        <v>-203.37</v>
      </c>
    </row>
    <row r="365" spans="1:7" x14ac:dyDescent="0.2">
      <c r="A365" s="3" t="s">
        <v>334</v>
      </c>
      <c r="B365" s="3" t="s">
        <v>992</v>
      </c>
      <c r="C365" s="4">
        <v>733.43</v>
      </c>
      <c r="D365" s="4">
        <v>733.43</v>
      </c>
      <c r="E365" s="4">
        <v>0</v>
      </c>
      <c r="F365" s="3" t="s">
        <v>6</v>
      </c>
      <c r="G365" s="3">
        <f>VLOOKUP(B365,'Profit &amp; Loss'!$B$3:$C$390,2,0)</f>
        <v>733.43</v>
      </c>
    </row>
    <row r="366" spans="1:7" x14ac:dyDescent="0.2">
      <c r="A366" s="3" t="s">
        <v>334</v>
      </c>
      <c r="B366" s="3" t="s">
        <v>345</v>
      </c>
      <c r="C366" s="4">
        <v>40201.43</v>
      </c>
      <c r="D366" s="4">
        <v>27498.639999999999</v>
      </c>
      <c r="E366" s="4">
        <v>12702.79</v>
      </c>
      <c r="F366" s="3" t="s">
        <v>1265</v>
      </c>
      <c r="G366" s="3">
        <f>VLOOKUP(B366,'Profit &amp; Loss'!$B$3:$C$390,2,0)</f>
        <v>11989.03</v>
      </c>
    </row>
    <row r="367" spans="1:7" x14ac:dyDescent="0.2">
      <c r="A367" s="3" t="s">
        <v>334</v>
      </c>
      <c r="B367" s="3" t="s">
        <v>346</v>
      </c>
      <c r="C367" s="4">
        <v>14464.77</v>
      </c>
      <c r="D367" s="4">
        <v>9547.98</v>
      </c>
      <c r="E367" s="4">
        <v>4916.79</v>
      </c>
      <c r="F367" s="3" t="s">
        <v>591</v>
      </c>
      <c r="G367" s="3">
        <f>VLOOKUP(B367,'Profit &amp; Loss'!$B$3:$C$390,2,0)</f>
        <v>4420.24</v>
      </c>
    </row>
    <row r="368" spans="1:7" x14ac:dyDescent="0.2">
      <c r="A368" s="3" t="s">
        <v>334</v>
      </c>
      <c r="B368" s="3" t="s">
        <v>347</v>
      </c>
      <c r="C368" s="4">
        <v>6979.84</v>
      </c>
      <c r="D368" s="4">
        <v>4587.62</v>
      </c>
      <c r="E368" s="4">
        <v>2392.2199999999998</v>
      </c>
      <c r="F368" s="3" t="s">
        <v>1266</v>
      </c>
      <c r="G368" s="3">
        <f>VLOOKUP(B368,'Profit &amp; Loss'!$B$3:$C$390,2,0)</f>
        <v>2182.88</v>
      </c>
    </row>
    <row r="369" spans="1:7" x14ac:dyDescent="0.2">
      <c r="A369" s="3" t="s">
        <v>334</v>
      </c>
      <c r="B369" s="3" t="s">
        <v>348</v>
      </c>
      <c r="C369" s="4">
        <v>19814.89</v>
      </c>
      <c r="D369" s="4">
        <v>13093.94</v>
      </c>
      <c r="E369" s="4">
        <v>6720.95</v>
      </c>
      <c r="F369" s="3" t="s">
        <v>1267</v>
      </c>
      <c r="G369" s="3">
        <f>VLOOKUP(B369,'Profit &amp; Loss'!$B$3:$C$390,2,0)</f>
        <v>5823.94</v>
      </c>
    </row>
    <row r="370" spans="1:7" x14ac:dyDescent="0.2">
      <c r="A370" s="3" t="s">
        <v>334</v>
      </c>
      <c r="B370" s="3" t="s">
        <v>349</v>
      </c>
      <c r="C370" s="4">
        <v>14401.51</v>
      </c>
      <c r="D370" s="4">
        <v>9608.17</v>
      </c>
      <c r="E370" s="4">
        <v>4793.34</v>
      </c>
      <c r="F370" s="3" t="s">
        <v>1268</v>
      </c>
      <c r="G370" s="3">
        <f>VLOOKUP(B370,'Profit &amp; Loss'!$B$3:$C$390,2,0)</f>
        <v>3750.29</v>
      </c>
    </row>
    <row r="371" spans="1:7" x14ac:dyDescent="0.2">
      <c r="A371" s="3" t="s">
        <v>334</v>
      </c>
      <c r="B371" s="3" t="s">
        <v>350</v>
      </c>
      <c r="C371" s="4">
        <v>12876.71</v>
      </c>
      <c r="D371" s="4">
        <v>9703.4</v>
      </c>
      <c r="E371" s="4">
        <v>3173.31</v>
      </c>
      <c r="F371" s="3" t="s">
        <v>1269</v>
      </c>
      <c r="G371" s="3">
        <f>VLOOKUP(B371,'Profit &amp; Loss'!$B$3:$C$390,2,0)</f>
        <v>5549.93</v>
      </c>
    </row>
    <row r="372" spans="1:7" x14ac:dyDescent="0.2">
      <c r="A372" s="3" t="s">
        <v>334</v>
      </c>
      <c r="B372" s="3" t="s">
        <v>351</v>
      </c>
      <c r="C372" s="4">
        <v>12003.18</v>
      </c>
      <c r="D372" s="4">
        <v>8274.52</v>
      </c>
      <c r="E372" s="4">
        <v>3728.66</v>
      </c>
      <c r="F372" s="3" t="s">
        <v>512</v>
      </c>
      <c r="G372" s="3">
        <f>VLOOKUP(B372,'Profit &amp; Loss'!$B$3:$C$390,2,0)</f>
        <v>4678.2299999999996</v>
      </c>
    </row>
    <row r="373" spans="1:7" x14ac:dyDescent="0.2">
      <c r="A373" s="3" t="s">
        <v>334</v>
      </c>
      <c r="B373" s="3" t="s">
        <v>352</v>
      </c>
      <c r="C373" s="4">
        <v>1727.94</v>
      </c>
      <c r="D373" s="4">
        <v>1421.49</v>
      </c>
      <c r="E373" s="4">
        <v>306.45</v>
      </c>
      <c r="F373" s="3" t="s">
        <v>878</v>
      </c>
      <c r="G373" s="3">
        <f>VLOOKUP(B373,'Profit &amp; Loss'!$B$3:$C$390,2,0)</f>
        <v>1184.21</v>
      </c>
    </row>
    <row r="374" spans="1:7" x14ac:dyDescent="0.2">
      <c r="A374" s="3" t="s">
        <v>334</v>
      </c>
      <c r="B374" s="3" t="s">
        <v>569</v>
      </c>
      <c r="C374" s="4">
        <v>1610.04</v>
      </c>
      <c r="D374" s="4">
        <v>1388.56</v>
      </c>
      <c r="E374" s="4">
        <v>221.48</v>
      </c>
      <c r="F374" s="3" t="s">
        <v>642</v>
      </c>
      <c r="G374" s="3">
        <f>VLOOKUP(B374,'Profit &amp; Loss'!$B$3:$C$390,2,0)</f>
        <v>1388.56</v>
      </c>
    </row>
    <row r="375" spans="1:7" s="18" customFormat="1" x14ac:dyDescent="0.2">
      <c r="A375" s="18" t="s">
        <v>334</v>
      </c>
      <c r="B375" s="18" t="s">
        <v>667</v>
      </c>
      <c r="C375" s="19">
        <v>545.04</v>
      </c>
      <c r="D375" s="19">
        <v>0</v>
      </c>
      <c r="E375" s="19">
        <v>545.04</v>
      </c>
      <c r="F375" s="18" t="s">
        <v>2</v>
      </c>
      <c r="G375" s="18">
        <f>VLOOKUP(B375,'Profit &amp; Loss'!$B$3:$C$390,2,0)</f>
        <v>0</v>
      </c>
    </row>
    <row r="376" spans="1:7" x14ac:dyDescent="0.2">
      <c r="A376" s="3" t="s">
        <v>334</v>
      </c>
      <c r="B376" s="3" t="s">
        <v>353</v>
      </c>
      <c r="C376" s="4">
        <v>5477.98</v>
      </c>
      <c r="D376" s="4">
        <v>1638.13</v>
      </c>
      <c r="E376" s="4">
        <v>3839.85</v>
      </c>
      <c r="F376" s="3" t="s">
        <v>1270</v>
      </c>
      <c r="G376" s="3">
        <f>VLOOKUP(B376,'Profit &amp; Loss'!$B$3:$C$390,2,0)</f>
        <v>1304.8699999999999</v>
      </c>
    </row>
    <row r="377" spans="1:7" x14ac:dyDescent="0.2">
      <c r="A377" s="3" t="s">
        <v>334</v>
      </c>
      <c r="B377" s="3" t="s">
        <v>354</v>
      </c>
      <c r="C377" s="4">
        <v>2111.08</v>
      </c>
      <c r="D377" s="4">
        <v>1393.5</v>
      </c>
      <c r="E377" s="4">
        <v>717.58</v>
      </c>
      <c r="F377" s="3" t="s">
        <v>591</v>
      </c>
      <c r="G377" s="3">
        <f>VLOOKUP(B377,'Profit &amp; Loss'!$B$3:$C$390,2,0)</f>
        <v>645.12</v>
      </c>
    </row>
    <row r="378" spans="1:7" x14ac:dyDescent="0.2">
      <c r="A378" s="3" t="s">
        <v>334</v>
      </c>
      <c r="B378" s="3" t="s">
        <v>355</v>
      </c>
      <c r="C378" s="4">
        <v>14242.49</v>
      </c>
      <c r="D378" s="4">
        <v>9307.15</v>
      </c>
      <c r="E378" s="4">
        <v>4935.34</v>
      </c>
      <c r="F378" s="3" t="s">
        <v>1079</v>
      </c>
      <c r="G378" s="3">
        <f>VLOOKUP(B378,'Profit &amp; Loss'!$B$3:$C$390,2,0)</f>
        <v>4654.41</v>
      </c>
    </row>
    <row r="379" spans="1:7" x14ac:dyDescent="0.2">
      <c r="A379" s="3" t="s">
        <v>334</v>
      </c>
      <c r="B379" s="3" t="s">
        <v>356</v>
      </c>
      <c r="C379" s="4">
        <v>485.3</v>
      </c>
      <c r="D379" s="4">
        <v>329.43</v>
      </c>
      <c r="E379" s="4">
        <v>155.87</v>
      </c>
      <c r="F379" s="3" t="s">
        <v>1271</v>
      </c>
      <c r="G379" s="3">
        <f>VLOOKUP(B379,'Profit &amp; Loss'!$B$3:$C$390,2,0)</f>
        <v>164.53</v>
      </c>
    </row>
    <row r="380" spans="1:7" x14ac:dyDescent="0.2">
      <c r="A380" s="3" t="s">
        <v>334</v>
      </c>
      <c r="B380" s="3" t="s">
        <v>357</v>
      </c>
      <c r="C380" s="4">
        <v>6334.75</v>
      </c>
      <c r="D380" s="4">
        <v>1269.0999999999999</v>
      </c>
      <c r="E380" s="4">
        <v>5065.6499999999996</v>
      </c>
      <c r="F380" s="3" t="s">
        <v>1272</v>
      </c>
      <c r="G380" s="3">
        <f>VLOOKUP(B380,'Profit &amp; Loss'!$B$3:$C$390,2,0)</f>
        <v>1147.27</v>
      </c>
    </row>
    <row r="381" spans="1:7" s="18" customFormat="1" x14ac:dyDescent="0.2">
      <c r="A381" s="18" t="s">
        <v>334</v>
      </c>
      <c r="B381" s="18" t="s">
        <v>920</v>
      </c>
      <c r="C381" s="19">
        <v>6178.53</v>
      </c>
      <c r="D381" s="19">
        <v>0</v>
      </c>
      <c r="E381" s="19">
        <v>6178.53</v>
      </c>
      <c r="F381" s="18" t="s">
        <v>2</v>
      </c>
      <c r="G381" s="18">
        <f>VLOOKUP(B381,'Profit &amp; Loss'!$B$3:$C$390,2,0)</f>
        <v>0</v>
      </c>
    </row>
    <row r="382" spans="1:7" x14ac:dyDescent="0.2">
      <c r="A382" s="3" t="s">
        <v>334</v>
      </c>
      <c r="B382" s="3" t="s">
        <v>358</v>
      </c>
      <c r="C382" s="4">
        <v>5414.26</v>
      </c>
      <c r="D382" s="4">
        <v>5279.72</v>
      </c>
      <c r="E382" s="4">
        <v>134.54</v>
      </c>
      <c r="F382" s="3" t="s">
        <v>534</v>
      </c>
      <c r="G382" s="3">
        <f>VLOOKUP(B382,'Profit &amp; Loss'!$B$3:$C$390,2,0)</f>
        <v>3993.12</v>
      </c>
    </row>
    <row r="383" spans="1:7" x14ac:dyDescent="0.2">
      <c r="A383" s="3" t="s">
        <v>334</v>
      </c>
      <c r="B383" s="3" t="s">
        <v>359</v>
      </c>
      <c r="C383" s="4">
        <v>1270.6400000000001</v>
      </c>
      <c r="D383" s="4">
        <v>1270.6400000000001</v>
      </c>
      <c r="E383" s="4">
        <v>0</v>
      </c>
      <c r="F383" s="3" t="s">
        <v>6</v>
      </c>
      <c r="G383" s="3">
        <f>VLOOKUP(B383,'Profit &amp; Loss'!$B$3:$C$390,2,0)</f>
        <v>1270.6400000000001</v>
      </c>
    </row>
    <row r="384" spans="1:7" x14ac:dyDescent="0.2">
      <c r="A384" s="3" t="s">
        <v>334</v>
      </c>
      <c r="B384" s="3" t="s">
        <v>360</v>
      </c>
      <c r="C384" s="4">
        <v>52482.29</v>
      </c>
      <c r="D384" s="4">
        <v>34666.44</v>
      </c>
      <c r="E384" s="4">
        <v>17815.849999999999</v>
      </c>
      <c r="F384" s="3" t="s">
        <v>653</v>
      </c>
      <c r="G384" s="3">
        <f>VLOOKUP(B384,'Profit &amp; Loss'!$B$3:$C$390,2,0)</f>
        <v>16594.689999999999</v>
      </c>
    </row>
    <row r="385" spans="1:7" x14ac:dyDescent="0.2">
      <c r="A385" s="3" t="s">
        <v>334</v>
      </c>
      <c r="B385" s="3" t="s">
        <v>571</v>
      </c>
      <c r="C385" s="4">
        <v>7423.55</v>
      </c>
      <c r="D385" s="4">
        <v>7423.55</v>
      </c>
      <c r="E385" s="4">
        <v>0</v>
      </c>
      <c r="F385" s="3" t="s">
        <v>6</v>
      </c>
      <c r="G385" s="3">
        <f>VLOOKUP(B385,'Profit &amp; Loss'!$B$3:$C$390,2,0)</f>
        <v>7423.55</v>
      </c>
    </row>
    <row r="386" spans="1:7" s="18" customFormat="1" x14ac:dyDescent="0.2">
      <c r="A386" s="18" t="s">
        <v>334</v>
      </c>
      <c r="B386" s="18" t="s">
        <v>921</v>
      </c>
      <c r="C386" s="19">
        <v>62</v>
      </c>
      <c r="D386" s="19">
        <v>0</v>
      </c>
      <c r="E386" s="19">
        <v>62</v>
      </c>
      <c r="F386" s="18" t="s">
        <v>2</v>
      </c>
      <c r="G386" s="18">
        <f>VLOOKUP(B386,'Profit &amp; Loss'!$B$3:$C$390,2,0)</f>
        <v>0</v>
      </c>
    </row>
    <row r="387" spans="1:7" x14ac:dyDescent="0.2">
      <c r="A387" s="3" t="s">
        <v>334</v>
      </c>
      <c r="B387" s="3" t="s">
        <v>1111</v>
      </c>
      <c r="C387" s="4">
        <v>1297.71</v>
      </c>
      <c r="D387" s="4">
        <v>1297.71</v>
      </c>
      <c r="E387" s="4">
        <v>0</v>
      </c>
      <c r="F387" s="3" t="s">
        <v>6</v>
      </c>
      <c r="G387" s="3">
        <f>VLOOKUP(B387,'Profit &amp; Loss'!$B$3:$C$390,2,0)</f>
        <v>0</v>
      </c>
    </row>
    <row r="388" spans="1:7" x14ac:dyDescent="0.2">
      <c r="A388" s="3" t="s">
        <v>334</v>
      </c>
      <c r="B388" s="3" t="s">
        <v>363</v>
      </c>
      <c r="C388" s="4">
        <v>6110.28</v>
      </c>
      <c r="D388" s="4">
        <v>3073.6</v>
      </c>
      <c r="E388" s="4">
        <v>3036.68</v>
      </c>
      <c r="F388" s="3" t="s">
        <v>575</v>
      </c>
      <c r="G388" s="3">
        <f>VLOOKUP(B388,'Profit &amp; Loss'!$B$3:$C$390,2,0)</f>
        <v>1958.16</v>
      </c>
    </row>
    <row r="389" spans="1:7" x14ac:dyDescent="0.2">
      <c r="A389" s="3" t="s">
        <v>334</v>
      </c>
      <c r="B389" s="3" t="s">
        <v>2</v>
      </c>
      <c r="C389" s="4">
        <v>666773.52</v>
      </c>
      <c r="D389" s="4">
        <v>412521.68</v>
      </c>
      <c r="E389" s="4">
        <v>254251.84</v>
      </c>
      <c r="F389" s="3" t="s">
        <v>1273</v>
      </c>
      <c r="G389" s="3" t="e">
        <f>VLOOKUP(B389,'Profit &amp; Loss'!$B$3:$C$390,2,0)</f>
        <v>#N/A</v>
      </c>
    </row>
    <row r="390" spans="1:7" x14ac:dyDescent="0.2">
      <c r="A390" s="3" t="s">
        <v>364</v>
      </c>
      <c r="B390" s="3" t="s">
        <v>366</v>
      </c>
      <c r="C390" s="4">
        <v>3265.22</v>
      </c>
      <c r="D390" s="4">
        <v>223.34</v>
      </c>
      <c r="E390" s="4">
        <v>3041.88</v>
      </c>
      <c r="F390" s="3" t="s">
        <v>1274</v>
      </c>
      <c r="G390" s="3">
        <f>VLOOKUP(B390,'Profit &amp; Loss'!$B$3:$C$390,2,0)</f>
        <v>223.34</v>
      </c>
    </row>
    <row r="391" spans="1:7" x14ac:dyDescent="0.2">
      <c r="A391" s="3" t="s">
        <v>364</v>
      </c>
      <c r="B391" s="3" t="s">
        <v>367</v>
      </c>
      <c r="C391" s="4">
        <v>462.09</v>
      </c>
      <c r="D391" s="4">
        <v>462.09</v>
      </c>
      <c r="E391" s="4">
        <v>0</v>
      </c>
      <c r="F391" s="3" t="s">
        <v>6</v>
      </c>
      <c r="G391" s="3">
        <f>VLOOKUP(B391,'Profit &amp; Loss'!$B$3:$C$390,2,0)</f>
        <v>462.09</v>
      </c>
    </row>
    <row r="392" spans="1:7" x14ac:dyDescent="0.2">
      <c r="A392" s="3" t="s">
        <v>364</v>
      </c>
      <c r="B392" s="3" t="s">
        <v>368</v>
      </c>
      <c r="C392" s="4">
        <v>172.85</v>
      </c>
      <c r="D392" s="4">
        <v>120.24</v>
      </c>
      <c r="E392" s="4">
        <v>52.61</v>
      </c>
      <c r="F392" s="3" t="s">
        <v>664</v>
      </c>
      <c r="G392" s="3">
        <f>VLOOKUP(B392,'Profit &amp; Loss'!$B$3:$C$390,2,0)</f>
        <v>120.24</v>
      </c>
    </row>
    <row r="393" spans="1:7" x14ac:dyDescent="0.2">
      <c r="A393" s="3" t="s">
        <v>364</v>
      </c>
      <c r="B393" s="3" t="s">
        <v>369</v>
      </c>
      <c r="C393" s="4">
        <v>11.91</v>
      </c>
      <c r="D393" s="4">
        <v>11.91</v>
      </c>
      <c r="E393" s="4">
        <v>0</v>
      </c>
      <c r="F393" s="3" t="s">
        <v>6</v>
      </c>
      <c r="G393" s="3">
        <f>VLOOKUP(B393,'Profit &amp; Loss'!$B$3:$C$390,2,0)</f>
        <v>11.91</v>
      </c>
    </row>
    <row r="394" spans="1:7" x14ac:dyDescent="0.2">
      <c r="A394" s="3" t="s">
        <v>364</v>
      </c>
      <c r="B394" s="3" t="s">
        <v>372</v>
      </c>
      <c r="C394" s="4">
        <v>831.26</v>
      </c>
      <c r="D394" s="4">
        <v>514.12</v>
      </c>
      <c r="E394" s="4">
        <v>317.14</v>
      </c>
      <c r="F394" s="3" t="s">
        <v>998</v>
      </c>
      <c r="G394" s="3">
        <f>VLOOKUP(B394,'Profit &amp; Loss'!$B$3:$C$390,2,0)</f>
        <v>247.77</v>
      </c>
    </row>
    <row r="395" spans="1:7" x14ac:dyDescent="0.2">
      <c r="A395" s="3" t="s">
        <v>364</v>
      </c>
      <c r="B395" s="3" t="s">
        <v>572</v>
      </c>
      <c r="C395" s="4">
        <v>185.93</v>
      </c>
      <c r="D395" s="4">
        <v>168.54</v>
      </c>
      <c r="E395" s="4">
        <v>17.39</v>
      </c>
      <c r="F395" s="3" t="s">
        <v>831</v>
      </c>
      <c r="G395" s="3">
        <f>VLOOKUP(B395,'Profit &amp; Loss'!$B$3:$C$390,2,0)</f>
        <v>0</v>
      </c>
    </row>
    <row r="396" spans="1:7" x14ac:dyDescent="0.2">
      <c r="A396" s="3" t="s">
        <v>364</v>
      </c>
      <c r="B396" s="3" t="s">
        <v>2</v>
      </c>
      <c r="C396" s="4">
        <v>4929.26</v>
      </c>
      <c r="D396" s="4">
        <v>1500.24</v>
      </c>
      <c r="E396" s="4">
        <v>3429.02</v>
      </c>
      <c r="F396" s="3" t="s">
        <v>1275</v>
      </c>
      <c r="G396" s="3" t="e">
        <f>VLOOKUP(B396,'Profit &amp; Loss'!$B$3:$C$390,2,0)</f>
        <v>#N/A</v>
      </c>
    </row>
    <row r="397" spans="1:7" s="18" customFormat="1" x14ac:dyDescent="0.2">
      <c r="A397" s="18" t="s">
        <v>373</v>
      </c>
      <c r="B397" s="18" t="s">
        <v>673</v>
      </c>
      <c r="C397" s="19">
        <v>2368.63</v>
      </c>
      <c r="D397" s="19">
        <v>0</v>
      </c>
      <c r="E397" s="19">
        <v>2368.63</v>
      </c>
      <c r="F397" s="18" t="s">
        <v>2</v>
      </c>
      <c r="G397" s="18">
        <f>VLOOKUP(B397,'Profit &amp; Loss'!$B$3:$C$390,2,0)</f>
        <v>0</v>
      </c>
    </row>
    <row r="398" spans="1:7" x14ac:dyDescent="0.2">
      <c r="A398" s="3" t="s">
        <v>373</v>
      </c>
      <c r="B398" s="3" t="s">
        <v>374</v>
      </c>
      <c r="C398" s="4">
        <v>166.16</v>
      </c>
      <c r="D398" s="4">
        <v>78.400000000000006</v>
      </c>
      <c r="E398" s="4">
        <v>87.76</v>
      </c>
      <c r="F398" s="3" t="s">
        <v>794</v>
      </c>
      <c r="G398" s="3">
        <f>VLOOKUP(B398,'Profit &amp; Loss'!$B$3:$C$390,2,0)</f>
        <v>2.44</v>
      </c>
    </row>
    <row r="399" spans="1:7" x14ac:dyDescent="0.2">
      <c r="A399" s="3" t="s">
        <v>373</v>
      </c>
      <c r="B399" s="3" t="s">
        <v>375</v>
      </c>
      <c r="C399" s="4">
        <v>2061.67</v>
      </c>
      <c r="D399" s="4">
        <v>104.41</v>
      </c>
      <c r="E399" s="4">
        <v>1957.26</v>
      </c>
      <c r="F399" s="3" t="s">
        <v>1276</v>
      </c>
      <c r="G399" s="3">
        <f>VLOOKUP(B399,'Profit &amp; Loss'!$B$3:$C$390,2,0)</f>
        <v>-429.67</v>
      </c>
    </row>
    <row r="400" spans="1:7" x14ac:dyDescent="0.2">
      <c r="A400" s="3" t="s">
        <v>373</v>
      </c>
      <c r="B400" s="3" t="s">
        <v>573</v>
      </c>
      <c r="C400" s="4">
        <v>939.64</v>
      </c>
      <c r="D400" s="4">
        <v>939.64</v>
      </c>
      <c r="E400" s="4">
        <v>0</v>
      </c>
      <c r="F400" s="3" t="s">
        <v>6</v>
      </c>
      <c r="G400" s="3">
        <f>VLOOKUP(B400,'Profit &amp; Loss'!$B$3:$C$390,2,0)</f>
        <v>939.64</v>
      </c>
    </row>
    <row r="401" spans="1:7" x14ac:dyDescent="0.2">
      <c r="A401" s="3" t="s">
        <v>373</v>
      </c>
      <c r="B401" s="3" t="s">
        <v>376</v>
      </c>
      <c r="C401" s="4">
        <v>1482.72</v>
      </c>
      <c r="D401" s="4">
        <v>1403.86</v>
      </c>
      <c r="E401" s="4">
        <v>78.86</v>
      </c>
      <c r="F401" s="3" t="s">
        <v>706</v>
      </c>
      <c r="G401" s="3">
        <f>VLOOKUP(B401,'Profit &amp; Loss'!$B$3:$C$390,2,0)</f>
        <v>654.64</v>
      </c>
    </row>
    <row r="402" spans="1:7" x14ac:dyDescent="0.2">
      <c r="A402" s="3" t="s">
        <v>373</v>
      </c>
      <c r="B402" s="3" t="s">
        <v>377</v>
      </c>
      <c r="C402" s="4">
        <v>3070.6</v>
      </c>
      <c r="D402" s="4">
        <v>1022.18</v>
      </c>
      <c r="E402" s="4">
        <v>2048.42</v>
      </c>
      <c r="F402" s="3" t="s">
        <v>1277</v>
      </c>
      <c r="G402" s="3">
        <f>VLOOKUP(B402,'Profit &amp; Loss'!$B$3:$C$390,2,0)</f>
        <v>0</v>
      </c>
    </row>
    <row r="403" spans="1:7" x14ac:dyDescent="0.2">
      <c r="A403" s="3" t="s">
        <v>373</v>
      </c>
      <c r="B403" s="3" t="s">
        <v>857</v>
      </c>
      <c r="C403" s="4">
        <v>29003.55</v>
      </c>
      <c r="D403" s="4">
        <v>9461.41</v>
      </c>
      <c r="E403" s="4">
        <v>19542.14</v>
      </c>
      <c r="F403" s="3" t="s">
        <v>1278</v>
      </c>
      <c r="G403" s="3">
        <f>VLOOKUP(B403,'Profit &amp; Loss'!$B$3:$C$390,2,0)</f>
        <v>0</v>
      </c>
    </row>
    <row r="404" spans="1:7" x14ac:dyDescent="0.2">
      <c r="A404" s="3" t="s">
        <v>373</v>
      </c>
      <c r="B404" s="3" t="s">
        <v>378</v>
      </c>
      <c r="C404" s="4">
        <v>14924.26</v>
      </c>
      <c r="D404" s="4">
        <v>7386.27</v>
      </c>
      <c r="E404" s="4">
        <v>7537.99</v>
      </c>
      <c r="F404" s="3" t="s">
        <v>1279</v>
      </c>
      <c r="G404" s="3">
        <f>VLOOKUP(B404,'Profit &amp; Loss'!$B$3:$C$390,2,0)</f>
        <v>679.62</v>
      </c>
    </row>
    <row r="405" spans="1:7" x14ac:dyDescent="0.2">
      <c r="A405" s="3" t="s">
        <v>373</v>
      </c>
      <c r="B405" s="3" t="s">
        <v>2</v>
      </c>
      <c r="C405" s="4">
        <v>54017.23</v>
      </c>
      <c r="D405" s="4">
        <v>20396.169999999998</v>
      </c>
      <c r="E405" s="4">
        <v>33621.06</v>
      </c>
      <c r="F405" s="3" t="s">
        <v>1280</v>
      </c>
      <c r="G405" s="3" t="e">
        <f>VLOOKUP(B405,'Profit &amp; Loss'!$B$3:$C$390,2,0)</f>
        <v>#N/A</v>
      </c>
    </row>
    <row r="406" spans="1:7" x14ac:dyDescent="0.2">
      <c r="A406" s="3" t="s">
        <v>379</v>
      </c>
      <c r="B406" s="3" t="s">
        <v>380</v>
      </c>
      <c r="C406" s="4">
        <v>388.84</v>
      </c>
      <c r="D406" s="4">
        <v>224.44</v>
      </c>
      <c r="E406" s="4">
        <v>164.4</v>
      </c>
      <c r="F406" s="3" t="s">
        <v>1281</v>
      </c>
      <c r="G406" s="3">
        <f>VLOOKUP(B406,'Profit &amp; Loss'!$B$3:$C$390,2,0)</f>
        <v>94.24</v>
      </c>
    </row>
    <row r="407" spans="1:7" x14ac:dyDescent="0.2">
      <c r="A407" s="3" t="s">
        <v>379</v>
      </c>
      <c r="B407" s="3" t="s">
        <v>381</v>
      </c>
      <c r="C407" s="4">
        <v>2425.1799999999998</v>
      </c>
      <c r="D407" s="4">
        <v>271.27999999999997</v>
      </c>
      <c r="E407" s="4">
        <v>2153.9</v>
      </c>
      <c r="F407" s="3" t="s">
        <v>1282</v>
      </c>
      <c r="G407" s="3">
        <f>VLOOKUP(B407,'Profit &amp; Loss'!$B$3:$C$390,2,0)</f>
        <v>-870.15</v>
      </c>
    </row>
    <row r="408" spans="1:7" x14ac:dyDescent="0.2">
      <c r="A408" s="3" t="s">
        <v>379</v>
      </c>
      <c r="B408" s="3" t="s">
        <v>382</v>
      </c>
      <c r="C408" s="4">
        <v>342.04</v>
      </c>
      <c r="D408" s="4">
        <v>2.54</v>
      </c>
      <c r="E408" s="4">
        <v>339.5</v>
      </c>
      <c r="F408" s="3" t="s">
        <v>1283</v>
      </c>
      <c r="G408" s="3">
        <f>VLOOKUP(B408,'Profit &amp; Loss'!$B$3:$C$390,2,0)</f>
        <v>-237.73</v>
      </c>
    </row>
    <row r="409" spans="1:7" x14ac:dyDescent="0.2">
      <c r="A409" s="3" t="s">
        <v>379</v>
      </c>
      <c r="B409" s="3" t="s">
        <v>2</v>
      </c>
      <c r="C409" s="4">
        <v>3156.06</v>
      </c>
      <c r="D409" s="4">
        <v>498.26</v>
      </c>
      <c r="E409" s="4">
        <v>2657.8</v>
      </c>
      <c r="F409" s="3" t="s">
        <v>1284</v>
      </c>
      <c r="G409" s="3" t="e">
        <f>VLOOKUP(B409,'Profit &amp; Loss'!$B$3:$C$390,2,0)</f>
        <v>#N/A</v>
      </c>
    </row>
    <row r="410" spans="1:7" x14ac:dyDescent="0.2">
      <c r="A410" s="3" t="s">
        <v>383</v>
      </c>
      <c r="B410" s="3" t="s">
        <v>384</v>
      </c>
      <c r="C410" s="4">
        <v>165.56</v>
      </c>
      <c r="D410" s="4">
        <v>159.28</v>
      </c>
      <c r="E410" s="4">
        <v>6.28</v>
      </c>
      <c r="F410" s="3" t="s">
        <v>1285</v>
      </c>
      <c r="G410" s="3">
        <f>VLOOKUP(B410,'Profit &amp; Loss'!$B$3:$C$390,2,0)</f>
        <v>152.97999999999999</v>
      </c>
    </row>
    <row r="411" spans="1:7" x14ac:dyDescent="0.2">
      <c r="A411" s="3" t="s">
        <v>383</v>
      </c>
      <c r="B411" s="3" t="s">
        <v>993</v>
      </c>
      <c r="C411" s="4">
        <v>-130594.91</v>
      </c>
      <c r="D411" s="4">
        <v>-130594.91</v>
      </c>
      <c r="E411" s="4">
        <v>0</v>
      </c>
      <c r="F411" s="3" t="s">
        <v>6</v>
      </c>
      <c r="G411" s="3">
        <f>VLOOKUP(B411,'Profit &amp; Loss'!$B$3:$C$390,2,0)</f>
        <v>-130594.91</v>
      </c>
    </row>
    <row r="412" spans="1:7" x14ac:dyDescent="0.2">
      <c r="A412" s="3" t="s">
        <v>383</v>
      </c>
      <c r="B412" s="3" t="s">
        <v>385</v>
      </c>
      <c r="C412" s="4">
        <v>14496.51</v>
      </c>
      <c r="D412" s="4">
        <v>8670.5400000000009</v>
      </c>
      <c r="E412" s="4">
        <v>5825.97</v>
      </c>
      <c r="F412" s="3" t="s">
        <v>1286</v>
      </c>
      <c r="G412" s="3">
        <f>VLOOKUP(B412,'Profit &amp; Loss'!$B$3:$C$390,2,0)</f>
        <v>3245.65</v>
      </c>
    </row>
    <row r="413" spans="1:7" x14ac:dyDescent="0.2">
      <c r="A413" s="3" t="s">
        <v>383</v>
      </c>
      <c r="B413" s="3" t="s">
        <v>386</v>
      </c>
      <c r="C413" s="4">
        <v>14335.12</v>
      </c>
      <c r="D413" s="4">
        <v>9565.32</v>
      </c>
      <c r="E413" s="4">
        <v>4769.8</v>
      </c>
      <c r="F413" s="3" t="s">
        <v>1268</v>
      </c>
      <c r="G413" s="3">
        <f>VLOOKUP(B413,'Profit &amp; Loss'!$B$3:$C$390,2,0)</f>
        <v>4774.8</v>
      </c>
    </row>
    <row r="414" spans="1:7" x14ac:dyDescent="0.2">
      <c r="A414" s="3" t="s">
        <v>383</v>
      </c>
      <c r="B414" s="3" t="s">
        <v>387</v>
      </c>
      <c r="C414" s="4">
        <v>17998.990000000002</v>
      </c>
      <c r="D414" s="4">
        <v>11965.55</v>
      </c>
      <c r="E414" s="4">
        <v>6033.44</v>
      </c>
      <c r="F414" s="3" t="s">
        <v>651</v>
      </c>
      <c r="G414" s="3">
        <f>VLOOKUP(B414,'Profit &amp; Loss'!$B$3:$C$390,2,0)</f>
        <v>5944.89</v>
      </c>
    </row>
    <row r="415" spans="1:7" x14ac:dyDescent="0.2">
      <c r="A415" s="3" t="s">
        <v>383</v>
      </c>
      <c r="B415" s="3" t="s">
        <v>2</v>
      </c>
      <c r="C415" s="4">
        <v>-83598.73</v>
      </c>
      <c r="D415" s="4">
        <v>-100234.22</v>
      </c>
      <c r="E415" s="4">
        <v>16635.490000000002</v>
      </c>
      <c r="F415" s="3" t="s">
        <v>923</v>
      </c>
      <c r="G415" s="3" t="e">
        <f>VLOOKUP(B415,'Profit &amp; Loss'!$B$3:$C$390,2,0)</f>
        <v>#N/A</v>
      </c>
    </row>
    <row r="416" spans="1:7" x14ac:dyDescent="0.2">
      <c r="A416" s="3" t="s">
        <v>678</v>
      </c>
      <c r="B416" s="3" t="s">
        <v>994</v>
      </c>
      <c r="C416" s="4">
        <v>249.17</v>
      </c>
      <c r="D416" s="4">
        <v>5.28</v>
      </c>
      <c r="E416" s="4">
        <v>243.89</v>
      </c>
      <c r="F416" s="3" t="s">
        <v>1287</v>
      </c>
      <c r="G416" s="3">
        <f>VLOOKUP(B416,'Profit &amp; Loss'!$B$3:$C$390,2,0)</f>
        <v>1302.99</v>
      </c>
    </row>
    <row r="417" spans="1:7" x14ac:dyDescent="0.2">
      <c r="A417" s="3" t="s">
        <v>678</v>
      </c>
      <c r="B417" s="3" t="s">
        <v>679</v>
      </c>
      <c r="C417" s="4">
        <v>1741.22</v>
      </c>
      <c r="D417" s="4">
        <v>1394.23</v>
      </c>
      <c r="E417" s="4">
        <v>346.99</v>
      </c>
      <c r="F417" s="3" t="s">
        <v>864</v>
      </c>
      <c r="G417" s="3" t="e">
        <f>VLOOKUP(B417,'Profit &amp; Loss'!$B$3:$C$390,2,0)</f>
        <v>#N/A</v>
      </c>
    </row>
    <row r="418" spans="1:7" x14ac:dyDescent="0.2">
      <c r="A418" s="3" t="s">
        <v>678</v>
      </c>
      <c r="B418" s="3" t="s">
        <v>2</v>
      </c>
      <c r="C418" s="4">
        <v>1990.39</v>
      </c>
      <c r="D418" s="4">
        <v>1399.51</v>
      </c>
      <c r="E418" s="4">
        <v>590.88</v>
      </c>
      <c r="F418" s="3" t="s">
        <v>827</v>
      </c>
      <c r="G418" s="3" t="e">
        <f>VLOOKUP(B418,'Profit &amp; Loss'!$B$3:$C$390,2,0)</f>
        <v>#N/A</v>
      </c>
    </row>
    <row r="419" spans="1:7" x14ac:dyDescent="0.2">
      <c r="A419" s="3" t="s">
        <v>388</v>
      </c>
      <c r="B419" s="3" t="s">
        <v>390</v>
      </c>
      <c r="C419" s="4">
        <v>1564.48</v>
      </c>
      <c r="D419" s="4">
        <v>944.73</v>
      </c>
      <c r="E419" s="4">
        <v>619.75</v>
      </c>
      <c r="F419" s="3" t="s">
        <v>1288</v>
      </c>
      <c r="G419" s="3" t="e">
        <f>VLOOKUP(B419,'Profit &amp; Loss'!$B$3:$C$390,2,0)</f>
        <v>#N/A</v>
      </c>
    </row>
    <row r="420" spans="1:7" x14ac:dyDescent="0.2">
      <c r="A420" s="3" t="s">
        <v>388</v>
      </c>
      <c r="B420" s="3" t="s">
        <v>2</v>
      </c>
      <c r="C420" s="4">
        <v>1564.48</v>
      </c>
      <c r="D420" s="4">
        <v>944.73</v>
      </c>
      <c r="E420" s="4">
        <v>619.75</v>
      </c>
      <c r="F420" s="3" t="s">
        <v>1288</v>
      </c>
      <c r="G420" s="3" t="e">
        <f>VLOOKUP(B420,'Profit &amp; Loss'!$B$3:$C$390,2,0)</f>
        <v>#N/A</v>
      </c>
    </row>
    <row r="421" spans="1:7" x14ac:dyDescent="0.2">
      <c r="A421" s="3" t="s">
        <v>391</v>
      </c>
      <c r="B421" s="3" t="s">
        <v>579</v>
      </c>
      <c r="C421" s="4">
        <v>560.20000000000005</v>
      </c>
      <c r="D421" s="4">
        <v>295.13</v>
      </c>
      <c r="E421" s="4">
        <v>265.07</v>
      </c>
      <c r="F421" s="3" t="s">
        <v>1289</v>
      </c>
      <c r="G421" s="3">
        <f>VLOOKUP(B421,'Profit &amp; Loss'!$B$3:$C$390,2,0)</f>
        <v>2.69</v>
      </c>
    </row>
    <row r="422" spans="1:7" x14ac:dyDescent="0.2">
      <c r="A422" s="3" t="s">
        <v>391</v>
      </c>
      <c r="B422" s="3" t="s">
        <v>392</v>
      </c>
      <c r="C422" s="4">
        <v>7650.66</v>
      </c>
      <c r="D422" s="4">
        <v>1140.07</v>
      </c>
      <c r="E422" s="4">
        <v>6510.59</v>
      </c>
      <c r="F422" s="3" t="s">
        <v>1290</v>
      </c>
      <c r="G422" s="3">
        <f>VLOOKUP(B422,'Profit &amp; Loss'!$B$3:$C$390,2,0)</f>
        <v>904.52</v>
      </c>
    </row>
    <row r="423" spans="1:7" x14ac:dyDescent="0.2">
      <c r="A423" s="3" t="s">
        <v>391</v>
      </c>
      <c r="B423" s="3" t="s">
        <v>2</v>
      </c>
      <c r="C423" s="4">
        <v>8210.86</v>
      </c>
      <c r="D423" s="4">
        <v>1435.2</v>
      </c>
      <c r="E423" s="4">
        <v>6775.66</v>
      </c>
      <c r="F423" s="3" t="s">
        <v>1291</v>
      </c>
      <c r="G423" s="3" t="e">
        <f>VLOOKUP(B423,'Profit &amp; Loss'!$B$3:$C$390,2,0)</f>
        <v>#N/A</v>
      </c>
    </row>
    <row r="424" spans="1:7" x14ac:dyDescent="0.2">
      <c r="A424" s="3" t="s">
        <v>393</v>
      </c>
      <c r="B424" s="3" t="s">
        <v>394</v>
      </c>
      <c r="C424" s="4">
        <v>5834.76</v>
      </c>
      <c r="D424" s="4">
        <v>2711.22</v>
      </c>
      <c r="E424" s="4">
        <v>3123.54</v>
      </c>
      <c r="F424" s="3" t="s">
        <v>1292</v>
      </c>
      <c r="G424" s="3">
        <f>VLOOKUP(B424,'Profit &amp; Loss'!$B$3:$C$390,2,0)</f>
        <v>1534.08</v>
      </c>
    </row>
    <row r="425" spans="1:7" x14ac:dyDescent="0.2">
      <c r="A425" s="3" t="s">
        <v>393</v>
      </c>
      <c r="B425" s="3" t="s">
        <v>395</v>
      </c>
      <c r="C425" s="4">
        <v>4564.7299999999996</v>
      </c>
      <c r="D425" s="4">
        <v>4564.7299999999996</v>
      </c>
      <c r="E425" s="4">
        <v>0</v>
      </c>
      <c r="F425" s="3" t="s">
        <v>6</v>
      </c>
      <c r="G425" s="3">
        <f>VLOOKUP(B425,'Profit &amp; Loss'!$B$3:$C$390,2,0)</f>
        <v>2034.12</v>
      </c>
    </row>
    <row r="426" spans="1:7" x14ac:dyDescent="0.2">
      <c r="A426" s="3" t="s">
        <v>393</v>
      </c>
      <c r="B426" s="3" t="s">
        <v>2</v>
      </c>
      <c r="C426" s="4">
        <v>10399.49</v>
      </c>
      <c r="D426" s="4">
        <v>7275.95</v>
      </c>
      <c r="E426" s="4">
        <v>3123.54</v>
      </c>
      <c r="F426" s="3" t="s">
        <v>1037</v>
      </c>
      <c r="G426" s="3" t="e">
        <f>VLOOKUP(B426,'Profit &amp; Loss'!$B$3:$C$390,2,0)</f>
        <v>#N/A</v>
      </c>
    </row>
    <row r="427" spans="1:7" x14ac:dyDescent="0.2">
      <c r="A427" s="3" t="s">
        <v>582</v>
      </c>
      <c r="B427" s="3" t="s">
        <v>583</v>
      </c>
      <c r="C427" s="4">
        <v>3667.36</v>
      </c>
      <c r="D427" s="4">
        <v>-35597.97</v>
      </c>
      <c r="E427" s="4">
        <v>39265.33</v>
      </c>
      <c r="F427" s="3" t="s">
        <v>1293</v>
      </c>
      <c r="G427" s="3">
        <f>VLOOKUP(B427,'Profit &amp; Loss'!$B$3:$C$390,2,0)</f>
        <v>-54602.16</v>
      </c>
    </row>
    <row r="428" spans="1:7" x14ac:dyDescent="0.2">
      <c r="A428" s="3" t="s">
        <v>582</v>
      </c>
      <c r="B428" s="3" t="s">
        <v>584</v>
      </c>
      <c r="C428" s="4">
        <v>15053.75</v>
      </c>
      <c r="D428" s="4">
        <v>-25965.11</v>
      </c>
      <c r="E428" s="4">
        <v>41018.86</v>
      </c>
      <c r="F428" s="3" t="s">
        <v>1294</v>
      </c>
      <c r="G428" s="3">
        <f>VLOOKUP(B428,'Profit &amp; Loss'!$B$3:$C$390,2,0)</f>
        <v>-28044.34</v>
      </c>
    </row>
    <row r="429" spans="1:7" x14ac:dyDescent="0.2">
      <c r="A429" s="3" t="s">
        <v>582</v>
      </c>
      <c r="B429" s="3" t="s">
        <v>684</v>
      </c>
      <c r="C429" s="4">
        <v>22115.93</v>
      </c>
      <c r="D429" s="4">
        <v>10280.790000000001</v>
      </c>
      <c r="E429" s="4">
        <v>11835.14</v>
      </c>
      <c r="F429" s="3" t="s">
        <v>1295</v>
      </c>
      <c r="G429" s="3">
        <f>VLOOKUP(B429,'Profit &amp; Loss'!$B$3:$C$390,2,0)</f>
        <v>-37.07</v>
      </c>
    </row>
    <row r="430" spans="1:7" x14ac:dyDescent="0.2">
      <c r="A430" s="3" t="s">
        <v>582</v>
      </c>
      <c r="B430" s="3" t="s">
        <v>2</v>
      </c>
      <c r="C430" s="4">
        <v>40837.040000000001</v>
      </c>
      <c r="D430" s="4">
        <v>-51282.29</v>
      </c>
      <c r="E430" s="4">
        <v>92119.33</v>
      </c>
      <c r="F430" s="3" t="s">
        <v>1296</v>
      </c>
      <c r="G430" s="3" t="e">
        <f>VLOOKUP(B430,'Profit &amp; Loss'!$B$3:$C$390,2,0)</f>
        <v>#N/A</v>
      </c>
    </row>
    <row r="431" spans="1:7" x14ac:dyDescent="0.2">
      <c r="A431" s="3" t="s">
        <v>396</v>
      </c>
      <c r="B431" s="3" t="s">
        <v>397</v>
      </c>
      <c r="C431" s="4">
        <v>12436.62</v>
      </c>
      <c r="D431" s="4">
        <v>8858.66</v>
      </c>
      <c r="E431" s="4">
        <v>3577.96</v>
      </c>
      <c r="F431" s="3" t="s">
        <v>1210</v>
      </c>
      <c r="G431" s="3">
        <f>VLOOKUP(B431,'Profit &amp; Loss'!$B$3:$C$390,2,0)</f>
        <v>4528.21</v>
      </c>
    </row>
    <row r="432" spans="1:7" x14ac:dyDescent="0.2">
      <c r="A432" s="3" t="s">
        <v>396</v>
      </c>
      <c r="B432" s="3" t="s">
        <v>2</v>
      </c>
      <c r="C432" s="4">
        <v>12436.62</v>
      </c>
      <c r="D432" s="4">
        <v>8858.66</v>
      </c>
      <c r="E432" s="4">
        <v>3577.96</v>
      </c>
      <c r="F432" s="3" t="s">
        <v>1210</v>
      </c>
      <c r="G432" s="3" t="e">
        <f>VLOOKUP(B432,'Profit &amp; Loss'!$B$3:$C$390,2,0)</f>
        <v>#N/A</v>
      </c>
    </row>
    <row r="433" spans="1:7" x14ac:dyDescent="0.2">
      <c r="A433" s="3" t="s">
        <v>398</v>
      </c>
      <c r="B433" s="3" t="s">
        <v>399</v>
      </c>
      <c r="C433" s="4">
        <v>24437.58</v>
      </c>
      <c r="D433" s="4">
        <v>3581.77</v>
      </c>
      <c r="E433" s="4">
        <v>20855.810000000001</v>
      </c>
      <c r="F433" s="3" t="s">
        <v>1297</v>
      </c>
      <c r="G433" s="3">
        <f>VLOOKUP(B433,'Profit &amp; Loss'!$B$3:$C$390,2,0)</f>
        <v>6517.4</v>
      </c>
    </row>
    <row r="434" spans="1:7" x14ac:dyDescent="0.2">
      <c r="A434" s="3" t="s">
        <v>398</v>
      </c>
      <c r="B434" s="3" t="s">
        <v>2</v>
      </c>
      <c r="C434" s="4">
        <v>24437.58</v>
      </c>
      <c r="D434" s="4">
        <v>3581.77</v>
      </c>
      <c r="E434" s="4">
        <v>20855.810000000001</v>
      </c>
      <c r="F434" s="3" t="s">
        <v>1297</v>
      </c>
      <c r="G434" s="3" t="e">
        <f>VLOOKUP(B434,'Profit &amp; Loss'!$B$3:$C$390,2,0)</f>
        <v>#N/A</v>
      </c>
    </row>
    <row r="435" spans="1:7" x14ac:dyDescent="0.2">
      <c r="A435" s="3" t="s">
        <v>401</v>
      </c>
      <c r="B435" s="3" t="s">
        <v>402</v>
      </c>
      <c r="C435" s="4">
        <v>139.75</v>
      </c>
      <c r="D435" s="4">
        <v>139.75</v>
      </c>
      <c r="E435" s="4">
        <v>0</v>
      </c>
      <c r="F435" s="3" t="s">
        <v>6</v>
      </c>
      <c r="G435" s="3">
        <f>VLOOKUP(B435,'Profit &amp; Loss'!$B$3:$C$390,2,0)</f>
        <v>139.75</v>
      </c>
    </row>
    <row r="436" spans="1:7" x14ac:dyDescent="0.2">
      <c r="A436" s="3" t="s">
        <v>401</v>
      </c>
      <c r="B436" s="3" t="s">
        <v>2</v>
      </c>
      <c r="C436" s="4">
        <v>139.75</v>
      </c>
      <c r="D436" s="4">
        <v>139.75</v>
      </c>
      <c r="E436" s="4">
        <v>0</v>
      </c>
      <c r="F436" s="3" t="s">
        <v>6</v>
      </c>
      <c r="G436" s="3" t="e">
        <f>VLOOKUP(B436,'Profit &amp; Loss'!$B$3:$C$390,2,0)</f>
        <v>#N/A</v>
      </c>
    </row>
    <row r="437" spans="1:7" x14ac:dyDescent="0.2">
      <c r="A437" s="3" t="s">
        <v>403</v>
      </c>
      <c r="B437" s="3" t="s">
        <v>404</v>
      </c>
      <c r="C437" s="4">
        <v>3571.82</v>
      </c>
      <c r="D437" s="4">
        <v>2594.38</v>
      </c>
      <c r="E437" s="4">
        <v>977.44</v>
      </c>
      <c r="F437" s="3" t="s">
        <v>890</v>
      </c>
      <c r="G437" s="3">
        <f>VLOOKUP(B437,'Profit &amp; Loss'!$B$3:$C$390,2,0)</f>
        <v>1539.76</v>
      </c>
    </row>
    <row r="438" spans="1:7" x14ac:dyDescent="0.2">
      <c r="A438" s="3" t="s">
        <v>403</v>
      </c>
      <c r="B438" s="3" t="s">
        <v>405</v>
      </c>
      <c r="C438" s="4">
        <v>45921.72</v>
      </c>
      <c r="D438" s="4">
        <v>26473.39</v>
      </c>
      <c r="E438" s="4">
        <v>19448.330000000002</v>
      </c>
      <c r="F438" s="3" t="s">
        <v>1298</v>
      </c>
      <c r="G438" s="3">
        <f>VLOOKUP(B438,'Profit &amp; Loss'!$B$3:$C$390,2,0)</f>
        <v>2743.74</v>
      </c>
    </row>
    <row r="439" spans="1:7" x14ac:dyDescent="0.2">
      <c r="A439" s="3" t="s">
        <v>403</v>
      </c>
      <c r="B439" s="3" t="s">
        <v>406</v>
      </c>
      <c r="C439" s="4">
        <v>47.76</v>
      </c>
      <c r="D439" s="4">
        <v>38.549999999999997</v>
      </c>
      <c r="E439" s="4">
        <v>9.2100000000000009</v>
      </c>
      <c r="F439" s="3" t="s">
        <v>853</v>
      </c>
      <c r="G439" s="3">
        <f>VLOOKUP(B439,'Profit &amp; Loss'!$B$3:$C$390,2,0)</f>
        <v>28.84</v>
      </c>
    </row>
    <row r="440" spans="1:7" s="18" customFormat="1" x14ac:dyDescent="0.2">
      <c r="A440" s="18" t="s">
        <v>403</v>
      </c>
      <c r="B440" s="18" t="s">
        <v>407</v>
      </c>
      <c r="C440" s="19">
        <v>111.42</v>
      </c>
      <c r="D440" s="19">
        <v>0</v>
      </c>
      <c r="E440" s="19">
        <v>111.42</v>
      </c>
      <c r="F440" s="18" t="s">
        <v>2</v>
      </c>
      <c r="G440" s="18">
        <f>VLOOKUP(B440,'Profit &amp; Loss'!$B$3:$C$390,2,0)</f>
        <v>0</v>
      </c>
    </row>
    <row r="441" spans="1:7" x14ac:dyDescent="0.2">
      <c r="A441" s="3" t="s">
        <v>403</v>
      </c>
      <c r="B441" s="3" t="s">
        <v>686</v>
      </c>
      <c r="C441" s="4">
        <v>564.88</v>
      </c>
      <c r="D441" s="4">
        <v>494.67</v>
      </c>
      <c r="E441" s="4">
        <v>70.209999999999994</v>
      </c>
      <c r="F441" s="3" t="s">
        <v>964</v>
      </c>
      <c r="G441" s="3">
        <f>VLOOKUP(B441,'Profit &amp; Loss'!$B$3:$C$390,2,0)</f>
        <v>494.67</v>
      </c>
    </row>
    <row r="442" spans="1:7" x14ac:dyDescent="0.2">
      <c r="A442" s="3" t="s">
        <v>403</v>
      </c>
      <c r="B442" s="3" t="s">
        <v>2</v>
      </c>
      <c r="C442" s="4">
        <v>50217.599999999999</v>
      </c>
      <c r="D442" s="4">
        <v>29600.99</v>
      </c>
      <c r="E442" s="4">
        <v>20616.61</v>
      </c>
      <c r="F442" s="3" t="s">
        <v>1299</v>
      </c>
      <c r="G442" s="3" t="e">
        <f>VLOOKUP(B442,'Profit &amp; Loss'!$B$3:$C$390,2,0)</f>
        <v>#N/A</v>
      </c>
    </row>
    <row r="443" spans="1:7" x14ac:dyDescent="0.2">
      <c r="A443" s="3" t="s">
        <v>408</v>
      </c>
      <c r="B443" s="3" t="s">
        <v>409</v>
      </c>
      <c r="C443" s="4">
        <v>10500.3</v>
      </c>
      <c r="D443" s="4">
        <v>7009.26</v>
      </c>
      <c r="E443" s="4">
        <v>3491.04</v>
      </c>
      <c r="F443" s="3" t="s">
        <v>650</v>
      </c>
      <c r="G443" s="3">
        <f>VLOOKUP(B443,'Profit &amp; Loss'!$B$3:$C$390,2,0)</f>
        <v>3504.81</v>
      </c>
    </row>
    <row r="444" spans="1:7" x14ac:dyDescent="0.2">
      <c r="A444" s="3" t="s">
        <v>408</v>
      </c>
      <c r="B444" s="3" t="s">
        <v>995</v>
      </c>
      <c r="C444" s="4">
        <v>24.76</v>
      </c>
      <c r="D444" s="4">
        <v>16.510000000000002</v>
      </c>
      <c r="E444" s="4">
        <v>8.25</v>
      </c>
      <c r="F444" s="3" t="s">
        <v>688</v>
      </c>
      <c r="G444" s="3">
        <f>VLOOKUP(B444,'Profit &amp; Loss'!$B$3:$C$390,2,0)</f>
        <v>8.25</v>
      </c>
    </row>
    <row r="445" spans="1:7" x14ac:dyDescent="0.2">
      <c r="A445" s="3" t="s">
        <v>408</v>
      </c>
      <c r="B445" s="3" t="s">
        <v>410</v>
      </c>
      <c r="C445" s="4">
        <v>179.29</v>
      </c>
      <c r="D445" s="4">
        <v>83.72</v>
      </c>
      <c r="E445" s="4">
        <v>95.57</v>
      </c>
      <c r="F445" s="3" t="s">
        <v>1300</v>
      </c>
      <c r="G445" s="3">
        <f>VLOOKUP(B445,'Profit &amp; Loss'!$B$3:$C$390,2,0)</f>
        <v>34.97</v>
      </c>
    </row>
    <row r="446" spans="1:7" x14ac:dyDescent="0.2">
      <c r="A446" s="3" t="s">
        <v>408</v>
      </c>
      <c r="B446" s="3" t="s">
        <v>411</v>
      </c>
      <c r="C446" s="4">
        <v>6424.26</v>
      </c>
      <c r="D446" s="4">
        <v>4209.84</v>
      </c>
      <c r="E446" s="4">
        <v>2214.42</v>
      </c>
      <c r="F446" s="3" t="s">
        <v>1301</v>
      </c>
      <c r="G446" s="3">
        <f>VLOOKUP(B446,'Profit &amp; Loss'!$B$3:$C$390,2,0)</f>
        <v>2065.9299999999998</v>
      </c>
    </row>
    <row r="447" spans="1:7" x14ac:dyDescent="0.2">
      <c r="A447" s="3" t="s">
        <v>408</v>
      </c>
      <c r="B447" s="3" t="s">
        <v>412</v>
      </c>
      <c r="C447" s="4">
        <v>958.36</v>
      </c>
      <c r="D447" s="4">
        <v>683.85</v>
      </c>
      <c r="E447" s="4">
        <v>274.51</v>
      </c>
      <c r="F447" s="3" t="s">
        <v>935</v>
      </c>
      <c r="G447" s="3">
        <f>VLOOKUP(B447,'Profit &amp; Loss'!$B$3:$C$390,2,0)</f>
        <v>409.3</v>
      </c>
    </row>
    <row r="448" spans="1:7" x14ac:dyDescent="0.2">
      <c r="A448" s="3" t="s">
        <v>408</v>
      </c>
      <c r="B448" s="3" t="s">
        <v>413</v>
      </c>
      <c r="C448" s="4">
        <v>5055.92</v>
      </c>
      <c r="D448" s="4">
        <v>3343.01</v>
      </c>
      <c r="E448" s="4">
        <v>1712.91</v>
      </c>
      <c r="F448" s="3" t="s">
        <v>645</v>
      </c>
      <c r="G448" s="3">
        <f>VLOOKUP(B448,'Profit &amp; Loss'!$B$3:$C$390,2,0)</f>
        <v>1687.53</v>
      </c>
    </row>
    <row r="449" spans="1:7" x14ac:dyDescent="0.2">
      <c r="A449" s="3" t="s">
        <v>408</v>
      </c>
      <c r="B449" s="3" t="s">
        <v>414</v>
      </c>
      <c r="C449" s="4">
        <v>3344.32</v>
      </c>
      <c r="D449" s="4">
        <v>2229.54</v>
      </c>
      <c r="E449" s="4">
        <v>1114.78</v>
      </c>
      <c r="F449" s="3" t="s">
        <v>688</v>
      </c>
      <c r="G449" s="3">
        <f>VLOOKUP(B449,'Profit &amp; Loss'!$B$3:$C$390,2,0)</f>
        <v>1114.78</v>
      </c>
    </row>
    <row r="450" spans="1:7" x14ac:dyDescent="0.2">
      <c r="A450" s="3" t="s">
        <v>408</v>
      </c>
      <c r="B450" s="3" t="s">
        <v>415</v>
      </c>
      <c r="C450" s="4">
        <v>166.75</v>
      </c>
      <c r="D450" s="4">
        <v>111.17</v>
      </c>
      <c r="E450" s="4">
        <v>55.58</v>
      </c>
      <c r="F450" s="3" t="s">
        <v>688</v>
      </c>
      <c r="G450" s="3">
        <f>VLOOKUP(B450,'Profit &amp; Loss'!$B$3:$C$390,2,0)</f>
        <v>55.58</v>
      </c>
    </row>
    <row r="451" spans="1:7" x14ac:dyDescent="0.2">
      <c r="A451" s="3" t="s">
        <v>408</v>
      </c>
      <c r="B451" s="3" t="s">
        <v>416</v>
      </c>
      <c r="C451" s="4">
        <v>9564.39</v>
      </c>
      <c r="D451" s="4">
        <v>7863.47</v>
      </c>
      <c r="E451" s="4">
        <v>1700.92</v>
      </c>
      <c r="F451" s="3" t="s">
        <v>878</v>
      </c>
      <c r="G451" s="3">
        <f>VLOOKUP(B451,'Profit &amp; Loss'!$B$3:$C$390,2,0)</f>
        <v>5433.31</v>
      </c>
    </row>
    <row r="452" spans="1:7" x14ac:dyDescent="0.2">
      <c r="A452" s="3" t="s">
        <v>408</v>
      </c>
      <c r="B452" s="3" t="s">
        <v>417</v>
      </c>
      <c r="C452" s="4">
        <v>8749.32</v>
      </c>
      <c r="D452" s="4">
        <v>5832.88</v>
      </c>
      <c r="E452" s="4">
        <v>2916.44</v>
      </c>
      <c r="F452" s="3" t="s">
        <v>688</v>
      </c>
      <c r="G452" s="3">
        <f>VLOOKUP(B452,'Profit &amp; Loss'!$B$3:$C$390,2,0)</f>
        <v>2916.44</v>
      </c>
    </row>
    <row r="453" spans="1:7" x14ac:dyDescent="0.2">
      <c r="A453" s="3" t="s">
        <v>408</v>
      </c>
      <c r="B453" s="3" t="s">
        <v>689</v>
      </c>
      <c r="C453" s="4">
        <v>60617.71</v>
      </c>
      <c r="D453" s="4">
        <v>60617.71</v>
      </c>
      <c r="E453" s="4">
        <v>0</v>
      </c>
      <c r="F453" s="3" t="s">
        <v>6</v>
      </c>
      <c r="G453" s="3">
        <f>VLOOKUP(B453,'Profit &amp; Loss'!$B$3:$C$390,2,0)</f>
        <v>60617.71</v>
      </c>
    </row>
    <row r="454" spans="1:7" x14ac:dyDescent="0.2">
      <c r="A454" s="3" t="s">
        <v>408</v>
      </c>
      <c r="B454" s="3" t="s">
        <v>418</v>
      </c>
      <c r="C454" s="4">
        <v>26525.35</v>
      </c>
      <c r="D454" s="4">
        <v>18680.560000000001</v>
      </c>
      <c r="E454" s="4">
        <v>7844.79</v>
      </c>
      <c r="F454" s="3" t="s">
        <v>863</v>
      </c>
      <c r="G454" s="3">
        <f>VLOOKUP(B454,'Profit &amp; Loss'!$B$3:$C$390,2,0)</f>
        <v>10835.77</v>
      </c>
    </row>
    <row r="455" spans="1:7" x14ac:dyDescent="0.2">
      <c r="A455" s="3" t="s">
        <v>408</v>
      </c>
      <c r="B455" s="3" t="s">
        <v>419</v>
      </c>
      <c r="C455" s="4">
        <v>16450.21</v>
      </c>
      <c r="D455" s="4">
        <v>10847.35</v>
      </c>
      <c r="E455" s="4">
        <v>5602.86</v>
      </c>
      <c r="F455" s="3" t="s">
        <v>1302</v>
      </c>
      <c r="G455" s="3">
        <f>VLOOKUP(B455,'Profit &amp; Loss'!$B$3:$C$390,2,0)</f>
        <v>5356.49</v>
      </c>
    </row>
    <row r="456" spans="1:7" x14ac:dyDescent="0.2">
      <c r="A456" s="3" t="s">
        <v>408</v>
      </c>
      <c r="B456" s="3" t="s">
        <v>2</v>
      </c>
      <c r="C456" s="4">
        <v>148560.94</v>
      </c>
      <c r="D456" s="4">
        <v>121528.87</v>
      </c>
      <c r="E456" s="4">
        <v>27032.07</v>
      </c>
      <c r="F456" s="3" t="s">
        <v>698</v>
      </c>
      <c r="G456" s="3" t="e">
        <f>VLOOKUP(B456,'Profit &amp; Loss'!$B$3:$C$390,2,0)</f>
        <v>#N/A</v>
      </c>
    </row>
    <row r="457" spans="1:7" x14ac:dyDescent="0.2">
      <c r="A457" s="3" t="s">
        <v>420</v>
      </c>
      <c r="B457" s="3" t="s">
        <v>421</v>
      </c>
      <c r="C457" s="4">
        <v>43049.440000000002</v>
      </c>
      <c r="D457" s="4">
        <v>26764.23</v>
      </c>
      <c r="E457" s="4">
        <v>16285.21</v>
      </c>
      <c r="F457" s="3" t="s">
        <v>1303</v>
      </c>
      <c r="G457" s="3">
        <f>VLOOKUP(B457,'Profit &amp; Loss'!$B$3:$C$390,2,0)</f>
        <v>9127.73</v>
      </c>
    </row>
    <row r="458" spans="1:7" x14ac:dyDescent="0.2">
      <c r="A458" s="3" t="s">
        <v>420</v>
      </c>
      <c r="B458" s="3" t="s">
        <v>422</v>
      </c>
      <c r="C458" s="4">
        <v>10024.01</v>
      </c>
      <c r="D458" s="4">
        <v>8795.4</v>
      </c>
      <c r="E458" s="4">
        <v>1228.6099999999999</v>
      </c>
      <c r="F458" s="3" t="s">
        <v>764</v>
      </c>
      <c r="G458" s="3">
        <f>VLOOKUP(B458,'Profit &amp; Loss'!$B$3:$C$390,2,0)</f>
        <v>4172.96</v>
      </c>
    </row>
    <row r="459" spans="1:7" x14ac:dyDescent="0.2">
      <c r="A459" s="3" t="s">
        <v>420</v>
      </c>
      <c r="B459" s="3" t="s">
        <v>423</v>
      </c>
      <c r="C459" s="4">
        <v>15625.95</v>
      </c>
      <c r="D459" s="4">
        <v>13438.74</v>
      </c>
      <c r="E459" s="4">
        <v>2187.21</v>
      </c>
      <c r="F459" s="3" t="s">
        <v>771</v>
      </c>
      <c r="G459" s="3">
        <f>VLOOKUP(B459,'Profit &amp; Loss'!$B$3:$C$390,2,0)</f>
        <v>6431.37</v>
      </c>
    </row>
    <row r="460" spans="1:7" x14ac:dyDescent="0.2">
      <c r="A460" s="3" t="s">
        <v>420</v>
      </c>
      <c r="B460" s="3" t="s">
        <v>424</v>
      </c>
      <c r="C460" s="4">
        <v>8063.57</v>
      </c>
      <c r="D460" s="4">
        <v>5173.2700000000004</v>
      </c>
      <c r="E460" s="4">
        <v>2890.3</v>
      </c>
      <c r="F460" s="3" t="s">
        <v>1304</v>
      </c>
      <c r="G460" s="3">
        <f>VLOOKUP(B460,'Profit &amp; Loss'!$B$3:$C$390,2,0)</f>
        <v>2832.61</v>
      </c>
    </row>
    <row r="461" spans="1:7" x14ac:dyDescent="0.2">
      <c r="A461" s="3" t="s">
        <v>420</v>
      </c>
      <c r="B461" s="3" t="s">
        <v>588</v>
      </c>
      <c r="C461" s="4">
        <v>132.38999999999999</v>
      </c>
      <c r="D461" s="4">
        <v>132.38999999999999</v>
      </c>
      <c r="E461" s="4">
        <v>0</v>
      </c>
      <c r="F461" s="3" t="s">
        <v>6</v>
      </c>
      <c r="G461" s="3">
        <f>VLOOKUP(B461,'Profit &amp; Loss'!$B$3:$C$390,2,0)</f>
        <v>104.5</v>
      </c>
    </row>
    <row r="462" spans="1:7" x14ac:dyDescent="0.2">
      <c r="A462" s="3" t="s">
        <v>420</v>
      </c>
      <c r="B462" s="3" t="s">
        <v>425</v>
      </c>
      <c r="C462" s="4">
        <v>2144.8000000000002</v>
      </c>
      <c r="D462" s="4">
        <v>1229.17</v>
      </c>
      <c r="E462" s="4">
        <v>915.63</v>
      </c>
      <c r="F462" s="3" t="s">
        <v>1305</v>
      </c>
      <c r="G462" s="3">
        <f>VLOOKUP(B462,'Profit &amp; Loss'!$B$3:$C$390,2,0)</f>
        <v>330.94</v>
      </c>
    </row>
    <row r="463" spans="1:7" x14ac:dyDescent="0.2">
      <c r="A463" s="3" t="s">
        <v>420</v>
      </c>
      <c r="B463" s="3" t="s">
        <v>795</v>
      </c>
      <c r="C463" s="4">
        <v>27681.03</v>
      </c>
      <c r="D463" s="4">
        <v>4528.78</v>
      </c>
      <c r="E463" s="4">
        <v>23152.25</v>
      </c>
      <c r="F463" s="3" t="s">
        <v>1306</v>
      </c>
      <c r="G463" s="3">
        <f>VLOOKUP(B463,'Profit &amp; Loss'!$B$3:$C$390,2,0)</f>
        <v>-7152.42</v>
      </c>
    </row>
    <row r="464" spans="1:7" x14ac:dyDescent="0.2">
      <c r="A464" s="3" t="s">
        <v>420</v>
      </c>
      <c r="B464" s="3" t="s">
        <v>2</v>
      </c>
      <c r="C464" s="4">
        <v>106721.19</v>
      </c>
      <c r="D464" s="4">
        <v>60061.98</v>
      </c>
      <c r="E464" s="4">
        <v>46659.21</v>
      </c>
      <c r="F464" s="3" t="s">
        <v>693</v>
      </c>
      <c r="G464" s="3" t="e">
        <f>VLOOKUP(B464,'Profit &amp; Loss'!$B$3:$C$390,2,0)</f>
        <v>#N/A</v>
      </c>
    </row>
    <row r="465" spans="1:7" x14ac:dyDescent="0.2">
      <c r="A465" s="3" t="s">
        <v>426</v>
      </c>
      <c r="B465" s="3" t="s">
        <v>427</v>
      </c>
      <c r="C465" s="4">
        <v>190.9</v>
      </c>
      <c r="D465" s="4">
        <v>190.9</v>
      </c>
      <c r="E465" s="4">
        <v>0</v>
      </c>
      <c r="F465" s="3" t="s">
        <v>6</v>
      </c>
      <c r="G465" s="3">
        <f>VLOOKUP(B465,'Profit &amp; Loss'!$B$3:$C$390,2,0)</f>
        <v>0</v>
      </c>
    </row>
    <row r="466" spans="1:7" x14ac:dyDescent="0.2">
      <c r="A466" s="3" t="s">
        <v>426</v>
      </c>
      <c r="B466" s="3" t="s">
        <v>428</v>
      </c>
      <c r="C466" s="4">
        <v>1649.69</v>
      </c>
      <c r="D466" s="4">
        <v>601.38</v>
      </c>
      <c r="E466" s="4">
        <v>1048.31</v>
      </c>
      <c r="F466" s="3" t="s">
        <v>1307</v>
      </c>
      <c r="G466" s="3">
        <f>VLOOKUP(B466,'Profit &amp; Loss'!$B$3:$C$390,2,0)</f>
        <v>-347.23</v>
      </c>
    </row>
    <row r="467" spans="1:7" x14ac:dyDescent="0.2">
      <c r="A467" s="3" t="s">
        <v>426</v>
      </c>
      <c r="B467" s="3" t="s">
        <v>429</v>
      </c>
      <c r="C467" s="4">
        <v>19674.830000000002</v>
      </c>
      <c r="D467" s="4">
        <v>14153.08</v>
      </c>
      <c r="E467" s="4">
        <v>5521.75</v>
      </c>
      <c r="F467" s="3" t="s">
        <v>865</v>
      </c>
      <c r="G467" s="3">
        <f>VLOOKUP(B467,'Profit &amp; Loss'!$B$3:$C$390,2,0)</f>
        <v>7237.53</v>
      </c>
    </row>
    <row r="468" spans="1:7" x14ac:dyDescent="0.2">
      <c r="A468" s="3" t="s">
        <v>426</v>
      </c>
      <c r="B468" s="3" t="s">
        <v>430</v>
      </c>
      <c r="C468" s="4">
        <v>4999.04</v>
      </c>
      <c r="D468" s="4">
        <v>2754.13</v>
      </c>
      <c r="E468" s="4">
        <v>2244.91</v>
      </c>
      <c r="F468" s="3" t="s">
        <v>1308</v>
      </c>
      <c r="G468" s="3">
        <f>VLOOKUP(B468,'Profit &amp; Loss'!$B$3:$C$390,2,0)</f>
        <v>378.03</v>
      </c>
    </row>
    <row r="469" spans="1:7" x14ac:dyDescent="0.2">
      <c r="A469" s="3" t="s">
        <v>426</v>
      </c>
      <c r="B469" s="3" t="s">
        <v>2</v>
      </c>
      <c r="C469" s="4">
        <v>26514.46</v>
      </c>
      <c r="D469" s="4">
        <v>17699.490000000002</v>
      </c>
      <c r="E469" s="4">
        <v>8814.9699999999993</v>
      </c>
      <c r="F469" s="3" t="s">
        <v>650</v>
      </c>
      <c r="G469" s="3" t="e">
        <f>VLOOKUP(B469,'Profit &amp; Loss'!$B$3:$C$390,2,0)</f>
        <v>#N/A</v>
      </c>
    </row>
    <row r="470" spans="1:7" x14ac:dyDescent="0.2">
      <c r="A470" s="3" t="s">
        <v>431</v>
      </c>
      <c r="B470" s="3" t="s">
        <v>432</v>
      </c>
      <c r="C470" s="4">
        <v>-308241.89</v>
      </c>
      <c r="D470" s="4">
        <v>-198998.32</v>
      </c>
      <c r="E470" s="4">
        <v>-109243.57</v>
      </c>
      <c r="F470" s="3" t="s">
        <v>1052</v>
      </c>
      <c r="G470" s="3">
        <f>VLOOKUP(B470,'Profit &amp; Loss'!$B$3:$C$390,2,0)</f>
        <v>-104275.76</v>
      </c>
    </row>
    <row r="471" spans="1:7" x14ac:dyDescent="0.2">
      <c r="A471" s="3" t="s">
        <v>431</v>
      </c>
      <c r="B471" s="3" t="s">
        <v>2</v>
      </c>
      <c r="C471" s="4">
        <v>-308241.89</v>
      </c>
      <c r="D471" s="4">
        <v>-198998.32</v>
      </c>
      <c r="E471" s="4">
        <v>-109243.57</v>
      </c>
      <c r="F471" s="3" t="s">
        <v>1052</v>
      </c>
      <c r="G471" s="3" t="e">
        <f>VLOOKUP(B471,'Profit &amp; Loss'!$B$3:$C$390,2,0)</f>
        <v>#N/A</v>
      </c>
    </row>
    <row r="472" spans="1:7" x14ac:dyDescent="0.2">
      <c r="A472" s="3" t="s">
        <v>433</v>
      </c>
      <c r="B472" s="3" t="s">
        <v>2</v>
      </c>
      <c r="C472" s="4">
        <v>769065.85</v>
      </c>
      <c r="D472" s="4">
        <v>336928.42</v>
      </c>
      <c r="E472" s="4">
        <v>432137.43</v>
      </c>
      <c r="F472" s="3" t="s">
        <v>1309</v>
      </c>
      <c r="G472" s="3" t="e">
        <f>VLOOKUP(B472,'Profit &amp; Loss'!$B$3:$C$390,2,0)</f>
        <v>#N/A</v>
      </c>
    </row>
    <row r="473" spans="1:7" s="18" customFormat="1" x14ac:dyDescent="0.2">
      <c r="A473" s="18" t="s">
        <v>434</v>
      </c>
      <c r="B473" s="18" t="s">
        <v>796</v>
      </c>
      <c r="C473" s="19">
        <v>-21155.360000000001</v>
      </c>
      <c r="D473" s="19">
        <v>0</v>
      </c>
      <c r="E473" s="19">
        <v>-21155.360000000001</v>
      </c>
      <c r="F473" s="18" t="s">
        <v>2</v>
      </c>
      <c r="G473" s="18">
        <f>VLOOKUP(B473,'Profit &amp; Loss'!$B$3:$C$390,2,0)</f>
        <v>0</v>
      </c>
    </row>
    <row r="474" spans="1:7" s="18" customFormat="1" x14ac:dyDescent="0.2">
      <c r="A474" s="18" t="s">
        <v>434</v>
      </c>
      <c r="B474" s="18" t="s">
        <v>870</v>
      </c>
      <c r="C474" s="19">
        <v>633.54</v>
      </c>
      <c r="D474" s="19">
        <v>0</v>
      </c>
      <c r="E474" s="19">
        <v>633.54</v>
      </c>
      <c r="F474" s="18" t="s">
        <v>2</v>
      </c>
      <c r="G474" s="18">
        <f>VLOOKUP(B474,'Profit &amp; Loss'!$B$3:$C$390,2,0)</f>
        <v>0</v>
      </c>
    </row>
    <row r="475" spans="1:7" x14ac:dyDescent="0.2">
      <c r="A475" s="3" t="s">
        <v>434</v>
      </c>
      <c r="B475" s="3" t="s">
        <v>590</v>
      </c>
      <c r="C475" s="4">
        <v>-98.26</v>
      </c>
      <c r="D475" s="4">
        <v>-98.26</v>
      </c>
      <c r="E475" s="4">
        <v>0</v>
      </c>
      <c r="F475" s="3" t="s">
        <v>6</v>
      </c>
      <c r="G475" s="3">
        <f>VLOOKUP(B475,'Profit &amp; Loss'!$B$3:$C$390,2,0)</f>
        <v>-98.26</v>
      </c>
    </row>
    <row r="476" spans="1:7" s="18" customFormat="1" x14ac:dyDescent="0.2">
      <c r="A476" s="18" t="s">
        <v>434</v>
      </c>
      <c r="B476" s="18" t="s">
        <v>1310</v>
      </c>
      <c r="C476" s="19">
        <v>7315.99</v>
      </c>
      <c r="D476" s="19">
        <v>0</v>
      </c>
      <c r="E476" s="19">
        <v>7315.99</v>
      </c>
      <c r="F476" s="18" t="s">
        <v>2</v>
      </c>
      <c r="G476" s="18">
        <f>VLOOKUP(B476,'Profit &amp; Loss'!$B$3:$C$390,2,0)</f>
        <v>0</v>
      </c>
    </row>
    <row r="477" spans="1:7" x14ac:dyDescent="0.2">
      <c r="A477" s="3" t="s">
        <v>434</v>
      </c>
      <c r="B477" s="3" t="s">
        <v>436</v>
      </c>
      <c r="C477" s="4">
        <v>81657.37</v>
      </c>
      <c r="D477" s="4">
        <v>57894.080000000002</v>
      </c>
      <c r="E477" s="4">
        <v>23763.29</v>
      </c>
      <c r="F477" s="3" t="s">
        <v>942</v>
      </c>
      <c r="G477" s="3">
        <f>VLOOKUP(B477,'Profit &amp; Loss'!$B$3:$C$390,2,0)</f>
        <v>26750</v>
      </c>
    </row>
    <row r="478" spans="1:7" x14ac:dyDescent="0.2">
      <c r="A478" s="3" t="s">
        <v>434</v>
      </c>
      <c r="B478" s="3" t="s">
        <v>2</v>
      </c>
      <c r="C478" s="4">
        <v>68353.279999999999</v>
      </c>
      <c r="D478" s="4">
        <v>57795.82</v>
      </c>
      <c r="E478" s="4">
        <v>10557.46</v>
      </c>
      <c r="F478" s="3" t="s">
        <v>533</v>
      </c>
      <c r="G478" s="3" t="e">
        <f>VLOOKUP(B478,'Profit &amp; Loss'!$B$3:$C$390,2,0)</f>
        <v>#N/A</v>
      </c>
    </row>
    <row r="479" spans="1:7" s="18" customFormat="1" x14ac:dyDescent="0.2">
      <c r="A479" s="18" t="s">
        <v>437</v>
      </c>
      <c r="B479" s="18" t="s">
        <v>1311</v>
      </c>
      <c r="C479" s="19">
        <v>1673.69</v>
      </c>
      <c r="D479" s="19">
        <v>0</v>
      </c>
      <c r="E479" s="19">
        <v>1673.69</v>
      </c>
      <c r="F479" s="18" t="s">
        <v>2</v>
      </c>
      <c r="G479" s="18">
        <f>VLOOKUP(B479,'Profit &amp; Loss'!$B$3:$C$390,2,0)</f>
        <v>0</v>
      </c>
    </row>
    <row r="480" spans="1:7" x14ac:dyDescent="0.2">
      <c r="A480" s="3" t="s">
        <v>437</v>
      </c>
      <c r="B480" s="3" t="s">
        <v>438</v>
      </c>
      <c r="C480" s="4">
        <v>90125.52</v>
      </c>
      <c r="D480" s="4">
        <v>49157.87</v>
      </c>
      <c r="E480" s="4">
        <v>40967.65</v>
      </c>
      <c r="F480" s="3" t="s">
        <v>1312</v>
      </c>
      <c r="G480" s="3">
        <f>VLOOKUP(B480,'Profit &amp; Loss'!$B$3:$C$390,2,0)</f>
        <v>9806.14</v>
      </c>
    </row>
    <row r="481" spans="1:7" x14ac:dyDescent="0.2">
      <c r="A481" s="3" t="s">
        <v>437</v>
      </c>
      <c r="B481" s="3" t="s">
        <v>439</v>
      </c>
      <c r="C481" s="4">
        <v>3168.39</v>
      </c>
      <c r="D481" s="4">
        <v>4089.02</v>
      </c>
      <c r="E481" s="4">
        <v>-920.63</v>
      </c>
      <c r="F481" s="3" t="s">
        <v>746</v>
      </c>
      <c r="G481" s="3">
        <f>VLOOKUP(B481,'Profit &amp; Loss'!$B$3:$C$390,2,0)</f>
        <v>1430.38</v>
      </c>
    </row>
    <row r="482" spans="1:7" x14ac:dyDescent="0.2">
      <c r="A482" s="3" t="s">
        <v>437</v>
      </c>
      <c r="B482" s="3" t="s">
        <v>440</v>
      </c>
      <c r="C482" s="4">
        <v>33513.57</v>
      </c>
      <c r="D482" s="4">
        <v>12433.54</v>
      </c>
      <c r="E482" s="4">
        <v>21080.03</v>
      </c>
      <c r="F482" s="3" t="s">
        <v>1313</v>
      </c>
      <c r="G482" s="3">
        <f>VLOOKUP(B482,'Profit &amp; Loss'!$B$3:$C$390,2,0)</f>
        <v>7785.86</v>
      </c>
    </row>
    <row r="483" spans="1:7" x14ac:dyDescent="0.2">
      <c r="A483" s="3" t="s">
        <v>437</v>
      </c>
      <c r="B483" s="3" t="s">
        <v>2</v>
      </c>
      <c r="C483" s="4">
        <v>128481.17</v>
      </c>
      <c r="D483" s="4">
        <v>65680.429999999993</v>
      </c>
      <c r="E483" s="4">
        <v>62800.74</v>
      </c>
      <c r="F483" s="3" t="s">
        <v>1129</v>
      </c>
      <c r="G483" s="3" t="e">
        <f>VLOOKUP(B483,'Profit &amp; Loss'!$B$3:$C$390,2,0)</f>
        <v>#N/A</v>
      </c>
    </row>
    <row r="484" spans="1:7" x14ac:dyDescent="0.2">
      <c r="A484" s="3" t="s">
        <v>441</v>
      </c>
      <c r="B484" s="3" t="s">
        <v>2</v>
      </c>
      <c r="C484" s="4">
        <v>196834.45</v>
      </c>
      <c r="D484" s="4">
        <v>123476.25</v>
      </c>
      <c r="E484" s="4">
        <v>73358.2</v>
      </c>
      <c r="F484" s="3" t="s">
        <v>1314</v>
      </c>
      <c r="G484" s="3" t="e">
        <f>VLOOKUP(B484,'Profit &amp; Loss'!$B$3:$C$390,2,0)</f>
        <v>#N/A</v>
      </c>
    </row>
    <row r="485" spans="1:7" x14ac:dyDescent="0.2">
      <c r="A485" s="3" t="s">
        <v>442</v>
      </c>
      <c r="B485" s="3" t="s">
        <v>443</v>
      </c>
      <c r="C485" s="4">
        <v>-0.97</v>
      </c>
      <c r="D485" s="4">
        <v>-0.7</v>
      </c>
      <c r="E485" s="4">
        <v>-0.27</v>
      </c>
      <c r="F485" s="3" t="s">
        <v>1315</v>
      </c>
      <c r="G485" s="3">
        <f>VLOOKUP(B485,'Profit &amp; Loss'!$B$3:$C$390,2,0)</f>
        <v>-0.33</v>
      </c>
    </row>
    <row r="486" spans="1:7" x14ac:dyDescent="0.2">
      <c r="A486" s="3" t="s">
        <v>442</v>
      </c>
      <c r="B486" s="3" t="s">
        <v>2</v>
      </c>
      <c r="C486" s="4">
        <v>-0.97</v>
      </c>
      <c r="D486" s="4">
        <v>-0.7</v>
      </c>
      <c r="E486" s="4">
        <v>-0.27</v>
      </c>
      <c r="F486" s="3" t="s">
        <v>1315</v>
      </c>
      <c r="G486" s="3" t="e">
        <f>VLOOKUP(B486,'Profit &amp; Loss'!$B$3:$C$390,2,0)</f>
        <v>#N/A</v>
      </c>
    </row>
    <row r="487" spans="1:7" x14ac:dyDescent="0.2">
      <c r="A487" s="3" t="s">
        <v>444</v>
      </c>
      <c r="B487" s="3" t="s">
        <v>2</v>
      </c>
      <c r="C487" s="4">
        <v>-0.97</v>
      </c>
      <c r="D487" s="4">
        <v>-0.7</v>
      </c>
      <c r="E487" s="4">
        <v>-0.27</v>
      </c>
      <c r="F487" s="3" t="s">
        <v>1315</v>
      </c>
      <c r="G487" s="3" t="e">
        <f>VLOOKUP(B487,'Profit &amp; Loss'!$B$3:$C$390,2,0)</f>
        <v>#N/A</v>
      </c>
    </row>
    <row r="488" spans="1:7" x14ac:dyDescent="0.2">
      <c r="A488" s="3" t="s">
        <v>445</v>
      </c>
      <c r="B488" s="3" t="s">
        <v>692</v>
      </c>
      <c r="C488" s="4">
        <v>146.28</v>
      </c>
      <c r="D488" s="4">
        <v>146.28</v>
      </c>
      <c r="E488" s="4">
        <v>0</v>
      </c>
      <c r="F488" s="3" t="s">
        <v>6</v>
      </c>
      <c r="G488" s="3">
        <f>VLOOKUP(B488,'Profit &amp; Loss'!$B$3:$C$390,2,0)</f>
        <v>69.52</v>
      </c>
    </row>
    <row r="489" spans="1:7" x14ac:dyDescent="0.2">
      <c r="A489" s="3" t="s">
        <v>445</v>
      </c>
      <c r="B489" s="3" t="s">
        <v>1161</v>
      </c>
      <c r="C489" s="4">
        <v>3.48</v>
      </c>
      <c r="D489" s="4">
        <v>3.48</v>
      </c>
      <c r="E489" s="4">
        <v>0</v>
      </c>
      <c r="F489" s="3" t="s">
        <v>6</v>
      </c>
      <c r="G489" s="3">
        <f>VLOOKUP(B489,'Profit &amp; Loss'!$B$3:$C$390,2,0)</f>
        <v>0</v>
      </c>
    </row>
    <row r="490" spans="1:7" x14ac:dyDescent="0.2">
      <c r="A490" s="3" t="s">
        <v>445</v>
      </c>
      <c r="B490" s="3" t="s">
        <v>446</v>
      </c>
      <c r="C490" s="4">
        <v>6479.8</v>
      </c>
      <c r="D490" s="4">
        <v>4654.9399999999996</v>
      </c>
      <c r="E490" s="4">
        <v>1824.86</v>
      </c>
      <c r="F490" s="3" t="s">
        <v>1316</v>
      </c>
      <c r="G490" s="3">
        <f>VLOOKUP(B490,'Profit &amp; Loss'!$B$3:$C$390,2,0)</f>
        <v>2583.69</v>
      </c>
    </row>
    <row r="491" spans="1:7" x14ac:dyDescent="0.2">
      <c r="A491" s="3" t="s">
        <v>445</v>
      </c>
      <c r="B491" s="3" t="s">
        <v>996</v>
      </c>
      <c r="C491" s="4">
        <v>-4183</v>
      </c>
      <c r="D491" s="4">
        <v>-2863.58</v>
      </c>
      <c r="E491" s="4">
        <v>-1319.42</v>
      </c>
      <c r="F491" s="3" t="s">
        <v>1317</v>
      </c>
      <c r="G491" s="3">
        <f>VLOOKUP(B491,'Profit &amp; Loss'!$B$3:$C$390,2,0)</f>
        <v>-2863.58</v>
      </c>
    </row>
    <row r="492" spans="1:7" x14ac:dyDescent="0.2">
      <c r="A492" s="3" t="s">
        <v>445</v>
      </c>
      <c r="B492" s="3" t="s">
        <v>2</v>
      </c>
      <c r="C492" s="4">
        <v>2446.56</v>
      </c>
      <c r="D492" s="4">
        <v>1941.12</v>
      </c>
      <c r="E492" s="4">
        <v>505.44</v>
      </c>
      <c r="F492" s="3" t="s">
        <v>490</v>
      </c>
      <c r="G492" s="3" t="e">
        <f>VLOOKUP(B492,'Profit &amp; Loss'!$B$3:$C$390,2,0)</f>
        <v>#N/A</v>
      </c>
    </row>
    <row r="493" spans="1:7" x14ac:dyDescent="0.2">
      <c r="A493" s="3" t="s">
        <v>447</v>
      </c>
      <c r="B493" s="3" t="s">
        <v>2</v>
      </c>
      <c r="C493" s="4">
        <v>2446.56</v>
      </c>
      <c r="D493" s="4">
        <v>1941.12</v>
      </c>
      <c r="E493" s="4">
        <v>505.44</v>
      </c>
      <c r="F493" s="3" t="s">
        <v>490</v>
      </c>
      <c r="G493" s="3" t="e">
        <f>VLOOKUP(B493,'Profit &amp; Loss'!$B$3:$C$390,2,0)</f>
        <v>#N/A</v>
      </c>
    </row>
    <row r="494" spans="1:7" x14ac:dyDescent="0.2">
      <c r="A494" s="3" t="s">
        <v>237</v>
      </c>
      <c r="B494" s="3" t="s">
        <v>448</v>
      </c>
      <c r="C494" s="4">
        <v>-5122027.8499999996</v>
      </c>
      <c r="D494" s="4">
        <v>-3716623.58</v>
      </c>
      <c r="E494" s="4">
        <v>-1405404.27</v>
      </c>
      <c r="F494" s="3" t="s">
        <v>1218</v>
      </c>
      <c r="G494" s="3">
        <f>VLOOKUP(B494,'Profit &amp; Loss'!$B$3:$C$390,2,0)</f>
        <v>-2188985.1399999992</v>
      </c>
    </row>
    <row r="495" spans="1:7" x14ac:dyDescent="0.2">
      <c r="A495" s="3" t="s">
        <v>237</v>
      </c>
      <c r="B495" s="5" t="s">
        <v>449</v>
      </c>
      <c r="C495" s="4">
        <v>0</v>
      </c>
      <c r="D495" s="4">
        <v>0</v>
      </c>
      <c r="E495" s="4">
        <v>0</v>
      </c>
      <c r="F495" s="3" t="s">
        <v>2</v>
      </c>
      <c r="G495" s="3" t="e">
        <f>VLOOKUP(B495,'Profit &amp; Loss'!$B$3:$C$390,2,0)</f>
        <v>#N/A</v>
      </c>
    </row>
    <row r="496" spans="1:7" x14ac:dyDescent="0.2">
      <c r="A496" s="3" t="s">
        <v>450</v>
      </c>
      <c r="B496" s="3" t="s">
        <v>451</v>
      </c>
      <c r="C496" s="4">
        <v>0</v>
      </c>
      <c r="D496" s="4">
        <v>0</v>
      </c>
      <c r="E496" s="4">
        <v>0</v>
      </c>
      <c r="F496" s="3" t="s">
        <v>2</v>
      </c>
      <c r="G496" s="3" t="e">
        <f>VLOOKUP(B496,'Profit &amp; Loss'!$B$3:$C$390,2,0)</f>
        <v>#N/A</v>
      </c>
    </row>
    <row r="497" spans="1:7" x14ac:dyDescent="0.2">
      <c r="A497" s="3" t="s">
        <v>450</v>
      </c>
      <c r="B497" s="5" t="s">
        <v>234</v>
      </c>
      <c r="C497" s="4">
        <v>0</v>
      </c>
      <c r="D497" s="4">
        <v>0</v>
      </c>
      <c r="E497" s="4">
        <v>0</v>
      </c>
      <c r="F497" s="3" t="s">
        <v>2</v>
      </c>
      <c r="G497" s="3" t="e">
        <f>VLOOKUP(B497,'Profit &amp; Loss'!$B$3:$C$390,2,0)</f>
        <v>#N/A</v>
      </c>
    </row>
    <row r="498" spans="1:7" x14ac:dyDescent="0.2">
      <c r="A498" s="3" t="s">
        <v>452</v>
      </c>
      <c r="B498" s="3" t="s">
        <v>453</v>
      </c>
      <c r="C498" s="4">
        <v>0</v>
      </c>
      <c r="D498" s="4">
        <v>0</v>
      </c>
      <c r="E498" s="4">
        <v>0</v>
      </c>
      <c r="F498" s="3" t="s">
        <v>2</v>
      </c>
      <c r="G498" s="3" t="e">
        <f>VLOOKUP(B498,'Profit &amp; Loss'!$B$3:$C$390,2,0)</f>
        <v>#N/A</v>
      </c>
    </row>
    <row r="499" spans="1:7" x14ac:dyDescent="0.2">
      <c r="A499" s="3" t="s">
        <v>452</v>
      </c>
      <c r="B499" s="3" t="s">
        <v>2</v>
      </c>
      <c r="C499" s="4">
        <v>5122027.8499999996</v>
      </c>
      <c r="D499" s="4">
        <v>3716623.58</v>
      </c>
      <c r="E499" s="4">
        <v>1405404.27</v>
      </c>
      <c r="F499" s="3" t="s">
        <v>834</v>
      </c>
      <c r="G499" s="3" t="e">
        <f>VLOOKUP(B499,'Profit &amp; Loss'!$B$3:$C$390,2,0)</f>
        <v>#N/A</v>
      </c>
    </row>
    <row r="500" spans="1:7" x14ac:dyDescent="0.2">
      <c r="A500" s="3" t="s">
        <v>450</v>
      </c>
      <c r="B500" s="3" t="s">
        <v>2</v>
      </c>
      <c r="C500" s="4">
        <v>5122027.8499999996</v>
      </c>
      <c r="D500" s="4">
        <v>3716623.58</v>
      </c>
      <c r="E500" s="4">
        <v>1405404.27</v>
      </c>
      <c r="F500" s="3" t="s">
        <v>834</v>
      </c>
      <c r="G500" s="3" t="e">
        <f>VLOOKUP(B500,'Profit &amp; Loss'!$B$3:$C$390,2,0)</f>
        <v>#N/A</v>
      </c>
    </row>
    <row r="501" spans="1:7" x14ac:dyDescent="0.2">
      <c r="A501" s="3" t="s">
        <v>454</v>
      </c>
      <c r="B501" s="3" t="s">
        <v>455</v>
      </c>
      <c r="C501" s="4">
        <v>0</v>
      </c>
      <c r="D501" s="4">
        <v>0</v>
      </c>
      <c r="E501" s="4">
        <v>0</v>
      </c>
      <c r="F501" s="3" t="s">
        <v>2</v>
      </c>
      <c r="G501" s="3" t="e">
        <f>VLOOKUP(B501,'Profit &amp; Loss'!$B$3:$C$390,2,0)</f>
        <v>#N/A</v>
      </c>
    </row>
    <row r="502" spans="1:7" x14ac:dyDescent="0.2">
      <c r="A502" s="3" t="s">
        <v>454</v>
      </c>
      <c r="B502" s="5" t="s">
        <v>456</v>
      </c>
      <c r="C502" s="4">
        <v>0</v>
      </c>
      <c r="D502" s="4">
        <v>0</v>
      </c>
      <c r="E502" s="4">
        <v>0</v>
      </c>
      <c r="F502" s="3" t="s">
        <v>2</v>
      </c>
      <c r="G502" s="3" t="e">
        <f>VLOOKUP(B502,'Profit &amp; Loss'!$B$3:$C$390,2,0)</f>
        <v>#N/A</v>
      </c>
    </row>
    <row r="503" spans="1:7" x14ac:dyDescent="0.2">
      <c r="A503" s="3" t="s">
        <v>454</v>
      </c>
      <c r="B503" s="3" t="s">
        <v>457</v>
      </c>
      <c r="C503" s="4">
        <v>-70781.94</v>
      </c>
      <c r="D503" s="4">
        <v>-76575.92</v>
      </c>
      <c r="E503" s="4">
        <v>5793.98</v>
      </c>
      <c r="F503" s="3" t="s">
        <v>997</v>
      </c>
      <c r="G503" s="3" t="e">
        <f>VLOOKUP(B503,'Profit &amp; Loss'!$B$3:$C$390,2,0)</f>
        <v>#N/A</v>
      </c>
    </row>
    <row r="504" spans="1:7" x14ac:dyDescent="0.2">
      <c r="A504" s="3" t="s">
        <v>454</v>
      </c>
      <c r="B504" s="3" t="s">
        <v>458</v>
      </c>
      <c r="C504" s="4">
        <v>-60145.71</v>
      </c>
      <c r="D504" s="4">
        <v>-63216.11</v>
      </c>
      <c r="E504" s="4">
        <v>3070.4</v>
      </c>
      <c r="F504" s="3" t="s">
        <v>674</v>
      </c>
      <c r="G504" s="3" t="e">
        <f>VLOOKUP(B504,'Profit &amp; Loss'!$B$3:$C$390,2,0)</f>
        <v>#N/A</v>
      </c>
    </row>
    <row r="505" spans="1:7" x14ac:dyDescent="0.2">
      <c r="A505" s="3" t="s">
        <v>454</v>
      </c>
      <c r="B505" s="3" t="s">
        <v>694</v>
      </c>
      <c r="C505" s="4">
        <v>-1089.43</v>
      </c>
      <c r="D505" s="4">
        <v>279.27</v>
      </c>
      <c r="E505" s="4">
        <v>-1368.7</v>
      </c>
      <c r="F505" s="3" t="s">
        <v>1318</v>
      </c>
      <c r="G505" s="3" t="e">
        <f>VLOOKUP(B505,'Profit &amp; Loss'!$B$3:$C$390,2,0)</f>
        <v>#N/A</v>
      </c>
    </row>
    <row r="506" spans="1:7" x14ac:dyDescent="0.2">
      <c r="A506" s="3" t="s">
        <v>454</v>
      </c>
      <c r="B506" s="3" t="s">
        <v>459</v>
      </c>
      <c r="C506" s="4">
        <v>16019.66</v>
      </c>
      <c r="D506" s="4">
        <v>26092.18</v>
      </c>
      <c r="E506" s="4">
        <v>-10072.52</v>
      </c>
      <c r="F506" s="3" t="s">
        <v>1315</v>
      </c>
      <c r="G506" s="3" t="e">
        <f>VLOOKUP(B506,'Profit &amp; Loss'!$B$3:$C$390,2,0)</f>
        <v>#N/A</v>
      </c>
    </row>
    <row r="507" spans="1:7" x14ac:dyDescent="0.2">
      <c r="A507" s="3" t="s">
        <v>454</v>
      </c>
      <c r="B507" s="3" t="s">
        <v>460</v>
      </c>
      <c r="C507" s="4">
        <v>-40507.79</v>
      </c>
      <c r="D507" s="4">
        <v>-40507.79</v>
      </c>
      <c r="E507" s="4">
        <v>0</v>
      </c>
      <c r="F507" s="3" t="s">
        <v>6</v>
      </c>
      <c r="G507" s="3" t="e">
        <f>VLOOKUP(B507,'Profit &amp; Loss'!$B$3:$C$390,2,0)</f>
        <v>#N/A</v>
      </c>
    </row>
    <row r="508" spans="1:7" x14ac:dyDescent="0.2">
      <c r="A508" s="3" t="s">
        <v>454</v>
      </c>
      <c r="B508" s="3" t="s">
        <v>461</v>
      </c>
      <c r="C508" s="4">
        <v>-156505.21</v>
      </c>
      <c r="D508" s="4">
        <v>-153928.37</v>
      </c>
      <c r="E508" s="4">
        <v>-2576.84</v>
      </c>
      <c r="F508" s="3" t="s">
        <v>631</v>
      </c>
      <c r="G508" s="3" t="e">
        <f>VLOOKUP(B508,'Profit &amp; Loss'!$B$3:$C$390,2,0)</f>
        <v>#N/A</v>
      </c>
    </row>
    <row r="509" spans="1:7" x14ac:dyDescent="0.2">
      <c r="A509" s="3" t="s">
        <v>454</v>
      </c>
      <c r="B509" s="5" t="s">
        <v>462</v>
      </c>
      <c r="C509" s="4">
        <v>0</v>
      </c>
      <c r="D509" s="4">
        <v>0</v>
      </c>
      <c r="E509" s="4">
        <v>0</v>
      </c>
      <c r="F509" s="3" t="s">
        <v>2</v>
      </c>
      <c r="G509" s="3" t="e">
        <f>VLOOKUP(B509,'Profit &amp; Loss'!$B$3:$C$390,2,0)</f>
        <v>#N/A</v>
      </c>
    </row>
  </sheetData>
  <autoFilter ref="A1:G509" xr:uid="{68C75CDB-082A-4CAF-A0BB-2DFF8417097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AA8D-A9C2-47A6-AAE5-AD55FCA89990}">
  <dimension ref="A1:G516"/>
  <sheetViews>
    <sheetView topLeftCell="A259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7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  <c r="G1" s="3" t="s">
        <v>1571</v>
      </c>
    </row>
    <row r="2" spans="1:7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s">
        <v>2</v>
      </c>
      <c r="G2" s="3" t="e">
        <f>VLOOKUP(B2,'Profit &amp; Loss'!$B$3:$C$390,2,0)</f>
        <v>#N/A</v>
      </c>
    </row>
    <row r="3" spans="1:7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s">
        <v>2</v>
      </c>
      <c r="G3" s="3" t="e">
        <f>VLOOKUP(B3,'Profit &amp; Loss'!$B$3:$C$390,2,0)</f>
        <v>#N/A</v>
      </c>
    </row>
    <row r="4" spans="1:7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s">
        <v>6</v>
      </c>
      <c r="G4" s="3" t="e">
        <f>VLOOKUP(B4,'Profit &amp; Loss'!$B$3:$C$390,2,0)</f>
        <v>#N/A</v>
      </c>
    </row>
    <row r="5" spans="1:7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s">
        <v>6</v>
      </c>
      <c r="G5" s="3" t="e">
        <f>VLOOKUP(B5,'Profit &amp; Loss'!$B$3:$C$390,2,0)</f>
        <v>#N/A</v>
      </c>
    </row>
    <row r="6" spans="1:7" x14ac:dyDescent="0.2">
      <c r="A6" s="3" t="s">
        <v>4</v>
      </c>
      <c r="B6" s="3" t="s">
        <v>8</v>
      </c>
      <c r="C6" s="4">
        <v>23494.19</v>
      </c>
      <c r="D6" s="4">
        <v>26519.23</v>
      </c>
      <c r="E6" s="4">
        <v>-3025.04</v>
      </c>
      <c r="F6" s="3" t="s">
        <v>948</v>
      </c>
      <c r="G6" s="3" t="e">
        <f>VLOOKUP(B6,'Profit &amp; Loss'!$B$3:$C$390,2,0)</f>
        <v>#N/A</v>
      </c>
    </row>
    <row r="7" spans="1:7" x14ac:dyDescent="0.2">
      <c r="A7" s="3" t="s">
        <v>4</v>
      </c>
      <c r="B7" s="3" t="s">
        <v>9</v>
      </c>
      <c r="C7" s="4">
        <v>-23412.73</v>
      </c>
      <c r="D7" s="4">
        <v>-23252.66</v>
      </c>
      <c r="E7" s="4">
        <v>-160.07</v>
      </c>
      <c r="F7" s="3" t="s">
        <v>508</v>
      </c>
      <c r="G7" s="3" t="e">
        <f>VLOOKUP(B7,'Profit &amp; Loss'!$B$3:$C$390,2,0)</f>
        <v>#N/A</v>
      </c>
    </row>
    <row r="8" spans="1:7" x14ac:dyDescent="0.2">
      <c r="A8" s="3" t="s">
        <v>4</v>
      </c>
      <c r="B8" s="3" t="s">
        <v>10</v>
      </c>
      <c r="C8" s="4">
        <v>68.599999999999994</v>
      </c>
      <c r="D8" s="4">
        <v>68.59</v>
      </c>
      <c r="E8" s="4">
        <v>0.01</v>
      </c>
      <c r="F8" s="3" t="s">
        <v>6</v>
      </c>
      <c r="G8" s="3" t="e">
        <f>VLOOKUP(B8,'Profit &amp; Loss'!$B$3:$C$390,2,0)</f>
        <v>#N/A</v>
      </c>
    </row>
    <row r="9" spans="1:7" x14ac:dyDescent="0.2">
      <c r="A9" s="3" t="s">
        <v>4</v>
      </c>
      <c r="B9" s="3" t="s">
        <v>11</v>
      </c>
      <c r="C9" s="4">
        <v>2.4900000000000002</v>
      </c>
      <c r="D9" s="4">
        <v>2.84</v>
      </c>
      <c r="E9" s="4">
        <v>-0.35</v>
      </c>
      <c r="F9" s="3" t="s">
        <v>1319</v>
      </c>
      <c r="G9" s="3" t="e">
        <f>VLOOKUP(B9,'Profit &amp; Loss'!$B$3:$C$390,2,0)</f>
        <v>#N/A</v>
      </c>
    </row>
    <row r="10" spans="1:7" x14ac:dyDescent="0.2">
      <c r="A10" s="3" t="s">
        <v>4</v>
      </c>
      <c r="B10" s="3" t="s">
        <v>2</v>
      </c>
      <c r="C10" s="4">
        <v>1092.07</v>
      </c>
      <c r="D10" s="4">
        <v>4277.5200000000004</v>
      </c>
      <c r="E10" s="4">
        <v>-3185.45</v>
      </c>
      <c r="F10" s="3" t="s">
        <v>1320</v>
      </c>
      <c r="G10" s="3" t="e">
        <f>VLOOKUP(B10,'Profit &amp; Loss'!$B$3:$C$390,2,0)</f>
        <v>#N/A</v>
      </c>
    </row>
    <row r="11" spans="1:7" x14ac:dyDescent="0.2">
      <c r="A11" s="3" t="s">
        <v>12</v>
      </c>
      <c r="B11" s="3" t="s">
        <v>2</v>
      </c>
      <c r="C11" s="4">
        <v>1092.07</v>
      </c>
      <c r="D11" s="4">
        <v>4277.5200000000004</v>
      </c>
      <c r="E11" s="4">
        <v>-3185.45</v>
      </c>
      <c r="F11" s="3" t="s">
        <v>1320</v>
      </c>
      <c r="G11" s="3" t="e">
        <f>VLOOKUP(B11,'Profit &amp; Loss'!$B$3:$C$390,2,0)</f>
        <v>#N/A</v>
      </c>
    </row>
    <row r="12" spans="1:7" x14ac:dyDescent="0.2">
      <c r="A12" s="3" t="s">
        <v>13</v>
      </c>
      <c r="B12" s="3" t="s">
        <v>14</v>
      </c>
      <c r="C12" s="4">
        <v>13702347.85</v>
      </c>
      <c r="D12" s="4">
        <v>13924123.08</v>
      </c>
      <c r="E12" s="4">
        <v>-221775.23</v>
      </c>
      <c r="F12" s="3" t="s">
        <v>886</v>
      </c>
      <c r="G12" s="3" t="e">
        <f>VLOOKUP(B12,'Profit &amp; Loss'!$B$3:$C$390,2,0)</f>
        <v>#N/A</v>
      </c>
    </row>
    <row r="13" spans="1:7" x14ac:dyDescent="0.2">
      <c r="A13" s="3" t="s">
        <v>13</v>
      </c>
      <c r="B13" s="3" t="s">
        <v>15</v>
      </c>
      <c r="C13" s="4">
        <v>-35312.69</v>
      </c>
      <c r="D13" s="4">
        <v>10113.67</v>
      </c>
      <c r="E13" s="4">
        <v>-45426.36</v>
      </c>
      <c r="F13" s="3" t="s">
        <v>1321</v>
      </c>
      <c r="G13" s="3" t="e">
        <f>VLOOKUP(B13,'Profit &amp; Loss'!$B$3:$C$390,2,0)</f>
        <v>#N/A</v>
      </c>
    </row>
    <row r="14" spans="1:7" x14ac:dyDescent="0.2">
      <c r="A14" s="3" t="s">
        <v>13</v>
      </c>
      <c r="B14" s="3" t="s">
        <v>16</v>
      </c>
      <c r="C14" s="4">
        <v>1601828.45</v>
      </c>
      <c r="D14" s="4">
        <v>1601828.45</v>
      </c>
      <c r="E14" s="4">
        <v>0</v>
      </c>
      <c r="F14" s="3" t="s">
        <v>6</v>
      </c>
      <c r="G14" s="3" t="e">
        <f>VLOOKUP(B14,'Profit &amp; Loss'!$B$3:$C$390,2,0)</f>
        <v>#N/A</v>
      </c>
    </row>
    <row r="15" spans="1:7" x14ac:dyDescent="0.2">
      <c r="A15" s="3" t="s">
        <v>13</v>
      </c>
      <c r="B15" s="3" t="s">
        <v>17</v>
      </c>
      <c r="C15" s="4">
        <v>-104472.47</v>
      </c>
      <c r="D15" s="4">
        <v>-97348.32</v>
      </c>
      <c r="E15" s="4">
        <v>-7124.15</v>
      </c>
      <c r="F15" s="3" t="s">
        <v>617</v>
      </c>
      <c r="G15" s="3" t="e">
        <f>VLOOKUP(B15,'Profit &amp; Loss'!$B$3:$C$390,2,0)</f>
        <v>#N/A</v>
      </c>
    </row>
    <row r="16" spans="1:7" x14ac:dyDescent="0.2">
      <c r="A16" s="3" t="s">
        <v>13</v>
      </c>
      <c r="B16" s="3" t="s">
        <v>2</v>
      </c>
      <c r="C16" s="4">
        <v>15164391.140000001</v>
      </c>
      <c r="D16" s="4">
        <v>15438716.880000001</v>
      </c>
      <c r="E16" s="4">
        <v>-274325.74</v>
      </c>
      <c r="F16" s="3" t="s">
        <v>716</v>
      </c>
      <c r="G16" s="3" t="e">
        <f>VLOOKUP(B16,'Profit &amp; Loss'!$B$3:$C$390,2,0)</f>
        <v>#N/A</v>
      </c>
    </row>
    <row r="17" spans="1:7" x14ac:dyDescent="0.2">
      <c r="A17" s="3" t="s">
        <v>18</v>
      </c>
      <c r="B17" s="3" t="s">
        <v>19</v>
      </c>
      <c r="C17" s="4">
        <v>-42841.18</v>
      </c>
      <c r="D17" s="4">
        <v>-40127.620000000003</v>
      </c>
      <c r="E17" s="4">
        <v>-2713.56</v>
      </c>
      <c r="F17" s="3" t="s">
        <v>1322</v>
      </c>
      <c r="G17" s="3" t="e">
        <f>VLOOKUP(B17,'Profit &amp; Loss'!$B$3:$C$390,2,0)</f>
        <v>#N/A</v>
      </c>
    </row>
    <row r="18" spans="1:7" x14ac:dyDescent="0.2">
      <c r="A18" s="3" t="s">
        <v>18</v>
      </c>
      <c r="B18" s="3" t="s">
        <v>2</v>
      </c>
      <c r="C18" s="4">
        <v>-42841.18</v>
      </c>
      <c r="D18" s="4">
        <v>-40127.620000000003</v>
      </c>
      <c r="E18" s="4">
        <v>-2713.56</v>
      </c>
      <c r="F18" s="3" t="s">
        <v>1322</v>
      </c>
      <c r="G18" s="3" t="e">
        <f>VLOOKUP(B18,'Profit &amp; Loss'!$B$3:$C$390,2,0)</f>
        <v>#N/A</v>
      </c>
    </row>
    <row r="19" spans="1:7" x14ac:dyDescent="0.2">
      <c r="A19" s="3" t="s">
        <v>20</v>
      </c>
      <c r="B19" s="3" t="s">
        <v>2</v>
      </c>
      <c r="C19" s="4">
        <v>15121549.960000001</v>
      </c>
      <c r="D19" s="4">
        <v>15398589.26</v>
      </c>
      <c r="E19" s="4">
        <v>-277039.3</v>
      </c>
      <c r="F19" s="3" t="s">
        <v>716</v>
      </c>
      <c r="G19" s="3" t="e">
        <f>VLOOKUP(B19,'Profit &amp; Loss'!$B$3:$C$390,2,0)</f>
        <v>#N/A</v>
      </c>
    </row>
    <row r="20" spans="1:7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s">
        <v>6</v>
      </c>
      <c r="G20" s="3" t="e">
        <f>VLOOKUP(B20,'Profit &amp; Loss'!$B$3:$C$390,2,0)</f>
        <v>#N/A</v>
      </c>
    </row>
    <row r="21" spans="1:7" x14ac:dyDescent="0.2">
      <c r="A21" s="3" t="s">
        <v>21</v>
      </c>
      <c r="B21" s="3" t="s">
        <v>23</v>
      </c>
      <c r="C21" s="4">
        <v>507.48</v>
      </c>
      <c r="D21" s="4">
        <v>0</v>
      </c>
      <c r="E21" s="4">
        <v>507.48</v>
      </c>
      <c r="F21" s="3" t="s">
        <v>2</v>
      </c>
      <c r="G21" s="3" t="e">
        <f>VLOOKUP(B21,'Profit &amp; Loss'!$B$3:$C$390,2,0)</f>
        <v>#N/A</v>
      </c>
    </row>
    <row r="22" spans="1:7" x14ac:dyDescent="0.2">
      <c r="A22" s="3" t="s">
        <v>21</v>
      </c>
      <c r="B22" s="3" t="s">
        <v>25</v>
      </c>
      <c r="C22" s="4">
        <v>51850.32</v>
      </c>
      <c r="D22" s="4">
        <v>42291.62</v>
      </c>
      <c r="E22" s="4">
        <v>9558.7000000000007</v>
      </c>
      <c r="F22" s="3" t="s">
        <v>867</v>
      </c>
      <c r="G22" s="3" t="e">
        <f>VLOOKUP(B22,'Profit &amp; Loss'!$B$3:$C$390,2,0)</f>
        <v>#N/A</v>
      </c>
    </row>
    <row r="23" spans="1:7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s">
        <v>6</v>
      </c>
      <c r="G23" s="3" t="e">
        <f>VLOOKUP(B23,'Profit &amp; Loss'!$B$3:$C$390,2,0)</f>
        <v>#N/A</v>
      </c>
    </row>
    <row r="24" spans="1:7" x14ac:dyDescent="0.2">
      <c r="A24" s="3" t="s">
        <v>21</v>
      </c>
      <c r="B24" s="3" t="s">
        <v>27</v>
      </c>
      <c r="C24" s="4">
        <v>118453.57</v>
      </c>
      <c r="D24" s="4">
        <v>27128.57</v>
      </c>
      <c r="E24" s="4">
        <v>91325</v>
      </c>
      <c r="F24" s="3" t="s">
        <v>1323</v>
      </c>
      <c r="G24" s="3" t="e">
        <f>VLOOKUP(B24,'Profit &amp; Loss'!$B$3:$C$390,2,0)</f>
        <v>#N/A</v>
      </c>
    </row>
    <row r="25" spans="1:7" x14ac:dyDescent="0.2">
      <c r="A25" s="3" t="s">
        <v>21</v>
      </c>
      <c r="B25" s="3" t="s">
        <v>28</v>
      </c>
      <c r="C25" s="4">
        <v>22605.02</v>
      </c>
      <c r="D25" s="4">
        <v>46253.61</v>
      </c>
      <c r="E25" s="4">
        <v>-23648.59</v>
      </c>
      <c r="F25" s="3" t="s">
        <v>1324</v>
      </c>
      <c r="G25" s="3" t="e">
        <f>VLOOKUP(B25,'Profit &amp; Loss'!$B$3:$C$390,2,0)</f>
        <v>#N/A</v>
      </c>
    </row>
    <row r="26" spans="1:7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s">
        <v>6</v>
      </c>
      <c r="G26" s="3" t="e">
        <f>VLOOKUP(B26,'Profit &amp; Loss'!$B$3:$C$390,2,0)</f>
        <v>#N/A</v>
      </c>
    </row>
    <row r="27" spans="1:7" x14ac:dyDescent="0.2">
      <c r="A27" s="3" t="s">
        <v>21</v>
      </c>
      <c r="B27" s="3" t="s">
        <v>2</v>
      </c>
      <c r="C27" s="4">
        <v>193435.76</v>
      </c>
      <c r="D27" s="4">
        <v>115693.17</v>
      </c>
      <c r="E27" s="4">
        <v>77742.59</v>
      </c>
      <c r="F27" s="3" t="s">
        <v>1286</v>
      </c>
      <c r="G27" s="3" t="e">
        <f>VLOOKUP(B27,'Profit &amp; Loss'!$B$3:$C$390,2,0)</f>
        <v>#N/A</v>
      </c>
    </row>
    <row r="28" spans="1:7" x14ac:dyDescent="0.2">
      <c r="A28" s="3" t="s">
        <v>30</v>
      </c>
      <c r="B28" s="3" t="s">
        <v>31</v>
      </c>
      <c r="C28" s="4">
        <v>103211.52</v>
      </c>
      <c r="D28" s="4">
        <v>-7566.42</v>
      </c>
      <c r="E28" s="4">
        <v>110777.94</v>
      </c>
      <c r="F28" s="3" t="s">
        <v>1325</v>
      </c>
      <c r="G28" s="3" t="e">
        <f>VLOOKUP(B28,'Profit &amp; Loss'!$B$3:$C$390,2,0)</f>
        <v>#N/A</v>
      </c>
    </row>
    <row r="29" spans="1:7" x14ac:dyDescent="0.2">
      <c r="A29" s="3" t="s">
        <v>30</v>
      </c>
      <c r="B29" s="3" t="s">
        <v>2</v>
      </c>
      <c r="C29" s="4">
        <v>103211.52</v>
      </c>
      <c r="D29" s="4">
        <v>-7566.42</v>
      </c>
      <c r="E29" s="4">
        <v>110777.94</v>
      </c>
      <c r="F29" s="3" t="s">
        <v>1325</v>
      </c>
      <c r="G29" s="3" t="e">
        <f>VLOOKUP(B29,'Profit &amp; Loss'!$B$3:$C$390,2,0)</f>
        <v>#N/A</v>
      </c>
    </row>
    <row r="30" spans="1:7" x14ac:dyDescent="0.2">
      <c r="A30" s="3" t="s">
        <v>32</v>
      </c>
      <c r="B30" s="3" t="s">
        <v>33</v>
      </c>
      <c r="C30" s="4">
        <v>49147.55</v>
      </c>
      <c r="D30" s="4">
        <v>67008.31</v>
      </c>
      <c r="E30" s="4">
        <v>-17860.759999999998</v>
      </c>
      <c r="F30" s="3" t="s">
        <v>739</v>
      </c>
      <c r="G30" s="3" t="e">
        <f>VLOOKUP(B30,'Profit &amp; Loss'!$B$3:$C$390,2,0)</f>
        <v>#N/A</v>
      </c>
    </row>
    <row r="31" spans="1:7" x14ac:dyDescent="0.2">
      <c r="A31" s="3" t="s">
        <v>32</v>
      </c>
      <c r="B31" s="3" t="s">
        <v>34</v>
      </c>
      <c r="C31" s="4">
        <v>-107.47</v>
      </c>
      <c r="D31" s="4">
        <v>14.94</v>
      </c>
      <c r="E31" s="4">
        <v>-122.41</v>
      </c>
      <c r="F31" s="3" t="s">
        <v>1326</v>
      </c>
      <c r="G31" s="3" t="e">
        <f>VLOOKUP(B31,'Profit &amp; Loss'!$B$3:$C$390,2,0)</f>
        <v>#N/A</v>
      </c>
    </row>
    <row r="32" spans="1:7" x14ac:dyDescent="0.2">
      <c r="A32" s="3" t="s">
        <v>32</v>
      </c>
      <c r="B32" s="3" t="s">
        <v>971</v>
      </c>
      <c r="C32" s="4">
        <v>0</v>
      </c>
      <c r="D32" s="4">
        <v>277.08</v>
      </c>
      <c r="E32" s="4">
        <v>-277.08</v>
      </c>
      <c r="F32" s="3" t="s">
        <v>475</v>
      </c>
      <c r="G32" s="3" t="e">
        <f>VLOOKUP(B32,'Profit &amp; Loss'!$B$3:$C$390,2,0)</f>
        <v>#N/A</v>
      </c>
    </row>
    <row r="33" spans="1:7" x14ac:dyDescent="0.2">
      <c r="A33" s="3" t="s">
        <v>32</v>
      </c>
      <c r="B33" s="3" t="s">
        <v>972</v>
      </c>
      <c r="C33" s="4">
        <v>0</v>
      </c>
      <c r="D33" s="4">
        <v>1.19</v>
      </c>
      <c r="E33" s="4">
        <v>-1.19</v>
      </c>
      <c r="F33" s="3" t="s">
        <v>475</v>
      </c>
      <c r="G33" s="3" t="e">
        <f>VLOOKUP(B33,'Profit &amp; Loss'!$B$3:$C$390,2,0)</f>
        <v>#N/A</v>
      </c>
    </row>
    <row r="34" spans="1:7" x14ac:dyDescent="0.2">
      <c r="A34" s="3" t="s">
        <v>32</v>
      </c>
      <c r="B34" s="3" t="s">
        <v>35</v>
      </c>
      <c r="C34" s="4">
        <v>2597.52</v>
      </c>
      <c r="D34" s="4">
        <v>2597.52</v>
      </c>
      <c r="E34" s="4">
        <v>0</v>
      </c>
      <c r="F34" s="3" t="s">
        <v>6</v>
      </c>
      <c r="G34" s="3" t="e">
        <f>VLOOKUP(B34,'Profit &amp; Loss'!$B$3:$C$390,2,0)</f>
        <v>#N/A</v>
      </c>
    </row>
    <row r="35" spans="1:7" x14ac:dyDescent="0.2">
      <c r="A35" s="3" t="s">
        <v>32</v>
      </c>
      <c r="B35" s="3" t="s">
        <v>477</v>
      </c>
      <c r="C35" s="4">
        <v>7843.4</v>
      </c>
      <c r="D35" s="4">
        <v>0</v>
      </c>
      <c r="E35" s="4">
        <v>7843.4</v>
      </c>
      <c r="F35" s="3" t="s">
        <v>2</v>
      </c>
      <c r="G35" s="3" t="e">
        <f>VLOOKUP(B35,'Profit &amp; Loss'!$B$3:$C$390,2,0)</f>
        <v>#N/A</v>
      </c>
    </row>
    <row r="36" spans="1:7" x14ac:dyDescent="0.2">
      <c r="A36" s="3" t="s">
        <v>32</v>
      </c>
      <c r="B36" s="3" t="s">
        <v>478</v>
      </c>
      <c r="C36" s="4">
        <v>-14.27</v>
      </c>
      <c r="D36" s="4">
        <v>0</v>
      </c>
      <c r="E36" s="4">
        <v>-14.27</v>
      </c>
      <c r="F36" s="3" t="s">
        <v>2</v>
      </c>
      <c r="G36" s="3" t="e">
        <f>VLOOKUP(B36,'Profit &amp; Loss'!$B$3:$C$390,2,0)</f>
        <v>#N/A</v>
      </c>
    </row>
    <row r="37" spans="1:7" x14ac:dyDescent="0.2">
      <c r="A37" s="3" t="s">
        <v>32</v>
      </c>
      <c r="B37" s="3" t="s">
        <v>36</v>
      </c>
      <c r="C37" s="4">
        <v>-7666.86</v>
      </c>
      <c r="D37" s="4">
        <v>348.54</v>
      </c>
      <c r="E37" s="4">
        <v>-8015.4</v>
      </c>
      <c r="F37" s="3" t="s">
        <v>1327</v>
      </c>
      <c r="G37" s="3" t="e">
        <f>VLOOKUP(B37,'Profit &amp; Loss'!$B$3:$C$390,2,0)</f>
        <v>#N/A</v>
      </c>
    </row>
    <row r="38" spans="1:7" x14ac:dyDescent="0.2">
      <c r="A38" s="3" t="s">
        <v>32</v>
      </c>
      <c r="B38" s="3" t="s">
        <v>39</v>
      </c>
      <c r="C38" s="4">
        <v>2694.7</v>
      </c>
      <c r="D38" s="4">
        <v>2821.42</v>
      </c>
      <c r="E38" s="4">
        <v>-126.72</v>
      </c>
      <c r="F38" s="3" t="s">
        <v>729</v>
      </c>
      <c r="G38" s="3" t="e">
        <f>VLOOKUP(B38,'Profit &amp; Loss'!$B$3:$C$390,2,0)</f>
        <v>#N/A</v>
      </c>
    </row>
    <row r="39" spans="1:7" x14ac:dyDescent="0.2">
      <c r="A39" s="3" t="s">
        <v>32</v>
      </c>
      <c r="B39" s="3" t="s">
        <v>40</v>
      </c>
      <c r="C39" s="4">
        <v>0</v>
      </c>
      <c r="D39" s="4">
        <v>-0.35</v>
      </c>
      <c r="E39" s="4">
        <v>0.35</v>
      </c>
      <c r="F39" s="3" t="s">
        <v>531</v>
      </c>
      <c r="G39" s="3" t="e">
        <f>VLOOKUP(B39,'Profit &amp; Loss'!$B$3:$C$390,2,0)</f>
        <v>#N/A</v>
      </c>
    </row>
    <row r="40" spans="1:7" x14ac:dyDescent="0.2">
      <c r="A40" s="3" t="s">
        <v>32</v>
      </c>
      <c r="B40" s="3" t="s">
        <v>42</v>
      </c>
      <c r="C40" s="4">
        <v>40.97</v>
      </c>
      <c r="D40" s="4">
        <v>39.9</v>
      </c>
      <c r="E40" s="4">
        <v>1.07</v>
      </c>
      <c r="F40" s="3" t="s">
        <v>806</v>
      </c>
      <c r="G40" s="3" t="e">
        <f>VLOOKUP(B40,'Profit &amp; Loss'!$B$3:$C$390,2,0)</f>
        <v>#N/A</v>
      </c>
    </row>
    <row r="41" spans="1:7" x14ac:dyDescent="0.2">
      <c r="A41" s="3" t="s">
        <v>32</v>
      </c>
      <c r="B41" s="3" t="s">
        <v>2</v>
      </c>
      <c r="C41" s="4">
        <v>54535.54</v>
      </c>
      <c r="D41" s="4">
        <v>73108.55</v>
      </c>
      <c r="E41" s="4">
        <v>-18573.009999999998</v>
      </c>
      <c r="F41" s="3" t="s">
        <v>742</v>
      </c>
      <c r="G41" s="3" t="e">
        <f>VLOOKUP(B41,'Profit &amp; Loss'!$B$3:$C$390,2,0)</f>
        <v>#N/A</v>
      </c>
    </row>
    <row r="42" spans="1:7" x14ac:dyDescent="0.2">
      <c r="A42" s="3" t="s">
        <v>43</v>
      </c>
      <c r="B42" s="3" t="s">
        <v>2</v>
      </c>
      <c r="C42" s="4">
        <v>351182.82</v>
      </c>
      <c r="D42" s="4">
        <v>181235.3</v>
      </c>
      <c r="E42" s="4">
        <v>169947.51999999999</v>
      </c>
      <c r="F42" s="3" t="s">
        <v>1328</v>
      </c>
      <c r="G42" s="3" t="e">
        <f>VLOOKUP(B42,'Profit &amp; Loss'!$B$3:$C$390,2,0)</f>
        <v>#N/A</v>
      </c>
    </row>
    <row r="43" spans="1:7" x14ac:dyDescent="0.2">
      <c r="A43" s="3" t="s">
        <v>44</v>
      </c>
      <c r="B43" s="3" t="s">
        <v>973</v>
      </c>
      <c r="C43" s="4">
        <v>-0.1</v>
      </c>
      <c r="D43" s="4">
        <v>-0.1</v>
      </c>
      <c r="E43" s="4">
        <v>0</v>
      </c>
      <c r="F43" s="3" t="s">
        <v>6</v>
      </c>
      <c r="G43" s="3" t="e">
        <f>VLOOKUP(B43,'Profit &amp; Loss'!$B$3:$C$390,2,0)</f>
        <v>#N/A</v>
      </c>
    </row>
    <row r="44" spans="1:7" x14ac:dyDescent="0.2">
      <c r="A44" s="3" t="s">
        <v>44</v>
      </c>
      <c r="B44" s="3" t="s">
        <v>45</v>
      </c>
      <c r="C44" s="4">
        <v>-33464.480000000003</v>
      </c>
      <c r="D44" s="4">
        <v>-33464.480000000003</v>
      </c>
      <c r="E44" s="4">
        <v>0</v>
      </c>
      <c r="F44" s="3" t="s">
        <v>6</v>
      </c>
      <c r="G44" s="3" t="e">
        <f>VLOOKUP(B44,'Profit &amp; Loss'!$B$3:$C$390,2,0)</f>
        <v>#N/A</v>
      </c>
    </row>
    <row r="45" spans="1:7" x14ac:dyDescent="0.2">
      <c r="A45" s="3" t="s">
        <v>44</v>
      </c>
      <c r="B45" s="3" t="s">
        <v>46</v>
      </c>
      <c r="C45" s="4">
        <v>1668.98</v>
      </c>
      <c r="D45" s="4">
        <v>1668.98</v>
      </c>
      <c r="E45" s="4">
        <v>0</v>
      </c>
      <c r="F45" s="3" t="s">
        <v>6</v>
      </c>
      <c r="G45" s="3" t="e">
        <f>VLOOKUP(B45,'Profit &amp; Loss'!$B$3:$C$390,2,0)</f>
        <v>#N/A</v>
      </c>
    </row>
    <row r="46" spans="1:7" x14ac:dyDescent="0.2">
      <c r="A46" s="3" t="s">
        <v>44</v>
      </c>
      <c r="B46" s="3" t="s">
        <v>2</v>
      </c>
      <c r="C46" s="4">
        <v>-31795.599999999999</v>
      </c>
      <c r="D46" s="4">
        <v>-31795.599999999999</v>
      </c>
      <c r="E46" s="4">
        <v>0</v>
      </c>
      <c r="F46" s="3" t="s">
        <v>6</v>
      </c>
      <c r="G46" s="3" t="e">
        <f>VLOOKUP(B46,'Profit &amp; Loss'!$B$3:$C$390,2,0)</f>
        <v>#N/A</v>
      </c>
    </row>
    <row r="47" spans="1:7" x14ac:dyDescent="0.2">
      <c r="A47" s="3" t="s">
        <v>47</v>
      </c>
      <c r="B47" s="3" t="s">
        <v>48</v>
      </c>
      <c r="C47" s="4">
        <v>12269740.99</v>
      </c>
      <c r="D47" s="4">
        <v>11629217.189999999</v>
      </c>
      <c r="E47" s="4">
        <v>640523.80000000005</v>
      </c>
      <c r="F47" s="3" t="s">
        <v>708</v>
      </c>
      <c r="G47" s="3" t="e">
        <f>VLOOKUP(B47,'Profit &amp; Loss'!$B$3:$C$390,2,0)</f>
        <v>#N/A</v>
      </c>
    </row>
    <row r="48" spans="1:7" x14ac:dyDescent="0.2">
      <c r="A48" s="3" t="s">
        <v>47</v>
      </c>
      <c r="B48" s="3" t="s">
        <v>599</v>
      </c>
      <c r="C48" s="4">
        <v>1057.78</v>
      </c>
      <c r="D48" s="4">
        <v>836.37</v>
      </c>
      <c r="E48" s="4">
        <v>221.41</v>
      </c>
      <c r="F48" s="3" t="s">
        <v>751</v>
      </c>
      <c r="G48" s="3" t="e">
        <f>VLOOKUP(B48,'Profit &amp; Loss'!$B$3:$C$390,2,0)</f>
        <v>#N/A</v>
      </c>
    </row>
    <row r="49" spans="1:7" x14ac:dyDescent="0.2">
      <c r="A49" s="3" t="s">
        <v>47</v>
      </c>
      <c r="B49" s="3" t="s">
        <v>49</v>
      </c>
      <c r="C49" s="4">
        <v>664099.21</v>
      </c>
      <c r="D49" s="4">
        <v>273943.08</v>
      </c>
      <c r="E49" s="4">
        <v>390156.13</v>
      </c>
      <c r="F49" s="3" t="s">
        <v>1329</v>
      </c>
      <c r="G49" s="3" t="e">
        <f>VLOOKUP(B49,'Profit &amp; Loss'!$B$3:$C$390,2,0)</f>
        <v>#N/A</v>
      </c>
    </row>
    <row r="50" spans="1:7" x14ac:dyDescent="0.2">
      <c r="A50" s="3" t="s">
        <v>47</v>
      </c>
      <c r="B50" s="3" t="s">
        <v>50</v>
      </c>
      <c r="C50" s="4">
        <v>1613360.74</v>
      </c>
      <c r="D50" s="4">
        <v>1525955.11</v>
      </c>
      <c r="E50" s="4">
        <v>87405.63</v>
      </c>
      <c r="F50" s="3" t="s">
        <v>532</v>
      </c>
      <c r="G50" s="3" t="e">
        <f>VLOOKUP(B50,'Profit &amp; Loss'!$B$3:$C$390,2,0)</f>
        <v>#N/A</v>
      </c>
    </row>
    <row r="51" spans="1:7" x14ac:dyDescent="0.2">
      <c r="A51" s="3" t="s">
        <v>47</v>
      </c>
      <c r="B51" s="3" t="s">
        <v>51</v>
      </c>
      <c r="C51" s="4">
        <v>2390236.64</v>
      </c>
      <c r="D51" s="4">
        <v>1713481.53</v>
      </c>
      <c r="E51" s="4">
        <v>676755.11</v>
      </c>
      <c r="F51" s="3" t="s">
        <v>1330</v>
      </c>
      <c r="G51" s="3" t="e">
        <f>VLOOKUP(B51,'Profit &amp; Loss'!$B$3:$C$390,2,0)</f>
        <v>#N/A</v>
      </c>
    </row>
    <row r="52" spans="1:7" x14ac:dyDescent="0.2">
      <c r="A52" s="3" t="s">
        <v>47</v>
      </c>
      <c r="B52" s="3" t="s">
        <v>52</v>
      </c>
      <c r="C52" s="4">
        <v>2883934.13</v>
      </c>
      <c r="D52" s="4">
        <v>3762968.12</v>
      </c>
      <c r="E52" s="4">
        <v>-879033.99</v>
      </c>
      <c r="F52" s="3" t="s">
        <v>1331</v>
      </c>
      <c r="G52" s="3" t="e">
        <f>VLOOKUP(B52,'Profit &amp; Loss'!$B$3:$C$390,2,0)</f>
        <v>#N/A</v>
      </c>
    </row>
    <row r="53" spans="1:7" x14ac:dyDescent="0.2">
      <c r="A53" s="3" t="s">
        <v>47</v>
      </c>
      <c r="B53" s="3" t="s">
        <v>54</v>
      </c>
      <c r="C53" s="4">
        <v>40964.07</v>
      </c>
      <c r="D53" s="4">
        <v>18980.04</v>
      </c>
      <c r="E53" s="4">
        <v>21984.03</v>
      </c>
      <c r="F53" s="3" t="s">
        <v>1332</v>
      </c>
      <c r="G53" s="3" t="e">
        <f>VLOOKUP(B53,'Profit &amp; Loss'!$B$3:$C$390,2,0)</f>
        <v>#N/A</v>
      </c>
    </row>
    <row r="54" spans="1:7" x14ac:dyDescent="0.2">
      <c r="A54" s="3" t="s">
        <v>47</v>
      </c>
      <c r="B54" s="3" t="s">
        <v>55</v>
      </c>
      <c r="C54" s="4">
        <v>-1499398.47</v>
      </c>
      <c r="D54" s="4">
        <v>-1413605.36</v>
      </c>
      <c r="E54" s="4">
        <v>-85793.11</v>
      </c>
      <c r="F54" s="3" t="s">
        <v>884</v>
      </c>
      <c r="G54" s="3" t="e">
        <f>VLOOKUP(B54,'Profit &amp; Loss'!$B$3:$C$390,2,0)</f>
        <v>#N/A</v>
      </c>
    </row>
    <row r="55" spans="1:7" x14ac:dyDescent="0.2">
      <c r="A55" s="3" t="s">
        <v>47</v>
      </c>
      <c r="B55" s="3" t="s">
        <v>56</v>
      </c>
      <c r="C55" s="4">
        <v>11851.35</v>
      </c>
      <c r="D55" s="4">
        <v>14874.62</v>
      </c>
      <c r="E55" s="4">
        <v>-3023.27</v>
      </c>
      <c r="F55" s="3" t="s">
        <v>740</v>
      </c>
      <c r="G55" s="3" t="e">
        <f>VLOOKUP(B55,'Profit &amp; Loss'!$B$3:$C$390,2,0)</f>
        <v>#N/A</v>
      </c>
    </row>
    <row r="56" spans="1:7" x14ac:dyDescent="0.2">
      <c r="A56" s="3" t="s">
        <v>47</v>
      </c>
      <c r="B56" s="3" t="s">
        <v>57</v>
      </c>
      <c r="C56" s="4">
        <v>-18605.45</v>
      </c>
      <c r="D56" s="4">
        <v>-19907.25</v>
      </c>
      <c r="E56" s="4">
        <v>1301.8</v>
      </c>
      <c r="F56" s="3" t="s">
        <v>502</v>
      </c>
      <c r="G56" s="3" t="e">
        <f>VLOOKUP(B56,'Profit &amp; Loss'!$B$3:$C$390,2,0)</f>
        <v>#N/A</v>
      </c>
    </row>
    <row r="57" spans="1:7" x14ac:dyDescent="0.2">
      <c r="A57" s="3" t="s">
        <v>47</v>
      </c>
      <c r="B57" s="3" t="s">
        <v>58</v>
      </c>
      <c r="C57" s="4">
        <v>-14261.14</v>
      </c>
      <c r="D57" s="4">
        <v>335.4</v>
      </c>
      <c r="E57" s="4">
        <v>-14596.54</v>
      </c>
      <c r="F57" s="3" t="s">
        <v>1333</v>
      </c>
      <c r="G57" s="3" t="e">
        <f>VLOOKUP(B57,'Profit &amp; Loss'!$B$3:$C$390,2,0)</f>
        <v>#N/A</v>
      </c>
    </row>
    <row r="58" spans="1:7" x14ac:dyDescent="0.2">
      <c r="A58" s="3" t="s">
        <v>47</v>
      </c>
      <c r="B58" s="3" t="s">
        <v>2</v>
      </c>
      <c r="C58" s="4">
        <v>18342979.850000001</v>
      </c>
      <c r="D58" s="4">
        <v>17507078.850000001</v>
      </c>
      <c r="E58" s="4">
        <v>835901</v>
      </c>
      <c r="F58" s="3" t="s">
        <v>888</v>
      </c>
      <c r="G58" s="3" t="e">
        <f>VLOOKUP(B58,'Profit &amp; Loss'!$B$3:$C$390,2,0)</f>
        <v>#N/A</v>
      </c>
    </row>
    <row r="59" spans="1:7" x14ac:dyDescent="0.2">
      <c r="A59" s="3" t="s">
        <v>59</v>
      </c>
      <c r="B59" s="3" t="s">
        <v>60</v>
      </c>
      <c r="C59" s="4">
        <v>278291.8</v>
      </c>
      <c r="D59" s="4">
        <v>275669.67</v>
      </c>
      <c r="E59" s="4">
        <v>2622.13</v>
      </c>
      <c r="F59" s="3" t="s">
        <v>509</v>
      </c>
      <c r="G59" s="3" t="e">
        <f>VLOOKUP(B59,'Profit &amp; Loss'!$B$3:$C$390,2,0)</f>
        <v>#N/A</v>
      </c>
    </row>
    <row r="60" spans="1:7" x14ac:dyDescent="0.2">
      <c r="A60" s="3" t="s">
        <v>59</v>
      </c>
      <c r="B60" s="3" t="s">
        <v>975</v>
      </c>
      <c r="C60" s="4">
        <v>-4793.88</v>
      </c>
      <c r="D60" s="4">
        <v>-4793.88</v>
      </c>
      <c r="E60" s="4">
        <v>0</v>
      </c>
      <c r="F60" s="3" t="s">
        <v>6</v>
      </c>
      <c r="G60" s="3" t="e">
        <f>VLOOKUP(B60,'Profit &amp; Loss'!$B$3:$C$390,2,0)</f>
        <v>#N/A</v>
      </c>
    </row>
    <row r="61" spans="1:7" x14ac:dyDescent="0.2">
      <c r="A61" s="3" t="s">
        <v>59</v>
      </c>
      <c r="B61" s="3" t="s">
        <v>883</v>
      </c>
      <c r="C61" s="4">
        <v>946.22</v>
      </c>
      <c r="D61" s="4">
        <v>946.22</v>
      </c>
      <c r="E61" s="4">
        <v>0</v>
      </c>
      <c r="F61" s="3" t="s">
        <v>6</v>
      </c>
      <c r="G61" s="3" t="e">
        <f>VLOOKUP(B61,'Profit &amp; Loss'!$B$3:$C$390,2,0)</f>
        <v>#N/A</v>
      </c>
    </row>
    <row r="62" spans="1:7" x14ac:dyDescent="0.2">
      <c r="A62" s="3" t="s">
        <v>59</v>
      </c>
      <c r="B62" s="3" t="s">
        <v>61</v>
      </c>
      <c r="C62" s="4">
        <v>418.21</v>
      </c>
      <c r="D62" s="4">
        <v>238.46</v>
      </c>
      <c r="E62" s="4">
        <v>179.75</v>
      </c>
      <c r="F62" s="3" t="s">
        <v>514</v>
      </c>
      <c r="G62" s="3" t="e">
        <f>VLOOKUP(B62,'Profit &amp; Loss'!$B$3:$C$390,2,0)</f>
        <v>#N/A</v>
      </c>
    </row>
    <row r="63" spans="1:7" x14ac:dyDescent="0.2">
      <c r="A63" s="3" t="s">
        <v>59</v>
      </c>
      <c r="B63" s="3" t="s">
        <v>62</v>
      </c>
      <c r="C63" s="4">
        <v>245192.53</v>
      </c>
      <c r="D63" s="4">
        <v>226446.67</v>
      </c>
      <c r="E63" s="4">
        <v>18745.86</v>
      </c>
      <c r="F63" s="3" t="s">
        <v>623</v>
      </c>
      <c r="G63" s="3" t="e">
        <f>VLOOKUP(B63,'Profit &amp; Loss'!$B$3:$C$390,2,0)</f>
        <v>#N/A</v>
      </c>
    </row>
    <row r="64" spans="1:7" x14ac:dyDescent="0.2">
      <c r="A64" s="3" t="s">
        <v>59</v>
      </c>
      <c r="B64" s="3" t="s">
        <v>63</v>
      </c>
      <c r="C64" s="4">
        <v>146477.68</v>
      </c>
      <c r="D64" s="4">
        <v>59012.47</v>
      </c>
      <c r="E64" s="4">
        <v>87465.21</v>
      </c>
      <c r="F64" s="3" t="s">
        <v>1334</v>
      </c>
      <c r="G64" s="3" t="e">
        <f>VLOOKUP(B64,'Profit &amp; Loss'!$B$3:$C$390,2,0)</f>
        <v>#N/A</v>
      </c>
    </row>
    <row r="65" spans="1:7" x14ac:dyDescent="0.2">
      <c r="A65" s="3" t="s">
        <v>59</v>
      </c>
      <c r="B65" s="3" t="s">
        <v>64</v>
      </c>
      <c r="C65" s="4">
        <v>420.63</v>
      </c>
      <c r="D65" s="4">
        <v>420.63</v>
      </c>
      <c r="E65" s="4">
        <v>0</v>
      </c>
      <c r="F65" s="3" t="s">
        <v>6</v>
      </c>
      <c r="G65" s="3" t="e">
        <f>VLOOKUP(B65,'Profit &amp; Loss'!$B$3:$C$390,2,0)</f>
        <v>#N/A</v>
      </c>
    </row>
    <row r="66" spans="1:7" x14ac:dyDescent="0.2">
      <c r="A66" s="3" t="s">
        <v>59</v>
      </c>
      <c r="B66" s="3" t="s">
        <v>2</v>
      </c>
      <c r="C66" s="4">
        <v>666953.18999999994</v>
      </c>
      <c r="D66" s="4">
        <v>557940.24</v>
      </c>
      <c r="E66" s="4">
        <v>109012.95</v>
      </c>
      <c r="F66" s="3" t="s">
        <v>1335</v>
      </c>
      <c r="G66" s="3" t="e">
        <f>VLOOKUP(B66,'Profit &amp; Loss'!$B$3:$C$390,2,0)</f>
        <v>#N/A</v>
      </c>
    </row>
    <row r="67" spans="1:7" x14ac:dyDescent="0.2">
      <c r="A67" s="3" t="s">
        <v>65</v>
      </c>
      <c r="B67" s="3" t="s">
        <v>2</v>
      </c>
      <c r="C67" s="4">
        <v>18978137.440000001</v>
      </c>
      <c r="D67" s="4">
        <v>18033223.489999998</v>
      </c>
      <c r="E67" s="4">
        <v>944913.95</v>
      </c>
      <c r="F67" s="3" t="s">
        <v>821</v>
      </c>
      <c r="G67" s="3" t="e">
        <f>VLOOKUP(B67,'Profit &amp; Loss'!$B$3:$C$390,2,0)</f>
        <v>#N/A</v>
      </c>
    </row>
    <row r="68" spans="1:7" x14ac:dyDescent="0.2">
      <c r="A68" s="3" t="s">
        <v>976</v>
      </c>
      <c r="B68" s="3" t="s">
        <v>977</v>
      </c>
      <c r="C68" s="4">
        <v>14166.64</v>
      </c>
      <c r="D68" s="4">
        <v>14166.64</v>
      </c>
      <c r="E68" s="4">
        <v>0</v>
      </c>
      <c r="F68" s="3" t="s">
        <v>6</v>
      </c>
      <c r="G68" s="3" t="e">
        <f>VLOOKUP(B68,'Profit &amp; Loss'!$B$3:$C$390,2,0)</f>
        <v>#N/A</v>
      </c>
    </row>
    <row r="69" spans="1:7" x14ac:dyDescent="0.2">
      <c r="A69" s="3" t="s">
        <v>976</v>
      </c>
      <c r="B69" s="3" t="s">
        <v>2</v>
      </c>
      <c r="C69" s="4">
        <v>14166.64</v>
      </c>
      <c r="D69" s="4">
        <v>14166.64</v>
      </c>
      <c r="E69" s="4">
        <v>0</v>
      </c>
      <c r="F69" s="3" t="s">
        <v>6</v>
      </c>
      <c r="G69" s="3" t="e">
        <f>VLOOKUP(B69,'Profit &amp; Loss'!$B$3:$C$390,2,0)</f>
        <v>#N/A</v>
      </c>
    </row>
    <row r="70" spans="1:7" x14ac:dyDescent="0.2">
      <c r="A70" s="3" t="s">
        <v>978</v>
      </c>
      <c r="B70" s="3" t="s">
        <v>2</v>
      </c>
      <c r="C70" s="4">
        <v>14166.64</v>
      </c>
      <c r="D70" s="4">
        <v>14166.64</v>
      </c>
      <c r="E70" s="4">
        <v>0</v>
      </c>
      <c r="F70" s="3" t="s">
        <v>6</v>
      </c>
      <c r="G70" s="3" t="e">
        <f>VLOOKUP(B70,'Profit &amp; Loss'!$B$3:$C$390,2,0)</f>
        <v>#N/A</v>
      </c>
    </row>
    <row r="71" spans="1:7" x14ac:dyDescent="0.2">
      <c r="A71" s="3" t="s">
        <v>66</v>
      </c>
      <c r="B71" s="3" t="s">
        <v>67</v>
      </c>
      <c r="C71" s="4">
        <v>-6135.39</v>
      </c>
      <c r="D71" s="4">
        <v>-6135.39</v>
      </c>
      <c r="E71" s="4">
        <v>0</v>
      </c>
      <c r="F71" s="3" t="s">
        <v>6</v>
      </c>
      <c r="G71" s="3" t="e">
        <f>VLOOKUP(B71,'Profit &amp; Loss'!$B$3:$C$390,2,0)</f>
        <v>#N/A</v>
      </c>
    </row>
    <row r="72" spans="1:7" x14ac:dyDescent="0.2">
      <c r="A72" s="3" t="s">
        <v>66</v>
      </c>
      <c r="B72" s="3" t="s">
        <v>68</v>
      </c>
      <c r="C72" s="4">
        <v>9740.33</v>
      </c>
      <c r="D72" s="4">
        <v>10317.040000000001</v>
      </c>
      <c r="E72" s="4">
        <v>-576.71</v>
      </c>
      <c r="F72" s="3" t="s">
        <v>597</v>
      </c>
      <c r="G72" s="3" t="e">
        <f>VLOOKUP(B72,'Profit &amp; Loss'!$B$3:$C$390,2,0)</f>
        <v>#N/A</v>
      </c>
    </row>
    <row r="73" spans="1:7" x14ac:dyDescent="0.2">
      <c r="A73" s="3" t="s">
        <v>66</v>
      </c>
      <c r="B73" s="3" t="s">
        <v>979</v>
      </c>
      <c r="C73" s="4">
        <v>6329.17</v>
      </c>
      <c r="D73" s="4">
        <v>6329.17</v>
      </c>
      <c r="E73" s="4">
        <v>0</v>
      </c>
      <c r="F73" s="3" t="s">
        <v>6</v>
      </c>
      <c r="G73" s="3" t="e">
        <f>VLOOKUP(B73,'Profit &amp; Loss'!$B$3:$C$390,2,0)</f>
        <v>#N/A</v>
      </c>
    </row>
    <row r="74" spans="1:7" x14ac:dyDescent="0.2">
      <c r="A74" s="3" t="s">
        <v>66</v>
      </c>
      <c r="B74" s="3" t="s">
        <v>491</v>
      </c>
      <c r="C74" s="4">
        <v>346.79</v>
      </c>
      <c r="D74" s="4">
        <v>0</v>
      </c>
      <c r="E74" s="4">
        <v>346.79</v>
      </c>
      <c r="F74" s="3" t="s">
        <v>2</v>
      </c>
      <c r="G74" s="3" t="e">
        <f>VLOOKUP(B74,'Profit &amp; Loss'!$B$3:$C$390,2,0)</f>
        <v>#N/A</v>
      </c>
    </row>
    <row r="75" spans="1:7" x14ac:dyDescent="0.2">
      <c r="A75" s="3" t="s">
        <v>66</v>
      </c>
      <c r="B75" s="3" t="s">
        <v>492</v>
      </c>
      <c r="C75" s="4">
        <v>0.01</v>
      </c>
      <c r="D75" s="4">
        <v>0</v>
      </c>
      <c r="E75" s="4">
        <v>0.01</v>
      </c>
      <c r="F75" s="3" t="s">
        <v>2</v>
      </c>
      <c r="G75" s="3" t="e">
        <f>VLOOKUP(B75,'Profit &amp; Loss'!$B$3:$C$390,2,0)</f>
        <v>#N/A</v>
      </c>
    </row>
    <row r="76" spans="1:7" x14ac:dyDescent="0.2">
      <c r="A76" s="3" t="s">
        <v>66</v>
      </c>
      <c r="B76" s="3" t="s">
        <v>493</v>
      </c>
      <c r="C76" s="4">
        <v>41.66</v>
      </c>
      <c r="D76" s="4">
        <v>-2.25</v>
      </c>
      <c r="E76" s="4">
        <v>43.91</v>
      </c>
      <c r="F76" s="3" t="s">
        <v>1336</v>
      </c>
      <c r="G76" s="3" t="e">
        <f>VLOOKUP(B76,'Profit &amp; Loss'!$B$3:$C$390,2,0)</f>
        <v>#N/A</v>
      </c>
    </row>
    <row r="77" spans="1:7" x14ac:dyDescent="0.2">
      <c r="A77" s="3" t="s">
        <v>66</v>
      </c>
      <c r="B77" s="3" t="s">
        <v>494</v>
      </c>
      <c r="C77" s="4">
        <v>-0.25</v>
      </c>
      <c r="D77" s="4">
        <v>0.02</v>
      </c>
      <c r="E77" s="4">
        <v>-0.27</v>
      </c>
      <c r="F77" s="3" t="s">
        <v>1337</v>
      </c>
      <c r="G77" s="3" t="e">
        <f>VLOOKUP(B77,'Profit &amp; Loss'!$B$3:$C$390,2,0)</f>
        <v>#N/A</v>
      </c>
    </row>
    <row r="78" spans="1:7" x14ac:dyDescent="0.2">
      <c r="A78" s="3" t="s">
        <v>66</v>
      </c>
      <c r="B78" s="3" t="s">
        <v>2</v>
      </c>
      <c r="C78" s="4">
        <v>10322.32</v>
      </c>
      <c r="D78" s="4">
        <v>10508.59</v>
      </c>
      <c r="E78" s="4">
        <v>-186.27</v>
      </c>
      <c r="F78" s="3" t="s">
        <v>716</v>
      </c>
      <c r="G78" s="3" t="e">
        <f>VLOOKUP(B78,'Profit &amp; Loss'!$B$3:$C$390,2,0)</f>
        <v>#N/A</v>
      </c>
    </row>
    <row r="79" spans="1:7" x14ac:dyDescent="0.2">
      <c r="A79" s="3" t="s">
        <v>69</v>
      </c>
      <c r="B79" s="3" t="s">
        <v>2</v>
      </c>
      <c r="C79" s="4">
        <v>10322.32</v>
      </c>
      <c r="D79" s="4">
        <v>10508.59</v>
      </c>
      <c r="E79" s="4">
        <v>-186.27</v>
      </c>
      <c r="F79" s="3" t="s">
        <v>716</v>
      </c>
      <c r="G79" s="3" t="e">
        <f>VLOOKUP(B79,'Profit &amp; Loss'!$B$3:$C$390,2,0)</f>
        <v>#N/A</v>
      </c>
    </row>
    <row r="80" spans="1:7" x14ac:dyDescent="0.2">
      <c r="A80" s="3" t="s">
        <v>70</v>
      </c>
      <c r="B80" s="3" t="s">
        <v>71</v>
      </c>
      <c r="C80" s="4">
        <v>359163.46</v>
      </c>
      <c r="D80" s="4">
        <v>359163.46</v>
      </c>
      <c r="E80" s="4">
        <v>0</v>
      </c>
      <c r="F80" s="3" t="s">
        <v>6</v>
      </c>
      <c r="G80" s="3" t="e">
        <f>VLOOKUP(B80,'Profit &amp; Loss'!$B$3:$C$390,2,0)</f>
        <v>#N/A</v>
      </c>
    </row>
    <row r="81" spans="1:7" x14ac:dyDescent="0.2">
      <c r="A81" s="3" t="s">
        <v>70</v>
      </c>
      <c r="B81" s="3" t="s">
        <v>72</v>
      </c>
      <c r="C81" s="4">
        <v>-260381.8</v>
      </c>
      <c r="D81" s="4">
        <v>-259267.02</v>
      </c>
      <c r="E81" s="4">
        <v>-1114.78</v>
      </c>
      <c r="F81" s="3" t="s">
        <v>470</v>
      </c>
      <c r="G81" s="3" t="e">
        <f>VLOOKUP(B81,'Profit &amp; Loss'!$B$3:$C$390,2,0)</f>
        <v>#N/A</v>
      </c>
    </row>
    <row r="82" spans="1:7" x14ac:dyDescent="0.2">
      <c r="A82" s="3" t="s">
        <v>70</v>
      </c>
      <c r="B82" s="3" t="s">
        <v>2</v>
      </c>
      <c r="C82" s="4">
        <v>98781.66</v>
      </c>
      <c r="D82" s="4">
        <v>99896.44</v>
      </c>
      <c r="E82" s="4">
        <v>-1114.78</v>
      </c>
      <c r="F82" s="3" t="s">
        <v>903</v>
      </c>
      <c r="G82" s="3" t="e">
        <f>VLOOKUP(B82,'Profit &amp; Loss'!$B$3:$C$390,2,0)</f>
        <v>#N/A</v>
      </c>
    </row>
    <row r="83" spans="1:7" x14ac:dyDescent="0.2">
      <c r="A83" s="3" t="s">
        <v>73</v>
      </c>
      <c r="B83" s="3" t="s">
        <v>74</v>
      </c>
      <c r="C83" s="4">
        <v>132848.63</v>
      </c>
      <c r="D83" s="4">
        <v>132848.63</v>
      </c>
      <c r="E83" s="4">
        <v>0</v>
      </c>
      <c r="F83" s="3" t="s">
        <v>6</v>
      </c>
      <c r="G83" s="3" t="e">
        <f>VLOOKUP(B83,'Profit &amp; Loss'!$B$3:$C$390,2,0)</f>
        <v>#N/A</v>
      </c>
    </row>
    <row r="84" spans="1:7" x14ac:dyDescent="0.2">
      <c r="A84" s="3" t="s">
        <v>73</v>
      </c>
      <c r="B84" s="3" t="s">
        <v>75</v>
      </c>
      <c r="C84" s="4">
        <v>516712.36</v>
      </c>
      <c r="D84" s="4">
        <v>476913.35</v>
      </c>
      <c r="E84" s="4">
        <v>39799.01</v>
      </c>
      <c r="F84" s="3" t="s">
        <v>623</v>
      </c>
      <c r="G84" s="3" t="e">
        <f>VLOOKUP(B84,'Profit &amp; Loss'!$B$3:$C$390,2,0)</f>
        <v>#N/A</v>
      </c>
    </row>
    <row r="85" spans="1:7" x14ac:dyDescent="0.2">
      <c r="A85" s="3" t="s">
        <v>73</v>
      </c>
      <c r="B85" s="3" t="s">
        <v>76</v>
      </c>
      <c r="C85" s="4">
        <v>380820.83</v>
      </c>
      <c r="D85" s="4">
        <v>380820.83</v>
      </c>
      <c r="E85" s="4">
        <v>0</v>
      </c>
      <c r="F85" s="3" t="s">
        <v>6</v>
      </c>
      <c r="G85" s="3" t="e">
        <f>VLOOKUP(B85,'Profit &amp; Loss'!$B$3:$C$390,2,0)</f>
        <v>#N/A</v>
      </c>
    </row>
    <row r="86" spans="1:7" x14ac:dyDescent="0.2">
      <c r="A86" s="3" t="s">
        <v>73</v>
      </c>
      <c r="B86" s="3" t="s">
        <v>77</v>
      </c>
      <c r="C86" s="4">
        <v>495.24</v>
      </c>
      <c r="D86" s="4">
        <v>495.24</v>
      </c>
      <c r="E86" s="4">
        <v>0</v>
      </c>
      <c r="F86" s="3" t="s">
        <v>6</v>
      </c>
      <c r="G86" s="3" t="e">
        <f>VLOOKUP(B86,'Profit &amp; Loss'!$B$3:$C$390,2,0)</f>
        <v>#N/A</v>
      </c>
    </row>
    <row r="87" spans="1:7" x14ac:dyDescent="0.2">
      <c r="A87" s="3" t="s">
        <v>73</v>
      </c>
      <c r="B87" s="3" t="s">
        <v>78</v>
      </c>
      <c r="C87" s="4">
        <v>247441.57</v>
      </c>
      <c r="D87" s="4">
        <v>245275.31</v>
      </c>
      <c r="E87" s="4">
        <v>2166.2600000000002</v>
      </c>
      <c r="F87" s="3" t="s">
        <v>517</v>
      </c>
      <c r="G87" s="3" t="e">
        <f>VLOOKUP(B87,'Profit &amp; Loss'!$B$3:$C$390,2,0)</f>
        <v>#N/A</v>
      </c>
    </row>
    <row r="88" spans="1:7" x14ac:dyDescent="0.2">
      <c r="A88" s="3" t="s">
        <v>73</v>
      </c>
      <c r="B88" s="3" t="s">
        <v>79</v>
      </c>
      <c r="C88" s="4">
        <v>-126094.93</v>
      </c>
      <c r="D88" s="4">
        <v>-125820.4</v>
      </c>
      <c r="E88" s="4">
        <v>-274.52999999999997</v>
      </c>
      <c r="F88" s="3" t="s">
        <v>498</v>
      </c>
      <c r="G88" s="3" t="e">
        <f>VLOOKUP(B88,'Profit &amp; Loss'!$B$3:$C$390,2,0)</f>
        <v>#N/A</v>
      </c>
    </row>
    <row r="89" spans="1:7" x14ac:dyDescent="0.2">
      <c r="A89" s="3" t="s">
        <v>73</v>
      </c>
      <c r="B89" s="3" t="s">
        <v>80</v>
      </c>
      <c r="C89" s="4">
        <v>-302441.43</v>
      </c>
      <c r="D89" s="4">
        <v>-298528.28999999998</v>
      </c>
      <c r="E89" s="4">
        <v>-3913.14</v>
      </c>
      <c r="F89" s="3" t="s">
        <v>495</v>
      </c>
      <c r="G89" s="3" t="e">
        <f>VLOOKUP(B89,'Profit &amp; Loss'!$B$3:$C$390,2,0)</f>
        <v>#N/A</v>
      </c>
    </row>
    <row r="90" spans="1:7" x14ac:dyDescent="0.2">
      <c r="A90" s="3" t="s">
        <v>73</v>
      </c>
      <c r="B90" s="3" t="s">
        <v>81</v>
      </c>
      <c r="C90" s="4">
        <v>-304346.77</v>
      </c>
      <c r="D90" s="4">
        <v>-302132.39</v>
      </c>
      <c r="E90" s="4">
        <v>-2214.38</v>
      </c>
      <c r="F90" s="3" t="s">
        <v>508</v>
      </c>
      <c r="G90" s="3" t="e">
        <f>VLOOKUP(B90,'Profit &amp; Loss'!$B$3:$C$390,2,0)</f>
        <v>#N/A</v>
      </c>
    </row>
    <row r="91" spans="1:7" x14ac:dyDescent="0.2">
      <c r="A91" s="3" t="s">
        <v>73</v>
      </c>
      <c r="B91" s="3" t="s">
        <v>82</v>
      </c>
      <c r="C91" s="4">
        <v>-495.24</v>
      </c>
      <c r="D91" s="4">
        <v>-486.99</v>
      </c>
      <c r="E91" s="4">
        <v>-8.25</v>
      </c>
      <c r="F91" s="3" t="s">
        <v>631</v>
      </c>
      <c r="G91" s="3" t="e">
        <f>VLOOKUP(B91,'Profit &amp; Loss'!$B$3:$C$390,2,0)</f>
        <v>#N/A</v>
      </c>
    </row>
    <row r="92" spans="1:7" x14ac:dyDescent="0.2">
      <c r="A92" s="3" t="s">
        <v>73</v>
      </c>
      <c r="B92" s="3" t="s">
        <v>83</v>
      </c>
      <c r="C92" s="4">
        <v>-210688.98</v>
      </c>
      <c r="D92" s="4">
        <v>-209527.28</v>
      </c>
      <c r="E92" s="4">
        <v>-1161.7</v>
      </c>
      <c r="F92" s="3" t="s">
        <v>610</v>
      </c>
      <c r="G92" s="3" t="e">
        <f>VLOOKUP(B92,'Profit &amp; Loss'!$B$3:$C$390,2,0)</f>
        <v>#N/A</v>
      </c>
    </row>
    <row r="93" spans="1:7" x14ac:dyDescent="0.2">
      <c r="A93" s="3" t="s">
        <v>73</v>
      </c>
      <c r="B93" s="3" t="s">
        <v>2</v>
      </c>
      <c r="C93" s="4">
        <v>334251.28000000003</v>
      </c>
      <c r="D93" s="4">
        <v>299858.01</v>
      </c>
      <c r="E93" s="4">
        <v>34393.269999999997</v>
      </c>
      <c r="F93" s="3" t="s">
        <v>970</v>
      </c>
      <c r="G93" s="3" t="e">
        <f>VLOOKUP(B93,'Profit &amp; Loss'!$B$3:$C$390,2,0)</f>
        <v>#N/A</v>
      </c>
    </row>
    <row r="94" spans="1:7" x14ac:dyDescent="0.2">
      <c r="A94" s="3" t="s">
        <v>84</v>
      </c>
      <c r="B94" s="3" t="s">
        <v>85</v>
      </c>
      <c r="C94" s="4">
        <v>17497669.789999999</v>
      </c>
      <c r="D94" s="4">
        <v>15647518.970000001</v>
      </c>
      <c r="E94" s="4">
        <v>1850150.82</v>
      </c>
      <c r="F94" s="3" t="s">
        <v>1338</v>
      </c>
      <c r="G94" s="3" t="e">
        <f>VLOOKUP(B94,'Profit &amp; Loss'!$B$3:$C$390,2,0)</f>
        <v>#N/A</v>
      </c>
    </row>
    <row r="95" spans="1:7" x14ac:dyDescent="0.2">
      <c r="A95" s="3" t="s">
        <v>84</v>
      </c>
      <c r="B95" s="3" t="s">
        <v>86</v>
      </c>
      <c r="C95" s="4">
        <v>-5584939.9299999997</v>
      </c>
      <c r="D95" s="4">
        <v>-5357668.2</v>
      </c>
      <c r="E95" s="4">
        <v>-227271.73</v>
      </c>
      <c r="F95" s="3" t="s">
        <v>1339</v>
      </c>
      <c r="G95" s="3" t="e">
        <f>VLOOKUP(B95,'Profit &amp; Loss'!$B$3:$C$390,2,0)</f>
        <v>#N/A</v>
      </c>
    </row>
    <row r="96" spans="1:7" x14ac:dyDescent="0.2">
      <c r="A96" s="3" t="s">
        <v>84</v>
      </c>
      <c r="B96" s="3" t="s">
        <v>2</v>
      </c>
      <c r="C96" s="4">
        <v>11912729.859999999</v>
      </c>
      <c r="D96" s="4">
        <v>10289850.77</v>
      </c>
      <c r="E96" s="4">
        <v>1622879.09</v>
      </c>
      <c r="F96" s="3" t="s">
        <v>778</v>
      </c>
      <c r="G96" s="3" t="e">
        <f>VLOOKUP(B96,'Profit &amp; Loss'!$B$3:$C$390,2,0)</f>
        <v>#N/A</v>
      </c>
    </row>
    <row r="97" spans="1:7" x14ac:dyDescent="0.2">
      <c r="A97" s="3" t="s">
        <v>87</v>
      </c>
      <c r="B97" s="3" t="s">
        <v>88</v>
      </c>
      <c r="C97" s="4">
        <v>152624.47</v>
      </c>
      <c r="D97" s="4">
        <v>152624.47</v>
      </c>
      <c r="E97" s="4">
        <v>0</v>
      </c>
      <c r="F97" s="3" t="s">
        <v>6</v>
      </c>
      <c r="G97" s="3" t="e">
        <f>VLOOKUP(B97,'Profit &amp; Loss'!$B$3:$C$390,2,0)</f>
        <v>#N/A</v>
      </c>
    </row>
    <row r="98" spans="1:7" x14ac:dyDescent="0.2">
      <c r="A98" s="3" t="s">
        <v>87</v>
      </c>
      <c r="B98" s="3" t="s">
        <v>89</v>
      </c>
      <c r="C98" s="4">
        <v>655044.07999999996</v>
      </c>
      <c r="D98" s="4">
        <v>733771.45</v>
      </c>
      <c r="E98" s="4">
        <v>-78727.37</v>
      </c>
      <c r="F98" s="3" t="s">
        <v>944</v>
      </c>
      <c r="G98" s="3" t="e">
        <f>VLOOKUP(B98,'Profit &amp; Loss'!$B$3:$C$390,2,0)</f>
        <v>#N/A</v>
      </c>
    </row>
    <row r="99" spans="1:7" x14ac:dyDescent="0.2">
      <c r="A99" s="3" t="s">
        <v>87</v>
      </c>
      <c r="B99" s="3" t="s">
        <v>90</v>
      </c>
      <c r="C99" s="4">
        <v>-151512.79999999999</v>
      </c>
      <c r="D99" s="4">
        <v>-151457.21</v>
      </c>
      <c r="E99" s="4">
        <v>-55.59</v>
      </c>
      <c r="F99" s="3" t="s">
        <v>6</v>
      </c>
      <c r="G99" s="3" t="e">
        <f>VLOOKUP(B99,'Profit &amp; Loss'!$B$3:$C$390,2,0)</f>
        <v>#N/A</v>
      </c>
    </row>
    <row r="100" spans="1:7" x14ac:dyDescent="0.2">
      <c r="A100" s="3" t="s">
        <v>87</v>
      </c>
      <c r="B100" s="3" t="s">
        <v>91</v>
      </c>
      <c r="C100" s="4">
        <v>-671222.72</v>
      </c>
      <c r="D100" s="4">
        <v>-748249.16</v>
      </c>
      <c r="E100" s="4">
        <v>77026.44</v>
      </c>
      <c r="F100" s="3" t="s">
        <v>831</v>
      </c>
      <c r="G100" s="3" t="e">
        <f>VLOOKUP(B100,'Profit &amp; Loss'!$B$3:$C$390,2,0)</f>
        <v>#N/A</v>
      </c>
    </row>
    <row r="101" spans="1:7" x14ac:dyDescent="0.2">
      <c r="A101" s="3" t="s">
        <v>87</v>
      </c>
      <c r="B101" s="3" t="s">
        <v>2</v>
      </c>
      <c r="C101" s="4">
        <v>-15066.97</v>
      </c>
      <c r="D101" s="4">
        <v>-13310.45</v>
      </c>
      <c r="E101" s="4">
        <v>-1756.52</v>
      </c>
      <c r="F101" s="3" t="s">
        <v>620</v>
      </c>
      <c r="G101" s="3" t="e">
        <f>VLOOKUP(B101,'Profit &amp; Loss'!$B$3:$C$390,2,0)</f>
        <v>#N/A</v>
      </c>
    </row>
    <row r="102" spans="1:7" x14ac:dyDescent="0.2">
      <c r="A102" s="3" t="s">
        <v>92</v>
      </c>
      <c r="B102" s="3" t="s">
        <v>93</v>
      </c>
      <c r="C102" s="4">
        <v>4903.3100000000004</v>
      </c>
      <c r="D102" s="4">
        <v>4903.3100000000004</v>
      </c>
      <c r="E102" s="4">
        <v>0</v>
      </c>
      <c r="F102" s="3" t="s">
        <v>6</v>
      </c>
      <c r="G102" s="3" t="e">
        <f>VLOOKUP(B102,'Profit &amp; Loss'!$B$3:$C$390,2,0)</f>
        <v>#N/A</v>
      </c>
    </row>
    <row r="103" spans="1:7" x14ac:dyDescent="0.2">
      <c r="A103" s="3" t="s">
        <v>92</v>
      </c>
      <c r="B103" s="3" t="s">
        <v>94</v>
      </c>
      <c r="C103" s="4">
        <v>247830.51</v>
      </c>
      <c r="D103" s="4">
        <v>246154.76</v>
      </c>
      <c r="E103" s="4">
        <v>1675.75</v>
      </c>
      <c r="F103" s="3" t="s">
        <v>487</v>
      </c>
      <c r="G103" s="3" t="e">
        <f>VLOOKUP(B103,'Profit &amp; Loss'!$B$3:$C$390,2,0)</f>
        <v>#N/A</v>
      </c>
    </row>
    <row r="104" spans="1:7" x14ac:dyDescent="0.2">
      <c r="A104" s="3" t="s">
        <v>92</v>
      </c>
      <c r="B104" s="3" t="s">
        <v>95</v>
      </c>
      <c r="C104" s="4">
        <v>-3423.76</v>
      </c>
      <c r="D104" s="4">
        <v>-3351.59</v>
      </c>
      <c r="E104" s="4">
        <v>-72.17</v>
      </c>
      <c r="F104" s="3" t="s">
        <v>506</v>
      </c>
      <c r="G104" s="3" t="e">
        <f>VLOOKUP(B104,'Profit &amp; Loss'!$B$3:$C$390,2,0)</f>
        <v>#N/A</v>
      </c>
    </row>
    <row r="105" spans="1:7" x14ac:dyDescent="0.2">
      <c r="A105" s="3" t="s">
        <v>92</v>
      </c>
      <c r="B105" s="3" t="s">
        <v>96</v>
      </c>
      <c r="C105" s="4">
        <v>-161297.51999999999</v>
      </c>
      <c r="D105" s="4">
        <v>-155790</v>
      </c>
      <c r="E105" s="4">
        <v>-5507.52</v>
      </c>
      <c r="F105" s="3" t="s">
        <v>730</v>
      </c>
      <c r="G105" s="3" t="e">
        <f>VLOOKUP(B105,'Profit &amp; Loss'!$B$3:$C$390,2,0)</f>
        <v>#N/A</v>
      </c>
    </row>
    <row r="106" spans="1:7" x14ac:dyDescent="0.2">
      <c r="A106" s="3" t="s">
        <v>92</v>
      </c>
      <c r="B106" s="3" t="s">
        <v>2</v>
      </c>
      <c r="C106" s="4">
        <v>88012.54</v>
      </c>
      <c r="D106" s="4">
        <v>91916.479999999996</v>
      </c>
      <c r="E106" s="4">
        <v>-3903.94</v>
      </c>
      <c r="F106" s="3" t="s">
        <v>1339</v>
      </c>
      <c r="G106" s="3" t="e">
        <f>VLOOKUP(B106,'Profit &amp; Loss'!$B$3:$C$390,2,0)</f>
        <v>#N/A</v>
      </c>
    </row>
    <row r="107" spans="1:7" x14ac:dyDescent="0.2">
      <c r="A107" s="3" t="s">
        <v>97</v>
      </c>
      <c r="B107" s="3" t="s">
        <v>98</v>
      </c>
      <c r="C107" s="4">
        <v>174986.36</v>
      </c>
      <c r="D107" s="4">
        <v>174986.36</v>
      </c>
      <c r="E107" s="4">
        <v>0</v>
      </c>
      <c r="F107" s="3" t="s">
        <v>6</v>
      </c>
      <c r="G107" s="3" t="e">
        <f>VLOOKUP(B107,'Profit &amp; Loss'!$B$3:$C$390,2,0)</f>
        <v>#N/A</v>
      </c>
    </row>
    <row r="108" spans="1:7" x14ac:dyDescent="0.2">
      <c r="A108" s="3" t="s">
        <v>97</v>
      </c>
      <c r="B108" s="3" t="s">
        <v>99</v>
      </c>
      <c r="C108" s="4">
        <v>-95677.57</v>
      </c>
      <c r="D108" s="4">
        <v>-92761.13</v>
      </c>
      <c r="E108" s="4">
        <v>-2916.44</v>
      </c>
      <c r="F108" s="3" t="s">
        <v>715</v>
      </c>
      <c r="G108" s="3" t="e">
        <f>VLOOKUP(B108,'Profit &amp; Loss'!$B$3:$C$390,2,0)</f>
        <v>#N/A</v>
      </c>
    </row>
    <row r="109" spans="1:7" x14ac:dyDescent="0.2">
      <c r="A109" s="3" t="s">
        <v>97</v>
      </c>
      <c r="B109" s="3" t="s">
        <v>2</v>
      </c>
      <c r="C109" s="4">
        <v>79308.789999999994</v>
      </c>
      <c r="D109" s="4">
        <v>82225.23</v>
      </c>
      <c r="E109" s="4">
        <v>-2916.44</v>
      </c>
      <c r="F109" s="3" t="s">
        <v>730</v>
      </c>
      <c r="G109" s="3" t="e">
        <f>VLOOKUP(B109,'Profit &amp; Loss'!$B$3:$C$390,2,0)</f>
        <v>#N/A</v>
      </c>
    </row>
    <row r="110" spans="1:7" x14ac:dyDescent="0.2">
      <c r="A110" s="3" t="s">
        <v>100</v>
      </c>
      <c r="B110" s="3" t="s">
        <v>101</v>
      </c>
      <c r="C110" s="4">
        <v>121864.18</v>
      </c>
      <c r="D110" s="4">
        <v>121705.74</v>
      </c>
      <c r="E110" s="4">
        <v>158.44</v>
      </c>
      <c r="F110" s="3" t="s">
        <v>471</v>
      </c>
      <c r="G110" s="3" t="e">
        <f>VLOOKUP(B110,'Profit &amp; Loss'!$B$3:$C$390,2,0)</f>
        <v>#N/A</v>
      </c>
    </row>
    <row r="111" spans="1:7" x14ac:dyDescent="0.2">
      <c r="A111" s="3" t="s">
        <v>100</v>
      </c>
      <c r="B111" s="3" t="s">
        <v>980</v>
      </c>
      <c r="C111" s="4">
        <v>101857.79</v>
      </c>
      <c r="D111" s="4">
        <v>101857.79</v>
      </c>
      <c r="E111" s="4">
        <v>0</v>
      </c>
      <c r="F111" s="3" t="s">
        <v>6</v>
      </c>
      <c r="G111" s="3" t="e">
        <f>VLOOKUP(B111,'Profit &amp; Loss'!$B$3:$C$390,2,0)</f>
        <v>#N/A</v>
      </c>
    </row>
    <row r="112" spans="1:7" x14ac:dyDescent="0.2">
      <c r="A112" s="3" t="s">
        <v>100</v>
      </c>
      <c r="B112" s="3" t="s">
        <v>102</v>
      </c>
      <c r="C112" s="4">
        <v>-105981.53</v>
      </c>
      <c r="D112" s="4">
        <v>-105437.16</v>
      </c>
      <c r="E112" s="4">
        <v>-544.37</v>
      </c>
      <c r="F112" s="3" t="s">
        <v>887</v>
      </c>
      <c r="G112" s="3" t="e">
        <f>VLOOKUP(B112,'Profit &amp; Loss'!$B$3:$C$390,2,0)</f>
        <v>#N/A</v>
      </c>
    </row>
    <row r="113" spans="1:7" x14ac:dyDescent="0.2">
      <c r="A113" s="3" t="s">
        <v>100</v>
      </c>
      <c r="B113" s="3" t="s">
        <v>981</v>
      </c>
      <c r="C113" s="4">
        <v>-101857.79</v>
      </c>
      <c r="D113" s="4">
        <v>-101857.79</v>
      </c>
      <c r="E113" s="4">
        <v>0</v>
      </c>
      <c r="F113" s="3" t="s">
        <v>6</v>
      </c>
      <c r="G113" s="3" t="e">
        <f>VLOOKUP(B113,'Profit &amp; Loss'!$B$3:$C$390,2,0)</f>
        <v>#N/A</v>
      </c>
    </row>
    <row r="114" spans="1:7" x14ac:dyDescent="0.2">
      <c r="A114" s="3" t="s">
        <v>100</v>
      </c>
      <c r="B114" s="3" t="s">
        <v>2</v>
      </c>
      <c r="C114" s="4">
        <v>15882.65</v>
      </c>
      <c r="D114" s="4">
        <v>16268.58</v>
      </c>
      <c r="E114" s="4">
        <v>-385.93</v>
      </c>
      <c r="F114" s="3" t="s">
        <v>717</v>
      </c>
      <c r="G114" s="3" t="e">
        <f>VLOOKUP(B114,'Profit &amp; Loss'!$B$3:$C$390,2,0)</f>
        <v>#N/A</v>
      </c>
    </row>
    <row r="115" spans="1:7" x14ac:dyDescent="0.2">
      <c r="A115" s="3" t="s">
        <v>103</v>
      </c>
      <c r="B115" s="3" t="s">
        <v>2</v>
      </c>
      <c r="C115" s="4">
        <v>12513899.810000001</v>
      </c>
      <c r="D115" s="4">
        <v>10866705.060000001</v>
      </c>
      <c r="E115" s="4">
        <v>1647194.75</v>
      </c>
      <c r="F115" s="3" t="s">
        <v>606</v>
      </c>
      <c r="G115" s="3" t="e">
        <f>VLOOKUP(B115,'Profit &amp; Loss'!$B$3:$C$390,2,0)</f>
        <v>#N/A</v>
      </c>
    </row>
    <row r="116" spans="1:7" x14ac:dyDescent="0.2">
      <c r="A116" s="3" t="s">
        <v>104</v>
      </c>
      <c r="B116" s="3" t="s">
        <v>105</v>
      </c>
      <c r="C116" s="4">
        <v>2113106.6</v>
      </c>
      <c r="D116" s="4">
        <v>2113106.6</v>
      </c>
      <c r="E116" s="4">
        <v>0</v>
      </c>
      <c r="F116" s="3" t="s">
        <v>6</v>
      </c>
      <c r="G116" s="3" t="e">
        <f>VLOOKUP(B116,'Profit &amp; Loss'!$B$3:$C$390,2,0)</f>
        <v>#N/A</v>
      </c>
    </row>
    <row r="117" spans="1:7" x14ac:dyDescent="0.2">
      <c r="A117" s="3" t="s">
        <v>104</v>
      </c>
      <c r="B117" s="3" t="s">
        <v>106</v>
      </c>
      <c r="C117" s="4">
        <v>678752.24</v>
      </c>
      <c r="D117" s="4">
        <v>678752.24</v>
      </c>
      <c r="E117" s="4">
        <v>0</v>
      </c>
      <c r="F117" s="3" t="s">
        <v>6</v>
      </c>
      <c r="G117" s="3" t="e">
        <f>VLOOKUP(B117,'Profit &amp; Loss'!$B$3:$C$390,2,0)</f>
        <v>#N/A</v>
      </c>
    </row>
    <row r="118" spans="1:7" x14ac:dyDescent="0.2">
      <c r="A118" s="3" t="s">
        <v>104</v>
      </c>
      <c r="B118" s="3" t="s">
        <v>107</v>
      </c>
      <c r="C118" s="4">
        <v>-2113106.6</v>
      </c>
      <c r="D118" s="4">
        <v>-2113106.6</v>
      </c>
      <c r="E118" s="4">
        <v>0</v>
      </c>
      <c r="F118" s="3" t="s">
        <v>6</v>
      </c>
      <c r="G118" s="3" t="e">
        <f>VLOOKUP(B118,'Profit &amp; Loss'!$B$3:$C$390,2,0)</f>
        <v>#N/A</v>
      </c>
    </row>
    <row r="119" spans="1:7" x14ac:dyDescent="0.2">
      <c r="A119" s="3" t="s">
        <v>104</v>
      </c>
      <c r="B119" s="3" t="s">
        <v>108</v>
      </c>
      <c r="C119" s="4">
        <v>-560853.17000000004</v>
      </c>
      <c r="D119" s="4">
        <v>-553008.38</v>
      </c>
      <c r="E119" s="4">
        <v>-7844.79</v>
      </c>
      <c r="F119" s="3" t="s">
        <v>630</v>
      </c>
      <c r="G119" s="3" t="e">
        <f>VLOOKUP(B119,'Profit &amp; Loss'!$B$3:$C$390,2,0)</f>
        <v>#N/A</v>
      </c>
    </row>
    <row r="120" spans="1:7" x14ac:dyDescent="0.2">
      <c r="A120" s="3" t="s">
        <v>104</v>
      </c>
      <c r="B120" s="3" t="s">
        <v>109</v>
      </c>
      <c r="C120" s="4">
        <v>-80257.42</v>
      </c>
      <c r="D120" s="4">
        <v>-80257.42</v>
      </c>
      <c r="E120" s="4">
        <v>0</v>
      </c>
      <c r="F120" s="3" t="s">
        <v>6</v>
      </c>
      <c r="G120" s="3" t="e">
        <f>VLOOKUP(B120,'Profit &amp; Loss'!$B$3:$C$390,2,0)</f>
        <v>#N/A</v>
      </c>
    </row>
    <row r="121" spans="1:7" x14ac:dyDescent="0.2">
      <c r="A121" s="3" t="s">
        <v>104</v>
      </c>
      <c r="B121" s="3" t="s">
        <v>110</v>
      </c>
      <c r="C121" s="4">
        <v>11976.55</v>
      </c>
      <c r="D121" s="4">
        <v>11976.55</v>
      </c>
      <c r="E121" s="4">
        <v>0</v>
      </c>
      <c r="F121" s="3" t="s">
        <v>6</v>
      </c>
      <c r="G121" s="3" t="e">
        <f>VLOOKUP(B121,'Profit &amp; Loss'!$B$3:$C$390,2,0)</f>
        <v>#N/A</v>
      </c>
    </row>
    <row r="122" spans="1:7" x14ac:dyDescent="0.2">
      <c r="A122" s="3" t="s">
        <v>104</v>
      </c>
      <c r="B122" s="3" t="s">
        <v>2</v>
      </c>
      <c r="C122" s="4">
        <v>49618.2</v>
      </c>
      <c r="D122" s="4">
        <v>57462.99</v>
      </c>
      <c r="E122" s="4">
        <v>-7844.79</v>
      </c>
      <c r="F122" s="3" t="s">
        <v>875</v>
      </c>
      <c r="G122" s="3" t="e">
        <f>VLOOKUP(B122,'Profit &amp; Loss'!$B$3:$C$390,2,0)</f>
        <v>#N/A</v>
      </c>
    </row>
    <row r="123" spans="1:7" x14ac:dyDescent="0.2">
      <c r="A123" s="3" t="s">
        <v>112</v>
      </c>
      <c r="B123" s="3" t="s">
        <v>2</v>
      </c>
      <c r="C123" s="4">
        <v>49618.2</v>
      </c>
      <c r="D123" s="4">
        <v>57462.99</v>
      </c>
      <c r="E123" s="4">
        <v>-7844.79</v>
      </c>
      <c r="F123" s="3" t="s">
        <v>875</v>
      </c>
      <c r="G123" s="3" t="e">
        <f>VLOOKUP(B123,'Profit &amp; Loss'!$B$3:$C$390,2,0)</f>
        <v>#N/A</v>
      </c>
    </row>
    <row r="124" spans="1:7" x14ac:dyDescent="0.2">
      <c r="A124" s="3" t="s">
        <v>0</v>
      </c>
      <c r="B124" s="3" t="s">
        <v>113</v>
      </c>
      <c r="C124" s="4">
        <v>47039969.259999998</v>
      </c>
      <c r="D124" s="4">
        <v>44566168.850000001</v>
      </c>
      <c r="E124" s="4">
        <v>2473800.41</v>
      </c>
      <c r="F124" s="3" t="s">
        <v>706</v>
      </c>
      <c r="G124" s="3" t="e">
        <f>VLOOKUP(B124,'Profit &amp; Loss'!$B$3:$C$390,2,0)</f>
        <v>#N/A</v>
      </c>
    </row>
    <row r="125" spans="1:7" x14ac:dyDescent="0.2">
      <c r="A125" s="3" t="s">
        <v>0</v>
      </c>
      <c r="B125" s="5" t="s">
        <v>114</v>
      </c>
      <c r="C125" s="4">
        <v>0</v>
      </c>
      <c r="D125" s="4">
        <v>0</v>
      </c>
      <c r="E125" s="4">
        <v>0</v>
      </c>
      <c r="F125" s="3" t="s">
        <v>2</v>
      </c>
      <c r="G125" s="3" t="e">
        <f>VLOOKUP(B125,'Profit &amp; Loss'!$B$3:$C$390,2,0)</f>
        <v>#N/A</v>
      </c>
    </row>
    <row r="126" spans="1:7" x14ac:dyDescent="0.2">
      <c r="A126" s="3" t="s">
        <v>115</v>
      </c>
      <c r="B126" s="3" t="s">
        <v>116</v>
      </c>
      <c r="C126" s="4">
        <v>0</v>
      </c>
      <c r="D126" s="4">
        <v>0</v>
      </c>
      <c r="E126" s="4">
        <v>0</v>
      </c>
      <c r="F126" s="3" t="s">
        <v>2</v>
      </c>
      <c r="G126" s="3" t="e">
        <f>VLOOKUP(B126,'Profit &amp; Loss'!$B$3:$C$390,2,0)</f>
        <v>#N/A</v>
      </c>
    </row>
    <row r="127" spans="1:7" x14ac:dyDescent="0.2">
      <c r="A127" s="3" t="s">
        <v>115</v>
      </c>
      <c r="B127" s="5" t="s">
        <v>117</v>
      </c>
      <c r="C127" s="4">
        <v>0</v>
      </c>
      <c r="D127" s="4">
        <v>0</v>
      </c>
      <c r="E127" s="4">
        <v>0</v>
      </c>
      <c r="F127" s="3" t="s">
        <v>2</v>
      </c>
      <c r="G127" s="3" t="e">
        <f>VLOOKUP(B127,'Profit &amp; Loss'!$B$3:$C$390,2,0)</f>
        <v>#N/A</v>
      </c>
    </row>
    <row r="128" spans="1:7" x14ac:dyDescent="0.2">
      <c r="A128" s="3" t="s">
        <v>118</v>
      </c>
      <c r="B128" s="3" t="s">
        <v>119</v>
      </c>
      <c r="C128" s="4">
        <v>-80380.67</v>
      </c>
      <c r="D128" s="4">
        <v>-62903.3</v>
      </c>
      <c r="E128" s="4">
        <v>-17477.37</v>
      </c>
      <c r="F128" s="3" t="s">
        <v>1202</v>
      </c>
      <c r="G128" s="3" t="e">
        <f>VLOOKUP(B128,'Profit &amp; Loss'!$B$3:$C$390,2,0)</f>
        <v>#N/A</v>
      </c>
    </row>
    <row r="129" spans="1:7" x14ac:dyDescent="0.2">
      <c r="A129" s="3" t="s">
        <v>118</v>
      </c>
      <c r="B129" s="3" t="s">
        <v>120</v>
      </c>
      <c r="C129" s="4">
        <v>308.04000000000002</v>
      </c>
      <c r="D129" s="4">
        <v>-5.27</v>
      </c>
      <c r="E129" s="4">
        <v>313.31</v>
      </c>
      <c r="F129" s="3" t="s">
        <v>1340</v>
      </c>
      <c r="G129" s="3" t="e">
        <f>VLOOKUP(B129,'Profit &amp; Loss'!$B$3:$C$390,2,0)</f>
        <v>#N/A</v>
      </c>
    </row>
    <row r="130" spans="1:7" x14ac:dyDescent="0.2">
      <c r="A130" s="3" t="s">
        <v>118</v>
      </c>
      <c r="B130" s="3" t="s">
        <v>984</v>
      </c>
      <c r="C130" s="4">
        <v>-995</v>
      </c>
      <c r="D130" s="4">
        <v>-995</v>
      </c>
      <c r="E130" s="4">
        <v>0</v>
      </c>
      <c r="F130" s="3" t="s">
        <v>6</v>
      </c>
      <c r="G130" s="3" t="e">
        <f>VLOOKUP(B130,'Profit &amp; Loss'!$B$3:$C$390,2,0)</f>
        <v>#N/A</v>
      </c>
    </row>
    <row r="131" spans="1:7" x14ac:dyDescent="0.2">
      <c r="A131" s="3" t="s">
        <v>118</v>
      </c>
      <c r="B131" s="3" t="s">
        <v>2</v>
      </c>
      <c r="C131" s="4">
        <v>-81067.63</v>
      </c>
      <c r="D131" s="4">
        <v>-63903.57</v>
      </c>
      <c r="E131" s="4">
        <v>-17164.060000000001</v>
      </c>
      <c r="F131" s="3" t="s">
        <v>741</v>
      </c>
      <c r="G131" s="3" t="e">
        <f>VLOOKUP(B131,'Profit &amp; Loss'!$B$3:$C$390,2,0)</f>
        <v>#N/A</v>
      </c>
    </row>
    <row r="132" spans="1:7" x14ac:dyDescent="0.2">
      <c r="A132" s="3" t="s">
        <v>121</v>
      </c>
      <c r="B132" s="3" t="s">
        <v>2</v>
      </c>
      <c r="C132" s="4">
        <v>-81067.63</v>
      </c>
      <c r="D132" s="4">
        <v>-63903.57</v>
      </c>
      <c r="E132" s="4">
        <v>-17164.060000000001</v>
      </c>
      <c r="F132" s="3" t="s">
        <v>741</v>
      </c>
      <c r="G132" s="3" t="e">
        <f>VLOOKUP(B132,'Profit &amp; Loss'!$B$3:$C$390,2,0)</f>
        <v>#N/A</v>
      </c>
    </row>
    <row r="133" spans="1:7" x14ac:dyDescent="0.2">
      <c r="A133" s="3" t="s">
        <v>122</v>
      </c>
      <c r="B133" s="3" t="s">
        <v>123</v>
      </c>
      <c r="C133" s="4">
        <v>-277903.57</v>
      </c>
      <c r="D133" s="4">
        <v>-432528.62</v>
      </c>
      <c r="E133" s="4">
        <v>154625.04999999999</v>
      </c>
      <c r="F133" s="3" t="s">
        <v>1341</v>
      </c>
      <c r="G133" s="3" t="e">
        <f>VLOOKUP(B133,'Profit &amp; Loss'!$B$3:$C$390,2,0)</f>
        <v>#N/A</v>
      </c>
    </row>
    <row r="134" spans="1:7" x14ac:dyDescent="0.2">
      <c r="A134" s="3" t="s">
        <v>122</v>
      </c>
      <c r="B134" s="3" t="s">
        <v>124</v>
      </c>
      <c r="C134" s="4">
        <v>1203.46</v>
      </c>
      <c r="D134" s="4">
        <v>-213.11</v>
      </c>
      <c r="E134" s="4">
        <v>1416.57</v>
      </c>
      <c r="F134" s="3" t="s">
        <v>1342</v>
      </c>
      <c r="G134" s="3" t="e">
        <f>VLOOKUP(B134,'Profit &amp; Loss'!$B$3:$C$390,2,0)</f>
        <v>#N/A</v>
      </c>
    </row>
    <row r="135" spans="1:7" x14ac:dyDescent="0.2">
      <c r="A135" s="3" t="s">
        <v>122</v>
      </c>
      <c r="B135" s="3" t="s">
        <v>126</v>
      </c>
      <c r="C135" s="4">
        <v>2241806.39</v>
      </c>
      <c r="D135" s="4">
        <v>2939732.1</v>
      </c>
      <c r="E135" s="4">
        <v>-697925.71</v>
      </c>
      <c r="F135" s="3" t="s">
        <v>1167</v>
      </c>
      <c r="G135" s="3" t="e">
        <f>VLOOKUP(B135,'Profit &amp; Loss'!$B$3:$C$390,2,0)</f>
        <v>#N/A</v>
      </c>
    </row>
    <row r="136" spans="1:7" x14ac:dyDescent="0.2">
      <c r="A136" s="3" t="s">
        <v>122</v>
      </c>
      <c r="B136" s="3" t="s">
        <v>127</v>
      </c>
      <c r="C136" s="4">
        <v>6142.99</v>
      </c>
      <c r="D136" s="4">
        <v>3886.59</v>
      </c>
      <c r="E136" s="4">
        <v>2256.4</v>
      </c>
      <c r="F136" s="3" t="s">
        <v>1343</v>
      </c>
      <c r="G136" s="3" t="e">
        <f>VLOOKUP(B136,'Profit &amp; Loss'!$B$3:$C$390,2,0)</f>
        <v>#N/A</v>
      </c>
    </row>
    <row r="137" spans="1:7" x14ac:dyDescent="0.2">
      <c r="A137" s="3" t="s">
        <v>122</v>
      </c>
      <c r="B137" s="3" t="s">
        <v>128</v>
      </c>
      <c r="C137" s="4">
        <v>28321.17</v>
      </c>
      <c r="D137" s="4">
        <v>42389.56</v>
      </c>
      <c r="E137" s="4">
        <v>-14068.39</v>
      </c>
      <c r="F137" s="3" t="s">
        <v>640</v>
      </c>
      <c r="G137" s="3" t="e">
        <f>VLOOKUP(B137,'Profit &amp; Loss'!$B$3:$C$390,2,0)</f>
        <v>#N/A</v>
      </c>
    </row>
    <row r="138" spans="1:7" x14ac:dyDescent="0.2">
      <c r="A138" s="3" t="s">
        <v>122</v>
      </c>
      <c r="B138" s="3" t="s">
        <v>129</v>
      </c>
      <c r="C138" s="4">
        <v>-2241806.39</v>
      </c>
      <c r="D138" s="4">
        <v>-2939732.1</v>
      </c>
      <c r="E138" s="4">
        <v>697925.71</v>
      </c>
      <c r="F138" s="3" t="s">
        <v>961</v>
      </c>
      <c r="G138" s="3" t="e">
        <f>VLOOKUP(B138,'Profit &amp; Loss'!$B$3:$C$390,2,0)</f>
        <v>#N/A</v>
      </c>
    </row>
    <row r="139" spans="1:7" x14ac:dyDescent="0.2">
      <c r="A139" s="3" t="s">
        <v>122</v>
      </c>
      <c r="B139" s="3" t="s">
        <v>130</v>
      </c>
      <c r="C139" s="4">
        <v>-6142.99</v>
      </c>
      <c r="D139" s="4">
        <v>-3886.59</v>
      </c>
      <c r="E139" s="4">
        <v>-2256.4</v>
      </c>
      <c r="F139" s="3" t="s">
        <v>813</v>
      </c>
      <c r="G139" s="3" t="e">
        <f>VLOOKUP(B139,'Profit &amp; Loss'!$B$3:$C$390,2,0)</f>
        <v>#N/A</v>
      </c>
    </row>
    <row r="140" spans="1:7" x14ac:dyDescent="0.2">
      <c r="A140" s="3" t="s">
        <v>122</v>
      </c>
      <c r="B140" s="3" t="s">
        <v>131</v>
      </c>
      <c r="C140" s="4">
        <v>-28321.17</v>
      </c>
      <c r="D140" s="4">
        <v>-42389.56</v>
      </c>
      <c r="E140" s="4">
        <v>14068.39</v>
      </c>
      <c r="F140" s="3" t="s">
        <v>619</v>
      </c>
      <c r="G140" s="3" t="e">
        <f>VLOOKUP(B140,'Profit &amp; Loss'!$B$3:$C$390,2,0)</f>
        <v>#N/A</v>
      </c>
    </row>
    <row r="141" spans="1:7" x14ac:dyDescent="0.2">
      <c r="A141" s="3" t="s">
        <v>122</v>
      </c>
      <c r="B141" s="3" t="s">
        <v>132</v>
      </c>
      <c r="C141" s="4">
        <v>-20835.54</v>
      </c>
      <c r="D141" s="4">
        <v>-46244.92</v>
      </c>
      <c r="E141" s="4">
        <v>25409.38</v>
      </c>
      <c r="F141" s="3" t="s">
        <v>1039</v>
      </c>
      <c r="G141" s="3" t="e">
        <f>VLOOKUP(B141,'Profit &amp; Loss'!$B$3:$C$390,2,0)</f>
        <v>#N/A</v>
      </c>
    </row>
    <row r="142" spans="1:7" x14ac:dyDescent="0.2">
      <c r="A142" s="3" t="s">
        <v>122</v>
      </c>
      <c r="B142" s="3" t="s">
        <v>133</v>
      </c>
      <c r="C142" s="4">
        <v>20835.54</v>
      </c>
      <c r="D142" s="4">
        <v>46244.92</v>
      </c>
      <c r="E142" s="4">
        <v>-25409.38</v>
      </c>
      <c r="F142" s="3" t="s">
        <v>1052</v>
      </c>
      <c r="G142" s="3" t="e">
        <f>VLOOKUP(B142,'Profit &amp; Loss'!$B$3:$C$390,2,0)</f>
        <v>#N/A</v>
      </c>
    </row>
    <row r="143" spans="1:7" x14ac:dyDescent="0.2">
      <c r="A143" s="3" t="s">
        <v>122</v>
      </c>
      <c r="B143" s="3" t="s">
        <v>134</v>
      </c>
      <c r="C143" s="4">
        <v>-3986.89</v>
      </c>
      <c r="D143" s="4">
        <v>-3979.65</v>
      </c>
      <c r="E143" s="4">
        <v>-7.24</v>
      </c>
      <c r="F143" s="3" t="s">
        <v>498</v>
      </c>
      <c r="G143" s="3" t="e">
        <f>VLOOKUP(B143,'Profit &amp; Loss'!$B$3:$C$390,2,0)</f>
        <v>#N/A</v>
      </c>
    </row>
    <row r="144" spans="1:7" x14ac:dyDescent="0.2">
      <c r="A144" s="3" t="s">
        <v>122</v>
      </c>
      <c r="B144" s="3" t="s">
        <v>135</v>
      </c>
      <c r="C144" s="4">
        <v>3986.89</v>
      </c>
      <c r="D144" s="4">
        <v>3979.65</v>
      </c>
      <c r="E144" s="4">
        <v>7.24</v>
      </c>
      <c r="F144" s="3" t="s">
        <v>488</v>
      </c>
      <c r="G144" s="3" t="e">
        <f>VLOOKUP(B144,'Profit &amp; Loss'!$B$3:$C$390,2,0)</f>
        <v>#N/A</v>
      </c>
    </row>
    <row r="145" spans="1:7" x14ac:dyDescent="0.2">
      <c r="A145" s="3" t="s">
        <v>122</v>
      </c>
      <c r="B145" s="3" t="s">
        <v>136</v>
      </c>
      <c r="C145" s="4">
        <v>-26090.1</v>
      </c>
      <c r="D145" s="4">
        <v>-17940.939999999999</v>
      </c>
      <c r="E145" s="4">
        <v>-8149.16</v>
      </c>
      <c r="F145" s="3" t="s">
        <v>799</v>
      </c>
      <c r="G145" s="3" t="e">
        <f>VLOOKUP(B145,'Profit &amp; Loss'!$B$3:$C$390,2,0)</f>
        <v>#N/A</v>
      </c>
    </row>
    <row r="146" spans="1:7" x14ac:dyDescent="0.2">
      <c r="A146" s="3" t="s">
        <v>122</v>
      </c>
      <c r="B146" s="3" t="s">
        <v>137</v>
      </c>
      <c r="C146" s="4">
        <v>26090.1</v>
      </c>
      <c r="D146" s="4">
        <v>17940.939999999999</v>
      </c>
      <c r="E146" s="4">
        <v>8149.16</v>
      </c>
      <c r="F146" s="3" t="s">
        <v>476</v>
      </c>
      <c r="G146" s="3" t="e">
        <f>VLOOKUP(B146,'Profit &amp; Loss'!$B$3:$C$390,2,0)</f>
        <v>#N/A</v>
      </c>
    </row>
    <row r="147" spans="1:7" x14ac:dyDescent="0.2">
      <c r="A147" s="3" t="s">
        <v>122</v>
      </c>
      <c r="B147" s="3" t="s">
        <v>138</v>
      </c>
      <c r="C147" s="4">
        <v>-7006.11</v>
      </c>
      <c r="D147" s="4">
        <v>-1561.22</v>
      </c>
      <c r="E147" s="4">
        <v>-5444.89</v>
      </c>
      <c r="F147" s="3" t="s">
        <v>1344</v>
      </c>
      <c r="G147" s="3" t="e">
        <f>VLOOKUP(B147,'Profit &amp; Loss'!$B$3:$C$390,2,0)</f>
        <v>#N/A</v>
      </c>
    </row>
    <row r="148" spans="1:7" x14ac:dyDescent="0.2">
      <c r="A148" s="3" t="s">
        <v>122</v>
      </c>
      <c r="B148" s="3" t="s">
        <v>139</v>
      </c>
      <c r="C148" s="4">
        <v>7006.11</v>
      </c>
      <c r="D148" s="4">
        <v>1561.22</v>
      </c>
      <c r="E148" s="4">
        <v>5444.89</v>
      </c>
      <c r="F148" s="3" t="s">
        <v>1345</v>
      </c>
      <c r="G148" s="3" t="e">
        <f>VLOOKUP(B148,'Profit &amp; Loss'!$B$3:$C$390,2,0)</f>
        <v>#N/A</v>
      </c>
    </row>
    <row r="149" spans="1:7" x14ac:dyDescent="0.2">
      <c r="A149" s="3" t="s">
        <v>122</v>
      </c>
      <c r="B149" s="3" t="s">
        <v>985</v>
      </c>
      <c r="C149" s="4">
        <v>-655.82</v>
      </c>
      <c r="D149" s="4">
        <v>-2043.18</v>
      </c>
      <c r="E149" s="4">
        <v>1387.36</v>
      </c>
      <c r="F149" s="3" t="s">
        <v>1346</v>
      </c>
      <c r="G149" s="3" t="e">
        <f>VLOOKUP(B149,'Profit &amp; Loss'!$B$3:$C$390,2,0)</f>
        <v>#N/A</v>
      </c>
    </row>
    <row r="150" spans="1:7" x14ac:dyDescent="0.2">
      <c r="A150" s="3" t="s">
        <v>122</v>
      </c>
      <c r="B150" s="3" t="s">
        <v>986</v>
      </c>
      <c r="C150" s="4">
        <v>655.82</v>
      </c>
      <c r="D150" s="4">
        <v>2043.18</v>
      </c>
      <c r="E150" s="4">
        <v>-1387.36</v>
      </c>
      <c r="F150" s="3" t="s">
        <v>1347</v>
      </c>
      <c r="G150" s="3" t="e">
        <f>VLOOKUP(B150,'Profit &amp; Loss'!$B$3:$C$390,2,0)</f>
        <v>#N/A</v>
      </c>
    </row>
    <row r="151" spans="1:7" x14ac:dyDescent="0.2">
      <c r="A151" s="3" t="s">
        <v>122</v>
      </c>
      <c r="B151" s="3" t="s">
        <v>140</v>
      </c>
      <c r="C151" s="4">
        <v>-153156.34</v>
      </c>
      <c r="D151" s="4">
        <v>-95178.6</v>
      </c>
      <c r="E151" s="4">
        <v>-57977.74</v>
      </c>
      <c r="F151" s="3" t="s">
        <v>895</v>
      </c>
      <c r="G151" s="3" t="e">
        <f>VLOOKUP(B151,'Profit &amp; Loss'!$B$3:$C$390,2,0)</f>
        <v>#N/A</v>
      </c>
    </row>
    <row r="152" spans="1:7" x14ac:dyDescent="0.2">
      <c r="A152" s="3" t="s">
        <v>122</v>
      </c>
      <c r="B152" s="3" t="s">
        <v>141</v>
      </c>
      <c r="C152" s="4">
        <v>153156.34</v>
      </c>
      <c r="D152" s="4">
        <v>95178.6</v>
      </c>
      <c r="E152" s="4">
        <v>57977.74</v>
      </c>
      <c r="F152" s="3" t="s">
        <v>681</v>
      </c>
      <c r="G152" s="3" t="e">
        <f>VLOOKUP(B152,'Profit &amp; Loss'!$B$3:$C$390,2,0)</f>
        <v>#N/A</v>
      </c>
    </row>
    <row r="153" spans="1:7" x14ac:dyDescent="0.2">
      <c r="A153" s="3" t="s">
        <v>122</v>
      </c>
      <c r="B153" s="3" t="s">
        <v>142</v>
      </c>
      <c r="C153" s="4">
        <v>-95140.25</v>
      </c>
      <c r="D153" s="4">
        <v>-60400.65</v>
      </c>
      <c r="E153" s="4">
        <v>-34739.599999999999</v>
      </c>
      <c r="F153" s="3" t="s">
        <v>1348</v>
      </c>
      <c r="G153" s="3" t="e">
        <f>VLOOKUP(B153,'Profit &amp; Loss'!$B$3:$C$390,2,0)</f>
        <v>#N/A</v>
      </c>
    </row>
    <row r="154" spans="1:7" x14ac:dyDescent="0.2">
      <c r="A154" s="3" t="s">
        <v>122</v>
      </c>
      <c r="B154" s="3" t="s">
        <v>143</v>
      </c>
      <c r="C154" s="4">
        <v>94366.34</v>
      </c>
      <c r="D154" s="4">
        <v>59566.16</v>
      </c>
      <c r="E154" s="4">
        <v>34800.18</v>
      </c>
      <c r="F154" s="3" t="s">
        <v>797</v>
      </c>
      <c r="G154" s="3" t="e">
        <f>VLOOKUP(B154,'Profit &amp; Loss'!$B$3:$C$390,2,0)</f>
        <v>#N/A</v>
      </c>
    </row>
    <row r="155" spans="1:7" x14ac:dyDescent="0.2">
      <c r="A155" s="3" t="s">
        <v>122</v>
      </c>
      <c r="B155" s="3" t="s">
        <v>144</v>
      </c>
      <c r="C155" s="4">
        <v>176731.45</v>
      </c>
      <c r="D155" s="4">
        <v>176731.45</v>
      </c>
      <c r="E155" s="4">
        <v>0</v>
      </c>
      <c r="F155" s="3" t="s">
        <v>6</v>
      </c>
      <c r="G155" s="3" t="e">
        <f>VLOOKUP(B155,'Profit &amp; Loss'!$B$3:$C$390,2,0)</f>
        <v>#N/A</v>
      </c>
    </row>
    <row r="156" spans="1:7" x14ac:dyDescent="0.2">
      <c r="A156" s="3" t="s">
        <v>122</v>
      </c>
      <c r="B156" s="3" t="s">
        <v>145</v>
      </c>
      <c r="C156" s="4">
        <v>-0.48</v>
      </c>
      <c r="D156" s="4">
        <v>-0.48</v>
      </c>
      <c r="E156" s="4">
        <v>0</v>
      </c>
      <c r="F156" s="3" t="s">
        <v>6</v>
      </c>
      <c r="G156" s="3" t="e">
        <f>VLOOKUP(B156,'Profit &amp; Loss'!$B$3:$C$390,2,0)</f>
        <v>#N/A</v>
      </c>
    </row>
    <row r="157" spans="1:7" x14ac:dyDescent="0.2">
      <c r="A157" s="3" t="s">
        <v>122</v>
      </c>
      <c r="B157" s="3" t="s">
        <v>146</v>
      </c>
      <c r="C157" s="4">
        <v>0.48</v>
      </c>
      <c r="D157" s="4">
        <v>0.48</v>
      </c>
      <c r="E157" s="4">
        <v>0</v>
      </c>
      <c r="F157" s="3" t="s">
        <v>6</v>
      </c>
      <c r="G157" s="3" t="e">
        <f>VLOOKUP(B157,'Profit &amp; Loss'!$B$3:$C$390,2,0)</f>
        <v>#N/A</v>
      </c>
    </row>
    <row r="158" spans="1:7" x14ac:dyDescent="0.2">
      <c r="A158" s="3" t="s">
        <v>122</v>
      </c>
      <c r="B158" s="3" t="s">
        <v>147</v>
      </c>
      <c r="C158" s="4">
        <v>-2514040.3199999998</v>
      </c>
      <c r="D158" s="4">
        <v>-2527376.35</v>
      </c>
      <c r="E158" s="4">
        <v>13336.03</v>
      </c>
      <c r="F158" s="3" t="s">
        <v>497</v>
      </c>
      <c r="G158" s="3" t="e">
        <f>VLOOKUP(B158,'Profit &amp; Loss'!$B$3:$C$390,2,0)</f>
        <v>#N/A</v>
      </c>
    </row>
    <row r="159" spans="1:7" x14ac:dyDescent="0.2">
      <c r="A159" s="3" t="s">
        <v>122</v>
      </c>
      <c r="B159" s="3" t="s">
        <v>2</v>
      </c>
      <c r="C159" s="4">
        <v>-2614782.89</v>
      </c>
      <c r="D159" s="4">
        <v>-2784221.12</v>
      </c>
      <c r="E159" s="4">
        <v>169438.23</v>
      </c>
      <c r="F159" s="3" t="s">
        <v>702</v>
      </c>
      <c r="G159" s="3" t="e">
        <f>VLOOKUP(B159,'Profit &amp; Loss'!$B$3:$C$390,2,0)</f>
        <v>#N/A</v>
      </c>
    </row>
    <row r="160" spans="1:7" x14ac:dyDescent="0.2">
      <c r="A160" s="3" t="s">
        <v>148</v>
      </c>
      <c r="B160" s="3" t="s">
        <v>2</v>
      </c>
      <c r="C160" s="4">
        <v>-2614782.89</v>
      </c>
      <c r="D160" s="4">
        <v>-2784221.12</v>
      </c>
      <c r="E160" s="4">
        <v>169438.23</v>
      </c>
      <c r="F160" s="3" t="s">
        <v>702</v>
      </c>
      <c r="G160" s="3" t="e">
        <f>VLOOKUP(B160,'Profit &amp; Loss'!$B$3:$C$390,2,0)</f>
        <v>#N/A</v>
      </c>
    </row>
    <row r="161" spans="1:7" x14ac:dyDescent="0.2">
      <c r="A161" s="3" t="s">
        <v>149</v>
      </c>
      <c r="B161" s="3" t="s">
        <v>150</v>
      </c>
      <c r="C161" s="4">
        <v>108.76</v>
      </c>
      <c r="D161" s="4">
        <v>108.76</v>
      </c>
      <c r="E161" s="4">
        <v>0</v>
      </c>
      <c r="F161" s="3" t="s">
        <v>6</v>
      </c>
      <c r="G161" s="3" t="e">
        <f>VLOOKUP(B161,'Profit &amp; Loss'!$B$3:$C$390,2,0)</f>
        <v>#N/A</v>
      </c>
    </row>
    <row r="162" spans="1:7" x14ac:dyDescent="0.2">
      <c r="A162" s="3" t="s">
        <v>149</v>
      </c>
      <c r="B162" s="3" t="s">
        <v>151</v>
      </c>
      <c r="C162" s="4">
        <v>-144.38</v>
      </c>
      <c r="D162" s="4">
        <v>-627.17999999999995</v>
      </c>
      <c r="E162" s="4">
        <v>482.8</v>
      </c>
      <c r="F162" s="3" t="s">
        <v>1349</v>
      </c>
      <c r="G162" s="3" t="e">
        <f>VLOOKUP(B162,'Profit &amp; Loss'!$B$3:$C$390,2,0)</f>
        <v>#N/A</v>
      </c>
    </row>
    <row r="163" spans="1:7" x14ac:dyDescent="0.2">
      <c r="A163" s="3" t="s">
        <v>149</v>
      </c>
      <c r="B163" s="3" t="s">
        <v>152</v>
      </c>
      <c r="C163" s="4">
        <v>4855.91</v>
      </c>
      <c r="D163" s="4">
        <v>4855.91</v>
      </c>
      <c r="E163" s="4">
        <v>0</v>
      </c>
      <c r="F163" s="3" t="s">
        <v>6</v>
      </c>
      <c r="G163" s="3" t="e">
        <f>VLOOKUP(B163,'Profit &amp; Loss'!$B$3:$C$390,2,0)</f>
        <v>#N/A</v>
      </c>
    </row>
    <row r="164" spans="1:7" x14ac:dyDescent="0.2">
      <c r="A164" s="3" t="s">
        <v>149</v>
      </c>
      <c r="B164" s="3" t="s">
        <v>153</v>
      </c>
      <c r="C164" s="4">
        <v>-248.8</v>
      </c>
      <c r="D164" s="4">
        <v>-248.8</v>
      </c>
      <c r="E164" s="4">
        <v>0</v>
      </c>
      <c r="F164" s="3" t="s">
        <v>6</v>
      </c>
      <c r="G164" s="3" t="e">
        <f>VLOOKUP(B164,'Profit &amp; Loss'!$B$3:$C$390,2,0)</f>
        <v>#N/A</v>
      </c>
    </row>
    <row r="165" spans="1:7" x14ac:dyDescent="0.2">
      <c r="A165" s="3" t="s">
        <v>149</v>
      </c>
      <c r="B165" s="3" t="s">
        <v>154</v>
      </c>
      <c r="C165" s="4">
        <v>-2784.16</v>
      </c>
      <c r="D165" s="4">
        <v>-2212.33</v>
      </c>
      <c r="E165" s="4">
        <v>-571.83000000000004</v>
      </c>
      <c r="F165" s="3" t="s">
        <v>1350</v>
      </c>
      <c r="G165" s="3" t="e">
        <f>VLOOKUP(B165,'Profit &amp; Loss'!$B$3:$C$390,2,0)</f>
        <v>#N/A</v>
      </c>
    </row>
    <row r="166" spans="1:7" x14ac:dyDescent="0.2">
      <c r="A166" s="3" t="s">
        <v>149</v>
      </c>
      <c r="B166" s="3" t="s">
        <v>2</v>
      </c>
      <c r="C166" s="4">
        <v>1787.33</v>
      </c>
      <c r="D166" s="4">
        <v>1876.36</v>
      </c>
      <c r="E166" s="4">
        <v>-89.03</v>
      </c>
      <c r="F166" s="3" t="s">
        <v>469</v>
      </c>
      <c r="G166" s="3" t="e">
        <f>VLOOKUP(B166,'Profit &amp; Loss'!$B$3:$C$390,2,0)</f>
        <v>#N/A</v>
      </c>
    </row>
    <row r="167" spans="1:7" x14ac:dyDescent="0.2">
      <c r="A167" s="3" t="s">
        <v>155</v>
      </c>
      <c r="B167" s="3" t="s">
        <v>2</v>
      </c>
      <c r="C167" s="4">
        <v>1787.33</v>
      </c>
      <c r="D167" s="4">
        <v>1876.36</v>
      </c>
      <c r="E167" s="4">
        <v>-89.03</v>
      </c>
      <c r="F167" s="3" t="s">
        <v>469</v>
      </c>
      <c r="G167" s="3" t="e">
        <f>VLOOKUP(B167,'Profit &amp; Loss'!$B$3:$C$390,2,0)</f>
        <v>#N/A</v>
      </c>
    </row>
    <row r="168" spans="1:7" x14ac:dyDescent="0.2">
      <c r="A168" s="3" t="s">
        <v>156</v>
      </c>
      <c r="B168" s="3" t="s">
        <v>157</v>
      </c>
      <c r="C168" s="4">
        <v>-1534.99</v>
      </c>
      <c r="D168" s="4">
        <v>-1534.99</v>
      </c>
      <c r="E168" s="4">
        <v>0</v>
      </c>
      <c r="F168" s="3" t="s">
        <v>6</v>
      </c>
      <c r="G168" s="3" t="e">
        <f>VLOOKUP(B168,'Profit &amp; Loss'!$B$3:$C$390,2,0)</f>
        <v>#N/A</v>
      </c>
    </row>
    <row r="169" spans="1:7" x14ac:dyDescent="0.2">
      <c r="A169" s="3" t="s">
        <v>156</v>
      </c>
      <c r="B169" s="3" t="s">
        <v>158</v>
      </c>
      <c r="C169" s="4">
        <v>1168.55</v>
      </c>
      <c r="D169" s="4">
        <v>1168.55</v>
      </c>
      <c r="E169" s="4">
        <v>0</v>
      </c>
      <c r="F169" s="3" t="s">
        <v>6</v>
      </c>
      <c r="G169" s="3" t="e">
        <f>VLOOKUP(B169,'Profit &amp; Loss'!$B$3:$C$390,2,0)</f>
        <v>#N/A</v>
      </c>
    </row>
    <row r="170" spans="1:7" x14ac:dyDescent="0.2">
      <c r="A170" s="3" t="s">
        <v>156</v>
      </c>
      <c r="B170" s="3" t="s">
        <v>160</v>
      </c>
      <c r="C170" s="4">
        <v>-556.95000000000005</v>
      </c>
      <c r="D170" s="4">
        <v>-556.95000000000005</v>
      </c>
      <c r="E170" s="4">
        <v>0</v>
      </c>
      <c r="F170" s="3" t="s">
        <v>6</v>
      </c>
      <c r="G170" s="3" t="e">
        <f>VLOOKUP(B170,'Profit &amp; Loss'!$B$3:$C$390,2,0)</f>
        <v>#N/A</v>
      </c>
    </row>
    <row r="171" spans="1:7" x14ac:dyDescent="0.2">
      <c r="A171" s="3" t="s">
        <v>156</v>
      </c>
      <c r="B171" s="3" t="s">
        <v>161</v>
      </c>
      <c r="C171" s="4">
        <v>-2751.55</v>
      </c>
      <c r="D171" s="4">
        <v>-4660.32</v>
      </c>
      <c r="E171" s="4">
        <v>1908.77</v>
      </c>
      <c r="F171" s="3" t="s">
        <v>942</v>
      </c>
      <c r="G171" s="3" t="e">
        <f>VLOOKUP(B171,'Profit &amp; Loss'!$B$3:$C$390,2,0)</f>
        <v>#N/A</v>
      </c>
    </row>
    <row r="172" spans="1:7" x14ac:dyDescent="0.2">
      <c r="A172" s="3" t="s">
        <v>156</v>
      </c>
      <c r="B172" s="3" t="s">
        <v>2</v>
      </c>
      <c r="C172" s="4">
        <v>-3674.94</v>
      </c>
      <c r="D172" s="4">
        <v>-5583.71</v>
      </c>
      <c r="E172" s="4">
        <v>1908.77</v>
      </c>
      <c r="F172" s="3" t="s">
        <v>774</v>
      </c>
      <c r="G172" s="3" t="e">
        <f>VLOOKUP(B172,'Profit &amp; Loss'!$B$3:$C$390,2,0)</f>
        <v>#N/A</v>
      </c>
    </row>
    <row r="173" spans="1:7" x14ac:dyDescent="0.2">
      <c r="A173" s="3" t="s">
        <v>162</v>
      </c>
      <c r="B173" s="3" t="s">
        <v>163</v>
      </c>
      <c r="C173" s="4">
        <v>-68234.289999999994</v>
      </c>
      <c r="D173" s="4">
        <v>-68234.289999999994</v>
      </c>
      <c r="E173" s="4">
        <v>0</v>
      </c>
      <c r="F173" s="3" t="s">
        <v>6</v>
      </c>
      <c r="G173" s="3" t="e">
        <f>VLOOKUP(B173,'Profit &amp; Loss'!$B$3:$C$390,2,0)</f>
        <v>#N/A</v>
      </c>
    </row>
    <row r="174" spans="1:7" x14ac:dyDescent="0.2">
      <c r="A174" s="3" t="s">
        <v>162</v>
      </c>
      <c r="B174" s="3" t="s">
        <v>164</v>
      </c>
      <c r="C174" s="4">
        <v>-324829</v>
      </c>
      <c r="D174" s="4">
        <v>-326262.76</v>
      </c>
      <c r="E174" s="4">
        <v>1433.76</v>
      </c>
      <c r="F174" s="3" t="s">
        <v>576</v>
      </c>
      <c r="G174" s="3" t="e">
        <f>VLOOKUP(B174,'Profit &amp; Loss'!$B$3:$C$390,2,0)</f>
        <v>#N/A</v>
      </c>
    </row>
    <row r="175" spans="1:7" x14ac:dyDescent="0.2">
      <c r="A175" s="3" t="s">
        <v>162</v>
      </c>
      <c r="B175" s="3" t="s">
        <v>165</v>
      </c>
      <c r="C175" s="4">
        <v>-257590.38</v>
      </c>
      <c r="D175" s="4">
        <v>-252471.49</v>
      </c>
      <c r="E175" s="4">
        <v>-5118.8900000000003</v>
      </c>
      <c r="F175" s="3" t="s">
        <v>805</v>
      </c>
      <c r="G175" s="3" t="e">
        <f>VLOOKUP(B175,'Profit &amp; Loss'!$B$3:$C$390,2,0)</f>
        <v>#N/A</v>
      </c>
    </row>
    <row r="176" spans="1:7" x14ac:dyDescent="0.2">
      <c r="A176" s="3" t="s">
        <v>162</v>
      </c>
      <c r="B176" s="3" t="s">
        <v>166</v>
      </c>
      <c r="C176" s="4">
        <v>20937.599999999999</v>
      </c>
      <c r="D176" s="4">
        <v>-83008.56</v>
      </c>
      <c r="E176" s="4">
        <v>103946.16</v>
      </c>
      <c r="F176" s="3" t="s">
        <v>1351</v>
      </c>
      <c r="G176" s="3" t="e">
        <f>VLOOKUP(B176,'Profit &amp; Loss'!$B$3:$C$390,2,0)</f>
        <v>#N/A</v>
      </c>
    </row>
    <row r="177" spans="1:7" x14ac:dyDescent="0.2">
      <c r="A177" s="3" t="s">
        <v>162</v>
      </c>
      <c r="B177" s="3" t="s">
        <v>167</v>
      </c>
      <c r="C177" s="4">
        <v>-510581.36</v>
      </c>
      <c r="D177" s="4">
        <v>-599006.63</v>
      </c>
      <c r="E177" s="4">
        <v>88425.27</v>
      </c>
      <c r="F177" s="3" t="s">
        <v>1038</v>
      </c>
      <c r="G177" s="3" t="e">
        <f>VLOOKUP(B177,'Profit &amp; Loss'!$B$3:$C$390,2,0)</f>
        <v>#N/A</v>
      </c>
    </row>
    <row r="178" spans="1:7" x14ac:dyDescent="0.2">
      <c r="A178" s="3" t="s">
        <v>162</v>
      </c>
      <c r="B178" s="3" t="s">
        <v>168</v>
      </c>
      <c r="C178" s="4">
        <v>-53652.59</v>
      </c>
      <c r="D178" s="4">
        <v>-53905.599999999999</v>
      </c>
      <c r="E178" s="4">
        <v>253.01</v>
      </c>
      <c r="F178" s="3" t="s">
        <v>497</v>
      </c>
      <c r="G178" s="3" t="e">
        <f>VLOOKUP(B178,'Profit &amp; Loss'!$B$3:$C$390,2,0)</f>
        <v>#N/A</v>
      </c>
    </row>
    <row r="179" spans="1:7" x14ac:dyDescent="0.2">
      <c r="A179" s="3" t="s">
        <v>162</v>
      </c>
      <c r="B179" s="3" t="s">
        <v>169</v>
      </c>
      <c r="C179" s="4">
        <v>-693.59</v>
      </c>
      <c r="D179" s="4">
        <v>-465.19</v>
      </c>
      <c r="E179" s="4">
        <v>-228.4</v>
      </c>
      <c r="F179" s="3" t="s">
        <v>1352</v>
      </c>
      <c r="G179" s="3" t="e">
        <f>VLOOKUP(B179,'Profit &amp; Loss'!$B$3:$C$390,2,0)</f>
        <v>#N/A</v>
      </c>
    </row>
    <row r="180" spans="1:7" x14ac:dyDescent="0.2">
      <c r="A180" s="3" t="s">
        <v>162</v>
      </c>
      <c r="B180" s="3" t="s">
        <v>170</v>
      </c>
      <c r="C180" s="4">
        <v>-307519.18</v>
      </c>
      <c r="D180" s="4">
        <v>-308884.90000000002</v>
      </c>
      <c r="E180" s="4">
        <v>1365.72</v>
      </c>
      <c r="F180" s="3" t="s">
        <v>576</v>
      </c>
      <c r="G180" s="3" t="e">
        <f>VLOOKUP(B180,'Profit &amp; Loss'!$B$3:$C$390,2,0)</f>
        <v>#N/A</v>
      </c>
    </row>
    <row r="181" spans="1:7" x14ac:dyDescent="0.2">
      <c r="A181" s="3" t="s">
        <v>162</v>
      </c>
      <c r="B181" s="3" t="s">
        <v>171</v>
      </c>
      <c r="C181" s="4">
        <v>-258090.07</v>
      </c>
      <c r="D181" s="4">
        <v>-259231.71</v>
      </c>
      <c r="E181" s="4">
        <v>1141.6400000000001</v>
      </c>
      <c r="F181" s="3" t="s">
        <v>576</v>
      </c>
      <c r="G181" s="3" t="e">
        <f>VLOOKUP(B181,'Profit &amp; Loss'!$B$3:$C$390,2,0)</f>
        <v>#N/A</v>
      </c>
    </row>
    <row r="182" spans="1:7" x14ac:dyDescent="0.2">
      <c r="A182" s="3" t="s">
        <v>162</v>
      </c>
      <c r="B182" s="3" t="s">
        <v>2</v>
      </c>
      <c r="C182" s="4">
        <v>-1760252.86</v>
      </c>
      <c r="D182" s="4">
        <v>-1951471.13</v>
      </c>
      <c r="E182" s="4">
        <v>191218.27</v>
      </c>
      <c r="F182" s="3" t="s">
        <v>1353</v>
      </c>
      <c r="G182" s="3" t="e">
        <f>VLOOKUP(B182,'Profit &amp; Loss'!$B$3:$C$390,2,0)</f>
        <v>#N/A</v>
      </c>
    </row>
    <row r="183" spans="1:7" x14ac:dyDescent="0.2">
      <c r="A183" s="3" t="s">
        <v>172</v>
      </c>
      <c r="B183" s="3" t="s">
        <v>173</v>
      </c>
      <c r="C183" s="4">
        <v>-447.79</v>
      </c>
      <c r="D183" s="4">
        <v>-286.08</v>
      </c>
      <c r="E183" s="4">
        <v>-161.71</v>
      </c>
      <c r="F183" s="3" t="s">
        <v>812</v>
      </c>
      <c r="G183" s="3" t="e">
        <f>VLOOKUP(B183,'Profit &amp; Loss'!$B$3:$C$390,2,0)</f>
        <v>#N/A</v>
      </c>
    </row>
    <row r="184" spans="1:7" x14ac:dyDescent="0.2">
      <c r="A184" s="3" t="s">
        <v>172</v>
      </c>
      <c r="B184" s="3" t="s">
        <v>2</v>
      </c>
      <c r="C184" s="4">
        <v>-447.79</v>
      </c>
      <c r="D184" s="4">
        <v>-286.08</v>
      </c>
      <c r="E184" s="4">
        <v>-161.71</v>
      </c>
      <c r="F184" s="3" t="s">
        <v>812</v>
      </c>
      <c r="G184" s="3" t="e">
        <f>VLOOKUP(B184,'Profit &amp; Loss'!$B$3:$C$390,2,0)</f>
        <v>#N/A</v>
      </c>
    </row>
    <row r="185" spans="1:7" x14ac:dyDescent="0.2">
      <c r="A185" s="3" t="s">
        <v>174</v>
      </c>
      <c r="B185" s="3" t="s">
        <v>175</v>
      </c>
      <c r="C185" s="4">
        <v>2412.86</v>
      </c>
      <c r="D185" s="4">
        <v>2158.42</v>
      </c>
      <c r="E185" s="4">
        <v>254.44</v>
      </c>
      <c r="F185" s="3" t="s">
        <v>1338</v>
      </c>
      <c r="G185" s="3" t="e">
        <f>VLOOKUP(B185,'Profit &amp; Loss'!$B$3:$C$390,2,0)</f>
        <v>#N/A</v>
      </c>
    </row>
    <row r="186" spans="1:7" x14ac:dyDescent="0.2">
      <c r="A186" s="3" t="s">
        <v>174</v>
      </c>
      <c r="B186" s="3" t="s">
        <v>176</v>
      </c>
      <c r="C186" s="4">
        <v>-642932.11</v>
      </c>
      <c r="D186" s="4">
        <v>-637846.86</v>
      </c>
      <c r="E186" s="4">
        <v>-5085.25</v>
      </c>
      <c r="F186" s="3" t="s">
        <v>615</v>
      </c>
      <c r="G186" s="3" t="e">
        <f>VLOOKUP(B186,'Profit &amp; Loss'!$B$3:$C$390,2,0)</f>
        <v>#N/A</v>
      </c>
    </row>
    <row r="187" spans="1:7" x14ac:dyDescent="0.2">
      <c r="A187" s="3" t="s">
        <v>174</v>
      </c>
      <c r="B187" s="3" t="s">
        <v>177</v>
      </c>
      <c r="C187" s="4">
        <v>-59154.82</v>
      </c>
      <c r="D187" s="4">
        <v>-60269.51</v>
      </c>
      <c r="E187" s="4">
        <v>1114.69</v>
      </c>
      <c r="F187" s="3" t="s">
        <v>520</v>
      </c>
      <c r="G187" s="3" t="e">
        <f>VLOOKUP(B187,'Profit &amp; Loss'!$B$3:$C$390,2,0)</f>
        <v>#N/A</v>
      </c>
    </row>
    <row r="188" spans="1:7" x14ac:dyDescent="0.2">
      <c r="A188" s="3" t="s">
        <v>174</v>
      </c>
      <c r="B188" s="3" t="s">
        <v>2</v>
      </c>
      <c r="C188" s="4">
        <v>-699674.07</v>
      </c>
      <c r="D188" s="4">
        <v>-695957.95</v>
      </c>
      <c r="E188" s="4">
        <v>-3716.12</v>
      </c>
      <c r="F188" s="3" t="s">
        <v>887</v>
      </c>
      <c r="G188" s="3" t="e">
        <f>VLOOKUP(B188,'Profit &amp; Loss'!$B$3:$C$390,2,0)</f>
        <v>#N/A</v>
      </c>
    </row>
    <row r="189" spans="1:7" x14ac:dyDescent="0.2">
      <c r="A189" s="3" t="s">
        <v>178</v>
      </c>
      <c r="B189" s="3" t="s">
        <v>179</v>
      </c>
      <c r="C189" s="4">
        <v>-744625.13</v>
      </c>
      <c r="D189" s="4">
        <v>-872131.44</v>
      </c>
      <c r="E189" s="4">
        <v>127506.31</v>
      </c>
      <c r="F189" s="3" t="s">
        <v>722</v>
      </c>
      <c r="G189" s="3" t="e">
        <f>VLOOKUP(B189,'Profit &amp; Loss'!$B$3:$C$390,2,0)</f>
        <v>#N/A</v>
      </c>
    </row>
    <row r="190" spans="1:7" x14ac:dyDescent="0.2">
      <c r="A190" s="3" t="s">
        <v>178</v>
      </c>
      <c r="B190" s="3" t="s">
        <v>180</v>
      </c>
      <c r="C190" s="4">
        <v>-184.64</v>
      </c>
      <c r="D190" s="4">
        <v>-184.64</v>
      </c>
      <c r="E190" s="4">
        <v>0</v>
      </c>
      <c r="F190" s="3" t="s">
        <v>6</v>
      </c>
      <c r="G190" s="3" t="e">
        <f>VLOOKUP(B190,'Profit &amp; Loss'!$B$3:$C$390,2,0)</f>
        <v>#N/A</v>
      </c>
    </row>
    <row r="191" spans="1:7" x14ac:dyDescent="0.2">
      <c r="A191" s="3" t="s">
        <v>178</v>
      </c>
      <c r="B191" s="3" t="s">
        <v>181</v>
      </c>
      <c r="C191" s="4">
        <v>846.64</v>
      </c>
      <c r="D191" s="4">
        <v>846.64</v>
      </c>
      <c r="E191" s="4">
        <v>0</v>
      </c>
      <c r="F191" s="3" t="s">
        <v>6</v>
      </c>
      <c r="G191" s="3" t="e">
        <f>VLOOKUP(B191,'Profit &amp; Loss'!$B$3:$C$390,2,0)</f>
        <v>#N/A</v>
      </c>
    </row>
    <row r="192" spans="1:7" x14ac:dyDescent="0.2">
      <c r="A192" s="3" t="s">
        <v>178</v>
      </c>
      <c r="B192" s="3" t="s">
        <v>182</v>
      </c>
      <c r="C192" s="4">
        <v>-948.5</v>
      </c>
      <c r="D192" s="4">
        <v>-948.5</v>
      </c>
      <c r="E192" s="4">
        <v>0</v>
      </c>
      <c r="F192" s="3" t="s">
        <v>6</v>
      </c>
      <c r="G192" s="3" t="e">
        <f>VLOOKUP(B192,'Profit &amp; Loss'!$B$3:$C$390,2,0)</f>
        <v>#N/A</v>
      </c>
    </row>
    <row r="193" spans="1:7" x14ac:dyDescent="0.2">
      <c r="A193" s="3" t="s">
        <v>178</v>
      </c>
      <c r="B193" s="3" t="s">
        <v>184</v>
      </c>
      <c r="C193" s="4">
        <v>-1002</v>
      </c>
      <c r="D193" s="4">
        <v>-1002</v>
      </c>
      <c r="E193" s="4">
        <v>0</v>
      </c>
      <c r="F193" s="3" t="s">
        <v>6</v>
      </c>
      <c r="G193" s="3" t="e">
        <f>VLOOKUP(B193,'Profit &amp; Loss'!$B$3:$C$390,2,0)</f>
        <v>#N/A</v>
      </c>
    </row>
    <row r="194" spans="1:7" x14ac:dyDescent="0.2">
      <c r="A194" s="3" t="s">
        <v>178</v>
      </c>
      <c r="B194" s="3" t="s">
        <v>186</v>
      </c>
      <c r="C194" s="4">
        <v>-200</v>
      </c>
      <c r="D194" s="4">
        <v>-200</v>
      </c>
      <c r="E194" s="4">
        <v>0</v>
      </c>
      <c r="F194" s="3" t="s">
        <v>6</v>
      </c>
      <c r="G194" s="3" t="e">
        <f>VLOOKUP(B194,'Profit &amp; Loss'!$B$3:$C$390,2,0)</f>
        <v>#N/A</v>
      </c>
    </row>
    <row r="195" spans="1:7" x14ac:dyDescent="0.2">
      <c r="A195" s="3" t="s">
        <v>178</v>
      </c>
      <c r="B195" s="3" t="s">
        <v>187</v>
      </c>
      <c r="C195" s="4">
        <v>207.92</v>
      </c>
      <c r="D195" s="4">
        <v>282.17</v>
      </c>
      <c r="E195" s="4">
        <v>-74.25</v>
      </c>
      <c r="F195" s="3" t="s">
        <v>826</v>
      </c>
      <c r="G195" s="3" t="e">
        <f>VLOOKUP(B195,'Profit &amp; Loss'!$B$3:$C$390,2,0)</f>
        <v>#N/A</v>
      </c>
    </row>
    <row r="196" spans="1:7" x14ac:dyDescent="0.2">
      <c r="A196" s="3" t="s">
        <v>178</v>
      </c>
      <c r="B196" s="3" t="s">
        <v>188</v>
      </c>
      <c r="C196" s="4">
        <v>-1455.24</v>
      </c>
      <c r="D196" s="4">
        <v>-1455.24</v>
      </c>
      <c r="E196" s="4">
        <v>0</v>
      </c>
      <c r="F196" s="3" t="s">
        <v>6</v>
      </c>
      <c r="G196" s="3" t="e">
        <f>VLOOKUP(B196,'Profit &amp; Loss'!$B$3:$C$390,2,0)</f>
        <v>#N/A</v>
      </c>
    </row>
    <row r="197" spans="1:7" x14ac:dyDescent="0.2">
      <c r="A197" s="3" t="s">
        <v>178</v>
      </c>
      <c r="B197" s="3" t="s">
        <v>189</v>
      </c>
      <c r="C197" s="4">
        <v>47.93</v>
      </c>
      <c r="D197" s="4">
        <v>42.47</v>
      </c>
      <c r="E197" s="4">
        <v>5.46</v>
      </c>
      <c r="F197" s="3" t="s">
        <v>846</v>
      </c>
      <c r="G197" s="3" t="e">
        <f>VLOOKUP(B197,'Profit &amp; Loss'!$B$3:$C$390,2,0)</f>
        <v>#N/A</v>
      </c>
    </row>
    <row r="198" spans="1:7" x14ac:dyDescent="0.2">
      <c r="A198" s="3" t="s">
        <v>178</v>
      </c>
      <c r="B198" s="3" t="s">
        <v>190</v>
      </c>
      <c r="C198" s="4">
        <v>176.72</v>
      </c>
      <c r="D198" s="4">
        <v>245.99</v>
      </c>
      <c r="E198" s="4">
        <v>-69.27</v>
      </c>
      <c r="F198" s="3" t="s">
        <v>733</v>
      </c>
      <c r="G198" s="3" t="e">
        <f>VLOOKUP(B198,'Profit &amp; Loss'!$B$3:$C$390,2,0)</f>
        <v>#N/A</v>
      </c>
    </row>
    <row r="199" spans="1:7" x14ac:dyDescent="0.2">
      <c r="A199" s="3" t="s">
        <v>178</v>
      </c>
      <c r="B199" s="3" t="s">
        <v>191</v>
      </c>
      <c r="C199" s="4">
        <v>-47.87</v>
      </c>
      <c r="D199" s="4">
        <v>-100.2</v>
      </c>
      <c r="E199" s="4">
        <v>52.33</v>
      </c>
      <c r="F199" s="3" t="s">
        <v>896</v>
      </c>
      <c r="G199" s="3" t="e">
        <f>VLOOKUP(B199,'Profit &amp; Loss'!$B$3:$C$390,2,0)</f>
        <v>#N/A</v>
      </c>
    </row>
    <row r="200" spans="1:7" x14ac:dyDescent="0.2">
      <c r="A200" s="3" t="s">
        <v>178</v>
      </c>
      <c r="B200" s="3" t="s">
        <v>192</v>
      </c>
      <c r="C200" s="4">
        <v>6746.08</v>
      </c>
      <c r="D200" s="4">
        <v>19220.38</v>
      </c>
      <c r="E200" s="4">
        <v>-12474.3</v>
      </c>
      <c r="F200" s="3" t="s">
        <v>1354</v>
      </c>
      <c r="G200" s="3" t="e">
        <f>VLOOKUP(B200,'Profit &amp; Loss'!$B$3:$C$390,2,0)</f>
        <v>#N/A</v>
      </c>
    </row>
    <row r="201" spans="1:7" x14ac:dyDescent="0.2">
      <c r="A201" s="3" t="s">
        <v>178</v>
      </c>
      <c r="B201" s="3" t="s">
        <v>194</v>
      </c>
      <c r="C201" s="4">
        <v>-23655.87</v>
      </c>
      <c r="D201" s="4">
        <v>-23655.87</v>
      </c>
      <c r="E201" s="4">
        <v>0</v>
      </c>
      <c r="F201" s="3" t="s">
        <v>6</v>
      </c>
      <c r="G201" s="3" t="e">
        <f>VLOOKUP(B201,'Profit &amp; Loss'!$B$3:$C$390,2,0)</f>
        <v>#N/A</v>
      </c>
    </row>
    <row r="202" spans="1:7" x14ac:dyDescent="0.2">
      <c r="A202" s="3" t="s">
        <v>178</v>
      </c>
      <c r="B202" s="3" t="s">
        <v>195</v>
      </c>
      <c r="C202" s="4">
        <v>-38430.28</v>
      </c>
      <c r="D202" s="4">
        <v>-184962.12</v>
      </c>
      <c r="E202" s="4">
        <v>146531.84</v>
      </c>
      <c r="F202" s="3" t="s">
        <v>1355</v>
      </c>
      <c r="G202" s="3" t="e">
        <f>VLOOKUP(B202,'Profit &amp; Loss'!$B$3:$C$390,2,0)</f>
        <v>#N/A</v>
      </c>
    </row>
    <row r="203" spans="1:7" x14ac:dyDescent="0.2">
      <c r="A203" s="3" t="s">
        <v>178</v>
      </c>
      <c r="B203" s="3" t="s">
        <v>196</v>
      </c>
      <c r="C203" s="4">
        <v>-35156.339999999997</v>
      </c>
      <c r="D203" s="4">
        <v>-27367.18</v>
      </c>
      <c r="E203" s="4">
        <v>-7789.16</v>
      </c>
      <c r="F203" s="3" t="s">
        <v>909</v>
      </c>
      <c r="G203" s="3" t="e">
        <f>VLOOKUP(B203,'Profit &amp; Loss'!$B$3:$C$390,2,0)</f>
        <v>#N/A</v>
      </c>
    </row>
    <row r="204" spans="1:7" x14ac:dyDescent="0.2">
      <c r="A204" s="3" t="s">
        <v>178</v>
      </c>
      <c r="B204" s="3" t="s">
        <v>2</v>
      </c>
      <c r="C204" s="4">
        <v>-837680.58</v>
      </c>
      <c r="D204" s="4">
        <v>-1091369.54</v>
      </c>
      <c r="E204" s="4">
        <v>253688.95999999999</v>
      </c>
      <c r="F204" s="3" t="s">
        <v>776</v>
      </c>
      <c r="G204" s="3" t="e">
        <f>VLOOKUP(B204,'Profit &amp; Loss'!$B$3:$C$390,2,0)</f>
        <v>#N/A</v>
      </c>
    </row>
    <row r="205" spans="1:7" x14ac:dyDescent="0.2">
      <c r="A205" s="3" t="s">
        <v>197</v>
      </c>
      <c r="B205" s="3" t="s">
        <v>2</v>
      </c>
      <c r="C205" s="4">
        <v>-3301730.24</v>
      </c>
      <c r="D205" s="4">
        <v>-3744668.41</v>
      </c>
      <c r="E205" s="4">
        <v>442938.17</v>
      </c>
      <c r="F205" s="3" t="s">
        <v>1338</v>
      </c>
      <c r="G205" s="3" t="e">
        <f>VLOOKUP(B205,'Profit &amp; Loss'!$B$3:$C$390,2,0)</f>
        <v>#N/A</v>
      </c>
    </row>
    <row r="206" spans="1:7" x14ac:dyDescent="0.2">
      <c r="A206" s="3" t="s">
        <v>198</v>
      </c>
      <c r="B206" s="3" t="s">
        <v>199</v>
      </c>
      <c r="C206" s="4">
        <v>354357.92</v>
      </c>
      <c r="D206" s="4">
        <v>310453.28000000003</v>
      </c>
      <c r="E206" s="4">
        <v>43904.639999999999</v>
      </c>
      <c r="F206" s="3" t="s">
        <v>789</v>
      </c>
      <c r="G206" s="3" t="e">
        <f>VLOOKUP(B206,'Profit &amp; Loss'!$B$3:$C$390,2,0)</f>
        <v>#N/A</v>
      </c>
    </row>
    <row r="207" spans="1:7" x14ac:dyDescent="0.2">
      <c r="A207" s="3" t="s">
        <v>198</v>
      </c>
      <c r="B207" s="3" t="s">
        <v>2</v>
      </c>
      <c r="C207" s="4">
        <v>354357.92</v>
      </c>
      <c r="D207" s="4">
        <v>310453.28000000003</v>
      </c>
      <c r="E207" s="4">
        <v>43904.639999999999</v>
      </c>
      <c r="F207" s="3" t="s">
        <v>789</v>
      </c>
      <c r="G207" s="3" t="e">
        <f>VLOOKUP(B207,'Profit &amp; Loss'!$B$3:$C$390,2,0)</f>
        <v>#N/A</v>
      </c>
    </row>
    <row r="208" spans="1:7" x14ac:dyDescent="0.2">
      <c r="A208" s="3" t="s">
        <v>200</v>
      </c>
      <c r="B208" s="3" t="s">
        <v>201</v>
      </c>
      <c r="C208" s="4">
        <v>-5252.67</v>
      </c>
      <c r="D208" s="4">
        <v>-5252.67</v>
      </c>
      <c r="E208" s="4">
        <v>0</v>
      </c>
      <c r="F208" s="3" t="s">
        <v>6</v>
      </c>
      <c r="G208" s="3" t="e">
        <f>VLOOKUP(B208,'Profit &amp; Loss'!$B$3:$C$390,2,0)</f>
        <v>#N/A</v>
      </c>
    </row>
    <row r="209" spans="1:7" x14ac:dyDescent="0.2">
      <c r="A209" s="3" t="s">
        <v>200</v>
      </c>
      <c r="B209" s="3" t="s">
        <v>203</v>
      </c>
      <c r="C209" s="4">
        <v>-10671.57</v>
      </c>
      <c r="D209" s="4">
        <v>-10671.57</v>
      </c>
      <c r="E209" s="4">
        <v>0</v>
      </c>
      <c r="F209" s="3" t="s">
        <v>6</v>
      </c>
      <c r="G209" s="3" t="e">
        <f>VLOOKUP(B209,'Profit &amp; Loss'!$B$3:$C$390,2,0)</f>
        <v>#N/A</v>
      </c>
    </row>
    <row r="210" spans="1:7" x14ac:dyDescent="0.2">
      <c r="A210" s="3" t="s">
        <v>200</v>
      </c>
      <c r="B210" s="3" t="s">
        <v>204</v>
      </c>
      <c r="C210" s="4">
        <v>-20871.29</v>
      </c>
      <c r="D210" s="4">
        <v>-20871.29</v>
      </c>
      <c r="E210" s="4">
        <v>0</v>
      </c>
      <c r="F210" s="3" t="s">
        <v>6</v>
      </c>
      <c r="G210" s="3" t="e">
        <f>VLOOKUP(B210,'Profit &amp; Loss'!$B$3:$C$390,2,0)</f>
        <v>#N/A</v>
      </c>
    </row>
    <row r="211" spans="1:7" x14ac:dyDescent="0.2">
      <c r="A211" s="3" t="s">
        <v>200</v>
      </c>
      <c r="B211" s="3" t="s">
        <v>205</v>
      </c>
      <c r="C211" s="4">
        <v>-5.01</v>
      </c>
      <c r="D211" s="4">
        <v>-5.01</v>
      </c>
      <c r="E211" s="4">
        <v>0</v>
      </c>
      <c r="F211" s="3" t="s">
        <v>6</v>
      </c>
      <c r="G211" s="3" t="e">
        <f>VLOOKUP(B211,'Profit &amp; Loss'!$B$3:$C$390,2,0)</f>
        <v>#N/A</v>
      </c>
    </row>
    <row r="212" spans="1:7" x14ac:dyDescent="0.2">
      <c r="A212" s="3" t="s">
        <v>200</v>
      </c>
      <c r="B212" s="3" t="s">
        <v>209</v>
      </c>
      <c r="C212" s="4">
        <v>-0.03</v>
      </c>
      <c r="D212" s="4">
        <v>-0.03</v>
      </c>
      <c r="E212" s="4">
        <v>0</v>
      </c>
      <c r="F212" s="3" t="s">
        <v>6</v>
      </c>
      <c r="G212" s="3" t="e">
        <f>VLOOKUP(B212,'Profit &amp; Loss'!$B$3:$C$390,2,0)</f>
        <v>#N/A</v>
      </c>
    </row>
    <row r="213" spans="1:7" x14ac:dyDescent="0.2">
      <c r="A213" s="3" t="s">
        <v>200</v>
      </c>
      <c r="B213" s="3" t="s">
        <v>2</v>
      </c>
      <c r="C213" s="4">
        <v>-36800.57</v>
      </c>
      <c r="D213" s="4">
        <v>-36800.57</v>
      </c>
      <c r="E213" s="4">
        <v>0</v>
      </c>
      <c r="F213" s="3" t="s">
        <v>6</v>
      </c>
      <c r="G213" s="3" t="e">
        <f>VLOOKUP(B213,'Profit &amp; Loss'!$B$3:$C$390,2,0)</f>
        <v>#N/A</v>
      </c>
    </row>
    <row r="214" spans="1:7" x14ac:dyDescent="0.2">
      <c r="A214" s="3" t="s">
        <v>210</v>
      </c>
      <c r="B214" s="3" t="s">
        <v>2</v>
      </c>
      <c r="C214" s="4">
        <v>317557.34999999998</v>
      </c>
      <c r="D214" s="4">
        <v>273652.71000000002</v>
      </c>
      <c r="E214" s="4">
        <v>43904.639999999999</v>
      </c>
      <c r="F214" s="3" t="s">
        <v>642</v>
      </c>
      <c r="G214" s="3" t="e">
        <f>VLOOKUP(B214,'Profit &amp; Loss'!$B$3:$C$390,2,0)</f>
        <v>#N/A</v>
      </c>
    </row>
    <row r="215" spans="1:7" x14ac:dyDescent="0.2">
      <c r="A215" s="3" t="s">
        <v>211</v>
      </c>
      <c r="B215" s="3" t="s">
        <v>212</v>
      </c>
      <c r="C215" s="4">
        <v>-91742.080000000002</v>
      </c>
      <c r="D215" s="4">
        <v>-91742.080000000002</v>
      </c>
      <c r="E215" s="4">
        <v>0</v>
      </c>
      <c r="F215" s="3" t="s">
        <v>6</v>
      </c>
      <c r="G215" s="3" t="e">
        <f>VLOOKUP(B215,'Profit &amp; Loss'!$B$3:$C$390,2,0)</f>
        <v>#N/A</v>
      </c>
    </row>
    <row r="216" spans="1:7" x14ac:dyDescent="0.2">
      <c r="A216" s="3" t="s">
        <v>211</v>
      </c>
      <c r="B216" s="3" t="s">
        <v>213</v>
      </c>
      <c r="C216" s="4">
        <v>-91441.75</v>
      </c>
      <c r="D216" s="4">
        <v>-94110.68</v>
      </c>
      <c r="E216" s="4">
        <v>2668.93</v>
      </c>
      <c r="F216" s="3" t="s">
        <v>750</v>
      </c>
      <c r="G216" s="3" t="e">
        <f>VLOOKUP(B216,'Profit &amp; Loss'!$B$3:$C$390,2,0)</f>
        <v>#N/A</v>
      </c>
    </row>
    <row r="217" spans="1:7" x14ac:dyDescent="0.2">
      <c r="A217" s="3" t="s">
        <v>211</v>
      </c>
      <c r="B217" s="3" t="s">
        <v>214</v>
      </c>
      <c r="C217" s="4">
        <v>-73958.91</v>
      </c>
      <c r="D217" s="4">
        <v>-74076.929999999993</v>
      </c>
      <c r="E217" s="4">
        <v>118.02</v>
      </c>
      <c r="F217" s="3" t="s">
        <v>488</v>
      </c>
      <c r="G217" s="3" t="e">
        <f>VLOOKUP(B217,'Profit &amp; Loss'!$B$3:$C$390,2,0)</f>
        <v>#N/A</v>
      </c>
    </row>
    <row r="218" spans="1:7" x14ac:dyDescent="0.2">
      <c r="A218" s="3" t="s">
        <v>211</v>
      </c>
      <c r="B218" s="3" t="s">
        <v>215</v>
      </c>
      <c r="C218" s="4">
        <v>-67684.28</v>
      </c>
      <c r="D218" s="4">
        <v>-67684.28</v>
      </c>
      <c r="E218" s="4">
        <v>0</v>
      </c>
      <c r="F218" s="3" t="s">
        <v>6</v>
      </c>
      <c r="G218" s="3" t="e">
        <f>VLOOKUP(B218,'Profit &amp; Loss'!$B$3:$C$390,2,0)</f>
        <v>#N/A</v>
      </c>
    </row>
    <row r="219" spans="1:7" x14ac:dyDescent="0.2">
      <c r="A219" s="3" t="s">
        <v>211</v>
      </c>
      <c r="B219" s="3" t="s">
        <v>216</v>
      </c>
      <c r="C219" s="4">
        <v>-30223.06</v>
      </c>
      <c r="D219" s="4">
        <v>-35167.980000000003</v>
      </c>
      <c r="E219" s="4">
        <v>4944.92</v>
      </c>
      <c r="F219" s="3" t="s">
        <v>789</v>
      </c>
      <c r="G219" s="3" t="e">
        <f>VLOOKUP(B219,'Profit &amp; Loss'!$B$3:$C$390,2,0)</f>
        <v>#N/A</v>
      </c>
    </row>
    <row r="220" spans="1:7" x14ac:dyDescent="0.2">
      <c r="A220" s="3" t="s">
        <v>211</v>
      </c>
      <c r="B220" s="3" t="s">
        <v>217</v>
      </c>
      <c r="C220" s="4">
        <v>-240988.87</v>
      </c>
      <c r="D220" s="4">
        <v>-244798.64</v>
      </c>
      <c r="E220" s="4">
        <v>3809.77</v>
      </c>
      <c r="F220" s="3" t="s">
        <v>861</v>
      </c>
      <c r="G220" s="3" t="e">
        <f>VLOOKUP(B220,'Profit &amp; Loss'!$B$3:$C$390,2,0)</f>
        <v>#N/A</v>
      </c>
    </row>
    <row r="221" spans="1:7" x14ac:dyDescent="0.2">
      <c r="A221" s="3" t="s">
        <v>211</v>
      </c>
      <c r="B221" s="3" t="s">
        <v>2</v>
      </c>
      <c r="C221" s="4">
        <v>-596038.94999999995</v>
      </c>
      <c r="D221" s="4">
        <v>-607580.59</v>
      </c>
      <c r="E221" s="4">
        <v>11541.64</v>
      </c>
      <c r="F221" s="3" t="s">
        <v>522</v>
      </c>
      <c r="G221" s="3" t="e">
        <f>VLOOKUP(B221,'Profit &amp; Loss'!$B$3:$C$390,2,0)</f>
        <v>#N/A</v>
      </c>
    </row>
    <row r="222" spans="1:7" x14ac:dyDescent="0.2">
      <c r="A222" s="3" t="s">
        <v>218</v>
      </c>
      <c r="B222" s="3" t="s">
        <v>2</v>
      </c>
      <c r="C222" s="4">
        <v>-596038.94999999995</v>
      </c>
      <c r="D222" s="4">
        <v>-607580.59</v>
      </c>
      <c r="E222" s="4">
        <v>11541.64</v>
      </c>
      <c r="F222" s="3" t="s">
        <v>522</v>
      </c>
      <c r="G222" s="3" t="e">
        <f>VLOOKUP(B222,'Profit &amp; Loss'!$B$3:$C$390,2,0)</f>
        <v>#N/A</v>
      </c>
    </row>
    <row r="223" spans="1:7" x14ac:dyDescent="0.2">
      <c r="A223" s="3" t="s">
        <v>219</v>
      </c>
      <c r="B223" s="3" t="s">
        <v>220</v>
      </c>
      <c r="C223" s="4">
        <v>120.57</v>
      </c>
      <c r="D223" s="4">
        <v>120.57</v>
      </c>
      <c r="E223" s="4">
        <v>0</v>
      </c>
      <c r="F223" s="3" t="s">
        <v>6</v>
      </c>
      <c r="G223" s="3" t="e">
        <f>VLOOKUP(B223,'Profit &amp; Loss'!$B$3:$C$390,2,0)</f>
        <v>#N/A</v>
      </c>
    </row>
    <row r="224" spans="1:7" x14ac:dyDescent="0.2">
      <c r="A224" s="3" t="s">
        <v>219</v>
      </c>
      <c r="B224" s="3" t="s">
        <v>221</v>
      </c>
      <c r="C224" s="4">
        <v>596.78</v>
      </c>
      <c r="D224" s="4">
        <v>596.78</v>
      </c>
      <c r="E224" s="4">
        <v>0</v>
      </c>
      <c r="F224" s="3" t="s">
        <v>6</v>
      </c>
      <c r="G224" s="3" t="e">
        <f>VLOOKUP(B224,'Profit &amp; Loss'!$B$3:$C$390,2,0)</f>
        <v>#N/A</v>
      </c>
    </row>
    <row r="225" spans="1:7" x14ac:dyDescent="0.2">
      <c r="A225" s="3" t="s">
        <v>219</v>
      </c>
      <c r="B225" s="3" t="s">
        <v>222</v>
      </c>
      <c r="C225" s="4">
        <v>51925407</v>
      </c>
      <c r="D225" s="4">
        <v>53238493.469999999</v>
      </c>
      <c r="E225" s="4">
        <v>-1313086.47</v>
      </c>
      <c r="F225" s="3" t="s">
        <v>614</v>
      </c>
      <c r="G225" s="3" t="e">
        <f>VLOOKUP(B225,'Profit &amp; Loss'!$B$3:$C$390,2,0)</f>
        <v>#N/A</v>
      </c>
    </row>
    <row r="226" spans="1:7" x14ac:dyDescent="0.2">
      <c r="A226" s="3" t="s">
        <v>219</v>
      </c>
      <c r="B226" s="3" t="s">
        <v>2</v>
      </c>
      <c r="C226" s="4">
        <v>51926124.350000001</v>
      </c>
      <c r="D226" s="4">
        <v>53239210.82</v>
      </c>
      <c r="E226" s="4">
        <v>-1313086.47</v>
      </c>
      <c r="F226" s="3" t="s">
        <v>614</v>
      </c>
      <c r="G226" s="3" t="e">
        <f>VLOOKUP(B226,'Profit &amp; Loss'!$B$3:$C$390,2,0)</f>
        <v>#N/A</v>
      </c>
    </row>
    <row r="227" spans="1:7" x14ac:dyDescent="0.2">
      <c r="A227" s="3" t="s">
        <v>223</v>
      </c>
      <c r="B227" s="3" t="s">
        <v>2</v>
      </c>
      <c r="C227" s="4">
        <v>51926124.350000001</v>
      </c>
      <c r="D227" s="4">
        <v>53239210.82</v>
      </c>
      <c r="E227" s="4">
        <v>-1313086.47</v>
      </c>
      <c r="F227" s="3" t="s">
        <v>614</v>
      </c>
      <c r="G227" s="3" t="e">
        <f>VLOOKUP(B227,'Profit &amp; Loss'!$B$3:$C$390,2,0)</f>
        <v>#N/A</v>
      </c>
    </row>
    <row r="228" spans="1:7" x14ac:dyDescent="0.2">
      <c r="A228" s="3" t="s">
        <v>224</v>
      </c>
      <c r="B228" s="3" t="s">
        <v>2</v>
      </c>
      <c r="C228" s="4">
        <v>45651849.32</v>
      </c>
      <c r="D228" s="4">
        <v>46314366.200000003</v>
      </c>
      <c r="E228" s="4">
        <v>-662516.88</v>
      </c>
      <c r="F228" s="3" t="s">
        <v>630</v>
      </c>
      <c r="G228" s="3" t="e">
        <f>VLOOKUP(B228,'Profit &amp; Loss'!$B$3:$C$390,2,0)</f>
        <v>#N/A</v>
      </c>
    </row>
    <row r="229" spans="1:7" x14ac:dyDescent="0.2">
      <c r="A229" s="3" t="s">
        <v>225</v>
      </c>
      <c r="B229" s="3" t="s">
        <v>226</v>
      </c>
      <c r="C229" s="4">
        <v>-85746371.450000003</v>
      </c>
      <c r="D229" s="4">
        <v>-85746371.450000003</v>
      </c>
      <c r="E229" s="4">
        <v>0</v>
      </c>
      <c r="F229" s="3" t="s">
        <v>6</v>
      </c>
      <c r="G229" s="3" t="e">
        <f>VLOOKUP(B229,'Profit &amp; Loss'!$B$3:$C$390,2,0)</f>
        <v>#N/A</v>
      </c>
    </row>
    <row r="230" spans="1:7" x14ac:dyDescent="0.2">
      <c r="A230" s="3" t="s">
        <v>225</v>
      </c>
      <c r="B230" s="3" t="s">
        <v>2</v>
      </c>
      <c r="C230" s="4">
        <v>-85746371.450000003</v>
      </c>
      <c r="D230" s="4">
        <v>-85746371.450000003</v>
      </c>
      <c r="E230" s="4">
        <v>0</v>
      </c>
      <c r="F230" s="3" t="s">
        <v>6</v>
      </c>
      <c r="G230" s="3" t="e">
        <f>VLOOKUP(B230,'Profit &amp; Loss'!$B$3:$C$390,2,0)</f>
        <v>#N/A</v>
      </c>
    </row>
    <row r="231" spans="1:7" x14ac:dyDescent="0.2">
      <c r="A231" s="3" t="s">
        <v>227</v>
      </c>
      <c r="B231" s="3" t="s">
        <v>2</v>
      </c>
      <c r="C231" s="4">
        <v>-85746371.450000003</v>
      </c>
      <c r="D231" s="4">
        <v>-85746371.450000003</v>
      </c>
      <c r="E231" s="4">
        <v>0</v>
      </c>
      <c r="F231" s="3" t="s">
        <v>6</v>
      </c>
      <c r="G231" s="3" t="e">
        <f>VLOOKUP(B231,'Profit &amp; Loss'!$B$3:$C$390,2,0)</f>
        <v>#N/A</v>
      </c>
    </row>
    <row r="232" spans="1:7" x14ac:dyDescent="0.2">
      <c r="A232" s="3" t="s">
        <v>228</v>
      </c>
      <c r="B232" s="3" t="s">
        <v>2</v>
      </c>
      <c r="C232" s="4">
        <v>-85746371.450000003</v>
      </c>
      <c r="D232" s="4">
        <v>-85746371.450000003</v>
      </c>
      <c r="E232" s="4">
        <v>0</v>
      </c>
      <c r="F232" s="3" t="s">
        <v>6</v>
      </c>
      <c r="G232" s="3" t="e">
        <f>VLOOKUP(B232,'Profit &amp; Loss'!$B$3:$C$390,2,0)</f>
        <v>#N/A</v>
      </c>
    </row>
    <row r="233" spans="1:7" x14ac:dyDescent="0.2">
      <c r="A233" s="3" t="s">
        <v>229</v>
      </c>
      <c r="B233" s="3" t="s">
        <v>230</v>
      </c>
      <c r="C233" s="4">
        <v>0</v>
      </c>
      <c r="D233" s="4">
        <v>0</v>
      </c>
      <c r="E233" s="4">
        <v>0</v>
      </c>
      <c r="F233" s="3" t="s">
        <v>2</v>
      </c>
      <c r="G233" s="3" t="e">
        <f>VLOOKUP(B233,'Profit &amp; Loss'!$B$3:$C$390,2,0)</f>
        <v>#N/A</v>
      </c>
    </row>
    <row r="234" spans="1:7" x14ac:dyDescent="0.2">
      <c r="A234" s="3" t="s">
        <v>229</v>
      </c>
      <c r="B234" s="5" t="s">
        <v>231</v>
      </c>
      <c r="C234" s="4">
        <v>0</v>
      </c>
      <c r="D234" s="4">
        <v>0</v>
      </c>
      <c r="E234" s="4">
        <v>0</v>
      </c>
      <c r="F234" s="3" t="s">
        <v>2</v>
      </c>
      <c r="G234" s="3" t="e">
        <f>VLOOKUP(B234,'Profit &amp; Loss'!$B$3:$C$390,2,0)</f>
        <v>#N/A</v>
      </c>
    </row>
    <row r="235" spans="1:7" x14ac:dyDescent="0.2">
      <c r="A235" s="3" t="s">
        <v>232</v>
      </c>
      <c r="B235" s="3" t="s">
        <v>2</v>
      </c>
      <c r="C235" s="4">
        <v>-6945447.1299999999</v>
      </c>
      <c r="D235" s="4">
        <v>-5134163.5999999996</v>
      </c>
      <c r="E235" s="4">
        <v>-1811283.53</v>
      </c>
      <c r="F235" s="3" t="s">
        <v>790</v>
      </c>
      <c r="G235" s="3" t="e">
        <f>VLOOKUP(B235,'Profit &amp; Loss'!$B$3:$C$390,2,0)</f>
        <v>#N/A</v>
      </c>
    </row>
    <row r="236" spans="1:7" x14ac:dyDescent="0.2">
      <c r="A236" s="3" t="s">
        <v>229</v>
      </c>
      <c r="B236" s="3" t="s">
        <v>233</v>
      </c>
      <c r="C236" s="4">
        <v>-6945447.1299999999</v>
      </c>
      <c r="D236" s="4">
        <v>-5134163.5999999996</v>
      </c>
      <c r="E236" s="4">
        <v>-1811283.53</v>
      </c>
      <c r="F236" s="3" t="s">
        <v>790</v>
      </c>
      <c r="G236" s="3" t="e">
        <f>VLOOKUP(B236,'Profit &amp; Loss'!$B$3:$C$390,2,0)</f>
        <v>#N/A</v>
      </c>
    </row>
    <row r="237" spans="1:7" x14ac:dyDescent="0.2">
      <c r="A237" s="3" t="s">
        <v>229</v>
      </c>
      <c r="B237" s="5" t="s">
        <v>234</v>
      </c>
      <c r="C237" s="4">
        <v>0</v>
      </c>
      <c r="D237" s="4">
        <v>0</v>
      </c>
      <c r="E237" s="4">
        <v>0</v>
      </c>
      <c r="F237" s="3" t="s">
        <v>2</v>
      </c>
      <c r="G237" s="3" t="e">
        <f>VLOOKUP(B237,'Profit &amp; Loss'!$B$3:$C$390,2,0)</f>
        <v>#N/A</v>
      </c>
    </row>
    <row r="238" spans="1:7" x14ac:dyDescent="0.2">
      <c r="A238" s="3" t="s">
        <v>115</v>
      </c>
      <c r="B238" s="3" t="s">
        <v>235</v>
      </c>
      <c r="C238" s="4">
        <v>-47039969.259999998</v>
      </c>
      <c r="D238" s="4">
        <v>-44566168.850000001</v>
      </c>
      <c r="E238" s="4">
        <v>-2473800.41</v>
      </c>
      <c r="F238" s="3" t="s">
        <v>597</v>
      </c>
      <c r="G238" s="3" t="e">
        <f>VLOOKUP(B238,'Profit &amp; Loss'!$B$3:$C$390,2,0)</f>
        <v>#N/A</v>
      </c>
    </row>
    <row r="239" spans="1:7" x14ac:dyDescent="0.2">
      <c r="A239" s="3" t="s">
        <v>115</v>
      </c>
      <c r="B239" s="5" t="s">
        <v>236</v>
      </c>
      <c r="C239" s="4">
        <v>0</v>
      </c>
      <c r="D239" s="4">
        <v>0</v>
      </c>
      <c r="E239" s="4">
        <v>0</v>
      </c>
      <c r="F239" s="3" t="s">
        <v>2</v>
      </c>
      <c r="G239" s="3" t="e">
        <f>VLOOKUP(B239,'Profit &amp; Loss'!$B$3:$C$390,2,0)</f>
        <v>#N/A</v>
      </c>
    </row>
    <row r="240" spans="1:7" x14ac:dyDescent="0.2">
      <c r="A240" s="3" t="s">
        <v>237</v>
      </c>
      <c r="B240" s="3" t="s">
        <v>238</v>
      </c>
      <c r="C240" s="4">
        <v>0</v>
      </c>
      <c r="D240" s="4">
        <v>0</v>
      </c>
      <c r="E240" s="4">
        <v>0</v>
      </c>
      <c r="F240" s="3" t="s">
        <v>2</v>
      </c>
      <c r="G240" s="3">
        <f>VLOOKUP(B240,'Profit &amp; Loss'!$B$3:$C$390,2,0)</f>
        <v>0</v>
      </c>
    </row>
    <row r="241" spans="1:7" x14ac:dyDescent="0.2">
      <c r="A241" s="3" t="s">
        <v>237</v>
      </c>
      <c r="B241" s="5" t="s">
        <v>239</v>
      </c>
      <c r="C241" s="4">
        <v>0</v>
      </c>
      <c r="D241" s="4">
        <v>0</v>
      </c>
      <c r="E241" s="4">
        <v>0</v>
      </c>
      <c r="F241" s="3" t="s">
        <v>2</v>
      </c>
      <c r="G241" s="3" t="e">
        <f>VLOOKUP(B241,'Profit &amp; Loss'!$B$3:$C$390,2,0)</f>
        <v>#N/A</v>
      </c>
    </row>
    <row r="242" spans="1:7" x14ac:dyDescent="0.2">
      <c r="A242" s="3" t="s">
        <v>240</v>
      </c>
      <c r="B242" s="3" t="s">
        <v>241</v>
      </c>
      <c r="C242" s="4">
        <v>-58033.760000000002</v>
      </c>
      <c r="D242" s="4">
        <v>-58033.760000000002</v>
      </c>
      <c r="E242" s="4">
        <v>0</v>
      </c>
      <c r="F242" s="3" t="s">
        <v>6</v>
      </c>
      <c r="G242" s="3">
        <f>VLOOKUP(B242,'Profit &amp; Loss'!$B$3:$C$390,2,0)</f>
        <v>-58033.760000000002</v>
      </c>
    </row>
    <row r="243" spans="1:7" x14ac:dyDescent="0.2">
      <c r="A243" s="3" t="s">
        <v>240</v>
      </c>
      <c r="B243" s="3" t="s">
        <v>824</v>
      </c>
      <c r="C243" s="4">
        <v>3837.96</v>
      </c>
      <c r="D243" s="4">
        <v>3837.96</v>
      </c>
      <c r="E243" s="4">
        <v>0</v>
      </c>
      <c r="F243" s="3" t="s">
        <v>6</v>
      </c>
      <c r="G243" s="3">
        <f>VLOOKUP(B243,'Profit &amp; Loss'!$B$3:$C$390,2,0)</f>
        <v>3837.96</v>
      </c>
    </row>
    <row r="244" spans="1:7" x14ac:dyDescent="0.2">
      <c r="A244" s="3" t="s">
        <v>240</v>
      </c>
      <c r="B244" s="3" t="s">
        <v>2</v>
      </c>
      <c r="C244" s="4">
        <v>-54195.8</v>
      </c>
      <c r="D244" s="4">
        <v>-54195.8</v>
      </c>
      <c r="E244" s="4">
        <v>0</v>
      </c>
      <c r="F244" s="3" t="s">
        <v>6</v>
      </c>
      <c r="G244" s="3" t="e">
        <f>VLOOKUP(B244,'Profit &amp; Loss'!$B$3:$C$390,2,0)</f>
        <v>#N/A</v>
      </c>
    </row>
    <row r="245" spans="1:7" x14ac:dyDescent="0.2">
      <c r="A245" s="3" t="s">
        <v>244</v>
      </c>
      <c r="B245" s="3" t="s">
        <v>245</v>
      </c>
      <c r="C245" s="4">
        <v>-19292042.82</v>
      </c>
      <c r="D245" s="4">
        <v>-14711029.42</v>
      </c>
      <c r="E245" s="4">
        <v>-4581013.4000000004</v>
      </c>
      <c r="F245" s="3" t="s">
        <v>1033</v>
      </c>
      <c r="G245" s="3">
        <f>VLOOKUP(B245,'Profit &amp; Loss'!$B$3:$C$390,2,0)</f>
        <v>-4673022.7699999996</v>
      </c>
    </row>
    <row r="246" spans="1:7" x14ac:dyDescent="0.2">
      <c r="A246" s="3" t="s">
        <v>244</v>
      </c>
      <c r="B246" s="3" t="s">
        <v>536</v>
      </c>
      <c r="C246" s="4">
        <v>-54157.57</v>
      </c>
      <c r="D246" s="4">
        <v>-20930.36</v>
      </c>
      <c r="E246" s="4">
        <v>-33227.21</v>
      </c>
      <c r="F246" s="3" t="s">
        <v>1356</v>
      </c>
      <c r="G246" s="3">
        <f>VLOOKUP(B246,'Profit &amp; Loss'!$B$3:$C$390,2,0)</f>
        <v>-9457.2900000000009</v>
      </c>
    </row>
    <row r="247" spans="1:7" x14ac:dyDescent="0.2">
      <c r="A247" s="3" t="s">
        <v>244</v>
      </c>
      <c r="B247" s="3" t="s">
        <v>537</v>
      </c>
      <c r="C247" s="4">
        <v>471.93</v>
      </c>
      <c r="D247" s="4">
        <v>471.94</v>
      </c>
      <c r="E247" s="4">
        <v>-0.01</v>
      </c>
      <c r="F247" s="3" t="s">
        <v>6</v>
      </c>
      <c r="G247" s="3">
        <f>VLOOKUP(B247,'Profit &amp; Loss'!$B$3:$C$390,2,0)</f>
        <v>0.01</v>
      </c>
    </row>
    <row r="248" spans="1:7" x14ac:dyDescent="0.2">
      <c r="A248" s="3" t="s">
        <v>244</v>
      </c>
      <c r="B248" s="3" t="s">
        <v>246</v>
      </c>
      <c r="C248" s="4">
        <v>-464653.49</v>
      </c>
      <c r="D248" s="4">
        <v>-146336.09</v>
      </c>
      <c r="E248" s="4">
        <v>-318317.40000000002</v>
      </c>
      <c r="F248" s="3" t="s">
        <v>1357</v>
      </c>
      <c r="G248" s="3">
        <f>VLOOKUP(B248,'Profit &amp; Loss'!$B$3:$C$390,2,0)</f>
        <v>-49623.57</v>
      </c>
    </row>
    <row r="249" spans="1:7" x14ac:dyDescent="0.2">
      <c r="A249" s="3" t="s">
        <v>244</v>
      </c>
      <c r="B249" s="3" t="s">
        <v>247</v>
      </c>
      <c r="C249" s="4">
        <v>-111.79</v>
      </c>
      <c r="D249" s="4">
        <v>-100.04</v>
      </c>
      <c r="E249" s="4">
        <v>-11.75</v>
      </c>
      <c r="F249" s="3" t="s">
        <v>701</v>
      </c>
      <c r="G249" s="3">
        <f>VLOOKUP(B249,'Profit &amp; Loss'!$B$3:$C$390,2,0)</f>
        <v>-27.12</v>
      </c>
    </row>
    <row r="250" spans="1:7" x14ac:dyDescent="0.2">
      <c r="A250" s="3" t="s">
        <v>244</v>
      </c>
      <c r="B250" s="3" t="s">
        <v>949</v>
      </c>
      <c r="C250" s="4">
        <v>-149983.57999999999</v>
      </c>
      <c r="D250" s="4">
        <v>-149983.57999999999</v>
      </c>
      <c r="E250" s="4">
        <v>0</v>
      </c>
      <c r="F250" s="3" t="s">
        <v>6</v>
      </c>
      <c r="G250" s="3">
        <f>VLOOKUP(B250,'Profit &amp; Loss'!$B$3:$C$390,2,0)</f>
        <v>-133950.59</v>
      </c>
    </row>
    <row r="251" spans="1:7" x14ac:dyDescent="0.2">
      <c r="A251" s="3" t="s">
        <v>244</v>
      </c>
      <c r="B251" s="3" t="s">
        <v>248</v>
      </c>
      <c r="C251" s="4">
        <v>-279006.68</v>
      </c>
      <c r="D251" s="4">
        <v>-279006.68</v>
      </c>
      <c r="E251" s="4">
        <v>0</v>
      </c>
      <c r="F251" s="3" t="s">
        <v>6</v>
      </c>
      <c r="G251" s="3">
        <f>VLOOKUP(B251,'Profit &amp; Loss'!$B$3:$C$390,2,0)</f>
        <v>0</v>
      </c>
    </row>
    <row r="252" spans="1:7" x14ac:dyDescent="0.2">
      <c r="A252" s="3" t="s">
        <v>244</v>
      </c>
      <c r="B252" s="3" t="s">
        <v>249</v>
      </c>
      <c r="C252" s="4">
        <v>-146097.82999999999</v>
      </c>
      <c r="D252" s="4">
        <v>-146097.82999999999</v>
      </c>
      <c r="E252" s="4">
        <v>0</v>
      </c>
      <c r="F252" s="3" t="s">
        <v>6</v>
      </c>
      <c r="G252" s="3">
        <f>VLOOKUP(B252,'Profit &amp; Loss'!$B$3:$C$390,2,0)</f>
        <v>0</v>
      </c>
    </row>
    <row r="253" spans="1:7" x14ac:dyDescent="0.2">
      <c r="A253" s="3" t="s">
        <v>244</v>
      </c>
      <c r="B253" s="3" t="s">
        <v>250</v>
      </c>
      <c r="C253" s="4">
        <v>-2131.5500000000002</v>
      </c>
      <c r="D253" s="4">
        <v>-2131.5500000000002</v>
      </c>
      <c r="E253" s="4">
        <v>0</v>
      </c>
      <c r="F253" s="3" t="s">
        <v>6</v>
      </c>
      <c r="G253" s="3">
        <f>VLOOKUP(B253,'Profit &amp; Loss'!$B$3:$C$390,2,0)</f>
        <v>-1606.18</v>
      </c>
    </row>
    <row r="254" spans="1:7" x14ac:dyDescent="0.2">
      <c r="A254" s="3" t="s">
        <v>244</v>
      </c>
      <c r="B254" s="3" t="s">
        <v>251</v>
      </c>
      <c r="C254" s="4">
        <v>47449.16</v>
      </c>
      <c r="D254" s="4">
        <v>34930.26</v>
      </c>
      <c r="E254" s="4">
        <v>12518.9</v>
      </c>
      <c r="F254" s="3" t="s">
        <v>1358</v>
      </c>
      <c r="G254" s="3">
        <f>VLOOKUP(B254,'Profit &amp; Loss'!$B$3:$C$390,2,0)</f>
        <v>12361.59</v>
      </c>
    </row>
    <row r="255" spans="1:7" x14ac:dyDescent="0.2">
      <c r="A255" s="3" t="s">
        <v>244</v>
      </c>
      <c r="B255" s="3" t="s">
        <v>252</v>
      </c>
      <c r="C255" s="4">
        <v>-16139.73</v>
      </c>
      <c r="D255" s="4">
        <v>-16139.73</v>
      </c>
      <c r="E255" s="4">
        <v>0</v>
      </c>
      <c r="F255" s="3" t="s">
        <v>6</v>
      </c>
      <c r="G255" s="3">
        <f>VLOOKUP(B255,'Profit &amp; Loss'!$B$3:$C$390,2,0)</f>
        <v>0</v>
      </c>
    </row>
    <row r="256" spans="1:7" x14ac:dyDescent="0.2">
      <c r="A256" s="3" t="s">
        <v>244</v>
      </c>
      <c r="B256" s="3" t="s">
        <v>2</v>
      </c>
      <c r="C256" s="4">
        <v>-20356403.949999999</v>
      </c>
      <c r="D256" s="4">
        <v>-15436353.08</v>
      </c>
      <c r="E256" s="4">
        <v>-4920050.87</v>
      </c>
      <c r="F256" s="3" t="s">
        <v>1031</v>
      </c>
      <c r="G256" s="3" t="e">
        <f>VLOOKUP(B256,'Profit &amp; Loss'!$B$3:$C$390,2,0)</f>
        <v>#N/A</v>
      </c>
    </row>
    <row r="257" spans="1:7" x14ac:dyDescent="0.2">
      <c r="A257" s="3" t="s">
        <v>253</v>
      </c>
      <c r="B257" s="3" t="s">
        <v>254</v>
      </c>
      <c r="C257" s="4">
        <v>178280.13</v>
      </c>
      <c r="D257" s="4">
        <v>136253.15</v>
      </c>
      <c r="E257" s="4">
        <v>42026.98</v>
      </c>
      <c r="F257" s="3" t="s">
        <v>546</v>
      </c>
      <c r="G257" s="3">
        <f>VLOOKUP(B257,'Profit &amp; Loss'!$B$3:$C$390,2,0)</f>
        <v>31846.94</v>
      </c>
    </row>
    <row r="258" spans="1:7" x14ac:dyDescent="0.2">
      <c r="A258" s="3" t="s">
        <v>253</v>
      </c>
      <c r="B258" s="3" t="s">
        <v>255</v>
      </c>
      <c r="C258" s="4">
        <v>-119471.85</v>
      </c>
      <c r="D258" s="4">
        <v>-106830.53</v>
      </c>
      <c r="E258" s="4">
        <v>-12641.32</v>
      </c>
      <c r="F258" s="3" t="s">
        <v>947</v>
      </c>
      <c r="G258" s="3">
        <f>VLOOKUP(B258,'Profit &amp; Loss'!$B$3:$C$390,2,0)</f>
        <v>-31894.21</v>
      </c>
    </row>
    <row r="259" spans="1:7" x14ac:dyDescent="0.2">
      <c r="A259" s="3" t="s">
        <v>253</v>
      </c>
      <c r="B259" s="3" t="s">
        <v>256</v>
      </c>
      <c r="C259" s="4">
        <v>-61853.760000000002</v>
      </c>
      <c r="D259" s="4">
        <v>-46670.63</v>
      </c>
      <c r="E259" s="4">
        <v>-15183.13</v>
      </c>
      <c r="F259" s="3" t="s">
        <v>1359</v>
      </c>
      <c r="G259" s="3">
        <f>VLOOKUP(B259,'Profit &amp; Loss'!$B$3:$C$390,2,0)</f>
        <v>-17785.87</v>
      </c>
    </row>
    <row r="260" spans="1:7" x14ac:dyDescent="0.2">
      <c r="A260" s="3" t="s">
        <v>253</v>
      </c>
      <c r="B260" s="3" t="s">
        <v>257</v>
      </c>
      <c r="C260" s="4">
        <v>-1137130.95</v>
      </c>
      <c r="D260" s="4">
        <v>-827622.23</v>
      </c>
      <c r="E260" s="4">
        <v>-309508.71999999997</v>
      </c>
      <c r="F260" s="3" t="s">
        <v>1360</v>
      </c>
      <c r="G260" s="3">
        <f>VLOOKUP(B260,'Profit &amp; Loss'!$B$3:$C$390,2,0)</f>
        <v>-222549.26</v>
      </c>
    </row>
    <row r="261" spans="1:7" x14ac:dyDescent="0.2">
      <c r="A261" s="3" t="s">
        <v>253</v>
      </c>
      <c r="B261" s="3" t="s">
        <v>258</v>
      </c>
      <c r="C261" s="4">
        <v>21064.27</v>
      </c>
      <c r="D261" s="4">
        <v>21064.23</v>
      </c>
      <c r="E261" s="4">
        <v>0.04</v>
      </c>
      <c r="F261" s="3" t="s">
        <v>6</v>
      </c>
      <c r="G261" s="3">
        <f>VLOOKUP(B261,'Profit &amp; Loss'!$B$3:$C$390,2,0)</f>
        <v>4.93</v>
      </c>
    </row>
    <row r="262" spans="1:7" x14ac:dyDescent="0.2">
      <c r="A262" s="3" t="s">
        <v>253</v>
      </c>
      <c r="B262" s="3" t="s">
        <v>259</v>
      </c>
      <c r="C262" s="4">
        <v>-251.57</v>
      </c>
      <c r="D262" s="4">
        <v>-228.71</v>
      </c>
      <c r="E262" s="4">
        <v>-22.86</v>
      </c>
      <c r="F262" s="3" t="s">
        <v>1361</v>
      </c>
      <c r="G262" s="3">
        <f>VLOOKUP(B262,'Profit &amp; Loss'!$B$3:$C$390,2,0)</f>
        <v>0</v>
      </c>
    </row>
    <row r="263" spans="1:7" x14ac:dyDescent="0.2">
      <c r="A263" s="3" t="s">
        <v>253</v>
      </c>
      <c r="B263" s="3" t="s">
        <v>1227</v>
      </c>
      <c r="C263" s="4">
        <v>-142.18</v>
      </c>
      <c r="D263" s="4">
        <v>-142.18</v>
      </c>
      <c r="E263" s="4">
        <v>0</v>
      </c>
      <c r="F263" s="3" t="s">
        <v>6</v>
      </c>
      <c r="G263" s="3">
        <f>VLOOKUP(B263,'Profit &amp; Loss'!$B$3:$C$390,2,0)</f>
        <v>0</v>
      </c>
    </row>
    <row r="264" spans="1:7" x14ac:dyDescent="0.2">
      <c r="A264" s="3" t="s">
        <v>253</v>
      </c>
      <c r="B264" s="3" t="s">
        <v>989</v>
      </c>
      <c r="C264" s="4">
        <v>5.01</v>
      </c>
      <c r="D264" s="4">
        <v>5.01</v>
      </c>
      <c r="E264" s="4">
        <v>0</v>
      </c>
      <c r="F264" s="3" t="s">
        <v>6</v>
      </c>
      <c r="G264" s="3">
        <f>VLOOKUP(B264,'Profit &amp; Loss'!$B$3:$C$390,2,0)</f>
        <v>5.01</v>
      </c>
    </row>
    <row r="265" spans="1:7" x14ac:dyDescent="0.2">
      <c r="A265" s="3" t="s">
        <v>253</v>
      </c>
      <c r="B265" s="3" t="s">
        <v>2</v>
      </c>
      <c r="C265" s="4">
        <v>-1119500.8999999999</v>
      </c>
      <c r="D265" s="4">
        <v>-824171.89</v>
      </c>
      <c r="E265" s="4">
        <v>-295329.01</v>
      </c>
      <c r="F265" s="3" t="s">
        <v>1362</v>
      </c>
      <c r="G265" s="3" t="e">
        <f>VLOOKUP(B265,'Profit &amp; Loss'!$B$3:$C$390,2,0)</f>
        <v>#N/A</v>
      </c>
    </row>
    <row r="266" spans="1:7" x14ac:dyDescent="0.2">
      <c r="A266" s="3" t="s">
        <v>260</v>
      </c>
      <c r="B266" s="3" t="s">
        <v>261</v>
      </c>
      <c r="C266" s="4">
        <v>-2276431.6800000002</v>
      </c>
      <c r="D266" s="4">
        <v>-1566034.45</v>
      </c>
      <c r="E266" s="4">
        <v>-710397.23</v>
      </c>
      <c r="F266" s="3" t="s">
        <v>799</v>
      </c>
      <c r="G266" s="3">
        <f>VLOOKUP(B266,'Profit &amp; Loss'!$B$3:$C$390,2,0)</f>
        <v>-646517.02</v>
      </c>
    </row>
    <row r="267" spans="1:7" x14ac:dyDescent="0.2">
      <c r="A267" s="3" t="s">
        <v>260</v>
      </c>
      <c r="B267" s="3" t="s">
        <v>2</v>
      </c>
      <c r="C267" s="4">
        <v>-2276431.6800000002</v>
      </c>
      <c r="D267" s="4">
        <v>-1566034.45</v>
      </c>
      <c r="E267" s="4">
        <v>-710397.23</v>
      </c>
      <c r="F267" s="3" t="s">
        <v>799</v>
      </c>
      <c r="G267" s="3" t="e">
        <f>VLOOKUP(B267,'Profit &amp; Loss'!$B$3:$C$390,2,0)</f>
        <v>#N/A</v>
      </c>
    </row>
    <row r="268" spans="1:7" x14ac:dyDescent="0.2">
      <c r="A268" s="3" t="s">
        <v>263</v>
      </c>
      <c r="B268" s="3" t="s">
        <v>264</v>
      </c>
      <c r="C268" s="4">
        <v>-354357.92</v>
      </c>
      <c r="D268" s="4">
        <v>-310453.28000000003</v>
      </c>
      <c r="E268" s="4">
        <v>-43904.639999999999</v>
      </c>
      <c r="F268" s="3" t="s">
        <v>734</v>
      </c>
      <c r="G268" s="3">
        <f>VLOOKUP(B268,'Profit &amp; Loss'!$B$3:$C$390,2,0)</f>
        <v>-52009.78</v>
      </c>
    </row>
    <row r="269" spans="1:7" x14ac:dyDescent="0.2">
      <c r="A269" s="3" t="s">
        <v>263</v>
      </c>
      <c r="B269" s="3" t="s">
        <v>2</v>
      </c>
      <c r="C269" s="4">
        <v>-354357.92</v>
      </c>
      <c r="D269" s="4">
        <v>-310453.28000000003</v>
      </c>
      <c r="E269" s="4">
        <v>-43904.639999999999</v>
      </c>
      <c r="F269" s="3" t="s">
        <v>734</v>
      </c>
      <c r="G269" s="3" t="e">
        <f>VLOOKUP(B269,'Profit &amp; Loss'!$B$3:$C$390,2,0)</f>
        <v>#N/A</v>
      </c>
    </row>
    <row r="270" spans="1:7" x14ac:dyDescent="0.2">
      <c r="A270" s="3" t="s">
        <v>265</v>
      </c>
      <c r="B270" s="3" t="s">
        <v>2</v>
      </c>
      <c r="C270" s="4">
        <v>-24160890.25</v>
      </c>
      <c r="D270" s="4">
        <v>-18191208.5</v>
      </c>
      <c r="E270" s="4">
        <v>-5969681.75</v>
      </c>
      <c r="F270" s="3" t="s">
        <v>1363</v>
      </c>
      <c r="G270" s="3" t="e">
        <f>VLOOKUP(B270,'Profit &amp; Loss'!$B$3:$C$390,2,0)</f>
        <v>#N/A</v>
      </c>
    </row>
    <row r="271" spans="1:7" x14ac:dyDescent="0.2">
      <c r="A271" s="3" t="s">
        <v>266</v>
      </c>
      <c r="B271" s="3" t="s">
        <v>267</v>
      </c>
      <c r="C271" s="4">
        <v>35994.629999999997</v>
      </c>
      <c r="D271" s="4">
        <v>35994.629999999997</v>
      </c>
      <c r="E271" s="4">
        <v>0</v>
      </c>
      <c r="F271" s="3" t="s">
        <v>6</v>
      </c>
      <c r="G271" s="3">
        <f>VLOOKUP(B271,'Profit &amp; Loss'!$B$3:$C$390,2,0)</f>
        <v>35994.629999999997</v>
      </c>
    </row>
    <row r="272" spans="1:7" x14ac:dyDescent="0.2">
      <c r="A272" s="3" t="s">
        <v>266</v>
      </c>
      <c r="B272" s="3" t="s">
        <v>542</v>
      </c>
      <c r="C272" s="4">
        <v>70.900000000000006</v>
      </c>
      <c r="D272" s="4">
        <v>70.900000000000006</v>
      </c>
      <c r="E272" s="4">
        <v>0</v>
      </c>
      <c r="F272" s="3" t="s">
        <v>6</v>
      </c>
      <c r="G272" s="3">
        <f>VLOOKUP(B272,'Profit &amp; Loss'!$B$3:$C$390,2,0)</f>
        <v>0</v>
      </c>
    </row>
    <row r="273" spans="1:7" x14ac:dyDescent="0.2">
      <c r="A273" s="3" t="s">
        <v>266</v>
      </c>
      <c r="B273" s="3" t="s">
        <v>270</v>
      </c>
      <c r="C273" s="4">
        <v>1700</v>
      </c>
      <c r="D273" s="4">
        <v>1700</v>
      </c>
      <c r="E273" s="4">
        <v>0</v>
      </c>
      <c r="F273" s="3" t="s">
        <v>6</v>
      </c>
      <c r="G273" s="3">
        <f>VLOOKUP(B273,'Profit &amp; Loss'!$B$3:$C$390,2,0)</f>
        <v>1700</v>
      </c>
    </row>
    <row r="274" spans="1:7" x14ac:dyDescent="0.2">
      <c r="A274" s="3" t="s">
        <v>266</v>
      </c>
      <c r="B274" s="3" t="s">
        <v>271</v>
      </c>
      <c r="C274" s="4">
        <v>1259.51</v>
      </c>
      <c r="D274" s="4">
        <v>1213.56</v>
      </c>
      <c r="E274" s="4">
        <v>45.95</v>
      </c>
      <c r="F274" s="3" t="s">
        <v>483</v>
      </c>
      <c r="G274" s="3">
        <f>VLOOKUP(B274,'Profit &amp; Loss'!$B$3:$C$390,2,0)</f>
        <v>687.98</v>
      </c>
    </row>
    <row r="275" spans="1:7" x14ac:dyDescent="0.2">
      <c r="A275" s="3" t="s">
        <v>266</v>
      </c>
      <c r="B275" s="3" t="s">
        <v>272</v>
      </c>
      <c r="C275" s="4">
        <v>3744.15</v>
      </c>
      <c r="D275" s="4">
        <v>3744.15</v>
      </c>
      <c r="E275" s="4">
        <v>0</v>
      </c>
      <c r="F275" s="3" t="s">
        <v>6</v>
      </c>
      <c r="G275" s="3">
        <f>VLOOKUP(B275,'Profit &amp; Loss'!$B$3:$C$390,2,0)</f>
        <v>3744.15</v>
      </c>
    </row>
    <row r="276" spans="1:7" x14ac:dyDescent="0.2">
      <c r="A276" s="3" t="s">
        <v>266</v>
      </c>
      <c r="B276" s="3" t="s">
        <v>273</v>
      </c>
      <c r="C276" s="4">
        <v>107.78</v>
      </c>
      <c r="D276" s="4">
        <v>107.78</v>
      </c>
      <c r="E276" s="4">
        <v>0</v>
      </c>
      <c r="F276" s="3" t="s">
        <v>6</v>
      </c>
      <c r="G276" s="3">
        <f>VLOOKUP(B276,'Profit &amp; Loss'!$B$3:$C$390,2,0)</f>
        <v>0</v>
      </c>
    </row>
    <row r="277" spans="1:7" x14ac:dyDescent="0.2">
      <c r="A277" s="3" t="s">
        <v>266</v>
      </c>
      <c r="B277" s="3" t="s">
        <v>274</v>
      </c>
      <c r="C277" s="4">
        <v>54.02</v>
      </c>
      <c r="D277" s="4">
        <v>54.02</v>
      </c>
      <c r="E277" s="4">
        <v>0</v>
      </c>
      <c r="F277" s="3" t="s">
        <v>6</v>
      </c>
      <c r="G277" s="3">
        <f>VLOOKUP(B277,'Profit &amp; Loss'!$B$3:$C$390,2,0)</f>
        <v>54.02</v>
      </c>
    </row>
    <row r="278" spans="1:7" x14ac:dyDescent="0.2">
      <c r="A278" s="3" t="s">
        <v>266</v>
      </c>
      <c r="B278" s="3" t="s">
        <v>641</v>
      </c>
      <c r="C278" s="4">
        <v>706.62</v>
      </c>
      <c r="D278" s="4">
        <v>276.83</v>
      </c>
      <c r="E278" s="4">
        <v>429.79</v>
      </c>
      <c r="F278" s="3" t="s">
        <v>1364</v>
      </c>
      <c r="G278" s="3">
        <f>VLOOKUP(B278,'Profit &amp; Loss'!$B$3:$C$390,2,0)</f>
        <v>0</v>
      </c>
    </row>
    <row r="279" spans="1:7" x14ac:dyDescent="0.2">
      <c r="A279" s="3" t="s">
        <v>266</v>
      </c>
      <c r="B279" s="3" t="s">
        <v>275</v>
      </c>
      <c r="C279" s="4">
        <v>-1093.8699999999999</v>
      </c>
      <c r="D279" s="4">
        <v>-1093.8699999999999</v>
      </c>
      <c r="E279" s="4">
        <v>0</v>
      </c>
      <c r="F279" s="3" t="s">
        <v>6</v>
      </c>
      <c r="G279" s="3">
        <f>VLOOKUP(B279,'Profit &amp; Loss'!$B$3:$C$390,2,0)</f>
        <v>270.11</v>
      </c>
    </row>
    <row r="280" spans="1:7" x14ac:dyDescent="0.2">
      <c r="A280" s="3" t="s">
        <v>266</v>
      </c>
      <c r="B280" s="3" t="s">
        <v>276</v>
      </c>
      <c r="C280" s="4">
        <v>1857.54</v>
      </c>
      <c r="D280" s="4">
        <v>1811.59</v>
      </c>
      <c r="E280" s="4">
        <v>45.95</v>
      </c>
      <c r="F280" s="3" t="s">
        <v>534</v>
      </c>
      <c r="G280" s="3">
        <f>VLOOKUP(B280,'Profit &amp; Loss'!$B$3:$C$390,2,0)</f>
        <v>1027.45</v>
      </c>
    </row>
    <row r="281" spans="1:7" x14ac:dyDescent="0.2">
      <c r="A281" s="3" t="s">
        <v>266</v>
      </c>
      <c r="B281" s="3" t="s">
        <v>279</v>
      </c>
      <c r="C281" s="4">
        <v>-994.36</v>
      </c>
      <c r="D281" s="4">
        <v>-994.36</v>
      </c>
      <c r="E281" s="4">
        <v>0</v>
      </c>
      <c r="F281" s="3" t="s">
        <v>6</v>
      </c>
      <c r="G281" s="3">
        <f>VLOOKUP(B281,'Profit &amp; Loss'!$B$3:$C$390,2,0)</f>
        <v>611.70000000000005</v>
      </c>
    </row>
    <row r="282" spans="1:7" x14ac:dyDescent="0.2">
      <c r="A282" s="3" t="s">
        <v>266</v>
      </c>
      <c r="B282" s="3" t="s">
        <v>280</v>
      </c>
      <c r="C282" s="4">
        <v>-1974.34</v>
      </c>
      <c r="D282" s="4">
        <v>-1974.34</v>
      </c>
      <c r="E282" s="4">
        <v>0</v>
      </c>
      <c r="F282" s="3" t="s">
        <v>6</v>
      </c>
      <c r="G282" s="3">
        <f>VLOOKUP(B282,'Profit &amp; Loss'!$B$3:$C$390,2,0)</f>
        <v>0</v>
      </c>
    </row>
    <row r="283" spans="1:7" x14ac:dyDescent="0.2">
      <c r="A283" s="3" t="s">
        <v>266</v>
      </c>
      <c r="B283" s="3" t="s">
        <v>281</v>
      </c>
      <c r="C283" s="4">
        <v>-1251.47</v>
      </c>
      <c r="D283" s="4">
        <v>-1251.47</v>
      </c>
      <c r="E283" s="4">
        <v>0</v>
      </c>
      <c r="F283" s="3" t="s">
        <v>6</v>
      </c>
      <c r="G283" s="3">
        <f>VLOOKUP(B283,'Profit &amp; Loss'!$B$3:$C$390,2,0)</f>
        <v>-195.89</v>
      </c>
    </row>
    <row r="284" spans="1:7" x14ac:dyDescent="0.2">
      <c r="A284" s="3" t="s">
        <v>266</v>
      </c>
      <c r="B284" s="3" t="s">
        <v>282</v>
      </c>
      <c r="C284" s="4">
        <v>-60.88</v>
      </c>
      <c r="D284" s="4">
        <v>-60.88</v>
      </c>
      <c r="E284" s="4">
        <v>0</v>
      </c>
      <c r="F284" s="3" t="s">
        <v>6</v>
      </c>
      <c r="G284" s="3">
        <f>VLOOKUP(B284,'Profit &amp; Loss'!$B$3:$C$390,2,0)</f>
        <v>0</v>
      </c>
    </row>
    <row r="285" spans="1:7" x14ac:dyDescent="0.2">
      <c r="A285" s="3" t="s">
        <v>266</v>
      </c>
      <c r="B285" s="3" t="s">
        <v>829</v>
      </c>
      <c r="C285" s="4">
        <v>-423.26</v>
      </c>
      <c r="D285" s="4">
        <v>-423.26</v>
      </c>
      <c r="E285" s="4">
        <v>0</v>
      </c>
      <c r="F285" s="3" t="s">
        <v>6</v>
      </c>
      <c r="G285" s="3">
        <f>VLOOKUP(B285,'Profit &amp; Loss'!$B$3:$C$390,2,0)</f>
        <v>199.48</v>
      </c>
    </row>
    <row r="286" spans="1:7" x14ac:dyDescent="0.2">
      <c r="A286" s="3" t="s">
        <v>266</v>
      </c>
      <c r="B286" s="3" t="s">
        <v>283</v>
      </c>
      <c r="C286" s="4">
        <v>-1955.09</v>
      </c>
      <c r="D286" s="4">
        <v>-1955.09</v>
      </c>
      <c r="E286" s="4">
        <v>0</v>
      </c>
      <c r="F286" s="3" t="s">
        <v>6</v>
      </c>
      <c r="G286" s="3">
        <f>VLOOKUP(B286,'Profit &amp; Loss'!$B$3:$C$390,2,0)</f>
        <v>1000</v>
      </c>
    </row>
    <row r="287" spans="1:7" x14ac:dyDescent="0.2">
      <c r="A287" s="3" t="s">
        <v>266</v>
      </c>
      <c r="B287" s="3" t="s">
        <v>284</v>
      </c>
      <c r="C287" s="4">
        <v>-455.7</v>
      </c>
      <c r="D287" s="4">
        <v>-455.7</v>
      </c>
      <c r="E287" s="4">
        <v>0</v>
      </c>
      <c r="F287" s="3" t="s">
        <v>6</v>
      </c>
      <c r="G287" s="3">
        <f>VLOOKUP(B287,'Profit &amp; Loss'!$B$3:$C$390,2,0)</f>
        <v>536.67999999999995</v>
      </c>
    </row>
    <row r="288" spans="1:7" x14ac:dyDescent="0.2">
      <c r="A288" s="3" t="s">
        <v>266</v>
      </c>
      <c r="B288" s="3" t="s">
        <v>285</v>
      </c>
      <c r="C288" s="4">
        <v>-400</v>
      </c>
      <c r="D288" s="4">
        <v>-400</v>
      </c>
      <c r="E288" s="4">
        <v>0</v>
      </c>
      <c r="F288" s="3" t="s">
        <v>6</v>
      </c>
      <c r="G288" s="3">
        <f>VLOOKUP(B288,'Profit &amp; Loss'!$B$3:$C$390,2,0)</f>
        <v>200</v>
      </c>
    </row>
    <row r="289" spans="1:7" x14ac:dyDescent="0.2">
      <c r="A289" s="3" t="s">
        <v>266</v>
      </c>
      <c r="B289" s="3" t="s">
        <v>2</v>
      </c>
      <c r="C289" s="4">
        <v>36886.18</v>
      </c>
      <c r="D289" s="4">
        <v>36364.49</v>
      </c>
      <c r="E289" s="4">
        <v>521.69000000000005</v>
      </c>
      <c r="F289" s="3" t="s">
        <v>936</v>
      </c>
      <c r="G289" s="3" t="e">
        <f>VLOOKUP(B289,'Profit &amp; Loss'!$B$3:$C$390,2,0)</f>
        <v>#N/A</v>
      </c>
    </row>
    <row r="290" spans="1:7" x14ac:dyDescent="0.2">
      <c r="A290" s="3" t="s">
        <v>286</v>
      </c>
      <c r="B290" s="3" t="s">
        <v>287</v>
      </c>
      <c r="C290" s="4">
        <v>13066547.380000001</v>
      </c>
      <c r="D290" s="4">
        <v>10025439.02</v>
      </c>
      <c r="E290" s="4">
        <v>3041108.36</v>
      </c>
      <c r="F290" s="3" t="s">
        <v>842</v>
      </c>
      <c r="G290" s="3">
        <f>VLOOKUP(B290,'Profit &amp; Loss'!$B$3:$C$390,2,0)</f>
        <v>3184835.62</v>
      </c>
    </row>
    <row r="291" spans="1:7" x14ac:dyDescent="0.2">
      <c r="A291" s="3" t="s">
        <v>286</v>
      </c>
      <c r="B291" s="3" t="s">
        <v>548</v>
      </c>
      <c r="C291" s="4">
        <v>29156.98</v>
      </c>
      <c r="D291" s="4">
        <v>10335.219999999999</v>
      </c>
      <c r="E291" s="4">
        <v>18821.759999999998</v>
      </c>
      <c r="F291" s="3" t="s">
        <v>1365</v>
      </c>
      <c r="G291" s="3">
        <f>VLOOKUP(B291,'Profit &amp; Loss'!$B$3:$C$390,2,0)</f>
        <v>7169.99</v>
      </c>
    </row>
    <row r="292" spans="1:7" x14ac:dyDescent="0.2">
      <c r="A292" s="3" t="s">
        <v>286</v>
      </c>
      <c r="B292" s="3" t="s">
        <v>288</v>
      </c>
      <c r="C292" s="4">
        <v>355314.38</v>
      </c>
      <c r="D292" s="4">
        <v>78109.86</v>
      </c>
      <c r="E292" s="4">
        <v>277204.52</v>
      </c>
      <c r="F292" s="3" t="s">
        <v>1366</v>
      </c>
      <c r="G292" s="3">
        <f>VLOOKUP(B292,'Profit &amp; Loss'!$B$3:$C$390,2,0)</f>
        <v>28211.14</v>
      </c>
    </row>
    <row r="293" spans="1:7" x14ac:dyDescent="0.2">
      <c r="A293" s="3" t="s">
        <v>286</v>
      </c>
      <c r="B293" s="3" t="s">
        <v>289</v>
      </c>
      <c r="C293" s="4">
        <v>74.48</v>
      </c>
      <c r="D293" s="4">
        <v>66.64</v>
      </c>
      <c r="E293" s="4">
        <v>7.84</v>
      </c>
      <c r="F293" s="3" t="s">
        <v>1338</v>
      </c>
      <c r="G293" s="3">
        <f>VLOOKUP(B293,'Profit &amp; Loss'!$B$3:$C$390,2,0)</f>
        <v>18.079999999999998</v>
      </c>
    </row>
    <row r="294" spans="1:7" x14ac:dyDescent="0.2">
      <c r="A294" s="3" t="s">
        <v>286</v>
      </c>
      <c r="B294" s="3" t="s">
        <v>952</v>
      </c>
      <c r="C294" s="4">
        <v>9771.2099999999991</v>
      </c>
      <c r="D294" s="4">
        <v>9771.2099999999991</v>
      </c>
      <c r="E294" s="4">
        <v>0</v>
      </c>
      <c r="F294" s="3" t="s">
        <v>6</v>
      </c>
      <c r="G294" s="3">
        <f>VLOOKUP(B294,'Profit &amp; Loss'!$B$3:$C$390,2,0)</f>
        <v>8746</v>
      </c>
    </row>
    <row r="295" spans="1:7" x14ac:dyDescent="0.2">
      <c r="A295" s="3" t="s">
        <v>286</v>
      </c>
      <c r="B295" s="3" t="s">
        <v>290</v>
      </c>
      <c r="C295" s="4">
        <v>-92058.55</v>
      </c>
      <c r="D295" s="4">
        <v>44193.69</v>
      </c>
      <c r="E295" s="4">
        <v>-136252.24</v>
      </c>
      <c r="F295" s="3" t="s">
        <v>1367</v>
      </c>
      <c r="G295" s="3">
        <f>VLOOKUP(B295,'Profit &amp; Loss'!$B$3:$C$390,2,0)</f>
        <v>-21923.22</v>
      </c>
    </row>
    <row r="296" spans="1:7" x14ac:dyDescent="0.2">
      <c r="A296" s="3" t="s">
        <v>286</v>
      </c>
      <c r="B296" s="3" t="s">
        <v>291</v>
      </c>
      <c r="C296" s="4">
        <v>-253655.05</v>
      </c>
      <c r="D296" s="4">
        <v>-217464.61</v>
      </c>
      <c r="E296" s="4">
        <v>-36190.44</v>
      </c>
      <c r="F296" s="3" t="s">
        <v>808</v>
      </c>
      <c r="G296" s="3">
        <f>VLOOKUP(B296,'Profit &amp; Loss'!$B$3:$C$390,2,0)</f>
        <v>-107667</v>
      </c>
    </row>
    <row r="297" spans="1:7" x14ac:dyDescent="0.2">
      <c r="A297" s="3" t="s">
        <v>286</v>
      </c>
      <c r="B297" s="3" t="s">
        <v>292</v>
      </c>
      <c r="C297" s="4">
        <v>163589.29</v>
      </c>
      <c r="D297" s="4">
        <v>31726.73</v>
      </c>
      <c r="E297" s="4">
        <v>131862.56</v>
      </c>
      <c r="F297" s="3" t="s">
        <v>1368</v>
      </c>
      <c r="G297" s="3">
        <f>VLOOKUP(B297,'Profit &amp; Loss'!$B$3:$C$390,2,0)</f>
        <v>0</v>
      </c>
    </row>
    <row r="298" spans="1:7" x14ac:dyDescent="0.2">
      <c r="A298" s="3" t="s">
        <v>286</v>
      </c>
      <c r="B298" s="3" t="s">
        <v>293</v>
      </c>
      <c r="C298" s="4">
        <v>168433.87</v>
      </c>
      <c r="D298" s="4">
        <v>168433.87</v>
      </c>
      <c r="E298" s="4">
        <v>0</v>
      </c>
      <c r="F298" s="3" t="s">
        <v>6</v>
      </c>
      <c r="G298" s="3">
        <f>VLOOKUP(B298,'Profit &amp; Loss'!$B$3:$C$390,2,0)</f>
        <v>0</v>
      </c>
    </row>
    <row r="299" spans="1:7" x14ac:dyDescent="0.2">
      <c r="A299" s="3" t="s">
        <v>286</v>
      </c>
      <c r="B299" s="3" t="s">
        <v>294</v>
      </c>
      <c r="C299" s="4">
        <v>1465.22</v>
      </c>
      <c r="D299" s="4">
        <v>1465.22</v>
      </c>
      <c r="E299" s="4">
        <v>0</v>
      </c>
      <c r="F299" s="3" t="s">
        <v>6</v>
      </c>
      <c r="G299" s="3">
        <f>VLOOKUP(B299,'Profit &amp; Loss'!$B$3:$C$390,2,0)</f>
        <v>0</v>
      </c>
    </row>
    <row r="300" spans="1:7" x14ac:dyDescent="0.2">
      <c r="A300" s="3" t="s">
        <v>286</v>
      </c>
      <c r="B300" s="3" t="s">
        <v>296</v>
      </c>
      <c r="C300" s="4">
        <v>-316.08999999999997</v>
      </c>
      <c r="D300" s="4">
        <v>690.13</v>
      </c>
      <c r="E300" s="4">
        <v>-1006.22</v>
      </c>
      <c r="F300" s="3" t="s">
        <v>1369</v>
      </c>
      <c r="G300" s="3">
        <f>VLOOKUP(B300,'Profit &amp; Loss'!$B$3:$C$390,2,0)</f>
        <v>-1015.33</v>
      </c>
    </row>
    <row r="301" spans="1:7" x14ac:dyDescent="0.2">
      <c r="A301" s="3" t="s">
        <v>286</v>
      </c>
      <c r="B301" s="3" t="s">
        <v>2</v>
      </c>
      <c r="C301" s="4">
        <v>13448323.119999999</v>
      </c>
      <c r="D301" s="4">
        <v>10152766.98</v>
      </c>
      <c r="E301" s="4">
        <v>3295556.14</v>
      </c>
      <c r="F301" s="3" t="s">
        <v>1370</v>
      </c>
      <c r="G301" s="3" t="e">
        <f>VLOOKUP(B301,'Profit &amp; Loss'!$B$3:$C$390,2,0)</f>
        <v>#N/A</v>
      </c>
    </row>
    <row r="302" spans="1:7" x14ac:dyDescent="0.2">
      <c r="A302" s="3" t="s">
        <v>297</v>
      </c>
      <c r="B302" s="3" t="s">
        <v>298</v>
      </c>
      <c r="C302" s="4">
        <v>109631.51</v>
      </c>
      <c r="D302" s="4">
        <v>98675.88</v>
      </c>
      <c r="E302" s="4">
        <v>10955.63</v>
      </c>
      <c r="F302" s="3" t="s">
        <v>951</v>
      </c>
      <c r="G302" s="3">
        <f>VLOOKUP(B302,'Profit &amp; Loss'!$B$3:$C$390,2,0)</f>
        <v>28187.67</v>
      </c>
    </row>
    <row r="303" spans="1:7" x14ac:dyDescent="0.2">
      <c r="A303" s="3" t="s">
        <v>297</v>
      </c>
      <c r="B303" s="3" t="s">
        <v>299</v>
      </c>
      <c r="C303" s="4">
        <v>561336.73</v>
      </c>
      <c r="D303" s="4">
        <v>406829.72</v>
      </c>
      <c r="E303" s="4">
        <v>154507.01</v>
      </c>
      <c r="F303" s="3" t="s">
        <v>953</v>
      </c>
      <c r="G303" s="3">
        <f>VLOOKUP(B303,'Profit &amp; Loss'!$B$3:$C$390,2,0)</f>
        <v>111346.46</v>
      </c>
    </row>
    <row r="304" spans="1:7" x14ac:dyDescent="0.2">
      <c r="A304" s="3" t="s">
        <v>297</v>
      </c>
      <c r="B304" s="3" t="s">
        <v>300</v>
      </c>
      <c r="C304" s="4">
        <v>302.95</v>
      </c>
      <c r="D304" s="4">
        <v>286.14</v>
      </c>
      <c r="E304" s="4">
        <v>16.809999999999999</v>
      </c>
      <c r="F304" s="3" t="s">
        <v>1030</v>
      </c>
      <c r="G304" s="3">
        <f>VLOOKUP(B304,'Profit &amp; Loss'!$B$3:$C$390,2,0)</f>
        <v>0</v>
      </c>
    </row>
    <row r="305" spans="1:7" x14ac:dyDescent="0.2">
      <c r="A305" s="3" t="s">
        <v>297</v>
      </c>
      <c r="B305" s="3" t="s">
        <v>2</v>
      </c>
      <c r="C305" s="4">
        <v>671271.19</v>
      </c>
      <c r="D305" s="4">
        <v>505791.74</v>
      </c>
      <c r="E305" s="4">
        <v>165479.45000000001</v>
      </c>
      <c r="F305" s="3" t="s">
        <v>1269</v>
      </c>
      <c r="G305" s="3" t="e">
        <f>VLOOKUP(B305,'Profit &amp; Loss'!$B$3:$C$390,2,0)</f>
        <v>#N/A</v>
      </c>
    </row>
    <row r="306" spans="1:7" x14ac:dyDescent="0.2">
      <c r="A306" s="3" t="s">
        <v>301</v>
      </c>
      <c r="B306" s="3" t="s">
        <v>302</v>
      </c>
      <c r="C306" s="4">
        <v>26512.78</v>
      </c>
      <c r="D306" s="4">
        <v>17551.22</v>
      </c>
      <c r="E306" s="4">
        <v>8961.56</v>
      </c>
      <c r="F306" s="3" t="s">
        <v>1371</v>
      </c>
      <c r="G306" s="3">
        <f>VLOOKUP(B306,'Profit &amp; Loss'!$B$3:$C$390,2,0)</f>
        <v>5793.22</v>
      </c>
    </row>
    <row r="307" spans="1:7" s="18" customFormat="1" x14ac:dyDescent="0.2">
      <c r="A307" s="18" t="s">
        <v>301</v>
      </c>
      <c r="B307" s="18" t="s">
        <v>647</v>
      </c>
      <c r="C307" s="19">
        <v>8266.08</v>
      </c>
      <c r="D307" s="19">
        <v>0</v>
      </c>
      <c r="E307" s="19">
        <v>8266.08</v>
      </c>
      <c r="F307" s="18" t="s">
        <v>2</v>
      </c>
      <c r="G307" s="18">
        <f>VLOOKUP(B307,'Profit &amp; Loss'!$B$3:$C$390,2,0)</f>
        <v>0</v>
      </c>
    </row>
    <row r="308" spans="1:7" x14ac:dyDescent="0.2">
      <c r="A308" s="3" t="s">
        <v>301</v>
      </c>
      <c r="B308" s="3" t="s">
        <v>303</v>
      </c>
      <c r="C308" s="4">
        <v>26321.24</v>
      </c>
      <c r="D308" s="4">
        <v>11258.63</v>
      </c>
      <c r="E308" s="4">
        <v>15062.61</v>
      </c>
      <c r="F308" s="3" t="s">
        <v>1372</v>
      </c>
      <c r="G308" s="3">
        <f>VLOOKUP(B308,'Profit &amp; Loss'!$B$3:$C$390,2,0)</f>
        <v>2303.9899999999998</v>
      </c>
    </row>
    <row r="309" spans="1:7" x14ac:dyDescent="0.2">
      <c r="A309" s="3" t="s">
        <v>301</v>
      </c>
      <c r="B309" s="3" t="s">
        <v>305</v>
      </c>
      <c r="C309" s="4">
        <v>1583.11</v>
      </c>
      <c r="D309" s="4">
        <v>40397.660000000003</v>
      </c>
      <c r="E309" s="4">
        <v>-38814.550000000003</v>
      </c>
      <c r="F309" s="3" t="s">
        <v>1373</v>
      </c>
      <c r="G309" s="3">
        <f>VLOOKUP(B309,'Profit &amp; Loss'!$B$3:$C$390,2,0)</f>
        <v>9337.1200000000008</v>
      </c>
    </row>
    <row r="310" spans="1:7" x14ac:dyDescent="0.2">
      <c r="A310" s="3" t="s">
        <v>301</v>
      </c>
      <c r="B310" s="3" t="s">
        <v>306</v>
      </c>
      <c r="C310" s="4">
        <v>411995.01</v>
      </c>
      <c r="D310" s="4">
        <v>318895.88</v>
      </c>
      <c r="E310" s="4">
        <v>93099.13</v>
      </c>
      <c r="F310" s="3" t="s">
        <v>807</v>
      </c>
      <c r="G310" s="3">
        <f>VLOOKUP(B310,'Profit &amp; Loss'!$B$3:$C$390,2,0)</f>
        <v>86638.62</v>
      </c>
    </row>
    <row r="311" spans="1:7" x14ac:dyDescent="0.2">
      <c r="A311" s="3" t="s">
        <v>301</v>
      </c>
      <c r="B311" s="3" t="s">
        <v>838</v>
      </c>
      <c r="C311" s="4">
        <v>-31</v>
      </c>
      <c r="D311" s="4">
        <v>-31</v>
      </c>
      <c r="E311" s="4">
        <v>0</v>
      </c>
      <c r="F311" s="3" t="s">
        <v>6</v>
      </c>
      <c r="G311" s="3">
        <f>VLOOKUP(B311,'Profit &amp; Loss'!$B$3:$C$390,2,0)</f>
        <v>0</v>
      </c>
    </row>
    <row r="312" spans="1:7" x14ac:dyDescent="0.2">
      <c r="A312" s="3" t="s">
        <v>301</v>
      </c>
      <c r="B312" s="3" t="s">
        <v>307</v>
      </c>
      <c r="C312" s="4">
        <v>734286.53</v>
      </c>
      <c r="D312" s="4">
        <v>472444.54</v>
      </c>
      <c r="E312" s="4">
        <v>261841.99</v>
      </c>
      <c r="F312" s="3" t="s">
        <v>1374</v>
      </c>
      <c r="G312" s="3">
        <f>VLOOKUP(B312,'Profit &amp; Loss'!$B$3:$C$390,2,0)</f>
        <v>155566</v>
      </c>
    </row>
    <row r="313" spans="1:7" x14ac:dyDescent="0.2">
      <c r="A313" s="3" t="s">
        <v>301</v>
      </c>
      <c r="B313" s="3" t="s">
        <v>308</v>
      </c>
      <c r="C313" s="4">
        <v>14036.28</v>
      </c>
      <c r="D313" s="4">
        <v>5356.12</v>
      </c>
      <c r="E313" s="4">
        <v>8680.16</v>
      </c>
      <c r="F313" s="3" t="s">
        <v>1375</v>
      </c>
      <c r="G313" s="3">
        <f>VLOOKUP(B313,'Profit &amp; Loss'!$B$3:$C$390,2,0)</f>
        <v>5356.12</v>
      </c>
    </row>
    <row r="314" spans="1:7" x14ac:dyDescent="0.2">
      <c r="A314" s="3" t="s">
        <v>301</v>
      </c>
      <c r="B314" s="3" t="s">
        <v>2</v>
      </c>
      <c r="C314" s="4">
        <v>1222970.03</v>
      </c>
      <c r="D314" s="4">
        <v>865873.05</v>
      </c>
      <c r="E314" s="4">
        <v>357096.98</v>
      </c>
      <c r="F314" s="3" t="s">
        <v>803</v>
      </c>
      <c r="G314" s="3" t="e">
        <f>VLOOKUP(B314,'Profit &amp; Loss'!$B$3:$C$390,2,0)</f>
        <v>#N/A</v>
      </c>
    </row>
    <row r="315" spans="1:7" x14ac:dyDescent="0.2">
      <c r="A315" s="3" t="s">
        <v>310</v>
      </c>
      <c r="B315" s="3" t="s">
        <v>311</v>
      </c>
      <c r="C315" s="4">
        <v>245449.32</v>
      </c>
      <c r="D315" s="4">
        <v>214158.91</v>
      </c>
      <c r="E315" s="4">
        <v>31290.41</v>
      </c>
      <c r="F315" s="3" t="s">
        <v>722</v>
      </c>
      <c r="G315" s="3">
        <f>VLOOKUP(B315,'Profit &amp; Loss'!$B$3:$C$390,2,0)</f>
        <v>32947.410000000003</v>
      </c>
    </row>
    <row r="316" spans="1:7" x14ac:dyDescent="0.2">
      <c r="A316" s="3" t="s">
        <v>310</v>
      </c>
      <c r="B316" s="3" t="s">
        <v>2</v>
      </c>
      <c r="C316" s="4">
        <v>245449.32</v>
      </c>
      <c r="D316" s="4">
        <v>214158.91</v>
      </c>
      <c r="E316" s="4">
        <v>31290.41</v>
      </c>
      <c r="F316" s="3" t="s">
        <v>722</v>
      </c>
      <c r="G316" s="3" t="e">
        <f>VLOOKUP(B316,'Profit &amp; Loss'!$B$3:$C$390,2,0)</f>
        <v>#N/A</v>
      </c>
    </row>
    <row r="317" spans="1:7" x14ac:dyDescent="0.2">
      <c r="A317" s="3" t="s">
        <v>312</v>
      </c>
      <c r="B317" s="3" t="s">
        <v>2</v>
      </c>
      <c r="C317" s="4">
        <v>15624899.84</v>
      </c>
      <c r="D317" s="4">
        <v>11774955.17</v>
      </c>
      <c r="E317" s="4">
        <v>3849944.67</v>
      </c>
      <c r="F317" s="3" t="s">
        <v>1269</v>
      </c>
      <c r="G317" s="3" t="e">
        <f>VLOOKUP(B317,'Profit &amp; Loss'!$B$3:$C$390,2,0)</f>
        <v>#N/A</v>
      </c>
    </row>
    <row r="318" spans="1:7" x14ac:dyDescent="0.2">
      <c r="A318" s="3" t="s">
        <v>313</v>
      </c>
      <c r="B318" s="3" t="s">
        <v>314</v>
      </c>
      <c r="C318" s="4">
        <v>226357.99</v>
      </c>
      <c r="D318" s="4">
        <v>165690.39000000001</v>
      </c>
      <c r="E318" s="4">
        <v>60667.6</v>
      </c>
      <c r="F318" s="3" t="s">
        <v>489</v>
      </c>
      <c r="G318" s="3">
        <f>VLOOKUP(B318,'Profit &amp; Loss'!$B$3:$C$390,2,0)</f>
        <v>47720.12</v>
      </c>
    </row>
    <row r="319" spans="1:7" x14ac:dyDescent="0.2">
      <c r="A319" s="3" t="s">
        <v>313</v>
      </c>
      <c r="B319" s="3" t="s">
        <v>315</v>
      </c>
      <c r="C319" s="4">
        <v>8763.73</v>
      </c>
      <c r="D319" s="4">
        <v>5784.84</v>
      </c>
      <c r="E319" s="4">
        <v>2978.89</v>
      </c>
      <c r="F319" s="3" t="s">
        <v>591</v>
      </c>
      <c r="G319" s="3">
        <f>VLOOKUP(B319,'Profit &amp; Loss'!$B$3:$C$390,2,0)</f>
        <v>3030.51</v>
      </c>
    </row>
    <row r="320" spans="1:7" x14ac:dyDescent="0.2">
      <c r="A320" s="3" t="s">
        <v>313</v>
      </c>
      <c r="B320" s="3" t="s">
        <v>558</v>
      </c>
      <c r="C320" s="4">
        <v>51303</v>
      </c>
      <c r="D320" s="4">
        <v>1574.29</v>
      </c>
      <c r="E320" s="4">
        <v>49728.71</v>
      </c>
      <c r="F320" s="3" t="s">
        <v>1376</v>
      </c>
      <c r="G320" s="3">
        <f>VLOOKUP(B320,'Profit &amp; Loss'!$B$3:$C$390,2,0)</f>
        <v>0</v>
      </c>
    </row>
    <row r="321" spans="1:7" x14ac:dyDescent="0.2">
      <c r="A321" s="3" t="s">
        <v>313</v>
      </c>
      <c r="B321" s="3" t="s">
        <v>559</v>
      </c>
      <c r="C321" s="4">
        <v>4408.71</v>
      </c>
      <c r="D321" s="4">
        <v>4408.71</v>
      </c>
      <c r="E321" s="4">
        <v>0</v>
      </c>
      <c r="F321" s="3" t="s">
        <v>6</v>
      </c>
      <c r="G321" s="3">
        <f>VLOOKUP(B321,'Profit &amp; Loss'!$B$3:$C$390,2,0)</f>
        <v>3030.51</v>
      </c>
    </row>
    <row r="322" spans="1:7" x14ac:dyDescent="0.2">
      <c r="A322" s="3" t="s">
        <v>313</v>
      </c>
      <c r="B322" s="3" t="s">
        <v>316</v>
      </c>
      <c r="C322" s="4">
        <v>51920.43</v>
      </c>
      <c r="D322" s="4">
        <v>38600.1</v>
      </c>
      <c r="E322" s="4">
        <v>13320.33</v>
      </c>
      <c r="F322" s="3" t="s">
        <v>781</v>
      </c>
      <c r="G322" s="3">
        <f>VLOOKUP(B322,'Profit &amp; Loss'!$B$3:$C$390,2,0)</f>
        <v>21674.33</v>
      </c>
    </row>
    <row r="323" spans="1:7" x14ac:dyDescent="0.2">
      <c r="A323" s="3" t="s">
        <v>313</v>
      </c>
      <c r="B323" s="3" t="s">
        <v>317</v>
      </c>
      <c r="C323" s="4">
        <v>916.29</v>
      </c>
      <c r="D323" s="4">
        <v>717.7</v>
      </c>
      <c r="E323" s="4">
        <v>198.59</v>
      </c>
      <c r="F323" s="3" t="s">
        <v>752</v>
      </c>
      <c r="G323" s="3">
        <f>VLOOKUP(B323,'Profit &amp; Loss'!$B$3:$C$390,2,0)</f>
        <v>423.23</v>
      </c>
    </row>
    <row r="324" spans="1:7" x14ac:dyDescent="0.2">
      <c r="A324" s="3" t="s">
        <v>313</v>
      </c>
      <c r="B324" s="3" t="s">
        <v>318</v>
      </c>
      <c r="C324" s="4">
        <v>61827.37</v>
      </c>
      <c r="D324" s="4">
        <v>28342.91</v>
      </c>
      <c r="E324" s="4">
        <v>33484.46</v>
      </c>
      <c r="F324" s="3" t="s">
        <v>1377</v>
      </c>
      <c r="G324" s="3">
        <f>VLOOKUP(B324,'Profit &amp; Loss'!$B$3:$C$390,2,0)</f>
        <v>12048.91</v>
      </c>
    </row>
    <row r="325" spans="1:7" x14ac:dyDescent="0.2">
      <c r="A325" s="3" t="s">
        <v>313</v>
      </c>
      <c r="B325" s="3" t="s">
        <v>319</v>
      </c>
      <c r="C325" s="4">
        <v>173067.23</v>
      </c>
      <c r="D325" s="4">
        <v>121419.43</v>
      </c>
      <c r="E325" s="4">
        <v>51647.8</v>
      </c>
      <c r="F325" s="3" t="s">
        <v>655</v>
      </c>
      <c r="G325" s="3">
        <f>VLOOKUP(B325,'Profit &amp; Loss'!$B$3:$C$390,2,0)</f>
        <v>40731.18</v>
      </c>
    </row>
    <row r="326" spans="1:7" x14ac:dyDescent="0.2">
      <c r="A326" s="3" t="s">
        <v>313</v>
      </c>
      <c r="B326" s="3" t="s">
        <v>320</v>
      </c>
      <c r="C326" s="4">
        <v>-32281.82</v>
      </c>
      <c r="D326" s="4">
        <v>12357.51</v>
      </c>
      <c r="E326" s="4">
        <v>-44639.33</v>
      </c>
      <c r="F326" s="3" t="s">
        <v>1378</v>
      </c>
      <c r="G326" s="3">
        <f>VLOOKUP(B326,'Profit &amp; Loss'!$B$3:$C$390,2,0)</f>
        <v>4675.82</v>
      </c>
    </row>
    <row r="327" spans="1:7" x14ac:dyDescent="0.2">
      <c r="A327" s="3" t="s">
        <v>313</v>
      </c>
      <c r="B327" s="3" t="s">
        <v>321</v>
      </c>
      <c r="C327" s="4">
        <v>-498735.1</v>
      </c>
      <c r="D327" s="4">
        <v>-376741.97</v>
      </c>
      <c r="E327" s="4">
        <v>-121993.13</v>
      </c>
      <c r="F327" s="3" t="s">
        <v>1026</v>
      </c>
      <c r="G327" s="3">
        <f>VLOOKUP(B327,'Profit &amp; Loss'!$B$3:$C$390,2,0)</f>
        <v>-127447.83</v>
      </c>
    </row>
    <row r="328" spans="1:7" x14ac:dyDescent="0.2">
      <c r="A328" s="3" t="s">
        <v>313</v>
      </c>
      <c r="B328" s="3" t="s">
        <v>841</v>
      </c>
      <c r="C328" s="4">
        <v>692.9</v>
      </c>
      <c r="D328" s="4">
        <v>26848.11</v>
      </c>
      <c r="E328" s="4">
        <v>-26155.21</v>
      </c>
      <c r="F328" s="3" t="s">
        <v>1379</v>
      </c>
      <c r="G328" s="3">
        <f>VLOOKUP(B328,'Profit &amp; Loss'!$B$3:$C$390,2,0)</f>
        <v>-27313.17</v>
      </c>
    </row>
    <row r="329" spans="1:7" x14ac:dyDescent="0.2">
      <c r="A329" s="3" t="s">
        <v>313</v>
      </c>
      <c r="B329" s="3" t="s">
        <v>560</v>
      </c>
      <c r="C329" s="4">
        <v>17199.07</v>
      </c>
      <c r="D329" s="4">
        <v>17199.07</v>
      </c>
      <c r="E329" s="4">
        <v>0</v>
      </c>
      <c r="F329" s="3" t="s">
        <v>6</v>
      </c>
      <c r="G329" s="3">
        <f>VLOOKUP(B329,'Profit &amp; Loss'!$B$3:$C$390,2,0)</f>
        <v>1760.34</v>
      </c>
    </row>
    <row r="330" spans="1:7" x14ac:dyDescent="0.2">
      <c r="A330" s="3" t="s">
        <v>313</v>
      </c>
      <c r="B330" s="3" t="s">
        <v>1085</v>
      </c>
      <c r="C330" s="4">
        <v>575.25</v>
      </c>
      <c r="D330" s="4">
        <v>575.25</v>
      </c>
      <c r="E330" s="4">
        <v>0</v>
      </c>
      <c r="F330" s="3" t="s">
        <v>6</v>
      </c>
      <c r="G330" s="3">
        <f>VLOOKUP(B330,'Profit &amp; Loss'!$B$3:$C$390,2,0)</f>
        <v>0</v>
      </c>
    </row>
    <row r="331" spans="1:7" x14ac:dyDescent="0.2">
      <c r="A331" s="3" t="s">
        <v>313</v>
      </c>
      <c r="B331" s="3" t="s">
        <v>990</v>
      </c>
      <c r="C331" s="4">
        <v>-160.66</v>
      </c>
      <c r="D331" s="4">
        <v>-160.66</v>
      </c>
      <c r="E331" s="4">
        <v>0</v>
      </c>
      <c r="F331" s="3" t="s">
        <v>6</v>
      </c>
      <c r="G331" s="3">
        <f>VLOOKUP(B331,'Profit &amp; Loss'!$B$3:$C$390,2,0)</f>
        <v>-40.28</v>
      </c>
    </row>
    <row r="332" spans="1:7" x14ac:dyDescent="0.2">
      <c r="A332" s="3" t="s">
        <v>313</v>
      </c>
      <c r="B332" s="3" t="s">
        <v>322</v>
      </c>
      <c r="C332" s="4">
        <v>177.76</v>
      </c>
      <c r="D332" s="4">
        <v>153.31</v>
      </c>
      <c r="E332" s="4">
        <v>24.45</v>
      </c>
      <c r="F332" s="3" t="s">
        <v>723</v>
      </c>
      <c r="G332" s="3">
        <f>VLOOKUP(B332,'Profit &amp; Loss'!$B$3:$C$390,2,0)</f>
        <v>2.09</v>
      </c>
    </row>
    <row r="333" spans="1:7" x14ac:dyDescent="0.2">
      <c r="A333" s="3" t="s">
        <v>313</v>
      </c>
      <c r="B333" s="3" t="s">
        <v>652</v>
      </c>
      <c r="C333" s="4">
        <v>111.23</v>
      </c>
      <c r="D333" s="4">
        <v>111.23</v>
      </c>
      <c r="E333" s="4">
        <v>0</v>
      </c>
      <c r="F333" s="3" t="s">
        <v>6</v>
      </c>
      <c r="G333" s="3">
        <f>VLOOKUP(B333,'Profit &amp; Loss'!$B$3:$C$390,2,0)</f>
        <v>35.14</v>
      </c>
    </row>
    <row r="334" spans="1:7" x14ac:dyDescent="0.2">
      <c r="A334" s="3" t="s">
        <v>313</v>
      </c>
      <c r="B334" s="3" t="s">
        <v>323</v>
      </c>
      <c r="C334" s="4">
        <v>7951.32</v>
      </c>
      <c r="D334" s="4">
        <v>7825.89</v>
      </c>
      <c r="E334" s="4">
        <v>125.43</v>
      </c>
      <c r="F334" s="3" t="s">
        <v>861</v>
      </c>
      <c r="G334" s="3">
        <f>VLOOKUP(B334,'Profit &amp; Loss'!$B$3:$C$390,2,0)</f>
        <v>3243.68</v>
      </c>
    </row>
    <row r="335" spans="1:7" x14ac:dyDescent="0.2">
      <c r="A335" s="3" t="s">
        <v>313</v>
      </c>
      <c r="B335" s="3" t="s">
        <v>324</v>
      </c>
      <c r="C335" s="4">
        <v>118811.1</v>
      </c>
      <c r="D335" s="4">
        <v>88693.3</v>
      </c>
      <c r="E335" s="4">
        <v>30117.8</v>
      </c>
      <c r="F335" s="3" t="s">
        <v>760</v>
      </c>
      <c r="G335" s="3">
        <f>VLOOKUP(B335,'Profit &amp; Loss'!$B$3:$C$390,2,0)</f>
        <v>33298</v>
      </c>
    </row>
    <row r="336" spans="1:7" x14ac:dyDescent="0.2">
      <c r="A336" s="3" t="s">
        <v>313</v>
      </c>
      <c r="B336" s="3" t="s">
        <v>913</v>
      </c>
      <c r="C336" s="4">
        <v>118.21</v>
      </c>
      <c r="D336" s="4">
        <v>118.21</v>
      </c>
      <c r="E336" s="4">
        <v>0</v>
      </c>
      <c r="F336" s="3" t="s">
        <v>6</v>
      </c>
      <c r="G336" s="3">
        <f>VLOOKUP(B336,'Profit &amp; Loss'!$B$3:$C$390,2,0)</f>
        <v>0</v>
      </c>
    </row>
    <row r="337" spans="1:7" x14ac:dyDescent="0.2">
      <c r="A337" s="3" t="s">
        <v>313</v>
      </c>
      <c r="B337" s="3" t="s">
        <v>561</v>
      </c>
      <c r="C337" s="4">
        <v>461.45</v>
      </c>
      <c r="D337" s="4">
        <v>402.41</v>
      </c>
      <c r="E337" s="4">
        <v>59.04</v>
      </c>
      <c r="F337" s="3" t="s">
        <v>954</v>
      </c>
      <c r="G337" s="3">
        <f>VLOOKUP(B337,'Profit &amp; Loss'!$B$3:$C$390,2,0)</f>
        <v>0</v>
      </c>
    </row>
    <row r="338" spans="1:7" x14ac:dyDescent="0.2">
      <c r="A338" s="3" t="s">
        <v>313</v>
      </c>
      <c r="B338" s="3" t="s">
        <v>654</v>
      </c>
      <c r="C338" s="4">
        <v>1086.76</v>
      </c>
      <c r="D338" s="4">
        <v>868.82</v>
      </c>
      <c r="E338" s="4">
        <v>217.94</v>
      </c>
      <c r="F338" s="3" t="s">
        <v>850</v>
      </c>
      <c r="G338" s="3">
        <f>VLOOKUP(B338,'Profit &amp; Loss'!$B$3:$C$390,2,0)</f>
        <v>36.44</v>
      </c>
    </row>
    <row r="339" spans="1:7" x14ac:dyDescent="0.2">
      <c r="A339" s="3" t="s">
        <v>313</v>
      </c>
      <c r="B339" s="3" t="s">
        <v>991</v>
      </c>
      <c r="C339" s="4">
        <v>11579.85</v>
      </c>
      <c r="D339" s="4">
        <v>39956.959999999999</v>
      </c>
      <c r="E339" s="4">
        <v>-28377.11</v>
      </c>
      <c r="F339" s="3" t="s">
        <v>1380</v>
      </c>
      <c r="G339" s="3">
        <f>VLOOKUP(B339,'Profit &amp; Loss'!$B$3:$C$390,2,0)</f>
        <v>-28825.55</v>
      </c>
    </row>
    <row r="340" spans="1:7" x14ac:dyDescent="0.2">
      <c r="A340" s="3" t="s">
        <v>313</v>
      </c>
      <c r="B340" s="3" t="s">
        <v>326</v>
      </c>
      <c r="C340" s="4">
        <v>14629.13</v>
      </c>
      <c r="D340" s="4">
        <v>16855.45</v>
      </c>
      <c r="E340" s="4">
        <v>-2226.3200000000002</v>
      </c>
      <c r="F340" s="3" t="s">
        <v>620</v>
      </c>
      <c r="G340" s="3">
        <f>VLOOKUP(B340,'Profit &amp; Loss'!$B$3:$C$390,2,0)</f>
        <v>-435.68</v>
      </c>
    </row>
    <row r="341" spans="1:7" x14ac:dyDescent="0.2">
      <c r="A341" s="3" t="s">
        <v>313</v>
      </c>
      <c r="B341" s="3" t="s">
        <v>1254</v>
      </c>
      <c r="C341" s="4">
        <v>124.19</v>
      </c>
      <c r="D341" s="4">
        <v>124.19</v>
      </c>
      <c r="E341" s="4">
        <v>0</v>
      </c>
      <c r="F341" s="3" t="s">
        <v>6</v>
      </c>
      <c r="G341" s="3">
        <f>VLOOKUP(B341,'Profit &amp; Loss'!$B$3:$C$390,2,0)</f>
        <v>0</v>
      </c>
    </row>
    <row r="342" spans="1:7" x14ac:dyDescent="0.2">
      <c r="A342" s="3" t="s">
        <v>313</v>
      </c>
      <c r="B342" s="3" t="s">
        <v>327</v>
      </c>
      <c r="C342" s="4">
        <v>429.3</v>
      </c>
      <c r="D342" s="4">
        <v>286.14</v>
      </c>
      <c r="E342" s="4">
        <v>143.16</v>
      </c>
      <c r="F342" s="3" t="s">
        <v>688</v>
      </c>
      <c r="G342" s="3">
        <f>VLOOKUP(B342,'Profit &amp; Loss'!$B$3:$C$390,2,0)</f>
        <v>286.14</v>
      </c>
    </row>
    <row r="343" spans="1:7" x14ac:dyDescent="0.2">
      <c r="A343" s="3" t="s">
        <v>313</v>
      </c>
      <c r="B343" s="3" t="s">
        <v>328</v>
      </c>
      <c r="C343" s="4">
        <v>-1662.77</v>
      </c>
      <c r="D343" s="4">
        <v>-1662.77</v>
      </c>
      <c r="E343" s="4">
        <v>0</v>
      </c>
      <c r="F343" s="3" t="s">
        <v>6</v>
      </c>
      <c r="G343" s="3">
        <f>VLOOKUP(B343,'Profit &amp; Loss'!$B$3:$C$390,2,0)</f>
        <v>-756.63</v>
      </c>
    </row>
    <row r="344" spans="1:7" x14ac:dyDescent="0.2">
      <c r="A344" s="3" t="s">
        <v>313</v>
      </c>
      <c r="B344" s="3" t="s">
        <v>656</v>
      </c>
      <c r="C344" s="4">
        <v>18511</v>
      </c>
      <c r="D344" s="4">
        <v>21443.759999999998</v>
      </c>
      <c r="E344" s="4">
        <v>-2932.76</v>
      </c>
      <c r="F344" s="3" t="s">
        <v>875</v>
      </c>
      <c r="G344" s="3">
        <f>VLOOKUP(B344,'Profit &amp; Loss'!$B$3:$C$390,2,0)</f>
        <v>0</v>
      </c>
    </row>
    <row r="345" spans="1:7" x14ac:dyDescent="0.2">
      <c r="A345" s="3" t="s">
        <v>313</v>
      </c>
      <c r="B345" s="3" t="s">
        <v>329</v>
      </c>
      <c r="C345" s="4">
        <v>19364.560000000001</v>
      </c>
      <c r="D345" s="4">
        <v>14130.63</v>
      </c>
      <c r="E345" s="4">
        <v>5233.93</v>
      </c>
      <c r="F345" s="3" t="s">
        <v>1381</v>
      </c>
      <c r="G345" s="3">
        <f>VLOOKUP(B345,'Profit &amp; Loss'!$B$3:$C$390,2,0)</f>
        <v>6174.84</v>
      </c>
    </row>
    <row r="346" spans="1:7" x14ac:dyDescent="0.2">
      <c r="A346" s="3" t="s">
        <v>313</v>
      </c>
      <c r="B346" s="3" t="s">
        <v>330</v>
      </c>
      <c r="C346" s="4">
        <v>5479.33</v>
      </c>
      <c r="D346" s="4">
        <v>3882.95</v>
      </c>
      <c r="E346" s="4">
        <v>1596.38</v>
      </c>
      <c r="F346" s="3" t="s">
        <v>580</v>
      </c>
      <c r="G346" s="3">
        <f>VLOOKUP(B346,'Profit &amp; Loss'!$B$3:$C$390,2,0)</f>
        <v>890.78</v>
      </c>
    </row>
    <row r="347" spans="1:7" x14ac:dyDescent="0.2">
      <c r="A347" s="3" t="s">
        <v>313</v>
      </c>
      <c r="B347" s="3" t="s">
        <v>331</v>
      </c>
      <c r="C347" s="4">
        <v>19037.52</v>
      </c>
      <c r="D347" s="4">
        <v>11776.82</v>
      </c>
      <c r="E347" s="4">
        <v>7260.7</v>
      </c>
      <c r="F347" s="3" t="s">
        <v>998</v>
      </c>
      <c r="G347" s="3">
        <f>VLOOKUP(B347,'Profit &amp; Loss'!$B$3:$C$390,2,0)</f>
        <v>-3008.88</v>
      </c>
    </row>
    <row r="348" spans="1:7" x14ac:dyDescent="0.2">
      <c r="A348" s="3" t="s">
        <v>313</v>
      </c>
      <c r="B348" s="3" t="s">
        <v>332</v>
      </c>
      <c r="C348" s="4">
        <v>186.42</v>
      </c>
      <c r="D348" s="4">
        <v>186.42</v>
      </c>
      <c r="E348" s="4">
        <v>0</v>
      </c>
      <c r="F348" s="3" t="s">
        <v>6</v>
      </c>
      <c r="G348" s="3">
        <f>VLOOKUP(B348,'Profit &amp; Loss'!$B$3:$C$390,2,0)</f>
        <v>24.68</v>
      </c>
    </row>
    <row r="349" spans="1:7" x14ac:dyDescent="0.2">
      <c r="A349" s="3" t="s">
        <v>313</v>
      </c>
      <c r="B349" s="3" t="s">
        <v>657</v>
      </c>
      <c r="C349" s="4">
        <v>112786.75</v>
      </c>
      <c r="D349" s="4">
        <v>66385.83</v>
      </c>
      <c r="E349" s="4">
        <v>46400.92</v>
      </c>
      <c r="F349" s="3" t="s">
        <v>763</v>
      </c>
      <c r="G349" s="3">
        <f>VLOOKUP(B349,'Profit &amp; Loss'!$B$3:$C$390,2,0)</f>
        <v>0</v>
      </c>
    </row>
    <row r="350" spans="1:7" x14ac:dyDescent="0.2">
      <c r="A350" s="3" t="s">
        <v>313</v>
      </c>
      <c r="B350" s="3" t="s">
        <v>333</v>
      </c>
      <c r="C350" s="4">
        <v>9523.68</v>
      </c>
      <c r="D350" s="4">
        <v>7724.36</v>
      </c>
      <c r="E350" s="4">
        <v>1799.32</v>
      </c>
      <c r="F350" s="3" t="s">
        <v>832</v>
      </c>
      <c r="G350" s="3">
        <f>VLOOKUP(B350,'Profit &amp; Loss'!$B$3:$C$390,2,0)</f>
        <v>3308.5</v>
      </c>
    </row>
    <row r="351" spans="1:7" x14ac:dyDescent="0.2">
      <c r="A351" s="3" t="s">
        <v>313</v>
      </c>
      <c r="B351" s="3" t="s">
        <v>2</v>
      </c>
      <c r="C351" s="4">
        <v>404561.18</v>
      </c>
      <c r="D351" s="4">
        <v>325879.59000000003</v>
      </c>
      <c r="E351" s="4">
        <v>78681.59</v>
      </c>
      <c r="F351" s="3" t="s">
        <v>1382</v>
      </c>
      <c r="G351" s="3" t="e">
        <f>VLOOKUP(B351,'Profit &amp; Loss'!$B$3:$C$390,2,0)</f>
        <v>#N/A</v>
      </c>
    </row>
    <row r="352" spans="1:7" x14ac:dyDescent="0.2">
      <c r="A352" s="3" t="s">
        <v>334</v>
      </c>
      <c r="B352" s="3" t="s">
        <v>335</v>
      </c>
      <c r="C352" s="4">
        <v>298417.98</v>
      </c>
      <c r="D352" s="4">
        <v>223733.47</v>
      </c>
      <c r="E352" s="4">
        <v>74684.509999999995</v>
      </c>
      <c r="F352" s="3" t="s">
        <v>758</v>
      </c>
      <c r="G352" s="3">
        <f>VLOOKUP(B352,'Profit &amp; Loss'!$B$3:$C$390,2,0)</f>
        <v>55035.39</v>
      </c>
    </row>
    <row r="353" spans="1:7" x14ac:dyDescent="0.2">
      <c r="A353" s="3" t="s">
        <v>334</v>
      </c>
      <c r="B353" s="3" t="s">
        <v>562</v>
      </c>
      <c r="C353" s="4">
        <v>66390.5</v>
      </c>
      <c r="D353" s="4">
        <v>850.38</v>
      </c>
      <c r="E353" s="4">
        <v>65540.12</v>
      </c>
      <c r="F353" s="3" t="s">
        <v>1383</v>
      </c>
      <c r="G353" s="3">
        <f>VLOOKUP(B353,'Profit &amp; Loss'!$B$3:$C$390,2,0)</f>
        <v>0</v>
      </c>
    </row>
    <row r="354" spans="1:7" x14ac:dyDescent="0.2">
      <c r="A354" s="3" t="s">
        <v>334</v>
      </c>
      <c r="B354" s="3" t="s">
        <v>336</v>
      </c>
      <c r="C354" s="4">
        <v>-41520.29</v>
      </c>
      <c r="D354" s="4">
        <v>17796.150000000001</v>
      </c>
      <c r="E354" s="4">
        <v>-59316.44</v>
      </c>
      <c r="F354" s="3" t="s">
        <v>1384</v>
      </c>
      <c r="G354" s="3">
        <f>VLOOKUP(B354,'Profit &amp; Loss'!$B$3:$C$390,2,0)</f>
        <v>5279.69</v>
      </c>
    </row>
    <row r="355" spans="1:7" x14ac:dyDescent="0.2">
      <c r="A355" s="3" t="s">
        <v>334</v>
      </c>
      <c r="B355" s="3" t="s">
        <v>337</v>
      </c>
      <c r="C355" s="4">
        <v>13441.33</v>
      </c>
      <c r="D355" s="4">
        <v>6612.51</v>
      </c>
      <c r="E355" s="4">
        <v>6828.82</v>
      </c>
      <c r="F355" s="3" t="s">
        <v>905</v>
      </c>
      <c r="G355" s="3">
        <f>VLOOKUP(B355,'Profit &amp; Loss'!$B$3:$C$390,2,0)</f>
        <v>2800.93</v>
      </c>
    </row>
    <row r="356" spans="1:7" x14ac:dyDescent="0.2">
      <c r="A356" s="3" t="s">
        <v>334</v>
      </c>
      <c r="B356" s="3" t="s">
        <v>338</v>
      </c>
      <c r="C356" s="4">
        <v>85637.59</v>
      </c>
      <c r="D356" s="4">
        <v>75381.509999999995</v>
      </c>
      <c r="E356" s="4">
        <v>10256.08</v>
      </c>
      <c r="F356" s="3" t="s">
        <v>570</v>
      </c>
      <c r="G356" s="3">
        <f>VLOOKUP(B356,'Profit &amp; Loss'!$B$3:$C$390,2,0)</f>
        <v>17648.05</v>
      </c>
    </row>
    <row r="357" spans="1:7" x14ac:dyDescent="0.2">
      <c r="A357" s="3" t="s">
        <v>334</v>
      </c>
      <c r="B357" s="3" t="s">
        <v>563</v>
      </c>
      <c r="C357" s="4">
        <v>165.75</v>
      </c>
      <c r="D357" s="4">
        <v>165.75</v>
      </c>
      <c r="E357" s="4">
        <v>0</v>
      </c>
      <c r="F357" s="3" t="s">
        <v>6</v>
      </c>
      <c r="G357" s="3">
        <f>VLOOKUP(B357,'Profit &amp; Loss'!$B$3:$C$390,2,0)</f>
        <v>0</v>
      </c>
    </row>
    <row r="358" spans="1:7" x14ac:dyDescent="0.2">
      <c r="A358" s="3" t="s">
        <v>334</v>
      </c>
      <c r="B358" s="3" t="s">
        <v>339</v>
      </c>
      <c r="C358" s="4">
        <v>11359.6</v>
      </c>
      <c r="D358" s="4">
        <v>9391.1</v>
      </c>
      <c r="E358" s="4">
        <v>1968.5</v>
      </c>
      <c r="F358" s="3" t="s">
        <v>930</v>
      </c>
      <c r="G358" s="3">
        <f>VLOOKUP(B358,'Profit &amp; Loss'!$B$3:$C$390,2,0)</f>
        <v>4180.01</v>
      </c>
    </row>
    <row r="359" spans="1:7" s="18" customFormat="1" x14ac:dyDescent="0.2">
      <c r="A359" s="18" t="s">
        <v>334</v>
      </c>
      <c r="B359" s="18" t="s">
        <v>768</v>
      </c>
      <c r="C359" s="19">
        <v>96267.16</v>
      </c>
      <c r="D359" s="19">
        <v>0</v>
      </c>
      <c r="E359" s="19">
        <v>96267.16</v>
      </c>
      <c r="F359" s="18" t="s">
        <v>2</v>
      </c>
      <c r="G359" s="18">
        <f>VLOOKUP(B359,'Profit &amp; Loss'!$B$3:$C$390,2,0)</f>
        <v>0</v>
      </c>
    </row>
    <row r="360" spans="1:7" x14ac:dyDescent="0.2">
      <c r="A360" s="3" t="s">
        <v>334</v>
      </c>
      <c r="B360" s="3" t="s">
        <v>340</v>
      </c>
      <c r="C360" s="4">
        <v>-46526.68</v>
      </c>
      <c r="D360" s="4">
        <v>37293.06</v>
      </c>
      <c r="E360" s="4">
        <v>-83819.740000000005</v>
      </c>
      <c r="F360" s="3" t="s">
        <v>1385</v>
      </c>
      <c r="G360" s="3">
        <f>VLOOKUP(B360,'Profit &amp; Loss'!$B$3:$C$390,2,0)</f>
        <v>10559.39</v>
      </c>
    </row>
    <row r="361" spans="1:7" x14ac:dyDescent="0.2">
      <c r="A361" s="3" t="s">
        <v>334</v>
      </c>
      <c r="B361" s="3" t="s">
        <v>341</v>
      </c>
      <c r="C361" s="4">
        <v>61169.2</v>
      </c>
      <c r="D361" s="4">
        <v>52029.57</v>
      </c>
      <c r="E361" s="4">
        <v>9139.6299999999992</v>
      </c>
      <c r="F361" s="3" t="s">
        <v>660</v>
      </c>
      <c r="G361" s="3">
        <f>VLOOKUP(B361,'Profit &amp; Loss'!$B$3:$C$390,2,0)</f>
        <v>18487.189999999999</v>
      </c>
    </row>
    <row r="362" spans="1:7" x14ac:dyDescent="0.2">
      <c r="A362" s="3" t="s">
        <v>334</v>
      </c>
      <c r="B362" s="3" t="s">
        <v>342</v>
      </c>
      <c r="C362" s="4">
        <v>3822.27</v>
      </c>
      <c r="D362" s="4">
        <v>3822.27</v>
      </c>
      <c r="E362" s="4">
        <v>0</v>
      </c>
      <c r="F362" s="3" t="s">
        <v>6</v>
      </c>
      <c r="G362" s="3">
        <f>VLOOKUP(B362,'Profit &amp; Loss'!$B$3:$C$390,2,0)</f>
        <v>2577.34</v>
      </c>
    </row>
    <row r="363" spans="1:7" x14ac:dyDescent="0.2">
      <c r="A363" s="3" t="s">
        <v>334</v>
      </c>
      <c r="B363" s="3" t="s">
        <v>566</v>
      </c>
      <c r="C363" s="4">
        <v>244.29</v>
      </c>
      <c r="D363" s="4">
        <v>244.29</v>
      </c>
      <c r="E363" s="4">
        <v>0</v>
      </c>
      <c r="F363" s="3" t="s">
        <v>6</v>
      </c>
      <c r="G363" s="3">
        <f>VLOOKUP(B363,'Profit &amp; Loss'!$B$3:$C$390,2,0)</f>
        <v>0</v>
      </c>
    </row>
    <row r="364" spans="1:7" x14ac:dyDescent="0.2">
      <c r="A364" s="3" t="s">
        <v>334</v>
      </c>
      <c r="B364" s="3" t="s">
        <v>343</v>
      </c>
      <c r="C364" s="4">
        <v>8045.43</v>
      </c>
      <c r="D364" s="4">
        <v>5203.82</v>
      </c>
      <c r="E364" s="4">
        <v>2841.61</v>
      </c>
      <c r="F364" s="3" t="s">
        <v>1386</v>
      </c>
      <c r="G364" s="3">
        <f>VLOOKUP(B364,'Profit &amp; Loss'!$B$3:$C$390,2,0)</f>
        <v>-203.37</v>
      </c>
    </row>
    <row r="365" spans="1:7" x14ac:dyDescent="0.2">
      <c r="A365" s="3" t="s">
        <v>334</v>
      </c>
      <c r="B365" s="3" t="s">
        <v>992</v>
      </c>
      <c r="C365" s="4">
        <v>733.43</v>
      </c>
      <c r="D365" s="4">
        <v>733.43</v>
      </c>
      <c r="E365" s="4">
        <v>0</v>
      </c>
      <c r="F365" s="3" t="s">
        <v>6</v>
      </c>
      <c r="G365" s="3">
        <f>VLOOKUP(B365,'Profit &amp; Loss'!$B$3:$C$390,2,0)</f>
        <v>733.43</v>
      </c>
    </row>
    <row r="366" spans="1:7" x14ac:dyDescent="0.2">
      <c r="A366" s="3" t="s">
        <v>334</v>
      </c>
      <c r="B366" s="3" t="s">
        <v>345</v>
      </c>
      <c r="C366" s="4">
        <v>54696.52</v>
      </c>
      <c r="D366" s="4">
        <v>40201.43</v>
      </c>
      <c r="E366" s="4">
        <v>14495.09</v>
      </c>
      <c r="F366" s="3" t="s">
        <v>1387</v>
      </c>
      <c r="G366" s="3">
        <f>VLOOKUP(B366,'Profit &amp; Loss'!$B$3:$C$390,2,0)</f>
        <v>11989.03</v>
      </c>
    </row>
    <row r="367" spans="1:7" x14ac:dyDescent="0.2">
      <c r="A367" s="3" t="s">
        <v>334</v>
      </c>
      <c r="B367" s="3" t="s">
        <v>346</v>
      </c>
      <c r="C367" s="4">
        <v>19487.77</v>
      </c>
      <c r="D367" s="4">
        <v>14464.77</v>
      </c>
      <c r="E367" s="4">
        <v>5023</v>
      </c>
      <c r="F367" s="3" t="s">
        <v>757</v>
      </c>
      <c r="G367" s="3">
        <f>VLOOKUP(B367,'Profit &amp; Loss'!$B$3:$C$390,2,0)</f>
        <v>4420.24</v>
      </c>
    </row>
    <row r="368" spans="1:7" x14ac:dyDescent="0.2">
      <c r="A368" s="3" t="s">
        <v>334</v>
      </c>
      <c r="B368" s="3" t="s">
        <v>347</v>
      </c>
      <c r="C368" s="4">
        <v>9429.3700000000008</v>
      </c>
      <c r="D368" s="4">
        <v>6979.84</v>
      </c>
      <c r="E368" s="4">
        <v>2449.5300000000002</v>
      </c>
      <c r="F368" s="3" t="s">
        <v>550</v>
      </c>
      <c r="G368" s="3">
        <f>VLOOKUP(B368,'Profit &amp; Loss'!$B$3:$C$390,2,0)</f>
        <v>2182.88</v>
      </c>
    </row>
    <row r="369" spans="1:7" x14ac:dyDescent="0.2">
      <c r="A369" s="3" t="s">
        <v>334</v>
      </c>
      <c r="B369" s="3" t="s">
        <v>348</v>
      </c>
      <c r="C369" s="4">
        <v>26534.28</v>
      </c>
      <c r="D369" s="4">
        <v>19814.89</v>
      </c>
      <c r="E369" s="4">
        <v>6719.39</v>
      </c>
      <c r="F369" s="3" t="s">
        <v>932</v>
      </c>
      <c r="G369" s="3">
        <f>VLOOKUP(B369,'Profit &amp; Loss'!$B$3:$C$390,2,0)</f>
        <v>5823.94</v>
      </c>
    </row>
    <row r="370" spans="1:7" x14ac:dyDescent="0.2">
      <c r="A370" s="3" t="s">
        <v>334</v>
      </c>
      <c r="B370" s="3" t="s">
        <v>349</v>
      </c>
      <c r="C370" s="4">
        <v>19168.580000000002</v>
      </c>
      <c r="D370" s="4">
        <v>14401.51</v>
      </c>
      <c r="E370" s="4">
        <v>4767.07</v>
      </c>
      <c r="F370" s="3" t="s">
        <v>613</v>
      </c>
      <c r="G370" s="3">
        <f>VLOOKUP(B370,'Profit &amp; Loss'!$B$3:$C$390,2,0)</f>
        <v>3750.29</v>
      </c>
    </row>
    <row r="371" spans="1:7" x14ac:dyDescent="0.2">
      <c r="A371" s="3" t="s">
        <v>334</v>
      </c>
      <c r="B371" s="3" t="s">
        <v>350</v>
      </c>
      <c r="C371" s="4">
        <v>15844.25</v>
      </c>
      <c r="D371" s="4">
        <v>12876.71</v>
      </c>
      <c r="E371" s="4">
        <v>2967.54</v>
      </c>
      <c r="F371" s="3" t="s">
        <v>848</v>
      </c>
      <c r="G371" s="3">
        <f>VLOOKUP(B371,'Profit &amp; Loss'!$B$3:$C$390,2,0)</f>
        <v>5549.93</v>
      </c>
    </row>
    <row r="372" spans="1:7" x14ac:dyDescent="0.2">
      <c r="A372" s="3" t="s">
        <v>334</v>
      </c>
      <c r="B372" s="3" t="s">
        <v>351</v>
      </c>
      <c r="C372" s="4">
        <v>26407.71</v>
      </c>
      <c r="D372" s="4">
        <v>12003.18</v>
      </c>
      <c r="E372" s="4">
        <v>14404.53</v>
      </c>
      <c r="F372" s="3" t="s">
        <v>1388</v>
      </c>
      <c r="G372" s="3">
        <f>VLOOKUP(B372,'Profit &amp; Loss'!$B$3:$C$390,2,0)</f>
        <v>4678.2299999999996</v>
      </c>
    </row>
    <row r="373" spans="1:7" x14ac:dyDescent="0.2">
      <c r="A373" s="3" t="s">
        <v>334</v>
      </c>
      <c r="B373" s="3" t="s">
        <v>352</v>
      </c>
      <c r="C373" s="4">
        <v>2017.81</v>
      </c>
      <c r="D373" s="4">
        <v>1727.94</v>
      </c>
      <c r="E373" s="4">
        <v>289.87</v>
      </c>
      <c r="F373" s="3" t="s">
        <v>962</v>
      </c>
      <c r="G373" s="3">
        <f>VLOOKUP(B373,'Profit &amp; Loss'!$B$3:$C$390,2,0)</f>
        <v>1184.21</v>
      </c>
    </row>
    <row r="374" spans="1:7" x14ac:dyDescent="0.2">
      <c r="A374" s="3" t="s">
        <v>334</v>
      </c>
      <c r="B374" s="3" t="s">
        <v>569</v>
      </c>
      <c r="C374" s="4">
        <v>1610.04</v>
      </c>
      <c r="D374" s="4">
        <v>1610.04</v>
      </c>
      <c r="E374" s="4">
        <v>0</v>
      </c>
      <c r="F374" s="3" t="s">
        <v>6</v>
      </c>
      <c r="G374" s="3">
        <f>VLOOKUP(B374,'Profit &amp; Loss'!$B$3:$C$390,2,0)</f>
        <v>1388.56</v>
      </c>
    </row>
    <row r="375" spans="1:7" x14ac:dyDescent="0.2">
      <c r="A375" s="3" t="s">
        <v>334</v>
      </c>
      <c r="B375" s="3" t="s">
        <v>667</v>
      </c>
      <c r="C375" s="4">
        <v>1088.68</v>
      </c>
      <c r="D375" s="4">
        <v>545.04</v>
      </c>
      <c r="E375" s="4">
        <v>543.64</v>
      </c>
      <c r="F375" s="3" t="s">
        <v>1241</v>
      </c>
      <c r="G375" s="3">
        <f>VLOOKUP(B375,'Profit &amp; Loss'!$B$3:$C$390,2,0)</f>
        <v>0</v>
      </c>
    </row>
    <row r="376" spans="1:7" x14ac:dyDescent="0.2">
      <c r="A376" s="3" t="s">
        <v>334</v>
      </c>
      <c r="B376" s="3" t="s">
        <v>353</v>
      </c>
      <c r="C376" s="4">
        <v>7700.06</v>
      </c>
      <c r="D376" s="4">
        <v>5477.98</v>
      </c>
      <c r="E376" s="4">
        <v>2222.08</v>
      </c>
      <c r="F376" s="3" t="s">
        <v>922</v>
      </c>
      <c r="G376" s="3">
        <f>VLOOKUP(B376,'Profit &amp; Loss'!$B$3:$C$390,2,0)</f>
        <v>1304.8699999999999</v>
      </c>
    </row>
    <row r="377" spans="1:7" s="18" customFormat="1" x14ac:dyDescent="0.2">
      <c r="A377" s="18" t="s">
        <v>334</v>
      </c>
      <c r="B377" s="18" t="s">
        <v>772</v>
      </c>
      <c r="C377" s="19">
        <v>582.23</v>
      </c>
      <c r="D377" s="19">
        <v>0</v>
      </c>
      <c r="E377" s="19">
        <v>582.23</v>
      </c>
      <c r="F377" s="18" t="s">
        <v>2</v>
      </c>
      <c r="G377" s="18">
        <f>VLOOKUP(B377,'Profit &amp; Loss'!$B$3:$C$390,2,0)</f>
        <v>0</v>
      </c>
    </row>
    <row r="378" spans="1:7" x14ac:dyDescent="0.2">
      <c r="A378" s="3" t="s">
        <v>334</v>
      </c>
      <c r="B378" s="3" t="s">
        <v>354</v>
      </c>
      <c r="C378" s="4">
        <v>2844.16</v>
      </c>
      <c r="D378" s="4">
        <v>2111.08</v>
      </c>
      <c r="E378" s="4">
        <v>733.08</v>
      </c>
      <c r="F378" s="3" t="s">
        <v>757</v>
      </c>
      <c r="G378" s="3">
        <f>VLOOKUP(B378,'Profit &amp; Loss'!$B$3:$C$390,2,0)</f>
        <v>645.12</v>
      </c>
    </row>
    <row r="379" spans="1:7" x14ac:dyDescent="0.2">
      <c r="A379" s="3" t="s">
        <v>334</v>
      </c>
      <c r="B379" s="3" t="s">
        <v>355</v>
      </c>
      <c r="C379" s="4">
        <v>19306.7</v>
      </c>
      <c r="D379" s="4">
        <v>14242.49</v>
      </c>
      <c r="E379" s="4">
        <v>5064.21</v>
      </c>
      <c r="F379" s="3" t="s">
        <v>735</v>
      </c>
      <c r="G379" s="3">
        <f>VLOOKUP(B379,'Profit &amp; Loss'!$B$3:$C$390,2,0)</f>
        <v>4654.41</v>
      </c>
    </row>
    <row r="380" spans="1:7" x14ac:dyDescent="0.2">
      <c r="A380" s="3" t="s">
        <v>334</v>
      </c>
      <c r="B380" s="3" t="s">
        <v>356</v>
      </c>
      <c r="C380" s="4">
        <v>169.68</v>
      </c>
      <c r="D380" s="4">
        <v>485.3</v>
      </c>
      <c r="E380" s="4">
        <v>-315.62</v>
      </c>
      <c r="F380" s="3" t="s">
        <v>535</v>
      </c>
      <c r="G380" s="3">
        <f>VLOOKUP(B380,'Profit &amp; Loss'!$B$3:$C$390,2,0)</f>
        <v>164.53</v>
      </c>
    </row>
    <row r="381" spans="1:7" x14ac:dyDescent="0.2">
      <c r="A381" s="3" t="s">
        <v>334</v>
      </c>
      <c r="B381" s="3" t="s">
        <v>357</v>
      </c>
      <c r="C381" s="4">
        <v>7244.43</v>
      </c>
      <c r="D381" s="4">
        <v>6334.75</v>
      </c>
      <c r="E381" s="4">
        <v>909.68</v>
      </c>
      <c r="F381" s="3" t="s">
        <v>955</v>
      </c>
      <c r="G381" s="3">
        <f>VLOOKUP(B381,'Profit &amp; Loss'!$B$3:$C$390,2,0)</f>
        <v>1147.27</v>
      </c>
    </row>
    <row r="382" spans="1:7" x14ac:dyDescent="0.2">
      <c r="A382" s="3" t="s">
        <v>334</v>
      </c>
      <c r="B382" s="3" t="s">
        <v>920</v>
      </c>
      <c r="C382" s="4">
        <v>6178.53</v>
      </c>
      <c r="D382" s="4">
        <v>6178.53</v>
      </c>
      <c r="E382" s="4">
        <v>0</v>
      </c>
      <c r="F382" s="3" t="s">
        <v>6</v>
      </c>
      <c r="G382" s="3">
        <f>VLOOKUP(B382,'Profit &amp; Loss'!$B$3:$C$390,2,0)</f>
        <v>0</v>
      </c>
    </row>
    <row r="383" spans="1:7" x14ac:dyDescent="0.2">
      <c r="A383" s="3" t="s">
        <v>334</v>
      </c>
      <c r="B383" s="3" t="s">
        <v>358</v>
      </c>
      <c r="C383" s="4">
        <v>6729.2</v>
      </c>
      <c r="D383" s="4">
        <v>5414.26</v>
      </c>
      <c r="E383" s="4">
        <v>1314.94</v>
      </c>
      <c r="F383" s="3" t="s">
        <v>775</v>
      </c>
      <c r="G383" s="3">
        <f>VLOOKUP(B383,'Profit &amp; Loss'!$B$3:$C$390,2,0)</f>
        <v>3993.12</v>
      </c>
    </row>
    <row r="384" spans="1:7" x14ac:dyDescent="0.2">
      <c r="A384" s="3" t="s">
        <v>334</v>
      </c>
      <c r="B384" s="3" t="s">
        <v>359</v>
      </c>
      <c r="C384" s="4">
        <v>1270.6400000000001</v>
      </c>
      <c r="D384" s="4">
        <v>1270.6400000000001</v>
      </c>
      <c r="E384" s="4">
        <v>0</v>
      </c>
      <c r="F384" s="3" t="s">
        <v>6</v>
      </c>
      <c r="G384" s="3">
        <f>VLOOKUP(B384,'Profit &amp; Loss'!$B$3:$C$390,2,0)</f>
        <v>1270.6400000000001</v>
      </c>
    </row>
    <row r="385" spans="1:7" x14ac:dyDescent="0.2">
      <c r="A385" s="3" t="s">
        <v>334</v>
      </c>
      <c r="B385" s="3" t="s">
        <v>360</v>
      </c>
      <c r="C385" s="4">
        <v>71244.06</v>
      </c>
      <c r="D385" s="4">
        <v>52482.29</v>
      </c>
      <c r="E385" s="4">
        <v>18761.77</v>
      </c>
      <c r="F385" s="3" t="s">
        <v>1341</v>
      </c>
      <c r="G385" s="3">
        <f>VLOOKUP(B385,'Profit &amp; Loss'!$B$3:$C$390,2,0)</f>
        <v>16594.689999999999</v>
      </c>
    </row>
    <row r="386" spans="1:7" x14ac:dyDescent="0.2">
      <c r="A386" s="3" t="s">
        <v>334</v>
      </c>
      <c r="B386" s="3" t="s">
        <v>571</v>
      </c>
      <c r="C386" s="4">
        <v>9299.68</v>
      </c>
      <c r="D386" s="4">
        <v>7423.55</v>
      </c>
      <c r="E386" s="4">
        <v>1876.13</v>
      </c>
      <c r="F386" s="3" t="s">
        <v>858</v>
      </c>
      <c r="G386" s="3">
        <f>VLOOKUP(B386,'Profit &amp; Loss'!$B$3:$C$390,2,0)</f>
        <v>7423.55</v>
      </c>
    </row>
    <row r="387" spans="1:7" x14ac:dyDescent="0.2">
      <c r="A387" s="3" t="s">
        <v>334</v>
      </c>
      <c r="B387" s="3" t="s">
        <v>921</v>
      </c>
      <c r="C387" s="4">
        <v>62</v>
      </c>
      <c r="D387" s="4">
        <v>62</v>
      </c>
      <c r="E387" s="4">
        <v>0</v>
      </c>
      <c r="F387" s="3" t="s">
        <v>6</v>
      </c>
      <c r="G387" s="3">
        <f>VLOOKUP(B387,'Profit &amp; Loss'!$B$3:$C$390,2,0)</f>
        <v>0</v>
      </c>
    </row>
    <row r="388" spans="1:7" s="18" customFormat="1" x14ac:dyDescent="0.2">
      <c r="A388" s="18" t="s">
        <v>334</v>
      </c>
      <c r="B388" s="18" t="s">
        <v>852</v>
      </c>
      <c r="C388" s="19">
        <v>1297.71</v>
      </c>
      <c r="D388" s="19">
        <v>0</v>
      </c>
      <c r="E388" s="19">
        <v>1297.71</v>
      </c>
      <c r="F388" s="18" t="s">
        <v>2</v>
      </c>
      <c r="G388" s="18">
        <f>VLOOKUP(B388,'Profit &amp; Loss'!$B$3:$C$390,2,0)</f>
        <v>0</v>
      </c>
    </row>
    <row r="389" spans="1:7" x14ac:dyDescent="0.2">
      <c r="A389" s="3" t="s">
        <v>334</v>
      </c>
      <c r="B389" s="3" t="s">
        <v>1111</v>
      </c>
      <c r="C389" s="4">
        <v>0</v>
      </c>
      <c r="D389" s="4">
        <v>1297.71</v>
      </c>
      <c r="E389" s="4">
        <v>-1297.71</v>
      </c>
      <c r="F389" s="3" t="s">
        <v>475</v>
      </c>
      <c r="G389" s="3">
        <f>VLOOKUP(B389,'Profit &amp; Loss'!$B$3:$C$390,2,0)</f>
        <v>0</v>
      </c>
    </row>
    <row r="390" spans="1:7" x14ac:dyDescent="0.2">
      <c r="A390" s="3" t="s">
        <v>334</v>
      </c>
      <c r="B390" s="3" t="s">
        <v>363</v>
      </c>
      <c r="C390" s="4">
        <v>8525.81</v>
      </c>
      <c r="D390" s="4">
        <v>6110.28</v>
      </c>
      <c r="E390" s="4">
        <v>2415.5300000000002</v>
      </c>
      <c r="F390" s="3" t="s">
        <v>1330</v>
      </c>
      <c r="G390" s="3">
        <f>VLOOKUP(B390,'Profit &amp; Loss'!$B$3:$C$390,2,0)</f>
        <v>1958.16</v>
      </c>
    </row>
    <row r="391" spans="1:7" x14ac:dyDescent="0.2">
      <c r="A391" s="3" t="s">
        <v>334</v>
      </c>
      <c r="B391" s="3" t="s">
        <v>2</v>
      </c>
      <c r="C391" s="4">
        <v>876387.46</v>
      </c>
      <c r="D391" s="4">
        <v>666773.52</v>
      </c>
      <c r="E391" s="4">
        <v>209613.94</v>
      </c>
      <c r="F391" s="3" t="s">
        <v>784</v>
      </c>
      <c r="G391" s="3" t="e">
        <f>VLOOKUP(B391,'Profit &amp; Loss'!$B$3:$C$390,2,0)</f>
        <v>#N/A</v>
      </c>
    </row>
    <row r="392" spans="1:7" x14ac:dyDescent="0.2">
      <c r="A392" s="3" t="s">
        <v>364</v>
      </c>
      <c r="B392" s="3" t="s">
        <v>366</v>
      </c>
      <c r="C392" s="4">
        <v>4828.87</v>
      </c>
      <c r="D392" s="4">
        <v>3265.22</v>
      </c>
      <c r="E392" s="4">
        <v>1563.65</v>
      </c>
      <c r="F392" s="3" t="s">
        <v>1389</v>
      </c>
      <c r="G392" s="3">
        <f>VLOOKUP(B392,'Profit &amp; Loss'!$B$3:$C$390,2,0)</f>
        <v>223.34</v>
      </c>
    </row>
    <row r="393" spans="1:7" x14ac:dyDescent="0.2">
      <c r="A393" s="3" t="s">
        <v>364</v>
      </c>
      <c r="B393" s="3" t="s">
        <v>367</v>
      </c>
      <c r="C393" s="4">
        <v>921.68</v>
      </c>
      <c r="D393" s="4">
        <v>462.09</v>
      </c>
      <c r="E393" s="4">
        <v>459.59</v>
      </c>
      <c r="F393" s="3" t="s">
        <v>1390</v>
      </c>
      <c r="G393" s="3">
        <f>VLOOKUP(B393,'Profit &amp; Loss'!$B$3:$C$390,2,0)</f>
        <v>462.09</v>
      </c>
    </row>
    <row r="394" spans="1:7" x14ac:dyDescent="0.2">
      <c r="A394" s="3" t="s">
        <v>364</v>
      </c>
      <c r="B394" s="3" t="s">
        <v>368</v>
      </c>
      <c r="C394" s="4">
        <v>261.33999999999997</v>
      </c>
      <c r="D394" s="4">
        <v>172.85</v>
      </c>
      <c r="E394" s="4">
        <v>88.49</v>
      </c>
      <c r="F394" s="3" t="s">
        <v>645</v>
      </c>
      <c r="G394" s="3">
        <f>VLOOKUP(B394,'Profit &amp; Loss'!$B$3:$C$390,2,0)</f>
        <v>120.24</v>
      </c>
    </row>
    <row r="395" spans="1:7" x14ac:dyDescent="0.2">
      <c r="A395" s="3" t="s">
        <v>364</v>
      </c>
      <c r="B395" s="3" t="s">
        <v>369</v>
      </c>
      <c r="C395" s="4">
        <v>11.91</v>
      </c>
      <c r="D395" s="4">
        <v>11.91</v>
      </c>
      <c r="E395" s="4">
        <v>0</v>
      </c>
      <c r="F395" s="3" t="s">
        <v>6</v>
      </c>
      <c r="G395" s="3">
        <f>VLOOKUP(B395,'Profit &amp; Loss'!$B$3:$C$390,2,0)</f>
        <v>11.91</v>
      </c>
    </row>
    <row r="396" spans="1:7" x14ac:dyDescent="0.2">
      <c r="A396" s="3" t="s">
        <v>364</v>
      </c>
      <c r="B396" s="3" t="s">
        <v>372</v>
      </c>
      <c r="C396" s="4">
        <v>1468.59</v>
      </c>
      <c r="D396" s="4">
        <v>831.26</v>
      </c>
      <c r="E396" s="4">
        <v>637.33000000000004</v>
      </c>
      <c r="F396" s="3" t="s">
        <v>1125</v>
      </c>
      <c r="G396" s="3">
        <f>VLOOKUP(B396,'Profit &amp; Loss'!$B$3:$C$390,2,0)</f>
        <v>247.77</v>
      </c>
    </row>
    <row r="397" spans="1:7" x14ac:dyDescent="0.2">
      <c r="A397" s="3" t="s">
        <v>364</v>
      </c>
      <c r="B397" s="3" t="s">
        <v>572</v>
      </c>
      <c r="C397" s="4">
        <v>185.93</v>
      </c>
      <c r="D397" s="4">
        <v>185.93</v>
      </c>
      <c r="E397" s="4">
        <v>0</v>
      </c>
      <c r="F397" s="3" t="s">
        <v>6</v>
      </c>
      <c r="G397" s="3">
        <f>VLOOKUP(B397,'Profit &amp; Loss'!$B$3:$C$390,2,0)</f>
        <v>0</v>
      </c>
    </row>
    <row r="398" spans="1:7" x14ac:dyDescent="0.2">
      <c r="A398" s="3" t="s">
        <v>364</v>
      </c>
      <c r="B398" s="3" t="s">
        <v>2</v>
      </c>
      <c r="C398" s="4">
        <v>7678.32</v>
      </c>
      <c r="D398" s="4">
        <v>4929.26</v>
      </c>
      <c r="E398" s="4">
        <v>2749.06</v>
      </c>
      <c r="F398" s="3" t="s">
        <v>1391</v>
      </c>
      <c r="G398" s="3" t="e">
        <f>VLOOKUP(B398,'Profit &amp; Loss'!$B$3:$C$390,2,0)</f>
        <v>#N/A</v>
      </c>
    </row>
    <row r="399" spans="1:7" x14ac:dyDescent="0.2">
      <c r="A399" s="3" t="s">
        <v>373</v>
      </c>
      <c r="B399" s="3" t="s">
        <v>673</v>
      </c>
      <c r="C399" s="4">
        <v>2368.63</v>
      </c>
      <c r="D399" s="4">
        <v>2368.63</v>
      </c>
      <c r="E399" s="4">
        <v>0</v>
      </c>
      <c r="F399" s="3" t="s">
        <v>6</v>
      </c>
      <c r="G399" s="3">
        <f>VLOOKUP(B399,'Profit &amp; Loss'!$B$3:$C$390,2,0)</f>
        <v>0</v>
      </c>
    </row>
    <row r="400" spans="1:7" x14ac:dyDescent="0.2">
      <c r="A400" s="3" t="s">
        <v>373</v>
      </c>
      <c r="B400" s="3" t="s">
        <v>374</v>
      </c>
      <c r="C400" s="4">
        <v>208.65</v>
      </c>
      <c r="D400" s="4">
        <v>166.16</v>
      </c>
      <c r="E400" s="4">
        <v>42.49</v>
      </c>
      <c r="F400" s="3" t="s">
        <v>1392</v>
      </c>
      <c r="G400" s="3">
        <f>VLOOKUP(B400,'Profit &amp; Loss'!$B$3:$C$390,2,0)</f>
        <v>2.44</v>
      </c>
    </row>
    <row r="401" spans="1:7" x14ac:dyDescent="0.2">
      <c r="A401" s="3" t="s">
        <v>373</v>
      </c>
      <c r="B401" s="3" t="s">
        <v>375</v>
      </c>
      <c r="C401" s="4">
        <v>3256.05</v>
      </c>
      <c r="D401" s="4">
        <v>2061.67</v>
      </c>
      <c r="E401" s="4">
        <v>1194.3800000000001</v>
      </c>
      <c r="F401" s="3" t="s">
        <v>1393</v>
      </c>
      <c r="G401" s="3">
        <f>VLOOKUP(B401,'Profit &amp; Loss'!$B$3:$C$390,2,0)</f>
        <v>-429.67</v>
      </c>
    </row>
    <row r="402" spans="1:7" x14ac:dyDescent="0.2">
      <c r="A402" s="3" t="s">
        <v>373</v>
      </c>
      <c r="B402" s="3" t="s">
        <v>573</v>
      </c>
      <c r="C402" s="4">
        <v>1208.25</v>
      </c>
      <c r="D402" s="4">
        <v>939.64</v>
      </c>
      <c r="E402" s="4">
        <v>268.61</v>
      </c>
      <c r="F402" s="3" t="s">
        <v>957</v>
      </c>
      <c r="G402" s="3">
        <f>VLOOKUP(B402,'Profit &amp; Loss'!$B$3:$C$390,2,0)</f>
        <v>939.64</v>
      </c>
    </row>
    <row r="403" spans="1:7" s="18" customFormat="1" x14ac:dyDescent="0.2">
      <c r="A403" s="18" t="s">
        <v>373</v>
      </c>
      <c r="B403" s="18" t="s">
        <v>574</v>
      </c>
      <c r="C403" s="19">
        <v>540.29</v>
      </c>
      <c r="D403" s="19">
        <v>0</v>
      </c>
      <c r="E403" s="19">
        <v>540.29</v>
      </c>
      <c r="F403" s="18" t="s">
        <v>2</v>
      </c>
      <c r="G403" s="18">
        <f>VLOOKUP(B403,'Profit &amp; Loss'!$B$3:$C$390,2,0)</f>
        <v>0</v>
      </c>
    </row>
    <row r="404" spans="1:7" x14ac:dyDescent="0.2">
      <c r="A404" s="3" t="s">
        <v>373</v>
      </c>
      <c r="B404" s="3" t="s">
        <v>376</v>
      </c>
      <c r="C404" s="4">
        <v>2092.7199999999998</v>
      </c>
      <c r="D404" s="4">
        <v>1482.72</v>
      </c>
      <c r="E404" s="4">
        <v>610</v>
      </c>
      <c r="F404" s="3" t="s">
        <v>580</v>
      </c>
      <c r="G404" s="3">
        <f>VLOOKUP(B404,'Profit &amp; Loss'!$B$3:$C$390,2,0)</f>
        <v>654.64</v>
      </c>
    </row>
    <row r="405" spans="1:7" x14ac:dyDescent="0.2">
      <c r="A405" s="3" t="s">
        <v>373</v>
      </c>
      <c r="B405" s="3" t="s">
        <v>377</v>
      </c>
      <c r="C405" s="4">
        <v>3071.74</v>
      </c>
      <c r="D405" s="4">
        <v>3070.6</v>
      </c>
      <c r="E405" s="4">
        <v>1.1399999999999999</v>
      </c>
      <c r="F405" s="3" t="s">
        <v>6</v>
      </c>
      <c r="G405" s="3">
        <f>VLOOKUP(B405,'Profit &amp; Loss'!$B$3:$C$390,2,0)</f>
        <v>0</v>
      </c>
    </row>
    <row r="406" spans="1:7" x14ac:dyDescent="0.2">
      <c r="A406" s="3" t="s">
        <v>373</v>
      </c>
      <c r="B406" s="3" t="s">
        <v>857</v>
      </c>
      <c r="C406" s="4">
        <v>30502.02</v>
      </c>
      <c r="D406" s="4">
        <v>29003.55</v>
      </c>
      <c r="E406" s="4">
        <v>1498.47</v>
      </c>
      <c r="F406" s="3" t="s">
        <v>821</v>
      </c>
      <c r="G406" s="3">
        <f>VLOOKUP(B406,'Profit &amp; Loss'!$B$3:$C$390,2,0)</f>
        <v>0</v>
      </c>
    </row>
    <row r="407" spans="1:7" x14ac:dyDescent="0.2">
      <c r="A407" s="3" t="s">
        <v>373</v>
      </c>
      <c r="B407" s="3" t="s">
        <v>378</v>
      </c>
      <c r="C407" s="4">
        <v>20555.400000000001</v>
      </c>
      <c r="D407" s="4">
        <v>14924.26</v>
      </c>
      <c r="E407" s="4">
        <v>5631.14</v>
      </c>
      <c r="F407" s="3" t="s">
        <v>890</v>
      </c>
      <c r="G407" s="3">
        <f>VLOOKUP(B407,'Profit &amp; Loss'!$B$3:$C$390,2,0)</f>
        <v>679.62</v>
      </c>
    </row>
    <row r="408" spans="1:7" x14ac:dyDescent="0.2">
      <c r="A408" s="3" t="s">
        <v>373</v>
      </c>
      <c r="B408" s="3" t="s">
        <v>2</v>
      </c>
      <c r="C408" s="4">
        <v>63803.75</v>
      </c>
      <c r="D408" s="4">
        <v>54017.23</v>
      </c>
      <c r="E408" s="4">
        <v>9786.52</v>
      </c>
      <c r="F408" s="3" t="s">
        <v>788</v>
      </c>
      <c r="G408" s="3" t="e">
        <f>VLOOKUP(B408,'Profit &amp; Loss'!$B$3:$C$390,2,0)</f>
        <v>#N/A</v>
      </c>
    </row>
    <row r="409" spans="1:7" x14ac:dyDescent="0.2">
      <c r="A409" s="3" t="s">
        <v>379</v>
      </c>
      <c r="B409" s="3" t="s">
        <v>380</v>
      </c>
      <c r="C409" s="4">
        <v>953.57</v>
      </c>
      <c r="D409" s="4">
        <v>388.84</v>
      </c>
      <c r="E409" s="4">
        <v>564.73</v>
      </c>
      <c r="F409" s="3" t="s">
        <v>1394</v>
      </c>
      <c r="G409" s="3">
        <f>VLOOKUP(B409,'Profit &amp; Loss'!$B$3:$C$390,2,0)</f>
        <v>94.24</v>
      </c>
    </row>
    <row r="410" spans="1:7" x14ac:dyDescent="0.2">
      <c r="A410" s="3" t="s">
        <v>379</v>
      </c>
      <c r="B410" s="3" t="s">
        <v>381</v>
      </c>
      <c r="C410" s="4">
        <v>7863.65</v>
      </c>
      <c r="D410" s="4">
        <v>2425.1799999999998</v>
      </c>
      <c r="E410" s="4">
        <v>5438.47</v>
      </c>
      <c r="F410" s="3" t="s">
        <v>1395</v>
      </c>
      <c r="G410" s="3">
        <f>VLOOKUP(B410,'Profit &amp; Loss'!$B$3:$C$390,2,0)</f>
        <v>-870.15</v>
      </c>
    </row>
    <row r="411" spans="1:7" x14ac:dyDescent="0.2">
      <c r="A411" s="3" t="s">
        <v>379</v>
      </c>
      <c r="B411" s="3" t="s">
        <v>382</v>
      </c>
      <c r="C411" s="4">
        <v>1464.93</v>
      </c>
      <c r="D411" s="4">
        <v>342.04</v>
      </c>
      <c r="E411" s="4">
        <v>1122.8900000000001</v>
      </c>
      <c r="F411" s="3" t="s">
        <v>1396</v>
      </c>
      <c r="G411" s="3">
        <f>VLOOKUP(B411,'Profit &amp; Loss'!$B$3:$C$390,2,0)</f>
        <v>-237.73</v>
      </c>
    </row>
    <row r="412" spans="1:7" x14ac:dyDescent="0.2">
      <c r="A412" s="3" t="s">
        <v>379</v>
      </c>
      <c r="B412" s="3" t="s">
        <v>2</v>
      </c>
      <c r="C412" s="4">
        <v>10282.15</v>
      </c>
      <c r="D412" s="4">
        <v>3156.06</v>
      </c>
      <c r="E412" s="4">
        <v>7126.09</v>
      </c>
      <c r="F412" s="3" t="s">
        <v>1397</v>
      </c>
      <c r="G412" s="3" t="e">
        <f>VLOOKUP(B412,'Profit &amp; Loss'!$B$3:$C$390,2,0)</f>
        <v>#N/A</v>
      </c>
    </row>
    <row r="413" spans="1:7" x14ac:dyDescent="0.2">
      <c r="A413" s="3" t="s">
        <v>383</v>
      </c>
      <c r="B413" s="3" t="s">
        <v>384</v>
      </c>
      <c r="C413" s="4">
        <v>1093.77</v>
      </c>
      <c r="D413" s="4">
        <v>165.56</v>
      </c>
      <c r="E413" s="4">
        <v>928.21</v>
      </c>
      <c r="F413" s="3" t="s">
        <v>1398</v>
      </c>
      <c r="G413" s="3">
        <f>VLOOKUP(B413,'Profit &amp; Loss'!$B$3:$C$390,2,0)</f>
        <v>152.97999999999999</v>
      </c>
    </row>
    <row r="414" spans="1:7" x14ac:dyDescent="0.2">
      <c r="A414" s="3" t="s">
        <v>383</v>
      </c>
      <c r="B414" s="3" t="s">
        <v>993</v>
      </c>
      <c r="C414" s="4">
        <v>-130594.91</v>
      </c>
      <c r="D414" s="4">
        <v>-130594.91</v>
      </c>
      <c r="E414" s="4">
        <v>0</v>
      </c>
      <c r="F414" s="3" t="s">
        <v>6</v>
      </c>
      <c r="G414" s="3">
        <f>VLOOKUP(B414,'Profit &amp; Loss'!$B$3:$C$390,2,0)</f>
        <v>-130594.91</v>
      </c>
    </row>
    <row r="415" spans="1:7" x14ac:dyDescent="0.2">
      <c r="A415" s="3" t="s">
        <v>383</v>
      </c>
      <c r="B415" s="3" t="s">
        <v>385</v>
      </c>
      <c r="C415" s="4">
        <v>19248.61</v>
      </c>
      <c r="D415" s="4">
        <v>14496.51</v>
      </c>
      <c r="E415" s="4">
        <v>4752.1000000000004</v>
      </c>
      <c r="F415" s="3" t="s">
        <v>646</v>
      </c>
      <c r="G415" s="3">
        <f>VLOOKUP(B415,'Profit &amp; Loss'!$B$3:$C$390,2,0)</f>
        <v>3245.65</v>
      </c>
    </row>
    <row r="416" spans="1:7" x14ac:dyDescent="0.2">
      <c r="A416" s="3" t="s">
        <v>383</v>
      </c>
      <c r="B416" s="3" t="s">
        <v>386</v>
      </c>
      <c r="C416" s="4">
        <v>19101.93</v>
      </c>
      <c r="D416" s="4">
        <v>14335.12</v>
      </c>
      <c r="E416" s="4">
        <v>4766.8100000000004</v>
      </c>
      <c r="F416" s="3" t="s">
        <v>792</v>
      </c>
      <c r="G416" s="3">
        <f>VLOOKUP(B416,'Profit &amp; Loss'!$B$3:$C$390,2,0)</f>
        <v>4774.8</v>
      </c>
    </row>
    <row r="417" spans="1:7" x14ac:dyDescent="0.2">
      <c r="A417" s="3" t="s">
        <v>383</v>
      </c>
      <c r="B417" s="3" t="s">
        <v>387</v>
      </c>
      <c r="C417" s="4">
        <v>23961.68</v>
      </c>
      <c r="D417" s="4">
        <v>17998.990000000002</v>
      </c>
      <c r="E417" s="4">
        <v>5962.69</v>
      </c>
      <c r="F417" s="3" t="s">
        <v>613</v>
      </c>
      <c r="G417" s="3">
        <f>VLOOKUP(B417,'Profit &amp; Loss'!$B$3:$C$390,2,0)</f>
        <v>5944.89</v>
      </c>
    </row>
    <row r="418" spans="1:7" x14ac:dyDescent="0.2">
      <c r="A418" s="3" t="s">
        <v>383</v>
      </c>
      <c r="B418" s="3" t="s">
        <v>2</v>
      </c>
      <c r="C418" s="4">
        <v>-67188.92</v>
      </c>
      <c r="D418" s="4">
        <v>-83598.73</v>
      </c>
      <c r="E418" s="4">
        <v>16409.810000000001</v>
      </c>
      <c r="F418" s="3" t="s">
        <v>577</v>
      </c>
      <c r="G418" s="3" t="e">
        <f>VLOOKUP(B418,'Profit &amp; Loss'!$B$3:$C$390,2,0)</f>
        <v>#N/A</v>
      </c>
    </row>
    <row r="419" spans="1:7" x14ac:dyDescent="0.2">
      <c r="A419" s="3" t="s">
        <v>678</v>
      </c>
      <c r="B419" s="3" t="s">
        <v>994</v>
      </c>
      <c r="C419" s="4">
        <v>249.17</v>
      </c>
      <c r="D419" s="4">
        <v>249.17</v>
      </c>
      <c r="E419" s="4">
        <v>0</v>
      </c>
      <c r="F419" s="3" t="s">
        <v>6</v>
      </c>
      <c r="G419" s="3">
        <f>VLOOKUP(B419,'Profit &amp; Loss'!$B$3:$C$390,2,0)</f>
        <v>1302.99</v>
      </c>
    </row>
    <row r="420" spans="1:7" x14ac:dyDescent="0.2">
      <c r="A420" s="3" t="s">
        <v>678</v>
      </c>
      <c r="B420" s="3" t="s">
        <v>679</v>
      </c>
      <c r="C420" s="4">
        <v>1741.22</v>
      </c>
      <c r="D420" s="4">
        <v>1741.22</v>
      </c>
      <c r="E420" s="4">
        <v>0</v>
      </c>
      <c r="F420" s="3" t="s">
        <v>6</v>
      </c>
      <c r="G420" s="3" t="e">
        <f>VLOOKUP(B420,'Profit &amp; Loss'!$B$3:$C$390,2,0)</f>
        <v>#N/A</v>
      </c>
    </row>
    <row r="421" spans="1:7" x14ac:dyDescent="0.2">
      <c r="A421" s="3" t="s">
        <v>678</v>
      </c>
      <c r="B421" s="3" t="s">
        <v>2</v>
      </c>
      <c r="C421" s="4">
        <v>1990.39</v>
      </c>
      <c r="D421" s="4">
        <v>1990.39</v>
      </c>
      <c r="E421" s="4">
        <v>0</v>
      </c>
      <c r="F421" s="3" t="s">
        <v>6</v>
      </c>
      <c r="G421" s="3" t="e">
        <f>VLOOKUP(B421,'Profit &amp; Loss'!$B$3:$C$390,2,0)</f>
        <v>#N/A</v>
      </c>
    </row>
    <row r="422" spans="1:7" x14ac:dyDescent="0.2">
      <c r="A422" s="3" t="s">
        <v>388</v>
      </c>
      <c r="B422" s="3" t="s">
        <v>390</v>
      </c>
      <c r="C422" s="4">
        <v>2850.42</v>
      </c>
      <c r="D422" s="4">
        <v>1564.48</v>
      </c>
      <c r="E422" s="4">
        <v>1285.94</v>
      </c>
      <c r="F422" s="3" t="s">
        <v>904</v>
      </c>
      <c r="G422" s="3" t="e">
        <f>VLOOKUP(B422,'Profit &amp; Loss'!$B$3:$C$390,2,0)</f>
        <v>#N/A</v>
      </c>
    </row>
    <row r="423" spans="1:7" x14ac:dyDescent="0.2">
      <c r="A423" s="3" t="s">
        <v>388</v>
      </c>
      <c r="B423" s="3" t="s">
        <v>2</v>
      </c>
      <c r="C423" s="4">
        <v>2850.42</v>
      </c>
      <c r="D423" s="4">
        <v>1564.48</v>
      </c>
      <c r="E423" s="4">
        <v>1285.94</v>
      </c>
      <c r="F423" s="3" t="s">
        <v>904</v>
      </c>
      <c r="G423" s="3" t="e">
        <f>VLOOKUP(B423,'Profit &amp; Loss'!$B$3:$C$390,2,0)</f>
        <v>#N/A</v>
      </c>
    </row>
    <row r="424" spans="1:7" x14ac:dyDescent="0.2">
      <c r="A424" s="3" t="s">
        <v>391</v>
      </c>
      <c r="B424" s="3" t="s">
        <v>579</v>
      </c>
      <c r="C424" s="4">
        <v>1001.07</v>
      </c>
      <c r="D424" s="4">
        <v>560.20000000000005</v>
      </c>
      <c r="E424" s="4">
        <v>440.87</v>
      </c>
      <c r="F424" s="3" t="s">
        <v>1399</v>
      </c>
      <c r="G424" s="3">
        <f>VLOOKUP(B424,'Profit &amp; Loss'!$B$3:$C$390,2,0)</f>
        <v>2.69</v>
      </c>
    </row>
    <row r="425" spans="1:7" x14ac:dyDescent="0.2">
      <c r="A425" s="3" t="s">
        <v>391</v>
      </c>
      <c r="B425" s="3" t="s">
        <v>392</v>
      </c>
      <c r="C425" s="4">
        <v>9512.94</v>
      </c>
      <c r="D425" s="4">
        <v>7650.66</v>
      </c>
      <c r="E425" s="4">
        <v>1862.28</v>
      </c>
      <c r="F425" s="3" t="s">
        <v>775</v>
      </c>
      <c r="G425" s="3">
        <f>VLOOKUP(B425,'Profit &amp; Loss'!$B$3:$C$390,2,0)</f>
        <v>904.52</v>
      </c>
    </row>
    <row r="426" spans="1:7" x14ac:dyDescent="0.2">
      <c r="A426" s="3" t="s">
        <v>391</v>
      </c>
      <c r="B426" s="3" t="s">
        <v>2</v>
      </c>
      <c r="C426" s="4">
        <v>10514.01</v>
      </c>
      <c r="D426" s="4">
        <v>8210.86</v>
      </c>
      <c r="E426" s="4">
        <v>2303.15</v>
      </c>
      <c r="F426" s="3" t="s">
        <v>690</v>
      </c>
      <c r="G426" s="3" t="e">
        <f>VLOOKUP(B426,'Profit &amp; Loss'!$B$3:$C$390,2,0)</f>
        <v>#N/A</v>
      </c>
    </row>
    <row r="427" spans="1:7" x14ac:dyDescent="0.2">
      <c r="A427" s="3" t="s">
        <v>393</v>
      </c>
      <c r="B427" s="3" t="s">
        <v>394</v>
      </c>
      <c r="C427" s="4">
        <v>7726.66</v>
      </c>
      <c r="D427" s="4">
        <v>5834.76</v>
      </c>
      <c r="E427" s="4">
        <v>1891.9</v>
      </c>
      <c r="F427" s="3" t="s">
        <v>510</v>
      </c>
      <c r="G427" s="3">
        <f>VLOOKUP(B427,'Profit &amp; Loss'!$B$3:$C$390,2,0)</f>
        <v>1534.08</v>
      </c>
    </row>
    <row r="428" spans="1:7" x14ac:dyDescent="0.2">
      <c r="A428" s="3" t="s">
        <v>393</v>
      </c>
      <c r="B428" s="3" t="s">
        <v>395</v>
      </c>
      <c r="C428" s="4">
        <v>8439.2199999999993</v>
      </c>
      <c r="D428" s="4">
        <v>4564.7299999999996</v>
      </c>
      <c r="E428" s="4">
        <v>3874.49</v>
      </c>
      <c r="F428" s="3" t="s">
        <v>1400</v>
      </c>
      <c r="G428" s="3">
        <f>VLOOKUP(B428,'Profit &amp; Loss'!$B$3:$C$390,2,0)</f>
        <v>2034.12</v>
      </c>
    </row>
    <row r="429" spans="1:7" x14ac:dyDescent="0.2">
      <c r="A429" s="3" t="s">
        <v>393</v>
      </c>
      <c r="B429" s="3" t="s">
        <v>2</v>
      </c>
      <c r="C429" s="4">
        <v>16165.88</v>
      </c>
      <c r="D429" s="4">
        <v>10399.49</v>
      </c>
      <c r="E429" s="4">
        <v>5766.39</v>
      </c>
      <c r="F429" s="3" t="s">
        <v>1374</v>
      </c>
      <c r="G429" s="3" t="e">
        <f>VLOOKUP(B429,'Profit &amp; Loss'!$B$3:$C$390,2,0)</f>
        <v>#N/A</v>
      </c>
    </row>
    <row r="430" spans="1:7" x14ac:dyDescent="0.2">
      <c r="A430" s="3" t="s">
        <v>582</v>
      </c>
      <c r="B430" s="3" t="s">
        <v>583</v>
      </c>
      <c r="C430" s="4">
        <v>-21886.48</v>
      </c>
      <c r="D430" s="4">
        <v>3667.36</v>
      </c>
      <c r="E430" s="4">
        <v>-25553.84</v>
      </c>
      <c r="F430" s="3" t="s">
        <v>1401</v>
      </c>
      <c r="G430" s="3">
        <f>VLOOKUP(B430,'Profit &amp; Loss'!$B$3:$C$390,2,0)</f>
        <v>-54602.16</v>
      </c>
    </row>
    <row r="431" spans="1:7" x14ac:dyDescent="0.2">
      <c r="A431" s="3" t="s">
        <v>582</v>
      </c>
      <c r="B431" s="3" t="s">
        <v>584</v>
      </c>
      <c r="C431" s="4">
        <v>38449.040000000001</v>
      </c>
      <c r="D431" s="4">
        <v>15053.75</v>
      </c>
      <c r="E431" s="4">
        <v>23395.29</v>
      </c>
      <c r="F431" s="3" t="s">
        <v>1402</v>
      </c>
      <c r="G431" s="3">
        <f>VLOOKUP(B431,'Profit &amp; Loss'!$B$3:$C$390,2,0)</f>
        <v>-28044.34</v>
      </c>
    </row>
    <row r="432" spans="1:7" x14ac:dyDescent="0.2">
      <c r="A432" s="3" t="s">
        <v>582</v>
      </c>
      <c r="B432" s="3" t="s">
        <v>684</v>
      </c>
      <c r="C432" s="4">
        <v>33001.410000000003</v>
      </c>
      <c r="D432" s="4">
        <v>22115.93</v>
      </c>
      <c r="E432" s="4">
        <v>10885.48</v>
      </c>
      <c r="F432" s="3" t="s">
        <v>555</v>
      </c>
      <c r="G432" s="3">
        <f>VLOOKUP(B432,'Profit &amp; Loss'!$B$3:$C$390,2,0)</f>
        <v>-37.07</v>
      </c>
    </row>
    <row r="433" spans="1:7" x14ac:dyDescent="0.2">
      <c r="A433" s="3" t="s">
        <v>582</v>
      </c>
      <c r="B433" s="3" t="s">
        <v>2</v>
      </c>
      <c r="C433" s="4">
        <v>49563.97</v>
      </c>
      <c r="D433" s="4">
        <v>40837.040000000001</v>
      </c>
      <c r="E433" s="4">
        <v>8726.93</v>
      </c>
      <c r="F433" s="3" t="s">
        <v>873</v>
      </c>
      <c r="G433" s="3" t="e">
        <f>VLOOKUP(B433,'Profit &amp; Loss'!$B$3:$C$390,2,0)</f>
        <v>#N/A</v>
      </c>
    </row>
    <row r="434" spans="1:7" s="18" customFormat="1" x14ac:dyDescent="0.2">
      <c r="A434" s="18" t="s">
        <v>396</v>
      </c>
      <c r="B434" s="18" t="s">
        <v>1403</v>
      </c>
      <c r="C434" s="19">
        <v>162.94</v>
      </c>
      <c r="D434" s="19">
        <v>0</v>
      </c>
      <c r="E434" s="19">
        <v>162.94</v>
      </c>
      <c r="F434" s="18" t="s">
        <v>2</v>
      </c>
      <c r="G434" s="18">
        <f>VLOOKUP(B434,'Profit &amp; Loss'!$B$3:$C$390,2,0)</f>
        <v>0</v>
      </c>
    </row>
    <row r="435" spans="1:7" x14ac:dyDescent="0.2">
      <c r="A435" s="3" t="s">
        <v>396</v>
      </c>
      <c r="B435" s="3" t="s">
        <v>397</v>
      </c>
      <c r="C435" s="4">
        <v>9956.4599999999991</v>
      </c>
      <c r="D435" s="4">
        <v>12436.62</v>
      </c>
      <c r="E435" s="4">
        <v>-2480.16</v>
      </c>
      <c r="F435" s="3" t="s">
        <v>830</v>
      </c>
      <c r="G435" s="3">
        <f>VLOOKUP(B435,'Profit &amp; Loss'!$B$3:$C$390,2,0)</f>
        <v>4528.21</v>
      </c>
    </row>
    <row r="436" spans="1:7" x14ac:dyDescent="0.2">
      <c r="A436" s="3" t="s">
        <v>396</v>
      </c>
      <c r="B436" s="3" t="s">
        <v>2</v>
      </c>
      <c r="C436" s="4">
        <v>10119.4</v>
      </c>
      <c r="D436" s="4">
        <v>12436.62</v>
      </c>
      <c r="E436" s="4">
        <v>-2317.2199999999998</v>
      </c>
      <c r="F436" s="3" t="s">
        <v>945</v>
      </c>
      <c r="G436" s="3" t="e">
        <f>VLOOKUP(B436,'Profit &amp; Loss'!$B$3:$C$390,2,0)</f>
        <v>#N/A</v>
      </c>
    </row>
    <row r="437" spans="1:7" x14ac:dyDescent="0.2">
      <c r="A437" s="3" t="s">
        <v>398</v>
      </c>
      <c r="B437" s="3" t="s">
        <v>399</v>
      </c>
      <c r="C437" s="4">
        <v>10522.28</v>
      </c>
      <c r="D437" s="4">
        <v>24437.58</v>
      </c>
      <c r="E437" s="4">
        <v>-13915.3</v>
      </c>
      <c r="F437" s="3" t="s">
        <v>1404</v>
      </c>
      <c r="G437" s="3">
        <f>VLOOKUP(B437,'Profit &amp; Loss'!$B$3:$C$390,2,0)</f>
        <v>6517.4</v>
      </c>
    </row>
    <row r="438" spans="1:7" s="18" customFormat="1" x14ac:dyDescent="0.2">
      <c r="A438" s="18" t="s">
        <v>398</v>
      </c>
      <c r="B438" s="18" t="s">
        <v>400</v>
      </c>
      <c r="C438" s="19">
        <v>17547.2</v>
      </c>
      <c r="D438" s="19">
        <v>0</v>
      </c>
      <c r="E438" s="19">
        <v>17547.2</v>
      </c>
      <c r="F438" s="18" t="s">
        <v>2</v>
      </c>
      <c r="G438" s="18">
        <f>VLOOKUP(B438,'Profit &amp; Loss'!$B$3:$C$390,2,0)</f>
        <v>0</v>
      </c>
    </row>
    <row r="439" spans="1:7" x14ac:dyDescent="0.2">
      <c r="A439" s="3" t="s">
        <v>398</v>
      </c>
      <c r="B439" s="3" t="s">
        <v>2</v>
      </c>
      <c r="C439" s="4">
        <v>28069.48</v>
      </c>
      <c r="D439" s="4">
        <v>24437.58</v>
      </c>
      <c r="E439" s="4">
        <v>3631.9</v>
      </c>
      <c r="F439" s="3" t="s">
        <v>937</v>
      </c>
      <c r="G439" s="3" t="e">
        <f>VLOOKUP(B439,'Profit &amp; Loss'!$B$3:$C$390,2,0)</f>
        <v>#N/A</v>
      </c>
    </row>
    <row r="440" spans="1:7" x14ac:dyDescent="0.2">
      <c r="A440" s="3" t="s">
        <v>401</v>
      </c>
      <c r="B440" s="3" t="s">
        <v>402</v>
      </c>
      <c r="C440" s="4">
        <v>139.75</v>
      </c>
      <c r="D440" s="4">
        <v>139.75</v>
      </c>
      <c r="E440" s="4">
        <v>0</v>
      </c>
      <c r="F440" s="3" t="s">
        <v>6</v>
      </c>
      <c r="G440" s="3">
        <f>VLOOKUP(B440,'Profit &amp; Loss'!$B$3:$C$390,2,0)</f>
        <v>139.75</v>
      </c>
    </row>
    <row r="441" spans="1:7" x14ac:dyDescent="0.2">
      <c r="A441" s="3" t="s">
        <v>401</v>
      </c>
      <c r="B441" s="3" t="s">
        <v>2</v>
      </c>
      <c r="C441" s="4">
        <v>139.75</v>
      </c>
      <c r="D441" s="4">
        <v>139.75</v>
      </c>
      <c r="E441" s="4">
        <v>0</v>
      </c>
      <c r="F441" s="3" t="s">
        <v>6</v>
      </c>
      <c r="G441" s="3" t="e">
        <f>VLOOKUP(B441,'Profit &amp; Loss'!$B$3:$C$390,2,0)</f>
        <v>#N/A</v>
      </c>
    </row>
    <row r="442" spans="1:7" x14ac:dyDescent="0.2">
      <c r="A442" s="3" t="s">
        <v>403</v>
      </c>
      <c r="B442" s="3" t="s">
        <v>404</v>
      </c>
      <c r="C442" s="4">
        <v>5883.17</v>
      </c>
      <c r="D442" s="4">
        <v>3571.82</v>
      </c>
      <c r="E442" s="4">
        <v>2311.35</v>
      </c>
      <c r="F442" s="3" t="s">
        <v>1405</v>
      </c>
      <c r="G442" s="3">
        <f>VLOOKUP(B442,'Profit &amp; Loss'!$B$3:$C$390,2,0)</f>
        <v>1539.76</v>
      </c>
    </row>
    <row r="443" spans="1:7" x14ac:dyDescent="0.2">
      <c r="A443" s="3" t="s">
        <v>403</v>
      </c>
      <c r="B443" s="3" t="s">
        <v>405</v>
      </c>
      <c r="C443" s="4">
        <v>63015.95</v>
      </c>
      <c r="D443" s="4">
        <v>45921.72</v>
      </c>
      <c r="E443" s="4">
        <v>17094.23</v>
      </c>
      <c r="F443" s="3" t="s">
        <v>869</v>
      </c>
      <c r="G443" s="3">
        <f>VLOOKUP(B443,'Profit &amp; Loss'!$B$3:$C$390,2,0)</f>
        <v>2743.74</v>
      </c>
    </row>
    <row r="444" spans="1:7" x14ac:dyDescent="0.2">
      <c r="A444" s="3" t="s">
        <v>403</v>
      </c>
      <c r="B444" s="3" t="s">
        <v>406</v>
      </c>
      <c r="C444" s="4">
        <v>55.91</v>
      </c>
      <c r="D444" s="4">
        <v>47.76</v>
      </c>
      <c r="E444" s="4">
        <v>8.15</v>
      </c>
      <c r="F444" s="3" t="s">
        <v>1406</v>
      </c>
      <c r="G444" s="3">
        <f>VLOOKUP(B444,'Profit &amp; Loss'!$B$3:$C$390,2,0)</f>
        <v>28.84</v>
      </c>
    </row>
    <row r="445" spans="1:7" x14ac:dyDescent="0.2">
      <c r="A445" s="3" t="s">
        <v>403</v>
      </c>
      <c r="B445" s="3" t="s">
        <v>407</v>
      </c>
      <c r="C445" s="4">
        <v>174.21</v>
      </c>
      <c r="D445" s="4">
        <v>111.42</v>
      </c>
      <c r="E445" s="4">
        <v>62.79</v>
      </c>
      <c r="F445" s="3" t="s">
        <v>893</v>
      </c>
      <c r="G445" s="3">
        <f>VLOOKUP(B445,'Profit &amp; Loss'!$B$3:$C$390,2,0)</f>
        <v>0</v>
      </c>
    </row>
    <row r="446" spans="1:7" x14ac:dyDescent="0.2">
      <c r="A446" s="3" t="s">
        <v>403</v>
      </c>
      <c r="B446" s="3" t="s">
        <v>686</v>
      </c>
      <c r="C446" s="4">
        <v>564.88</v>
      </c>
      <c r="D446" s="4">
        <v>564.88</v>
      </c>
      <c r="E446" s="4">
        <v>0</v>
      </c>
      <c r="F446" s="3" t="s">
        <v>6</v>
      </c>
      <c r="G446" s="3">
        <f>VLOOKUP(B446,'Profit &amp; Loss'!$B$3:$C$390,2,0)</f>
        <v>494.67</v>
      </c>
    </row>
    <row r="447" spans="1:7" x14ac:dyDescent="0.2">
      <c r="A447" s="3" t="s">
        <v>403</v>
      </c>
      <c r="B447" s="3" t="s">
        <v>2</v>
      </c>
      <c r="C447" s="4">
        <v>69694.12</v>
      </c>
      <c r="D447" s="4">
        <v>50217.599999999999</v>
      </c>
      <c r="E447" s="4">
        <v>19476.52</v>
      </c>
      <c r="F447" s="3" t="s">
        <v>798</v>
      </c>
      <c r="G447" s="3" t="e">
        <f>VLOOKUP(B447,'Profit &amp; Loss'!$B$3:$C$390,2,0)</f>
        <v>#N/A</v>
      </c>
    </row>
    <row r="448" spans="1:7" x14ac:dyDescent="0.2">
      <c r="A448" s="3" t="s">
        <v>408</v>
      </c>
      <c r="B448" s="3" t="s">
        <v>409</v>
      </c>
      <c r="C448" s="4">
        <v>18657.73</v>
      </c>
      <c r="D448" s="4">
        <v>10500.3</v>
      </c>
      <c r="E448" s="4">
        <v>8157.43</v>
      </c>
      <c r="F448" s="3" t="s">
        <v>693</v>
      </c>
      <c r="G448" s="3">
        <f>VLOOKUP(B448,'Profit &amp; Loss'!$B$3:$C$390,2,0)</f>
        <v>3504.81</v>
      </c>
    </row>
    <row r="449" spans="1:7" x14ac:dyDescent="0.2">
      <c r="A449" s="3" t="s">
        <v>408</v>
      </c>
      <c r="B449" s="3" t="s">
        <v>995</v>
      </c>
      <c r="C449" s="4">
        <v>33.01</v>
      </c>
      <c r="D449" s="4">
        <v>24.76</v>
      </c>
      <c r="E449" s="4">
        <v>8.25</v>
      </c>
      <c r="F449" s="3" t="s">
        <v>792</v>
      </c>
      <c r="G449" s="3">
        <f>VLOOKUP(B449,'Profit &amp; Loss'!$B$3:$C$390,2,0)</f>
        <v>8.25</v>
      </c>
    </row>
    <row r="450" spans="1:7" x14ac:dyDescent="0.2">
      <c r="A450" s="3" t="s">
        <v>408</v>
      </c>
      <c r="B450" s="3" t="s">
        <v>410</v>
      </c>
      <c r="C450" s="4">
        <v>251.46</v>
      </c>
      <c r="D450" s="4">
        <v>179.29</v>
      </c>
      <c r="E450" s="4">
        <v>72.17</v>
      </c>
      <c r="F450" s="3" t="s">
        <v>1407</v>
      </c>
      <c r="G450" s="3">
        <f>VLOOKUP(B450,'Profit &amp; Loss'!$B$3:$C$390,2,0)</f>
        <v>34.97</v>
      </c>
    </row>
    <row r="451" spans="1:7" x14ac:dyDescent="0.2">
      <c r="A451" s="3" t="s">
        <v>408</v>
      </c>
      <c r="B451" s="3" t="s">
        <v>411</v>
      </c>
      <c r="C451" s="4">
        <v>8638.64</v>
      </c>
      <c r="D451" s="4">
        <v>6424.26</v>
      </c>
      <c r="E451" s="4">
        <v>2214.38</v>
      </c>
      <c r="F451" s="3" t="s">
        <v>781</v>
      </c>
      <c r="G451" s="3">
        <f>VLOOKUP(B451,'Profit &amp; Loss'!$B$3:$C$390,2,0)</f>
        <v>2065.9299999999998</v>
      </c>
    </row>
    <row r="452" spans="1:7" x14ac:dyDescent="0.2">
      <c r="A452" s="3" t="s">
        <v>408</v>
      </c>
      <c r="B452" s="3" t="s">
        <v>412</v>
      </c>
      <c r="C452" s="4">
        <v>1232.8900000000001</v>
      </c>
      <c r="D452" s="4">
        <v>958.36</v>
      </c>
      <c r="E452" s="4">
        <v>274.52999999999997</v>
      </c>
      <c r="F452" s="3" t="s">
        <v>957</v>
      </c>
      <c r="G452" s="3">
        <f>VLOOKUP(B452,'Profit &amp; Loss'!$B$3:$C$390,2,0)</f>
        <v>409.3</v>
      </c>
    </row>
    <row r="453" spans="1:7" x14ac:dyDescent="0.2">
      <c r="A453" s="3" t="s">
        <v>408</v>
      </c>
      <c r="B453" s="3" t="s">
        <v>413</v>
      </c>
      <c r="C453" s="4">
        <v>6761.99</v>
      </c>
      <c r="D453" s="4">
        <v>5055.92</v>
      </c>
      <c r="E453" s="4">
        <v>1706.07</v>
      </c>
      <c r="F453" s="3" t="s">
        <v>668</v>
      </c>
      <c r="G453" s="3">
        <f>VLOOKUP(B453,'Profit &amp; Loss'!$B$3:$C$390,2,0)</f>
        <v>1687.53</v>
      </c>
    </row>
    <row r="454" spans="1:7" x14ac:dyDescent="0.2">
      <c r="A454" s="3" t="s">
        <v>408</v>
      </c>
      <c r="B454" s="3" t="s">
        <v>414</v>
      </c>
      <c r="C454" s="4">
        <v>4459.1000000000004</v>
      </c>
      <c r="D454" s="4">
        <v>3344.32</v>
      </c>
      <c r="E454" s="4">
        <v>1114.78</v>
      </c>
      <c r="F454" s="3" t="s">
        <v>792</v>
      </c>
      <c r="G454" s="3">
        <f>VLOOKUP(B454,'Profit &amp; Loss'!$B$3:$C$390,2,0)</f>
        <v>1114.78</v>
      </c>
    </row>
    <row r="455" spans="1:7" x14ac:dyDescent="0.2">
      <c r="A455" s="3" t="s">
        <v>408</v>
      </c>
      <c r="B455" s="3" t="s">
        <v>415</v>
      </c>
      <c r="C455" s="4">
        <v>222.34</v>
      </c>
      <c r="D455" s="4">
        <v>166.75</v>
      </c>
      <c r="E455" s="4">
        <v>55.59</v>
      </c>
      <c r="F455" s="3" t="s">
        <v>792</v>
      </c>
      <c r="G455" s="3">
        <f>VLOOKUP(B455,'Profit &amp; Loss'!$B$3:$C$390,2,0)</f>
        <v>55.58</v>
      </c>
    </row>
    <row r="456" spans="1:7" x14ac:dyDescent="0.2">
      <c r="A456" s="3" t="s">
        <v>408</v>
      </c>
      <c r="B456" s="3" t="s">
        <v>416</v>
      </c>
      <c r="C456" s="4">
        <v>11265.32</v>
      </c>
      <c r="D456" s="4">
        <v>9564.39</v>
      </c>
      <c r="E456" s="4">
        <v>1700.93</v>
      </c>
      <c r="F456" s="3" t="s">
        <v>924</v>
      </c>
      <c r="G456" s="3">
        <f>VLOOKUP(B456,'Profit &amp; Loss'!$B$3:$C$390,2,0)</f>
        <v>5433.31</v>
      </c>
    </row>
    <row r="457" spans="1:7" x14ac:dyDescent="0.2">
      <c r="A457" s="3" t="s">
        <v>408</v>
      </c>
      <c r="B457" s="3" t="s">
        <v>417</v>
      </c>
      <c r="C457" s="4">
        <v>11665.76</v>
      </c>
      <c r="D457" s="4">
        <v>8749.32</v>
      </c>
      <c r="E457" s="4">
        <v>2916.44</v>
      </c>
      <c r="F457" s="3" t="s">
        <v>792</v>
      </c>
      <c r="G457" s="3">
        <f>VLOOKUP(B457,'Profit &amp; Loss'!$B$3:$C$390,2,0)</f>
        <v>2916.44</v>
      </c>
    </row>
    <row r="458" spans="1:7" x14ac:dyDescent="0.2">
      <c r="A458" s="3" t="s">
        <v>408</v>
      </c>
      <c r="B458" s="3" t="s">
        <v>689</v>
      </c>
      <c r="C458" s="4">
        <v>60617.71</v>
      </c>
      <c r="D458" s="4">
        <v>60617.71</v>
      </c>
      <c r="E458" s="4">
        <v>0</v>
      </c>
      <c r="F458" s="3" t="s">
        <v>6</v>
      </c>
      <c r="G458" s="3">
        <f>VLOOKUP(B458,'Profit &amp; Loss'!$B$3:$C$390,2,0)</f>
        <v>60617.71</v>
      </c>
    </row>
    <row r="459" spans="1:7" x14ac:dyDescent="0.2">
      <c r="A459" s="3" t="s">
        <v>408</v>
      </c>
      <c r="B459" s="3" t="s">
        <v>418</v>
      </c>
      <c r="C459" s="4">
        <v>34370.14</v>
      </c>
      <c r="D459" s="4">
        <v>26525.35</v>
      </c>
      <c r="E459" s="4">
        <v>7844.79</v>
      </c>
      <c r="F459" s="3" t="s">
        <v>941</v>
      </c>
      <c r="G459" s="3">
        <f>VLOOKUP(B459,'Profit &amp; Loss'!$B$3:$C$390,2,0)</f>
        <v>10835.77</v>
      </c>
    </row>
    <row r="460" spans="1:7" x14ac:dyDescent="0.2">
      <c r="A460" s="3" t="s">
        <v>408</v>
      </c>
      <c r="B460" s="3" t="s">
        <v>419</v>
      </c>
      <c r="C460" s="4">
        <v>21957.73</v>
      </c>
      <c r="D460" s="4">
        <v>16450.21</v>
      </c>
      <c r="E460" s="4">
        <v>5507.52</v>
      </c>
      <c r="F460" s="3" t="s">
        <v>769</v>
      </c>
      <c r="G460" s="3">
        <f>VLOOKUP(B460,'Profit &amp; Loss'!$B$3:$C$390,2,0)</f>
        <v>5356.49</v>
      </c>
    </row>
    <row r="461" spans="1:7" x14ac:dyDescent="0.2">
      <c r="A461" s="3" t="s">
        <v>408</v>
      </c>
      <c r="B461" s="3" t="s">
        <v>2</v>
      </c>
      <c r="C461" s="4">
        <v>180133.82</v>
      </c>
      <c r="D461" s="4">
        <v>148560.94</v>
      </c>
      <c r="E461" s="4">
        <v>31572.880000000001</v>
      </c>
      <c r="F461" s="3" t="s">
        <v>700</v>
      </c>
      <c r="G461" s="3" t="e">
        <f>VLOOKUP(B461,'Profit &amp; Loss'!$B$3:$C$390,2,0)</f>
        <v>#N/A</v>
      </c>
    </row>
    <row r="462" spans="1:7" x14ac:dyDescent="0.2">
      <c r="A462" s="3" t="s">
        <v>420</v>
      </c>
      <c r="B462" s="3" t="s">
        <v>421</v>
      </c>
      <c r="C462" s="4">
        <v>50068.93</v>
      </c>
      <c r="D462" s="4">
        <v>43049.440000000002</v>
      </c>
      <c r="E462" s="4">
        <v>7019.49</v>
      </c>
      <c r="F462" s="3" t="s">
        <v>771</v>
      </c>
      <c r="G462" s="3">
        <f>VLOOKUP(B462,'Profit &amp; Loss'!$B$3:$C$390,2,0)</f>
        <v>9127.73</v>
      </c>
    </row>
    <row r="463" spans="1:7" x14ac:dyDescent="0.2">
      <c r="A463" s="3" t="s">
        <v>420</v>
      </c>
      <c r="B463" s="3" t="s">
        <v>422</v>
      </c>
      <c r="C463" s="4">
        <v>11464.57</v>
      </c>
      <c r="D463" s="4">
        <v>10024.01</v>
      </c>
      <c r="E463" s="4">
        <v>1440.56</v>
      </c>
      <c r="F463" s="3" t="s">
        <v>955</v>
      </c>
      <c r="G463" s="3">
        <f>VLOOKUP(B463,'Profit &amp; Loss'!$B$3:$C$390,2,0)</f>
        <v>4172.96</v>
      </c>
    </row>
    <row r="464" spans="1:7" x14ac:dyDescent="0.2">
      <c r="A464" s="3" t="s">
        <v>420</v>
      </c>
      <c r="B464" s="3" t="s">
        <v>423</v>
      </c>
      <c r="C464" s="4">
        <v>15882.51</v>
      </c>
      <c r="D464" s="4">
        <v>15625.95</v>
      </c>
      <c r="E464" s="4">
        <v>256.56</v>
      </c>
      <c r="F464" s="3" t="s">
        <v>861</v>
      </c>
      <c r="G464" s="3">
        <f>VLOOKUP(B464,'Profit &amp; Loss'!$B$3:$C$390,2,0)</f>
        <v>6431.37</v>
      </c>
    </row>
    <row r="465" spans="1:7" x14ac:dyDescent="0.2">
      <c r="A465" s="3" t="s">
        <v>420</v>
      </c>
      <c r="B465" s="3" t="s">
        <v>424</v>
      </c>
      <c r="C465" s="4">
        <v>10144.24</v>
      </c>
      <c r="D465" s="4">
        <v>8063.57</v>
      </c>
      <c r="E465" s="4">
        <v>2080.67</v>
      </c>
      <c r="F465" s="3" t="s">
        <v>755</v>
      </c>
      <c r="G465" s="3">
        <f>VLOOKUP(B465,'Profit &amp; Loss'!$B$3:$C$390,2,0)</f>
        <v>2832.61</v>
      </c>
    </row>
    <row r="466" spans="1:7" x14ac:dyDescent="0.2">
      <c r="A466" s="3" t="s">
        <v>420</v>
      </c>
      <c r="B466" s="3" t="s">
        <v>588</v>
      </c>
      <c r="C466" s="4">
        <v>132.38999999999999</v>
      </c>
      <c r="D466" s="4">
        <v>132.38999999999999</v>
      </c>
      <c r="E466" s="4">
        <v>0</v>
      </c>
      <c r="F466" s="3" t="s">
        <v>6</v>
      </c>
      <c r="G466" s="3">
        <f>VLOOKUP(B466,'Profit &amp; Loss'!$B$3:$C$390,2,0)</f>
        <v>104.5</v>
      </c>
    </row>
    <row r="467" spans="1:7" x14ac:dyDescent="0.2">
      <c r="A467" s="3" t="s">
        <v>420</v>
      </c>
      <c r="B467" s="3" t="s">
        <v>425</v>
      </c>
      <c r="C467" s="4">
        <v>2526.38</v>
      </c>
      <c r="D467" s="4">
        <v>2144.8000000000002</v>
      </c>
      <c r="E467" s="4">
        <v>381.58</v>
      </c>
      <c r="F467" s="3" t="s">
        <v>924</v>
      </c>
      <c r="G467" s="3">
        <f>VLOOKUP(B467,'Profit &amp; Loss'!$B$3:$C$390,2,0)</f>
        <v>330.94</v>
      </c>
    </row>
    <row r="468" spans="1:7" x14ac:dyDescent="0.2">
      <c r="A468" s="3" t="s">
        <v>420</v>
      </c>
      <c r="B468" s="3" t="s">
        <v>795</v>
      </c>
      <c r="C468" s="4">
        <v>10720.32</v>
      </c>
      <c r="D468" s="4">
        <v>27681.03</v>
      </c>
      <c r="E468" s="4">
        <v>-16960.71</v>
      </c>
      <c r="F468" s="3" t="s">
        <v>1408</v>
      </c>
      <c r="G468" s="3">
        <f>VLOOKUP(B468,'Profit &amp; Loss'!$B$3:$C$390,2,0)</f>
        <v>-7152.42</v>
      </c>
    </row>
    <row r="469" spans="1:7" x14ac:dyDescent="0.2">
      <c r="A469" s="3" t="s">
        <v>420</v>
      </c>
      <c r="B469" s="3" t="s">
        <v>2</v>
      </c>
      <c r="C469" s="4">
        <v>100939.34</v>
      </c>
      <c r="D469" s="4">
        <v>106721.19</v>
      </c>
      <c r="E469" s="4">
        <v>-5781.85</v>
      </c>
      <c r="F469" s="3" t="s">
        <v>605</v>
      </c>
      <c r="G469" s="3" t="e">
        <f>VLOOKUP(B469,'Profit &amp; Loss'!$B$3:$C$390,2,0)</f>
        <v>#N/A</v>
      </c>
    </row>
    <row r="470" spans="1:7" x14ac:dyDescent="0.2">
      <c r="A470" s="3" t="s">
        <v>426</v>
      </c>
      <c r="B470" s="3" t="s">
        <v>427</v>
      </c>
      <c r="C470" s="4">
        <v>190.9</v>
      </c>
      <c r="D470" s="4">
        <v>190.9</v>
      </c>
      <c r="E470" s="4">
        <v>0</v>
      </c>
      <c r="F470" s="3" t="s">
        <v>6</v>
      </c>
      <c r="G470" s="3">
        <f>VLOOKUP(B470,'Profit &amp; Loss'!$B$3:$C$390,2,0)</f>
        <v>0</v>
      </c>
    </row>
    <row r="471" spans="1:7" x14ac:dyDescent="0.2">
      <c r="A471" s="3" t="s">
        <v>426</v>
      </c>
      <c r="B471" s="3" t="s">
        <v>428</v>
      </c>
      <c r="C471" s="4">
        <v>2638.72</v>
      </c>
      <c r="D471" s="4">
        <v>1649.69</v>
      </c>
      <c r="E471" s="4">
        <v>989.03</v>
      </c>
      <c r="F471" s="3" t="s">
        <v>1235</v>
      </c>
      <c r="G471" s="3">
        <f>VLOOKUP(B471,'Profit &amp; Loss'!$B$3:$C$390,2,0)</f>
        <v>-347.23</v>
      </c>
    </row>
    <row r="472" spans="1:7" x14ac:dyDescent="0.2">
      <c r="A472" s="3" t="s">
        <v>426</v>
      </c>
      <c r="B472" s="3" t="s">
        <v>429</v>
      </c>
      <c r="C472" s="4">
        <v>26059.69</v>
      </c>
      <c r="D472" s="4">
        <v>19674.830000000002</v>
      </c>
      <c r="E472" s="4">
        <v>6384.86</v>
      </c>
      <c r="F472" s="3" t="s">
        <v>1370</v>
      </c>
      <c r="G472" s="3">
        <f>VLOOKUP(B472,'Profit &amp; Loss'!$B$3:$C$390,2,0)</f>
        <v>7237.53</v>
      </c>
    </row>
    <row r="473" spans="1:7" x14ac:dyDescent="0.2">
      <c r="A473" s="3" t="s">
        <v>426</v>
      </c>
      <c r="B473" s="3" t="s">
        <v>430</v>
      </c>
      <c r="C473" s="4">
        <v>8259.2800000000007</v>
      </c>
      <c r="D473" s="4">
        <v>4999.04</v>
      </c>
      <c r="E473" s="4">
        <v>3260.24</v>
      </c>
      <c r="F473" s="3" t="s">
        <v>1409</v>
      </c>
      <c r="G473" s="3">
        <f>VLOOKUP(B473,'Profit &amp; Loss'!$B$3:$C$390,2,0)</f>
        <v>378.03</v>
      </c>
    </row>
    <row r="474" spans="1:7" x14ac:dyDescent="0.2">
      <c r="A474" s="3" t="s">
        <v>426</v>
      </c>
      <c r="B474" s="3" t="s">
        <v>2</v>
      </c>
      <c r="C474" s="4">
        <v>37148.589999999997</v>
      </c>
      <c r="D474" s="4">
        <v>26514.46</v>
      </c>
      <c r="E474" s="4">
        <v>10634.13</v>
      </c>
      <c r="F474" s="3" t="s">
        <v>935</v>
      </c>
      <c r="G474" s="3" t="e">
        <f>VLOOKUP(B474,'Profit &amp; Loss'!$B$3:$C$390,2,0)</f>
        <v>#N/A</v>
      </c>
    </row>
    <row r="475" spans="1:7" x14ac:dyDescent="0.2">
      <c r="A475" s="3" t="s">
        <v>431</v>
      </c>
      <c r="B475" s="3" t="s">
        <v>432</v>
      </c>
      <c r="C475" s="4">
        <v>-408052.96</v>
      </c>
      <c r="D475" s="4">
        <v>-308241.89</v>
      </c>
      <c r="E475" s="4">
        <v>-99811.07</v>
      </c>
      <c r="F475" s="3" t="s">
        <v>1026</v>
      </c>
      <c r="G475" s="3">
        <f>VLOOKUP(B475,'Profit &amp; Loss'!$B$3:$C$390,2,0)</f>
        <v>-104275.76</v>
      </c>
    </row>
    <row r="476" spans="1:7" x14ac:dyDescent="0.2">
      <c r="A476" s="3" t="s">
        <v>431</v>
      </c>
      <c r="B476" s="3" t="s">
        <v>2</v>
      </c>
      <c r="C476" s="4">
        <v>-408052.96</v>
      </c>
      <c r="D476" s="4">
        <v>-308241.89</v>
      </c>
      <c r="E476" s="4">
        <v>-99811.07</v>
      </c>
      <c r="F476" s="3" t="s">
        <v>1026</v>
      </c>
      <c r="G476" s="3" t="e">
        <f>VLOOKUP(B476,'Profit &amp; Loss'!$B$3:$C$390,2,0)</f>
        <v>#N/A</v>
      </c>
    </row>
    <row r="477" spans="1:7" x14ac:dyDescent="0.2">
      <c r="A477" s="3" t="s">
        <v>433</v>
      </c>
      <c r="B477" s="3" t="s">
        <v>2</v>
      </c>
      <c r="C477" s="4">
        <v>990238.97</v>
      </c>
      <c r="D477" s="4">
        <v>769065.85</v>
      </c>
      <c r="E477" s="4">
        <v>221173.12</v>
      </c>
      <c r="F477" s="3" t="s">
        <v>765</v>
      </c>
      <c r="G477" s="3" t="e">
        <f>VLOOKUP(B477,'Profit &amp; Loss'!$B$3:$C$390,2,0)</f>
        <v>#N/A</v>
      </c>
    </row>
    <row r="478" spans="1:7" x14ac:dyDescent="0.2">
      <c r="A478" s="3" t="s">
        <v>434</v>
      </c>
      <c r="B478" s="3" t="s">
        <v>796</v>
      </c>
      <c r="C478" s="4">
        <v>-33834.46</v>
      </c>
      <c r="D478" s="4">
        <v>-21155.360000000001</v>
      </c>
      <c r="E478" s="4">
        <v>-12679.1</v>
      </c>
      <c r="F478" s="3" t="s">
        <v>1410</v>
      </c>
      <c r="G478" s="3">
        <f>VLOOKUP(B478,'Profit &amp; Loss'!$B$3:$C$390,2,0)</f>
        <v>0</v>
      </c>
    </row>
    <row r="479" spans="1:7" x14ac:dyDescent="0.2">
      <c r="A479" s="3" t="s">
        <v>434</v>
      </c>
      <c r="B479" s="3" t="s">
        <v>870</v>
      </c>
      <c r="C479" s="4">
        <v>633.54</v>
      </c>
      <c r="D479" s="4">
        <v>633.54</v>
      </c>
      <c r="E479" s="4">
        <v>0</v>
      </c>
      <c r="F479" s="3" t="s">
        <v>6</v>
      </c>
      <c r="G479" s="3">
        <f>VLOOKUP(B479,'Profit &amp; Loss'!$B$3:$C$390,2,0)</f>
        <v>0</v>
      </c>
    </row>
    <row r="480" spans="1:7" x14ac:dyDescent="0.2">
      <c r="A480" s="3" t="s">
        <v>434</v>
      </c>
      <c r="B480" s="3" t="s">
        <v>590</v>
      </c>
      <c r="C480" s="4">
        <v>-4920.34</v>
      </c>
      <c r="D480" s="4">
        <v>-98.26</v>
      </c>
      <c r="E480" s="4">
        <v>-4822.08</v>
      </c>
      <c r="F480" s="3" t="s">
        <v>1411</v>
      </c>
      <c r="G480" s="3">
        <f>VLOOKUP(B480,'Profit &amp; Loss'!$B$3:$C$390,2,0)</f>
        <v>-98.26</v>
      </c>
    </row>
    <row r="481" spans="1:7" x14ac:dyDescent="0.2">
      <c r="A481" s="3" t="s">
        <v>434</v>
      </c>
      <c r="B481" s="3" t="s">
        <v>1310</v>
      </c>
      <c r="C481" s="4">
        <v>7315.99</v>
      </c>
      <c r="D481" s="4">
        <v>7315.99</v>
      </c>
      <c r="E481" s="4">
        <v>0</v>
      </c>
      <c r="F481" s="3" t="s">
        <v>6</v>
      </c>
      <c r="G481" s="3">
        <f>VLOOKUP(B481,'Profit &amp; Loss'!$B$3:$C$390,2,0)</f>
        <v>0</v>
      </c>
    </row>
    <row r="482" spans="1:7" x14ac:dyDescent="0.2">
      <c r="A482" s="3" t="s">
        <v>434</v>
      </c>
      <c r="B482" s="3" t="s">
        <v>436</v>
      </c>
      <c r="C482" s="4">
        <v>158705.24</v>
      </c>
      <c r="D482" s="4">
        <v>81657.37</v>
      </c>
      <c r="E482" s="4">
        <v>77047.87</v>
      </c>
      <c r="F482" s="3" t="s">
        <v>786</v>
      </c>
      <c r="G482" s="3">
        <f>VLOOKUP(B482,'Profit &amp; Loss'!$B$3:$C$390,2,0)</f>
        <v>26750</v>
      </c>
    </row>
    <row r="483" spans="1:7" x14ac:dyDescent="0.2">
      <c r="A483" s="3" t="s">
        <v>434</v>
      </c>
      <c r="B483" s="3" t="s">
        <v>2</v>
      </c>
      <c r="C483" s="4">
        <v>127899.97</v>
      </c>
      <c r="D483" s="4">
        <v>68353.279999999999</v>
      </c>
      <c r="E483" s="4">
        <v>59546.69</v>
      </c>
      <c r="F483" s="3" t="s">
        <v>1412</v>
      </c>
      <c r="G483" s="3" t="e">
        <f>VLOOKUP(B483,'Profit &amp; Loss'!$B$3:$C$390,2,0)</f>
        <v>#N/A</v>
      </c>
    </row>
    <row r="484" spans="1:7" s="18" customFormat="1" x14ac:dyDescent="0.2">
      <c r="A484" s="18" t="s">
        <v>437</v>
      </c>
      <c r="B484" s="18" t="s">
        <v>592</v>
      </c>
      <c r="C484" s="19">
        <v>706.84</v>
      </c>
      <c r="D484" s="19">
        <v>0</v>
      </c>
      <c r="E484" s="19">
        <v>706.84</v>
      </c>
      <c r="F484" s="18" t="s">
        <v>2</v>
      </c>
      <c r="G484" s="18">
        <f>VLOOKUP(B484,'Profit &amp; Loss'!$B$3:$C$390,2,0)</f>
        <v>0</v>
      </c>
    </row>
    <row r="485" spans="1:7" x14ac:dyDescent="0.2">
      <c r="A485" s="3" t="s">
        <v>437</v>
      </c>
      <c r="B485" s="3" t="s">
        <v>1311</v>
      </c>
      <c r="C485" s="4">
        <v>1673.69</v>
      </c>
      <c r="D485" s="4">
        <v>1673.69</v>
      </c>
      <c r="E485" s="4">
        <v>0</v>
      </c>
      <c r="F485" s="3" t="s">
        <v>6</v>
      </c>
      <c r="G485" s="3">
        <f>VLOOKUP(B485,'Profit &amp; Loss'!$B$3:$C$390,2,0)</f>
        <v>0</v>
      </c>
    </row>
    <row r="486" spans="1:7" x14ac:dyDescent="0.2">
      <c r="A486" s="3" t="s">
        <v>437</v>
      </c>
      <c r="B486" s="3" t="s">
        <v>438</v>
      </c>
      <c r="C486" s="4">
        <v>65657.05</v>
      </c>
      <c r="D486" s="4">
        <v>90125.52</v>
      </c>
      <c r="E486" s="4">
        <v>-24468.47</v>
      </c>
      <c r="F486" s="3" t="s">
        <v>1413</v>
      </c>
      <c r="G486" s="3">
        <f>VLOOKUP(B486,'Profit &amp; Loss'!$B$3:$C$390,2,0)</f>
        <v>9806.14</v>
      </c>
    </row>
    <row r="487" spans="1:7" x14ac:dyDescent="0.2">
      <c r="A487" s="3" t="s">
        <v>437</v>
      </c>
      <c r="B487" s="3" t="s">
        <v>439</v>
      </c>
      <c r="C487" s="4">
        <v>5881.95</v>
      </c>
      <c r="D487" s="4">
        <v>3168.39</v>
      </c>
      <c r="E487" s="4">
        <v>2713.56</v>
      </c>
      <c r="F487" s="3" t="s">
        <v>1414</v>
      </c>
      <c r="G487" s="3">
        <f>VLOOKUP(B487,'Profit &amp; Loss'!$B$3:$C$390,2,0)</f>
        <v>1430.38</v>
      </c>
    </row>
    <row r="488" spans="1:7" x14ac:dyDescent="0.2">
      <c r="A488" s="3" t="s">
        <v>437</v>
      </c>
      <c r="B488" s="3" t="s">
        <v>440</v>
      </c>
      <c r="C488" s="4">
        <v>21934.080000000002</v>
      </c>
      <c r="D488" s="4">
        <v>33513.57</v>
      </c>
      <c r="E488" s="4">
        <v>-11579.49</v>
      </c>
      <c r="F488" s="3" t="s">
        <v>1415</v>
      </c>
      <c r="G488" s="3">
        <f>VLOOKUP(B488,'Profit &amp; Loss'!$B$3:$C$390,2,0)</f>
        <v>7785.86</v>
      </c>
    </row>
    <row r="489" spans="1:7" x14ac:dyDescent="0.2">
      <c r="A489" s="3" t="s">
        <v>437</v>
      </c>
      <c r="B489" s="3" t="s">
        <v>2</v>
      </c>
      <c r="C489" s="4">
        <v>95853.61</v>
      </c>
      <c r="D489" s="4">
        <v>128481.17</v>
      </c>
      <c r="E489" s="4">
        <v>-32627.56</v>
      </c>
      <c r="F489" s="3" t="s">
        <v>742</v>
      </c>
      <c r="G489" s="3" t="e">
        <f>VLOOKUP(B489,'Profit &amp; Loss'!$B$3:$C$390,2,0)</f>
        <v>#N/A</v>
      </c>
    </row>
    <row r="490" spans="1:7" x14ac:dyDescent="0.2">
      <c r="A490" s="3" t="s">
        <v>441</v>
      </c>
      <c r="B490" s="3" t="s">
        <v>2</v>
      </c>
      <c r="C490" s="4">
        <v>223753.58</v>
      </c>
      <c r="D490" s="4">
        <v>196834.45</v>
      </c>
      <c r="E490" s="4">
        <v>26919.13</v>
      </c>
      <c r="F490" s="3" t="s">
        <v>1416</v>
      </c>
      <c r="G490" s="3" t="e">
        <f>VLOOKUP(B490,'Profit &amp; Loss'!$B$3:$C$390,2,0)</f>
        <v>#N/A</v>
      </c>
    </row>
    <row r="491" spans="1:7" x14ac:dyDescent="0.2">
      <c r="A491" s="3" t="s">
        <v>442</v>
      </c>
      <c r="B491" s="3" t="s">
        <v>443</v>
      </c>
      <c r="C491" s="4">
        <v>-7.87</v>
      </c>
      <c r="D491" s="4">
        <v>-0.97</v>
      </c>
      <c r="E491" s="4">
        <v>-6.9</v>
      </c>
      <c r="F491" s="3" t="s">
        <v>1417</v>
      </c>
      <c r="G491" s="3">
        <f>VLOOKUP(B491,'Profit &amp; Loss'!$B$3:$C$390,2,0)</f>
        <v>-0.33</v>
      </c>
    </row>
    <row r="492" spans="1:7" x14ac:dyDescent="0.2">
      <c r="A492" s="3" t="s">
        <v>442</v>
      </c>
      <c r="B492" s="3" t="s">
        <v>2</v>
      </c>
      <c r="C492" s="4">
        <v>-7.87</v>
      </c>
      <c r="D492" s="4">
        <v>-0.97</v>
      </c>
      <c r="E492" s="4">
        <v>-6.9</v>
      </c>
      <c r="F492" s="3" t="s">
        <v>1417</v>
      </c>
      <c r="G492" s="3" t="e">
        <f>VLOOKUP(B492,'Profit &amp; Loss'!$B$3:$C$390,2,0)</f>
        <v>#N/A</v>
      </c>
    </row>
    <row r="493" spans="1:7" x14ac:dyDescent="0.2">
      <c r="A493" s="3" t="s">
        <v>444</v>
      </c>
      <c r="B493" s="3" t="s">
        <v>2</v>
      </c>
      <c r="C493" s="4">
        <v>-7.87</v>
      </c>
      <c r="D493" s="4">
        <v>-0.97</v>
      </c>
      <c r="E493" s="4">
        <v>-6.9</v>
      </c>
      <c r="F493" s="3" t="s">
        <v>1417</v>
      </c>
      <c r="G493" s="3" t="e">
        <f>VLOOKUP(B493,'Profit &amp; Loss'!$B$3:$C$390,2,0)</f>
        <v>#N/A</v>
      </c>
    </row>
    <row r="494" spans="1:7" x14ac:dyDescent="0.2">
      <c r="A494" s="3" t="s">
        <v>445</v>
      </c>
      <c r="B494" s="3" t="s">
        <v>692</v>
      </c>
      <c r="C494" s="4">
        <v>160.21</v>
      </c>
      <c r="D494" s="4">
        <v>146.28</v>
      </c>
      <c r="E494" s="4">
        <v>13.93</v>
      </c>
      <c r="F494" s="3" t="s">
        <v>1418</v>
      </c>
      <c r="G494" s="3">
        <f>VLOOKUP(B494,'Profit &amp; Loss'!$B$3:$C$390,2,0)</f>
        <v>69.52</v>
      </c>
    </row>
    <row r="495" spans="1:7" x14ac:dyDescent="0.2">
      <c r="A495" s="3" t="s">
        <v>445</v>
      </c>
      <c r="B495" s="3" t="s">
        <v>1161</v>
      </c>
      <c r="C495" s="4">
        <v>3.48</v>
      </c>
      <c r="D495" s="4">
        <v>3.48</v>
      </c>
      <c r="E495" s="4">
        <v>0</v>
      </c>
      <c r="F495" s="3" t="s">
        <v>6</v>
      </c>
      <c r="G495" s="3">
        <f>VLOOKUP(B495,'Profit &amp; Loss'!$B$3:$C$390,2,0)</f>
        <v>0</v>
      </c>
    </row>
    <row r="496" spans="1:7" x14ac:dyDescent="0.2">
      <c r="A496" s="3" t="s">
        <v>445</v>
      </c>
      <c r="B496" s="3" t="s">
        <v>446</v>
      </c>
      <c r="C496" s="4">
        <v>8532.9599999999991</v>
      </c>
      <c r="D496" s="4">
        <v>6479.8</v>
      </c>
      <c r="E496" s="4">
        <v>2053.16</v>
      </c>
      <c r="F496" s="3" t="s">
        <v>911</v>
      </c>
      <c r="G496" s="3">
        <f>VLOOKUP(B496,'Profit &amp; Loss'!$B$3:$C$390,2,0)</f>
        <v>2583.69</v>
      </c>
    </row>
    <row r="497" spans="1:7" x14ac:dyDescent="0.2">
      <c r="A497" s="3" t="s">
        <v>445</v>
      </c>
      <c r="B497" s="3" t="s">
        <v>996</v>
      </c>
      <c r="C497" s="4">
        <v>-4183</v>
      </c>
      <c r="D497" s="4">
        <v>-4183</v>
      </c>
      <c r="E497" s="4">
        <v>0</v>
      </c>
      <c r="F497" s="3" t="s">
        <v>6</v>
      </c>
      <c r="G497" s="3">
        <f>VLOOKUP(B497,'Profit &amp; Loss'!$B$3:$C$390,2,0)</f>
        <v>-2863.58</v>
      </c>
    </row>
    <row r="498" spans="1:7" x14ac:dyDescent="0.2">
      <c r="A498" s="3" t="s">
        <v>445</v>
      </c>
      <c r="B498" s="3" t="s">
        <v>2</v>
      </c>
      <c r="C498" s="4">
        <v>4513.6499999999996</v>
      </c>
      <c r="D498" s="4">
        <v>2446.56</v>
      </c>
      <c r="E498" s="4">
        <v>2067.09</v>
      </c>
      <c r="F498" s="3" t="s">
        <v>669</v>
      </c>
      <c r="G498" s="3" t="e">
        <f>VLOOKUP(B498,'Profit &amp; Loss'!$B$3:$C$390,2,0)</f>
        <v>#N/A</v>
      </c>
    </row>
    <row r="499" spans="1:7" x14ac:dyDescent="0.2">
      <c r="A499" s="3" t="s">
        <v>447</v>
      </c>
      <c r="B499" s="3" t="s">
        <v>2</v>
      </c>
      <c r="C499" s="4">
        <v>4513.6499999999996</v>
      </c>
      <c r="D499" s="4">
        <v>2446.56</v>
      </c>
      <c r="E499" s="4">
        <v>2067.09</v>
      </c>
      <c r="F499" s="3" t="s">
        <v>669</v>
      </c>
      <c r="G499" s="3" t="e">
        <f>VLOOKUP(B499,'Profit &amp; Loss'!$B$3:$C$390,2,0)</f>
        <v>#N/A</v>
      </c>
    </row>
    <row r="500" spans="1:7" x14ac:dyDescent="0.2">
      <c r="A500" s="3" t="s">
        <v>237</v>
      </c>
      <c r="B500" s="3" t="s">
        <v>448</v>
      </c>
      <c r="C500" s="4">
        <v>-6912930.9000000004</v>
      </c>
      <c r="D500" s="4">
        <v>-5122027.8499999996</v>
      </c>
      <c r="E500" s="4">
        <v>-1790903.05</v>
      </c>
      <c r="F500" s="3" t="s">
        <v>1419</v>
      </c>
      <c r="G500" s="3">
        <f>VLOOKUP(B500,'Profit &amp; Loss'!$B$3:$C$390,2,0)</f>
        <v>-2188985.1399999992</v>
      </c>
    </row>
    <row r="501" spans="1:7" x14ac:dyDescent="0.2">
      <c r="A501" s="3" t="s">
        <v>237</v>
      </c>
      <c r="B501" s="5" t="s">
        <v>449</v>
      </c>
      <c r="C501" s="4">
        <v>0</v>
      </c>
      <c r="D501" s="4">
        <v>0</v>
      </c>
      <c r="E501" s="4">
        <v>0</v>
      </c>
      <c r="F501" s="3" t="s">
        <v>2</v>
      </c>
      <c r="G501" s="3" t="e">
        <f>VLOOKUP(B501,'Profit &amp; Loss'!$B$3:$C$390,2,0)</f>
        <v>#N/A</v>
      </c>
    </row>
    <row r="502" spans="1:7" x14ac:dyDescent="0.2">
      <c r="A502" s="3" t="s">
        <v>450</v>
      </c>
      <c r="B502" s="3" t="s">
        <v>451</v>
      </c>
      <c r="C502" s="4">
        <v>0</v>
      </c>
      <c r="D502" s="4">
        <v>0</v>
      </c>
      <c r="E502" s="4">
        <v>0</v>
      </c>
      <c r="F502" s="3" t="s">
        <v>2</v>
      </c>
      <c r="G502" s="3" t="e">
        <f>VLOOKUP(B502,'Profit &amp; Loss'!$B$3:$C$390,2,0)</f>
        <v>#N/A</v>
      </c>
    </row>
    <row r="503" spans="1:7" x14ac:dyDescent="0.2">
      <c r="A503" s="3" t="s">
        <v>450</v>
      </c>
      <c r="B503" s="5" t="s">
        <v>234</v>
      </c>
      <c r="C503" s="4">
        <v>0</v>
      </c>
      <c r="D503" s="4">
        <v>0</v>
      </c>
      <c r="E503" s="4">
        <v>0</v>
      </c>
      <c r="F503" s="3" t="s">
        <v>2</v>
      </c>
      <c r="G503" s="3" t="e">
        <f>VLOOKUP(B503,'Profit &amp; Loss'!$B$3:$C$390,2,0)</f>
        <v>#N/A</v>
      </c>
    </row>
    <row r="504" spans="1:7" x14ac:dyDescent="0.2">
      <c r="A504" s="3" t="s">
        <v>452</v>
      </c>
      <c r="B504" s="3" t="s">
        <v>453</v>
      </c>
      <c r="C504" s="4">
        <v>0</v>
      </c>
      <c r="D504" s="4">
        <v>0</v>
      </c>
      <c r="E504" s="4">
        <v>0</v>
      </c>
      <c r="F504" s="3" t="s">
        <v>2</v>
      </c>
      <c r="G504" s="3" t="e">
        <f>VLOOKUP(B504,'Profit &amp; Loss'!$B$3:$C$390,2,0)</f>
        <v>#N/A</v>
      </c>
    </row>
    <row r="505" spans="1:7" x14ac:dyDescent="0.2">
      <c r="A505" s="3" t="s">
        <v>452</v>
      </c>
      <c r="B505" s="3" t="s">
        <v>2</v>
      </c>
      <c r="C505" s="4">
        <v>6912930.9000000004</v>
      </c>
      <c r="D505" s="4">
        <v>5122027.8499999996</v>
      </c>
      <c r="E505" s="4">
        <v>1790903.05</v>
      </c>
      <c r="F505" s="3" t="s">
        <v>773</v>
      </c>
      <c r="G505" s="3" t="e">
        <f>VLOOKUP(B505,'Profit &amp; Loss'!$B$3:$C$390,2,0)</f>
        <v>#N/A</v>
      </c>
    </row>
    <row r="506" spans="1:7" x14ac:dyDescent="0.2">
      <c r="A506" s="3" t="s">
        <v>450</v>
      </c>
      <c r="B506" s="3" t="s">
        <v>2</v>
      </c>
      <c r="C506" s="4">
        <v>6912930.9000000004</v>
      </c>
      <c r="D506" s="4">
        <v>5122027.8499999996</v>
      </c>
      <c r="E506" s="4">
        <v>1790903.05</v>
      </c>
      <c r="F506" s="3" t="s">
        <v>773</v>
      </c>
      <c r="G506" s="3" t="e">
        <f>VLOOKUP(B506,'Profit &amp; Loss'!$B$3:$C$390,2,0)</f>
        <v>#N/A</v>
      </c>
    </row>
    <row r="507" spans="1:7" x14ac:dyDescent="0.2">
      <c r="A507" s="3" t="s">
        <v>454</v>
      </c>
      <c r="B507" s="3" t="s">
        <v>455</v>
      </c>
      <c r="C507" s="4">
        <v>0</v>
      </c>
      <c r="D507" s="4">
        <v>0</v>
      </c>
      <c r="E507" s="4">
        <v>0</v>
      </c>
      <c r="F507" s="3" t="s">
        <v>2</v>
      </c>
      <c r="G507" s="3" t="e">
        <f>VLOOKUP(B507,'Profit &amp; Loss'!$B$3:$C$390,2,0)</f>
        <v>#N/A</v>
      </c>
    </row>
    <row r="508" spans="1:7" x14ac:dyDescent="0.2">
      <c r="A508" s="3" t="s">
        <v>454</v>
      </c>
      <c r="B508" s="5" t="s">
        <v>456</v>
      </c>
      <c r="C508" s="4">
        <v>0</v>
      </c>
      <c r="D508" s="4">
        <v>0</v>
      </c>
      <c r="E508" s="4">
        <v>0</v>
      </c>
      <c r="F508" s="3" t="s">
        <v>2</v>
      </c>
      <c r="G508" s="3" t="e">
        <f>VLOOKUP(B508,'Profit &amp; Loss'!$B$3:$C$390,2,0)</f>
        <v>#N/A</v>
      </c>
    </row>
    <row r="509" spans="1:7" x14ac:dyDescent="0.2">
      <c r="A509" s="3" t="s">
        <v>454</v>
      </c>
      <c r="B509" s="3" t="s">
        <v>457</v>
      </c>
      <c r="C509" s="4">
        <v>-73774.25</v>
      </c>
      <c r="D509" s="4">
        <v>-70781.94</v>
      </c>
      <c r="E509" s="4">
        <v>-2992.31</v>
      </c>
      <c r="F509" s="3" t="s">
        <v>1339</v>
      </c>
      <c r="G509" s="3" t="e">
        <f>VLOOKUP(B509,'Profit &amp; Loss'!$B$3:$C$390,2,0)</f>
        <v>#N/A</v>
      </c>
    </row>
    <row r="510" spans="1:7" x14ac:dyDescent="0.2">
      <c r="A510" s="3" t="s">
        <v>454</v>
      </c>
      <c r="B510" s="3" t="s">
        <v>458</v>
      </c>
      <c r="C510" s="4">
        <v>-96108.67</v>
      </c>
      <c r="D510" s="4">
        <v>-60145.71</v>
      </c>
      <c r="E510" s="4">
        <v>-35962.959999999999</v>
      </c>
      <c r="F510" s="3" t="s">
        <v>1420</v>
      </c>
      <c r="G510" s="3" t="e">
        <f>VLOOKUP(B510,'Profit &amp; Loss'!$B$3:$C$390,2,0)</f>
        <v>#N/A</v>
      </c>
    </row>
    <row r="511" spans="1:7" x14ac:dyDescent="0.2">
      <c r="A511" s="3" t="s">
        <v>454</v>
      </c>
      <c r="B511" s="3" t="s">
        <v>694</v>
      </c>
      <c r="C511" s="4">
        <v>73.349999999999994</v>
      </c>
      <c r="D511" s="4">
        <v>-1089.43</v>
      </c>
      <c r="E511" s="4">
        <v>1162.78</v>
      </c>
      <c r="F511" s="3" t="s">
        <v>1421</v>
      </c>
      <c r="G511" s="3" t="e">
        <f>VLOOKUP(B511,'Profit &amp; Loss'!$B$3:$C$390,2,0)</f>
        <v>#N/A</v>
      </c>
    </row>
    <row r="512" spans="1:7" x14ac:dyDescent="0.2">
      <c r="A512" s="3" t="s">
        <v>454</v>
      </c>
      <c r="B512" s="3" t="s">
        <v>459</v>
      </c>
      <c r="C512" s="4">
        <v>27793.19</v>
      </c>
      <c r="D512" s="4">
        <v>16019.66</v>
      </c>
      <c r="E512" s="4">
        <v>11773.53</v>
      </c>
      <c r="F512" s="3" t="s">
        <v>1298</v>
      </c>
      <c r="G512" s="3" t="e">
        <f>VLOOKUP(B512,'Profit &amp; Loss'!$B$3:$C$390,2,0)</f>
        <v>#N/A</v>
      </c>
    </row>
    <row r="513" spans="1:7" x14ac:dyDescent="0.2">
      <c r="A513" s="3" t="s">
        <v>454</v>
      </c>
      <c r="B513" s="3" t="s">
        <v>460</v>
      </c>
      <c r="C513" s="4">
        <v>-40507.79</v>
      </c>
      <c r="D513" s="4">
        <v>-40507.79</v>
      </c>
      <c r="E513" s="4">
        <v>0</v>
      </c>
      <c r="F513" s="3" t="s">
        <v>6</v>
      </c>
      <c r="G513" s="3" t="e">
        <f>VLOOKUP(B513,'Profit &amp; Loss'!$B$3:$C$390,2,0)</f>
        <v>#N/A</v>
      </c>
    </row>
    <row r="514" spans="1:7" x14ac:dyDescent="0.2">
      <c r="A514" s="3" t="s">
        <v>454</v>
      </c>
      <c r="B514" s="3" t="s">
        <v>874</v>
      </c>
      <c r="C514" s="4">
        <v>5638.48</v>
      </c>
      <c r="D514" s="4">
        <v>0</v>
      </c>
      <c r="E514" s="4">
        <v>5638.48</v>
      </c>
      <c r="F514" s="3" t="s">
        <v>2</v>
      </c>
      <c r="G514" s="3">
        <f>VLOOKUP(B514,'Profit &amp; Loss'!$B$3:$C$390,2,0)</f>
        <v>0</v>
      </c>
    </row>
    <row r="515" spans="1:7" x14ac:dyDescent="0.2">
      <c r="A515" s="3" t="s">
        <v>454</v>
      </c>
      <c r="B515" s="3" t="s">
        <v>461</v>
      </c>
      <c r="C515" s="4">
        <v>-176885.69</v>
      </c>
      <c r="D515" s="4">
        <v>-156505.21</v>
      </c>
      <c r="E515" s="4">
        <v>-20380.48</v>
      </c>
      <c r="F515" s="3" t="s">
        <v>810</v>
      </c>
      <c r="G515" s="3" t="e">
        <f>VLOOKUP(B515,'Profit &amp; Loss'!$B$3:$C$390,2,0)</f>
        <v>#N/A</v>
      </c>
    </row>
    <row r="516" spans="1:7" x14ac:dyDescent="0.2">
      <c r="A516" s="3" t="s">
        <v>454</v>
      </c>
      <c r="B516" s="5" t="s">
        <v>462</v>
      </c>
      <c r="C516" s="4">
        <v>0</v>
      </c>
      <c r="D516" s="4">
        <v>0</v>
      </c>
      <c r="E516" s="4">
        <v>0</v>
      </c>
      <c r="F516" s="3" t="s">
        <v>2</v>
      </c>
      <c r="G516" s="3" t="e">
        <f>VLOOKUP(B516,'Profit &amp; Loss'!$B$3:$C$390,2,0)</f>
        <v>#N/A</v>
      </c>
    </row>
  </sheetData>
  <autoFilter ref="A1:G516" xr:uid="{5C67AA8D-A9C2-47A6-AAE5-AD55FCA8999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CF49-A390-45E8-AEE5-4C230143C4CD}">
  <dimension ref="A1:F515"/>
  <sheetViews>
    <sheetView topLeftCell="A259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1571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VLOOKUP(B2,'Profit &amp; Loss'!$B$2:$C$390,2,0)</f>
        <v>#N/A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VLOOKUP(B3,'Profit &amp; Loss'!$B$2:$C$390,2,0)</f>
        <v>#N/A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VLOOKUP(B4,'Profit &amp; Loss'!$B$2:$C$390,2,0)</f>
        <v>#N/A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VLOOKUP(B5,'Profit &amp; Loss'!$B$2:$C$390,2,0)</f>
        <v>#N/A</v>
      </c>
    </row>
    <row r="6" spans="1:6" x14ac:dyDescent="0.2">
      <c r="A6" s="3" t="s">
        <v>4</v>
      </c>
      <c r="B6" s="3" t="s">
        <v>8</v>
      </c>
      <c r="C6" s="4">
        <v>27965.02</v>
      </c>
      <c r="D6" s="4">
        <v>23494.19</v>
      </c>
      <c r="E6" s="4">
        <v>4470.83</v>
      </c>
      <c r="F6" s="3" t="e">
        <f>VLOOKUP(B6,'Profit &amp; Loss'!$B$2:$C$390,2,0)</f>
        <v>#N/A</v>
      </c>
    </row>
    <row r="7" spans="1:6" x14ac:dyDescent="0.2">
      <c r="A7" s="3" t="s">
        <v>4</v>
      </c>
      <c r="B7" s="3" t="s">
        <v>9</v>
      </c>
      <c r="C7" s="4">
        <v>-23414.15</v>
      </c>
      <c r="D7" s="4">
        <v>-23412.73</v>
      </c>
      <c r="E7" s="4">
        <v>-1.42</v>
      </c>
      <c r="F7" s="3" t="e">
        <f>VLOOKUP(B7,'Profit &amp; Loss'!$B$2:$C$390,2,0)</f>
        <v>#N/A</v>
      </c>
    </row>
    <row r="8" spans="1:6" x14ac:dyDescent="0.2">
      <c r="A8" s="3" t="s">
        <v>4</v>
      </c>
      <c r="B8" s="3" t="s">
        <v>10</v>
      </c>
      <c r="C8" s="4">
        <v>68.61</v>
      </c>
      <c r="D8" s="4">
        <v>68.599999999999994</v>
      </c>
      <c r="E8" s="4">
        <v>0.01</v>
      </c>
      <c r="F8" s="3" t="e">
        <f>VLOOKUP(B8,'Profit &amp; Loss'!$B$2:$C$390,2,0)</f>
        <v>#N/A</v>
      </c>
    </row>
    <row r="9" spans="1:6" x14ac:dyDescent="0.2">
      <c r="A9" s="3" t="s">
        <v>4</v>
      </c>
      <c r="B9" s="3" t="s">
        <v>11</v>
      </c>
      <c r="C9" s="4">
        <v>1.87</v>
      </c>
      <c r="D9" s="4">
        <v>2.4900000000000002</v>
      </c>
      <c r="E9" s="4">
        <v>-0.62</v>
      </c>
      <c r="F9" s="3" t="e">
        <f>VLOOKUP(B9,'Profit &amp; Loss'!$B$2:$C$390,2,0)</f>
        <v>#N/A</v>
      </c>
    </row>
    <row r="10" spans="1:6" x14ac:dyDescent="0.2">
      <c r="A10" s="3" t="s">
        <v>4</v>
      </c>
      <c r="B10" s="3" t="s">
        <v>2</v>
      </c>
      <c r="C10" s="4">
        <v>5560.87</v>
      </c>
      <c r="D10" s="4">
        <v>1092.07</v>
      </c>
      <c r="E10" s="4">
        <v>4468.8</v>
      </c>
      <c r="F10" s="3" t="e">
        <f>VLOOKUP(B10,'Profit &amp; Loss'!$B$2:$C$390,2,0)</f>
        <v>#N/A</v>
      </c>
    </row>
    <row r="11" spans="1:6" x14ac:dyDescent="0.2">
      <c r="A11" s="3" t="s">
        <v>12</v>
      </c>
      <c r="B11" s="3" t="s">
        <v>2</v>
      </c>
      <c r="C11" s="4">
        <v>5560.87</v>
      </c>
      <c r="D11" s="4">
        <v>1092.07</v>
      </c>
      <c r="E11" s="4">
        <v>4468.8</v>
      </c>
      <c r="F11" s="3" t="e">
        <f>VLOOKUP(B11,'Profit &amp; Loss'!$B$2:$C$390,2,0)</f>
        <v>#N/A</v>
      </c>
    </row>
    <row r="12" spans="1:6" x14ac:dyDescent="0.2">
      <c r="A12" s="3" t="s">
        <v>13</v>
      </c>
      <c r="B12" s="3" t="s">
        <v>14</v>
      </c>
      <c r="C12" s="4">
        <v>15592929.92</v>
      </c>
      <c r="D12" s="4">
        <v>13702347.85</v>
      </c>
      <c r="E12" s="4">
        <v>1890582.07</v>
      </c>
      <c r="F12" s="3" t="e">
        <f>VLOOKUP(B12,'Profit &amp; Loss'!$B$2:$C$390,2,0)</f>
        <v>#N/A</v>
      </c>
    </row>
    <row r="13" spans="1:6" x14ac:dyDescent="0.2">
      <c r="A13" s="3" t="s">
        <v>13</v>
      </c>
      <c r="B13" s="3" t="s">
        <v>15</v>
      </c>
      <c r="C13" s="4">
        <v>-42604.13</v>
      </c>
      <c r="D13" s="4">
        <v>-35312.69</v>
      </c>
      <c r="E13" s="4">
        <v>-7291.44</v>
      </c>
      <c r="F13" s="3" t="e">
        <f>VLOOKUP(B13,'Profit &amp; Loss'!$B$2:$C$390,2,0)</f>
        <v>#N/A</v>
      </c>
    </row>
    <row r="14" spans="1:6" x14ac:dyDescent="0.2">
      <c r="A14" s="3" t="s">
        <v>13</v>
      </c>
      <c r="B14" s="3" t="s">
        <v>16</v>
      </c>
      <c r="C14" s="4">
        <v>1601828.45</v>
      </c>
      <c r="D14" s="4">
        <v>1601828.45</v>
      </c>
      <c r="E14" s="4">
        <v>0</v>
      </c>
      <c r="F14" s="3" t="e">
        <f>VLOOKUP(B14,'Profit &amp; Loss'!$B$2:$C$390,2,0)</f>
        <v>#N/A</v>
      </c>
    </row>
    <row r="15" spans="1:6" x14ac:dyDescent="0.2">
      <c r="A15" s="3" t="s">
        <v>13</v>
      </c>
      <c r="B15" s="3" t="s">
        <v>17</v>
      </c>
      <c r="C15" s="4">
        <v>-117425.53</v>
      </c>
      <c r="D15" s="4">
        <v>-104472.47</v>
      </c>
      <c r="E15" s="4">
        <v>-12953.06</v>
      </c>
      <c r="F15" s="3" t="e">
        <f>VLOOKUP(B15,'Profit &amp; Loss'!$B$2:$C$390,2,0)</f>
        <v>#N/A</v>
      </c>
    </row>
    <row r="16" spans="1:6" x14ac:dyDescent="0.2">
      <c r="A16" s="3" t="s">
        <v>13</v>
      </c>
      <c r="B16" s="3" t="s">
        <v>2</v>
      </c>
      <c r="C16" s="4">
        <v>17034728.710000001</v>
      </c>
      <c r="D16" s="4">
        <v>15164391.140000001</v>
      </c>
      <c r="E16" s="4">
        <v>1870337.57</v>
      </c>
      <c r="F16" s="3" t="e">
        <f>VLOOKUP(B16,'Profit &amp; Loss'!$B$2:$C$390,2,0)</f>
        <v>#N/A</v>
      </c>
    </row>
    <row r="17" spans="1:6" x14ac:dyDescent="0.2">
      <c r="A17" s="3" t="s">
        <v>18</v>
      </c>
      <c r="B17" s="3" t="s">
        <v>19</v>
      </c>
      <c r="C17" s="4">
        <v>-44390.62</v>
      </c>
      <c r="D17" s="4">
        <v>-42841.18</v>
      </c>
      <c r="E17" s="4">
        <v>-1549.44</v>
      </c>
      <c r="F17" s="3" t="e">
        <f>VLOOKUP(B17,'Profit &amp; Loss'!$B$2:$C$390,2,0)</f>
        <v>#N/A</v>
      </c>
    </row>
    <row r="18" spans="1:6" x14ac:dyDescent="0.2">
      <c r="A18" s="3" t="s">
        <v>18</v>
      </c>
      <c r="B18" s="3" t="s">
        <v>2</v>
      </c>
      <c r="C18" s="4">
        <v>-44390.62</v>
      </c>
      <c r="D18" s="4">
        <v>-42841.18</v>
      </c>
      <c r="E18" s="4">
        <v>-1549.44</v>
      </c>
      <c r="F18" s="3" t="e">
        <f>VLOOKUP(B18,'Profit &amp; Loss'!$B$2:$C$390,2,0)</f>
        <v>#N/A</v>
      </c>
    </row>
    <row r="19" spans="1:6" x14ac:dyDescent="0.2">
      <c r="A19" s="3" t="s">
        <v>20</v>
      </c>
      <c r="B19" s="3" t="s">
        <v>2</v>
      </c>
      <c r="C19" s="4">
        <v>16990338.09</v>
      </c>
      <c r="D19" s="4">
        <v>15121549.960000001</v>
      </c>
      <c r="E19" s="4">
        <v>1868788.13</v>
      </c>
      <c r="F19" s="3" t="e">
        <f>VLOOKUP(B19,'Profit &amp; Loss'!$B$2:$C$390,2,0)</f>
        <v>#N/A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VLOOKUP(B20,'Profit &amp; Loss'!$B$2:$C$390,2,0)</f>
        <v>#N/A</v>
      </c>
    </row>
    <row r="21" spans="1:6" x14ac:dyDescent="0.2">
      <c r="A21" s="3" t="s">
        <v>21</v>
      </c>
      <c r="B21" s="3" t="s">
        <v>23</v>
      </c>
      <c r="C21" s="4">
        <v>3868.21</v>
      </c>
      <c r="D21" s="4">
        <v>507.48</v>
      </c>
      <c r="E21" s="4">
        <v>3360.73</v>
      </c>
      <c r="F21" s="3" t="e">
        <f>VLOOKUP(B21,'Profit &amp; Loss'!$B$2:$C$390,2,0)</f>
        <v>#N/A</v>
      </c>
    </row>
    <row r="22" spans="1:6" x14ac:dyDescent="0.2">
      <c r="A22" s="3" t="s">
        <v>21</v>
      </c>
      <c r="B22" s="3" t="s">
        <v>25</v>
      </c>
      <c r="C22" s="4">
        <v>64064.44</v>
      </c>
      <c r="D22" s="4">
        <v>51850.32</v>
      </c>
      <c r="E22" s="4">
        <v>12214.12</v>
      </c>
      <c r="F22" s="3" t="e">
        <f>VLOOKUP(B22,'Profit &amp; Loss'!$B$2:$C$390,2,0)</f>
        <v>#N/A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VLOOKUP(B23,'Profit &amp; Loss'!$B$2:$C$390,2,0)</f>
        <v>#N/A</v>
      </c>
    </row>
    <row r="24" spans="1:6" x14ac:dyDescent="0.2">
      <c r="A24" s="3" t="s">
        <v>21</v>
      </c>
      <c r="B24" s="3" t="s">
        <v>27</v>
      </c>
      <c r="C24" s="4">
        <v>15779.64</v>
      </c>
      <c r="D24" s="4">
        <v>118453.57</v>
      </c>
      <c r="E24" s="4">
        <v>-102673.93</v>
      </c>
      <c r="F24" s="3" t="e">
        <f>VLOOKUP(B24,'Profit &amp; Loss'!$B$2:$C$390,2,0)</f>
        <v>#N/A</v>
      </c>
    </row>
    <row r="25" spans="1:6" x14ac:dyDescent="0.2">
      <c r="A25" s="3" t="s">
        <v>21</v>
      </c>
      <c r="B25" s="3" t="s">
        <v>28</v>
      </c>
      <c r="C25" s="4">
        <v>25960.5</v>
      </c>
      <c r="D25" s="4">
        <v>22605.02</v>
      </c>
      <c r="E25" s="4">
        <v>3355.48</v>
      </c>
      <c r="F25" s="3" t="e">
        <f>VLOOKUP(B25,'Profit &amp; Loss'!$B$2:$C$390,2,0)</f>
        <v>#N/A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VLOOKUP(B26,'Profit &amp; Loss'!$B$2:$C$390,2,0)</f>
        <v>#N/A</v>
      </c>
    </row>
    <row r="27" spans="1:6" x14ac:dyDescent="0.2">
      <c r="A27" s="3" t="s">
        <v>21</v>
      </c>
      <c r="B27" s="3" t="s">
        <v>2</v>
      </c>
      <c r="C27" s="4">
        <v>109692.16</v>
      </c>
      <c r="D27" s="4">
        <v>193435.76</v>
      </c>
      <c r="E27" s="4">
        <v>-83743.600000000006</v>
      </c>
      <c r="F27" s="3" t="e">
        <f>VLOOKUP(B27,'Profit &amp; Loss'!$B$2:$C$390,2,0)</f>
        <v>#N/A</v>
      </c>
    </row>
    <row r="28" spans="1:6" x14ac:dyDescent="0.2">
      <c r="A28" s="3" t="s">
        <v>30</v>
      </c>
      <c r="B28" s="3" t="s">
        <v>31</v>
      </c>
      <c r="C28" s="4">
        <v>-5282.2</v>
      </c>
      <c r="D28" s="4">
        <v>103211.52</v>
      </c>
      <c r="E28" s="4">
        <v>-108493.72</v>
      </c>
      <c r="F28" s="3" t="e">
        <f>VLOOKUP(B28,'Profit &amp; Loss'!$B$2:$C$390,2,0)</f>
        <v>#N/A</v>
      </c>
    </row>
    <row r="29" spans="1:6" x14ac:dyDescent="0.2">
      <c r="A29" s="3" t="s">
        <v>30</v>
      </c>
      <c r="B29" s="3" t="s">
        <v>2</v>
      </c>
      <c r="C29" s="4">
        <v>-5282.2</v>
      </c>
      <c r="D29" s="4">
        <v>103211.52</v>
      </c>
      <c r="E29" s="4">
        <v>-108493.72</v>
      </c>
      <c r="F29" s="3" t="e">
        <f>VLOOKUP(B29,'Profit &amp; Loss'!$B$2:$C$390,2,0)</f>
        <v>#N/A</v>
      </c>
    </row>
    <row r="30" spans="1:6" x14ac:dyDescent="0.2">
      <c r="A30" s="3" t="s">
        <v>32</v>
      </c>
      <c r="B30" s="3" t="s">
        <v>33</v>
      </c>
      <c r="C30" s="4">
        <v>53215.46</v>
      </c>
      <c r="D30" s="4">
        <v>49147.55</v>
      </c>
      <c r="E30" s="4">
        <v>4067.91</v>
      </c>
      <c r="F30" s="3" t="e">
        <f>VLOOKUP(B30,'Profit &amp; Loss'!$B$2:$C$390,2,0)</f>
        <v>#N/A</v>
      </c>
    </row>
    <row r="31" spans="1:6" x14ac:dyDescent="0.2">
      <c r="A31" s="3" t="s">
        <v>32</v>
      </c>
      <c r="B31" s="3" t="s">
        <v>34</v>
      </c>
      <c r="C31" s="4">
        <v>-41.52</v>
      </c>
      <c r="D31" s="4">
        <v>-107.47</v>
      </c>
      <c r="E31" s="4">
        <v>65.95</v>
      </c>
      <c r="F31" s="3" t="e">
        <f>VLOOKUP(B31,'Profit &amp; Loss'!$B$2:$C$390,2,0)</f>
        <v>#N/A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VLOOKUP(B32,'Profit &amp; Loss'!$B$2:$C$390,2,0)</f>
        <v>#N/A</v>
      </c>
    </row>
    <row r="33" spans="1:6" x14ac:dyDescent="0.2">
      <c r="A33" s="3" t="s">
        <v>32</v>
      </c>
      <c r="B33" s="3" t="s">
        <v>477</v>
      </c>
      <c r="C33" s="4">
        <v>5352.52</v>
      </c>
      <c r="D33" s="4">
        <v>7843.4</v>
      </c>
      <c r="E33" s="4">
        <v>-2490.88</v>
      </c>
      <c r="F33" s="3" t="e">
        <f>VLOOKUP(B33,'Profit &amp; Loss'!$B$2:$C$390,2,0)</f>
        <v>#N/A</v>
      </c>
    </row>
    <row r="34" spans="1:6" x14ac:dyDescent="0.2">
      <c r="A34" s="3" t="s">
        <v>32</v>
      </c>
      <c r="B34" s="3" t="s">
        <v>478</v>
      </c>
      <c r="C34" s="4">
        <v>-48.36</v>
      </c>
      <c r="D34" s="4">
        <v>-14.27</v>
      </c>
      <c r="E34" s="4">
        <v>-34.090000000000003</v>
      </c>
      <c r="F34" s="3" t="e">
        <f>VLOOKUP(B34,'Profit &amp; Loss'!$B$2:$C$390,2,0)</f>
        <v>#N/A</v>
      </c>
    </row>
    <row r="35" spans="1:6" x14ac:dyDescent="0.2">
      <c r="A35" s="3" t="s">
        <v>32</v>
      </c>
      <c r="B35" s="3" t="s">
        <v>36</v>
      </c>
      <c r="C35" s="4">
        <v>-9391.58</v>
      </c>
      <c r="D35" s="4">
        <v>-7666.86</v>
      </c>
      <c r="E35" s="4">
        <v>-1724.72</v>
      </c>
      <c r="F35" s="3" t="e">
        <f>VLOOKUP(B35,'Profit &amp; Loss'!$B$2:$C$390,2,0)</f>
        <v>#N/A</v>
      </c>
    </row>
    <row r="36" spans="1:6" x14ac:dyDescent="0.2">
      <c r="A36" s="3" t="s">
        <v>32</v>
      </c>
      <c r="B36" s="3" t="s">
        <v>39</v>
      </c>
      <c r="C36" s="4">
        <v>2138.75</v>
      </c>
      <c r="D36" s="4">
        <v>2694.7</v>
      </c>
      <c r="E36" s="4">
        <v>-555.95000000000005</v>
      </c>
      <c r="F36" s="3" t="e">
        <f>VLOOKUP(B36,'Profit &amp; Loss'!$B$2:$C$390,2,0)</f>
        <v>#N/A</v>
      </c>
    </row>
    <row r="37" spans="1:6" x14ac:dyDescent="0.2">
      <c r="A37" s="3" t="s">
        <v>32</v>
      </c>
      <c r="B37" s="3" t="s">
        <v>42</v>
      </c>
      <c r="C37" s="4">
        <v>42.92</v>
      </c>
      <c r="D37" s="4">
        <v>40.97</v>
      </c>
      <c r="E37" s="4">
        <v>1.95</v>
      </c>
      <c r="F37" s="3" t="e">
        <f>VLOOKUP(B37,'Profit &amp; Loss'!$B$2:$C$390,2,0)</f>
        <v>#N/A</v>
      </c>
    </row>
    <row r="38" spans="1:6" x14ac:dyDescent="0.2">
      <c r="A38" s="3" t="s">
        <v>32</v>
      </c>
      <c r="B38" s="3" t="s">
        <v>2</v>
      </c>
      <c r="C38" s="4">
        <v>53865.71</v>
      </c>
      <c r="D38" s="4">
        <v>54535.54</v>
      </c>
      <c r="E38" s="4">
        <v>-669.83</v>
      </c>
      <c r="F38" s="3" t="e">
        <f>VLOOKUP(B38,'Profit &amp; Loss'!$B$2:$C$390,2,0)</f>
        <v>#N/A</v>
      </c>
    </row>
    <row r="39" spans="1:6" x14ac:dyDescent="0.2">
      <c r="A39" s="3" t="s">
        <v>43</v>
      </c>
      <c r="B39" s="3" t="s">
        <v>2</v>
      </c>
      <c r="C39" s="4">
        <v>158275.67000000001</v>
      </c>
      <c r="D39" s="4">
        <v>351182.82</v>
      </c>
      <c r="E39" s="4">
        <v>-192907.15</v>
      </c>
      <c r="F39" s="3" t="e">
        <f>VLOOKUP(B39,'Profit &amp; Loss'!$B$2:$C$390,2,0)</f>
        <v>#N/A</v>
      </c>
    </row>
    <row r="40" spans="1:6" x14ac:dyDescent="0.2">
      <c r="A40" s="3" t="s">
        <v>44</v>
      </c>
      <c r="B40" s="3" t="s">
        <v>973</v>
      </c>
      <c r="C40" s="4">
        <v>-0.1</v>
      </c>
      <c r="D40" s="4">
        <v>-0.1</v>
      </c>
      <c r="E40" s="4">
        <v>0</v>
      </c>
      <c r="F40" s="3" t="e">
        <f>VLOOKUP(B40,'Profit &amp; Loss'!$B$2:$C$390,2,0)</f>
        <v>#N/A</v>
      </c>
    </row>
    <row r="41" spans="1:6" x14ac:dyDescent="0.2">
      <c r="A41" s="3" t="s">
        <v>44</v>
      </c>
      <c r="B41" s="3" t="s">
        <v>45</v>
      </c>
      <c r="C41" s="4">
        <v>0</v>
      </c>
      <c r="D41" s="4">
        <v>-33464.480000000003</v>
      </c>
      <c r="E41" s="4">
        <v>33464.480000000003</v>
      </c>
      <c r="F41" s="3" t="e">
        <f>VLOOKUP(B41,'Profit &amp; Loss'!$B$2:$C$390,2,0)</f>
        <v>#N/A</v>
      </c>
    </row>
    <row r="42" spans="1:6" x14ac:dyDescent="0.2">
      <c r="A42" s="3" t="s">
        <v>44</v>
      </c>
      <c r="B42" s="3" t="s">
        <v>46</v>
      </c>
      <c r="C42" s="4">
        <v>591.19000000000005</v>
      </c>
      <c r="D42" s="4">
        <v>1668.98</v>
      </c>
      <c r="E42" s="4">
        <v>-1077.79</v>
      </c>
      <c r="F42" s="3" t="e">
        <f>VLOOKUP(B42,'Profit &amp; Loss'!$B$2:$C$390,2,0)</f>
        <v>#N/A</v>
      </c>
    </row>
    <row r="43" spans="1:6" x14ac:dyDescent="0.2">
      <c r="A43" s="3" t="s">
        <v>44</v>
      </c>
      <c r="B43" s="3" t="s">
        <v>2</v>
      </c>
      <c r="C43" s="4">
        <v>591.09</v>
      </c>
      <c r="D43" s="4">
        <v>-31795.599999999999</v>
      </c>
      <c r="E43" s="4">
        <v>32386.69</v>
      </c>
      <c r="F43" s="3" t="e">
        <f>VLOOKUP(B43,'Profit &amp; Loss'!$B$2:$C$390,2,0)</f>
        <v>#N/A</v>
      </c>
    </row>
    <row r="44" spans="1:6" x14ac:dyDescent="0.2">
      <c r="A44" s="3" t="s">
        <v>47</v>
      </c>
      <c r="B44" s="3" t="s">
        <v>48</v>
      </c>
      <c r="C44" s="4">
        <v>12765262.18</v>
      </c>
      <c r="D44" s="4">
        <v>12269740.99</v>
      </c>
      <c r="E44" s="4">
        <v>495521.19</v>
      </c>
      <c r="F44" s="3" t="e">
        <f>VLOOKUP(B44,'Profit &amp; Loss'!$B$2:$C$390,2,0)</f>
        <v>#N/A</v>
      </c>
    </row>
    <row r="45" spans="1:6" x14ac:dyDescent="0.2">
      <c r="A45" s="3" t="s">
        <v>47</v>
      </c>
      <c r="B45" s="3" t="s">
        <v>599</v>
      </c>
      <c r="C45" s="4">
        <v>1057.78</v>
      </c>
      <c r="D45" s="4">
        <v>1057.78</v>
      </c>
      <c r="E45" s="4">
        <v>0</v>
      </c>
      <c r="F45" s="3" t="e">
        <f>VLOOKUP(B45,'Profit &amp; Loss'!$B$2:$C$390,2,0)</f>
        <v>#N/A</v>
      </c>
    </row>
    <row r="46" spans="1:6" x14ac:dyDescent="0.2">
      <c r="A46" s="3" t="s">
        <v>47</v>
      </c>
      <c r="B46" s="3" t="s">
        <v>49</v>
      </c>
      <c r="C46" s="4">
        <v>-12898.85</v>
      </c>
      <c r="D46" s="4">
        <v>664099.21</v>
      </c>
      <c r="E46" s="4">
        <v>-676998.06</v>
      </c>
      <c r="F46" s="3" t="e">
        <f>VLOOKUP(B46,'Profit &amp; Loss'!$B$2:$C$390,2,0)</f>
        <v>#N/A</v>
      </c>
    </row>
    <row r="47" spans="1:6" x14ac:dyDescent="0.2">
      <c r="A47" s="3" t="s">
        <v>47</v>
      </c>
      <c r="B47" s="3" t="s">
        <v>50</v>
      </c>
      <c r="C47" s="4">
        <v>2147285.37</v>
      </c>
      <c r="D47" s="4">
        <v>1613360.74</v>
      </c>
      <c r="E47" s="4">
        <v>533924.63</v>
      </c>
      <c r="F47" s="3" t="e">
        <f>VLOOKUP(B47,'Profit &amp; Loss'!$B$2:$C$390,2,0)</f>
        <v>#N/A</v>
      </c>
    </row>
    <row r="48" spans="1:6" x14ac:dyDescent="0.2">
      <c r="A48" s="3" t="s">
        <v>47</v>
      </c>
      <c r="B48" s="3" t="s">
        <v>51</v>
      </c>
      <c r="C48" s="4">
        <v>2183327.3199999998</v>
      </c>
      <c r="D48" s="4">
        <v>2390236.64</v>
      </c>
      <c r="E48" s="4">
        <v>-206909.32</v>
      </c>
      <c r="F48" s="3" t="e">
        <f>VLOOKUP(B48,'Profit &amp; Loss'!$B$2:$C$390,2,0)</f>
        <v>#N/A</v>
      </c>
    </row>
    <row r="49" spans="1:6" x14ac:dyDescent="0.2">
      <c r="A49" s="3" t="s">
        <v>47</v>
      </c>
      <c r="B49" s="3" t="s">
        <v>52</v>
      </c>
      <c r="C49" s="4">
        <v>4721680.58</v>
      </c>
      <c r="D49" s="4">
        <v>2883934.13</v>
      </c>
      <c r="E49" s="4">
        <v>1837746.45</v>
      </c>
      <c r="F49" s="3" t="e">
        <f>VLOOKUP(B49,'Profit &amp; Loss'!$B$2:$C$390,2,0)</f>
        <v>#N/A</v>
      </c>
    </row>
    <row r="50" spans="1:6" x14ac:dyDescent="0.2">
      <c r="A50" s="3" t="s">
        <v>47</v>
      </c>
      <c r="B50" s="3" t="s">
        <v>54</v>
      </c>
      <c r="C50" s="4">
        <v>39169.49</v>
      </c>
      <c r="D50" s="4">
        <v>40964.07</v>
      </c>
      <c r="E50" s="4">
        <v>-1794.58</v>
      </c>
      <c r="F50" s="3" t="e">
        <f>VLOOKUP(B50,'Profit &amp; Loss'!$B$2:$C$390,2,0)</f>
        <v>#N/A</v>
      </c>
    </row>
    <row r="51" spans="1:6" x14ac:dyDescent="0.2">
      <c r="A51" s="3" t="s">
        <v>47</v>
      </c>
      <c r="B51" s="3" t="s">
        <v>55</v>
      </c>
      <c r="C51" s="4">
        <v>-1500790.17</v>
      </c>
      <c r="D51" s="4">
        <v>-1499398.47</v>
      </c>
      <c r="E51" s="4">
        <v>-1391.7</v>
      </c>
      <c r="F51" s="3" t="e">
        <f>VLOOKUP(B51,'Profit &amp; Loss'!$B$2:$C$390,2,0)</f>
        <v>#N/A</v>
      </c>
    </row>
    <row r="52" spans="1:6" x14ac:dyDescent="0.2">
      <c r="A52" s="3" t="s">
        <v>47</v>
      </c>
      <c r="B52" s="3" t="s">
        <v>56</v>
      </c>
      <c r="C52" s="4">
        <v>11016.55</v>
      </c>
      <c r="D52" s="4">
        <v>11851.35</v>
      </c>
      <c r="E52" s="4">
        <v>-834.8</v>
      </c>
      <c r="F52" s="3" t="e">
        <f>VLOOKUP(B52,'Profit &amp; Loss'!$B$2:$C$390,2,0)</f>
        <v>#N/A</v>
      </c>
    </row>
    <row r="53" spans="1:6" x14ac:dyDescent="0.2">
      <c r="A53" s="3" t="s">
        <v>47</v>
      </c>
      <c r="B53" s="3" t="s">
        <v>57</v>
      </c>
      <c r="C53" s="4">
        <v>-20542.04</v>
      </c>
      <c r="D53" s="4">
        <v>-18605.45</v>
      </c>
      <c r="E53" s="4">
        <v>-1936.59</v>
      </c>
      <c r="F53" s="3" t="e">
        <f>VLOOKUP(B53,'Profit &amp; Loss'!$B$2:$C$390,2,0)</f>
        <v>#N/A</v>
      </c>
    </row>
    <row r="54" spans="1:6" x14ac:dyDescent="0.2">
      <c r="A54" s="3" t="s">
        <v>47</v>
      </c>
      <c r="B54" s="3" t="s">
        <v>58</v>
      </c>
      <c r="C54" s="4">
        <v>-14272.3</v>
      </c>
      <c r="D54" s="4">
        <v>-14261.14</v>
      </c>
      <c r="E54" s="4">
        <v>-11.16</v>
      </c>
      <c r="F54" s="3" t="e">
        <f>VLOOKUP(B54,'Profit &amp; Loss'!$B$2:$C$390,2,0)</f>
        <v>#N/A</v>
      </c>
    </row>
    <row r="55" spans="1:6" x14ac:dyDescent="0.2">
      <c r="A55" s="3" t="s">
        <v>47</v>
      </c>
      <c r="B55" s="3" t="s">
        <v>2</v>
      </c>
      <c r="C55" s="4">
        <v>20320295.91</v>
      </c>
      <c r="D55" s="4">
        <v>18342979.850000001</v>
      </c>
      <c r="E55" s="4">
        <v>1977316.06</v>
      </c>
      <c r="F55" s="3" t="e">
        <f>VLOOKUP(B55,'Profit &amp; Loss'!$B$2:$C$390,2,0)</f>
        <v>#N/A</v>
      </c>
    </row>
    <row r="56" spans="1:6" x14ac:dyDescent="0.2">
      <c r="A56" s="3" t="s">
        <v>59</v>
      </c>
      <c r="B56" s="3" t="s">
        <v>60</v>
      </c>
      <c r="C56" s="4">
        <v>208218.69</v>
      </c>
      <c r="D56" s="4">
        <v>278291.8</v>
      </c>
      <c r="E56" s="4">
        <v>-70073.11</v>
      </c>
      <c r="F56" s="3" t="e">
        <f>VLOOKUP(B56,'Profit &amp; Loss'!$B$2:$C$390,2,0)</f>
        <v>#N/A</v>
      </c>
    </row>
    <row r="57" spans="1:6" x14ac:dyDescent="0.2">
      <c r="A57" s="3" t="s">
        <v>59</v>
      </c>
      <c r="B57" s="3" t="s">
        <v>975</v>
      </c>
      <c r="C57" s="4">
        <v>111.28</v>
      </c>
      <c r="D57" s="4">
        <v>-4793.88</v>
      </c>
      <c r="E57" s="4">
        <v>4905.16</v>
      </c>
      <c r="F57" s="3" t="e">
        <f>VLOOKUP(B57,'Profit &amp; Loss'!$B$2:$C$390,2,0)</f>
        <v>#N/A</v>
      </c>
    </row>
    <row r="58" spans="1:6" x14ac:dyDescent="0.2">
      <c r="A58" s="3" t="s">
        <v>59</v>
      </c>
      <c r="B58" s="3" t="s">
        <v>883</v>
      </c>
      <c r="C58" s="4">
        <v>946.22</v>
      </c>
      <c r="D58" s="4">
        <v>946.22</v>
      </c>
      <c r="E58" s="4">
        <v>0</v>
      </c>
      <c r="F58" s="3" t="e">
        <f>VLOOKUP(B58,'Profit &amp; Loss'!$B$2:$C$390,2,0)</f>
        <v>#N/A</v>
      </c>
    </row>
    <row r="59" spans="1:6" x14ac:dyDescent="0.2">
      <c r="A59" s="3" t="s">
        <v>59</v>
      </c>
      <c r="B59" s="3" t="s">
        <v>61</v>
      </c>
      <c r="C59" s="4">
        <v>346.46</v>
      </c>
      <c r="D59" s="4">
        <v>418.21</v>
      </c>
      <c r="E59" s="4">
        <v>-71.75</v>
      </c>
      <c r="F59" s="3" t="e">
        <f>VLOOKUP(B59,'Profit &amp; Loss'!$B$2:$C$390,2,0)</f>
        <v>#N/A</v>
      </c>
    </row>
    <row r="60" spans="1:6" x14ac:dyDescent="0.2">
      <c r="A60" s="3" t="s">
        <v>59</v>
      </c>
      <c r="B60" s="3" t="s">
        <v>62</v>
      </c>
      <c r="C60" s="4">
        <v>296419.49</v>
      </c>
      <c r="D60" s="4">
        <v>245192.53</v>
      </c>
      <c r="E60" s="4">
        <v>51226.96</v>
      </c>
      <c r="F60" s="3" t="e">
        <f>VLOOKUP(B60,'Profit &amp; Loss'!$B$2:$C$390,2,0)</f>
        <v>#N/A</v>
      </c>
    </row>
    <row r="61" spans="1:6" x14ac:dyDescent="0.2">
      <c r="A61" s="3" t="s">
        <v>59</v>
      </c>
      <c r="B61" s="3" t="s">
        <v>63</v>
      </c>
      <c r="C61" s="4">
        <v>22410.21</v>
      </c>
      <c r="D61" s="4">
        <v>146477.68</v>
      </c>
      <c r="E61" s="4">
        <v>-124067.47</v>
      </c>
      <c r="F61" s="3" t="e">
        <f>VLOOKUP(B61,'Profit &amp; Loss'!$B$2:$C$390,2,0)</f>
        <v>#N/A</v>
      </c>
    </row>
    <row r="62" spans="1:6" x14ac:dyDescent="0.2">
      <c r="A62" s="3" t="s">
        <v>59</v>
      </c>
      <c r="B62" s="3" t="s">
        <v>64</v>
      </c>
      <c r="C62" s="4">
        <v>421.02</v>
      </c>
      <c r="D62" s="4">
        <v>420.63</v>
      </c>
      <c r="E62" s="4">
        <v>0.39</v>
      </c>
      <c r="F62" s="3" t="e">
        <f>VLOOKUP(B62,'Profit &amp; Loss'!$B$2:$C$390,2,0)</f>
        <v>#N/A</v>
      </c>
    </row>
    <row r="63" spans="1:6" x14ac:dyDescent="0.2">
      <c r="A63" s="3" t="s">
        <v>59</v>
      </c>
      <c r="B63" s="3" t="s">
        <v>2</v>
      </c>
      <c r="C63" s="4">
        <v>528873.37</v>
      </c>
      <c r="D63" s="4">
        <v>666953.18999999994</v>
      </c>
      <c r="E63" s="4">
        <v>-138079.82</v>
      </c>
      <c r="F63" s="3" t="e">
        <f>VLOOKUP(B63,'Profit &amp; Loss'!$B$2:$C$390,2,0)</f>
        <v>#N/A</v>
      </c>
    </row>
    <row r="64" spans="1:6" x14ac:dyDescent="0.2">
      <c r="A64" s="3" t="s">
        <v>65</v>
      </c>
      <c r="B64" s="3" t="s">
        <v>2</v>
      </c>
      <c r="C64" s="4">
        <v>20849760.370000001</v>
      </c>
      <c r="D64" s="4">
        <v>18978137.440000001</v>
      </c>
      <c r="E64" s="4">
        <v>1871622.93</v>
      </c>
      <c r="F64" s="3" t="e">
        <f>VLOOKUP(B64,'Profit &amp; Loss'!$B$2:$C$390,2,0)</f>
        <v>#N/A</v>
      </c>
    </row>
    <row r="65" spans="1:6" x14ac:dyDescent="0.2">
      <c r="A65" s="3" t="s">
        <v>976</v>
      </c>
      <c r="B65" s="3" t="s">
        <v>977</v>
      </c>
      <c r="C65" s="4">
        <v>14166.64</v>
      </c>
      <c r="D65" s="4">
        <v>14166.64</v>
      </c>
      <c r="E65" s="4">
        <v>0</v>
      </c>
      <c r="F65" s="3" t="e">
        <f>VLOOKUP(B65,'Profit &amp; Loss'!$B$2:$C$390,2,0)</f>
        <v>#N/A</v>
      </c>
    </row>
    <row r="66" spans="1:6" x14ac:dyDescent="0.2">
      <c r="A66" s="3" t="s">
        <v>976</v>
      </c>
      <c r="B66" s="3" t="s">
        <v>2</v>
      </c>
      <c r="C66" s="4">
        <v>14166.64</v>
      </c>
      <c r="D66" s="4">
        <v>14166.64</v>
      </c>
      <c r="E66" s="4">
        <v>0</v>
      </c>
      <c r="F66" s="3" t="e">
        <f>VLOOKUP(B66,'Profit &amp; Loss'!$B$2:$C$390,2,0)</f>
        <v>#N/A</v>
      </c>
    </row>
    <row r="67" spans="1:6" x14ac:dyDescent="0.2">
      <c r="A67" s="3" t="s">
        <v>978</v>
      </c>
      <c r="B67" s="3" t="s">
        <v>2</v>
      </c>
      <c r="C67" s="4">
        <v>14166.64</v>
      </c>
      <c r="D67" s="4">
        <v>14166.64</v>
      </c>
      <c r="E67" s="4">
        <v>0</v>
      </c>
      <c r="F67" s="3" t="e">
        <f>VLOOKUP(B67,'Profit &amp; Loss'!$B$2:$C$390,2,0)</f>
        <v>#N/A</v>
      </c>
    </row>
    <row r="68" spans="1:6" x14ac:dyDescent="0.2">
      <c r="A68" s="3" t="s">
        <v>66</v>
      </c>
      <c r="B68" s="3" t="s">
        <v>67</v>
      </c>
      <c r="C68" s="4">
        <v>-6135.39</v>
      </c>
      <c r="D68" s="4">
        <v>-6135.39</v>
      </c>
      <c r="E68" s="4">
        <v>0</v>
      </c>
      <c r="F68" s="3" t="e">
        <f>VLOOKUP(B68,'Profit &amp; Loss'!$B$2:$C$390,2,0)</f>
        <v>#N/A</v>
      </c>
    </row>
    <row r="69" spans="1:6" x14ac:dyDescent="0.2">
      <c r="A69" s="3" t="s">
        <v>66</v>
      </c>
      <c r="B69" s="3" t="s">
        <v>68</v>
      </c>
      <c r="C69" s="4">
        <v>9178.06</v>
      </c>
      <c r="D69" s="4">
        <v>9740.33</v>
      </c>
      <c r="E69" s="4">
        <v>-562.27</v>
      </c>
      <c r="F69" s="3" t="e">
        <f>VLOOKUP(B69,'Profit &amp; Loss'!$B$2:$C$390,2,0)</f>
        <v>#N/A</v>
      </c>
    </row>
    <row r="70" spans="1:6" x14ac:dyDescent="0.2">
      <c r="A70" s="3" t="s">
        <v>66</v>
      </c>
      <c r="B70" s="3" t="s">
        <v>979</v>
      </c>
      <c r="C70" s="4">
        <v>6329.17</v>
      </c>
      <c r="D70" s="4">
        <v>6329.17</v>
      </c>
      <c r="E70" s="4">
        <v>0</v>
      </c>
      <c r="F70" s="3" t="e">
        <f>VLOOKUP(B70,'Profit &amp; Loss'!$B$2:$C$390,2,0)</f>
        <v>#N/A</v>
      </c>
    </row>
    <row r="71" spans="1:6" x14ac:dyDescent="0.2">
      <c r="A71" s="3" t="s">
        <v>66</v>
      </c>
      <c r="B71" s="3" t="s">
        <v>491</v>
      </c>
      <c r="C71" s="4">
        <v>443.72</v>
      </c>
      <c r="D71" s="4">
        <v>346.79</v>
      </c>
      <c r="E71" s="4">
        <v>96.93</v>
      </c>
      <c r="F71" s="3" t="e">
        <f>VLOOKUP(B71,'Profit &amp; Loss'!$B$2:$C$390,2,0)</f>
        <v>#N/A</v>
      </c>
    </row>
    <row r="72" spans="1:6" x14ac:dyDescent="0.2">
      <c r="A72" s="3" t="s">
        <v>66</v>
      </c>
      <c r="B72" s="3" t="s">
        <v>492</v>
      </c>
      <c r="C72" s="4">
        <v>3.22</v>
      </c>
      <c r="D72" s="4">
        <v>0.01</v>
      </c>
      <c r="E72" s="4">
        <v>3.21</v>
      </c>
      <c r="F72" s="3" t="e">
        <f>VLOOKUP(B72,'Profit &amp; Loss'!$B$2:$C$390,2,0)</f>
        <v>#N/A</v>
      </c>
    </row>
    <row r="73" spans="1:6" x14ac:dyDescent="0.2">
      <c r="A73" s="3" t="s">
        <v>66</v>
      </c>
      <c r="B73" s="3" t="s">
        <v>493</v>
      </c>
      <c r="C73" s="4">
        <v>48.03</v>
      </c>
      <c r="D73" s="4">
        <v>41.66</v>
      </c>
      <c r="E73" s="4">
        <v>6.37</v>
      </c>
      <c r="F73" s="3" t="e">
        <f>VLOOKUP(B73,'Profit &amp; Loss'!$B$2:$C$390,2,0)</f>
        <v>#N/A</v>
      </c>
    </row>
    <row r="74" spans="1:6" x14ac:dyDescent="0.2">
      <c r="A74" s="3" t="s">
        <v>66</v>
      </c>
      <c r="B74" s="3" t="s">
        <v>494</v>
      </c>
      <c r="C74" s="4">
        <v>0.1</v>
      </c>
      <c r="D74" s="4">
        <v>-0.25</v>
      </c>
      <c r="E74" s="4">
        <v>0.35</v>
      </c>
      <c r="F74" s="3" t="e">
        <f>VLOOKUP(B74,'Profit &amp; Loss'!$B$2:$C$390,2,0)</f>
        <v>#N/A</v>
      </c>
    </row>
    <row r="75" spans="1:6" x14ac:dyDescent="0.2">
      <c r="A75" s="3" t="s">
        <v>66</v>
      </c>
      <c r="B75" s="3" t="s">
        <v>2</v>
      </c>
      <c r="C75" s="4">
        <v>9866.91</v>
      </c>
      <c r="D75" s="4">
        <v>10322.32</v>
      </c>
      <c r="E75" s="4">
        <v>-455.41</v>
      </c>
      <c r="F75" s="3" t="e">
        <f>VLOOKUP(B75,'Profit &amp; Loss'!$B$2:$C$390,2,0)</f>
        <v>#N/A</v>
      </c>
    </row>
    <row r="76" spans="1:6" x14ac:dyDescent="0.2">
      <c r="A76" s="3" t="s">
        <v>69</v>
      </c>
      <c r="B76" s="3" t="s">
        <v>2</v>
      </c>
      <c r="C76" s="4">
        <v>9866.91</v>
      </c>
      <c r="D76" s="4">
        <v>10322.32</v>
      </c>
      <c r="E76" s="4">
        <v>-455.41</v>
      </c>
      <c r="F76" s="3" t="e">
        <f>VLOOKUP(B76,'Profit &amp; Loss'!$B$2:$C$390,2,0)</f>
        <v>#N/A</v>
      </c>
    </row>
    <row r="77" spans="1:6" x14ac:dyDescent="0.2">
      <c r="A77" s="3" t="s">
        <v>70</v>
      </c>
      <c r="B77" s="3" t="s">
        <v>71</v>
      </c>
      <c r="C77" s="4">
        <v>359163.46</v>
      </c>
      <c r="D77" s="4">
        <v>359163.46</v>
      </c>
      <c r="E77" s="4">
        <v>0</v>
      </c>
      <c r="F77" s="3" t="e">
        <f>VLOOKUP(B77,'Profit &amp; Loss'!$B$2:$C$390,2,0)</f>
        <v>#N/A</v>
      </c>
    </row>
    <row r="78" spans="1:6" x14ac:dyDescent="0.2">
      <c r="A78" s="3" t="s">
        <v>70</v>
      </c>
      <c r="B78" s="3" t="s">
        <v>72</v>
      </c>
      <c r="C78" s="4">
        <v>-261496.57</v>
      </c>
      <c r="D78" s="4">
        <v>-260381.8</v>
      </c>
      <c r="E78" s="4">
        <v>-1114.77</v>
      </c>
      <c r="F78" s="3" t="e">
        <f>VLOOKUP(B78,'Profit &amp; Loss'!$B$2:$C$390,2,0)</f>
        <v>#N/A</v>
      </c>
    </row>
    <row r="79" spans="1:6" x14ac:dyDescent="0.2">
      <c r="A79" s="3" t="s">
        <v>70</v>
      </c>
      <c r="B79" s="3" t="s">
        <v>2</v>
      </c>
      <c r="C79" s="4">
        <v>97666.89</v>
      </c>
      <c r="D79" s="4">
        <v>98781.66</v>
      </c>
      <c r="E79" s="4">
        <v>-1114.77</v>
      </c>
      <c r="F79" s="3" t="e">
        <f>VLOOKUP(B79,'Profit &amp; Loss'!$B$2:$C$390,2,0)</f>
        <v>#N/A</v>
      </c>
    </row>
    <row r="80" spans="1:6" x14ac:dyDescent="0.2">
      <c r="A80" s="3" t="s">
        <v>73</v>
      </c>
      <c r="B80" s="3" t="s">
        <v>74</v>
      </c>
      <c r="C80" s="4">
        <v>132848.63</v>
      </c>
      <c r="D80" s="4">
        <v>132848.63</v>
      </c>
      <c r="E80" s="4">
        <v>0</v>
      </c>
      <c r="F80" s="3" t="e">
        <f>VLOOKUP(B80,'Profit &amp; Loss'!$B$2:$C$390,2,0)</f>
        <v>#N/A</v>
      </c>
    </row>
    <row r="81" spans="1:6" x14ac:dyDescent="0.2">
      <c r="A81" s="3" t="s">
        <v>73</v>
      </c>
      <c r="B81" s="3" t="s">
        <v>75</v>
      </c>
      <c r="C81" s="4">
        <v>765167.23</v>
      </c>
      <c r="D81" s="4">
        <v>516712.36</v>
      </c>
      <c r="E81" s="4">
        <v>248454.87</v>
      </c>
      <c r="F81" s="3" t="e">
        <f>VLOOKUP(B81,'Profit &amp; Loss'!$B$2:$C$390,2,0)</f>
        <v>#N/A</v>
      </c>
    </row>
    <row r="82" spans="1:6" x14ac:dyDescent="0.2">
      <c r="A82" s="3" t="s">
        <v>73</v>
      </c>
      <c r="B82" s="3" t="s">
        <v>76</v>
      </c>
      <c r="C82" s="4">
        <v>387205.26</v>
      </c>
      <c r="D82" s="4">
        <v>380820.83</v>
      </c>
      <c r="E82" s="4">
        <v>6384.43</v>
      </c>
      <c r="F82" s="3" t="e">
        <f>VLOOKUP(B82,'Profit &amp; Loss'!$B$2:$C$390,2,0)</f>
        <v>#N/A</v>
      </c>
    </row>
    <row r="83" spans="1:6" x14ac:dyDescent="0.2">
      <c r="A83" s="3" t="s">
        <v>73</v>
      </c>
      <c r="B83" s="3" t="s">
        <v>77</v>
      </c>
      <c r="C83" s="4">
        <v>495.24</v>
      </c>
      <c r="D83" s="4">
        <v>495.24</v>
      </c>
      <c r="E83" s="4">
        <v>0</v>
      </c>
      <c r="F83" s="3" t="e">
        <f>VLOOKUP(B83,'Profit &amp; Loss'!$B$2:$C$390,2,0)</f>
        <v>#N/A</v>
      </c>
    </row>
    <row r="84" spans="1:6" x14ac:dyDescent="0.2">
      <c r="A84" s="3" t="s">
        <v>73</v>
      </c>
      <c r="B84" s="3" t="s">
        <v>78</v>
      </c>
      <c r="C84" s="4">
        <v>258667.78</v>
      </c>
      <c r="D84" s="4">
        <v>247441.57</v>
      </c>
      <c r="E84" s="4">
        <v>11226.21</v>
      </c>
      <c r="F84" s="3" t="e">
        <f>VLOOKUP(B84,'Profit &amp; Loss'!$B$2:$C$390,2,0)</f>
        <v>#N/A</v>
      </c>
    </row>
    <row r="85" spans="1:6" x14ac:dyDescent="0.2">
      <c r="A85" s="3" t="s">
        <v>73</v>
      </c>
      <c r="B85" s="3" t="s">
        <v>79</v>
      </c>
      <c r="C85" s="4">
        <v>-126369.44</v>
      </c>
      <c r="D85" s="4">
        <v>-126094.93</v>
      </c>
      <c r="E85" s="4">
        <v>-274.51</v>
      </c>
      <c r="F85" s="3" t="e">
        <f>VLOOKUP(B85,'Profit &amp; Loss'!$B$2:$C$390,2,0)</f>
        <v>#N/A</v>
      </c>
    </row>
    <row r="86" spans="1:6" x14ac:dyDescent="0.2">
      <c r="A86" s="3" t="s">
        <v>73</v>
      </c>
      <c r="B86" s="3" t="s">
        <v>80</v>
      </c>
      <c r="C86" s="4">
        <v>-436989.81</v>
      </c>
      <c r="D86" s="4">
        <v>-302441.43</v>
      </c>
      <c r="E86" s="4">
        <v>-134548.38</v>
      </c>
      <c r="F86" s="3" t="e">
        <f>VLOOKUP(B86,'Profit &amp; Loss'!$B$2:$C$390,2,0)</f>
        <v>#N/A</v>
      </c>
    </row>
    <row r="87" spans="1:6" x14ac:dyDescent="0.2">
      <c r="A87" s="3" t="s">
        <v>73</v>
      </c>
      <c r="B87" s="3" t="s">
        <v>81</v>
      </c>
      <c r="C87" s="4">
        <v>-306714.58</v>
      </c>
      <c r="D87" s="4">
        <v>-304346.77</v>
      </c>
      <c r="E87" s="4">
        <v>-2367.81</v>
      </c>
      <c r="F87" s="3" t="e">
        <f>VLOOKUP(B87,'Profit &amp; Loss'!$B$2:$C$390,2,0)</f>
        <v>#N/A</v>
      </c>
    </row>
    <row r="88" spans="1:6" x14ac:dyDescent="0.2">
      <c r="A88" s="3" t="s">
        <v>73</v>
      </c>
      <c r="B88" s="3" t="s">
        <v>82</v>
      </c>
      <c r="C88" s="4">
        <v>-495.24</v>
      </c>
      <c r="D88" s="4">
        <v>-495.24</v>
      </c>
      <c r="E88" s="4">
        <v>0</v>
      </c>
      <c r="F88" s="3" t="e">
        <f>VLOOKUP(B88,'Profit &amp; Loss'!$B$2:$C$390,2,0)</f>
        <v>#N/A</v>
      </c>
    </row>
    <row r="89" spans="1:6" x14ac:dyDescent="0.2">
      <c r="A89" s="3" t="s">
        <v>73</v>
      </c>
      <c r="B89" s="3" t="s">
        <v>83</v>
      </c>
      <c r="C89" s="4">
        <v>-212415.19</v>
      </c>
      <c r="D89" s="4">
        <v>-210688.98</v>
      </c>
      <c r="E89" s="4">
        <v>-1726.21</v>
      </c>
      <c r="F89" s="3" t="e">
        <f>VLOOKUP(B89,'Profit &amp; Loss'!$B$2:$C$390,2,0)</f>
        <v>#N/A</v>
      </c>
    </row>
    <row r="90" spans="1:6" x14ac:dyDescent="0.2">
      <c r="A90" s="3" t="s">
        <v>73</v>
      </c>
      <c r="B90" s="3" t="s">
        <v>2</v>
      </c>
      <c r="C90" s="4">
        <v>461399.88</v>
      </c>
      <c r="D90" s="4">
        <v>334251.28000000003</v>
      </c>
      <c r="E90" s="4">
        <v>127148.6</v>
      </c>
      <c r="F90" s="3" t="e">
        <f>VLOOKUP(B90,'Profit &amp; Loss'!$B$2:$C$390,2,0)</f>
        <v>#N/A</v>
      </c>
    </row>
    <row r="91" spans="1:6" x14ac:dyDescent="0.2">
      <c r="A91" s="3" t="s">
        <v>84</v>
      </c>
      <c r="B91" s="3" t="s">
        <v>85</v>
      </c>
      <c r="C91" s="4">
        <v>18066691.260000002</v>
      </c>
      <c r="D91" s="4">
        <v>17497669.789999999</v>
      </c>
      <c r="E91" s="4">
        <v>569021.47</v>
      </c>
      <c r="F91" s="3" t="e">
        <f>VLOOKUP(B91,'Profit &amp; Loss'!$B$2:$C$390,2,0)</f>
        <v>#N/A</v>
      </c>
    </row>
    <row r="92" spans="1:6" x14ac:dyDescent="0.2">
      <c r="A92" s="3" t="s">
        <v>84</v>
      </c>
      <c r="B92" s="3" t="s">
        <v>86</v>
      </c>
      <c r="C92" s="4">
        <v>-5702743.6100000003</v>
      </c>
      <c r="D92" s="4">
        <v>-5584939.9299999997</v>
      </c>
      <c r="E92" s="4">
        <v>-117803.68</v>
      </c>
      <c r="F92" s="3" t="e">
        <f>VLOOKUP(B92,'Profit &amp; Loss'!$B$2:$C$390,2,0)</f>
        <v>#N/A</v>
      </c>
    </row>
    <row r="93" spans="1:6" x14ac:dyDescent="0.2">
      <c r="A93" s="3" t="s">
        <v>84</v>
      </c>
      <c r="B93" s="3" t="s">
        <v>2</v>
      </c>
      <c r="C93" s="4">
        <v>12363947.65</v>
      </c>
      <c r="D93" s="4">
        <v>11912729.859999999</v>
      </c>
      <c r="E93" s="4">
        <v>451217.79</v>
      </c>
      <c r="F93" s="3" t="e">
        <f>VLOOKUP(B93,'Profit &amp; Loss'!$B$2:$C$390,2,0)</f>
        <v>#N/A</v>
      </c>
    </row>
    <row r="94" spans="1:6" x14ac:dyDescent="0.2">
      <c r="A94" s="3" t="s">
        <v>87</v>
      </c>
      <c r="B94" s="3" t="s">
        <v>88</v>
      </c>
      <c r="C94" s="4">
        <v>152624.47</v>
      </c>
      <c r="D94" s="4">
        <v>152624.47</v>
      </c>
      <c r="E94" s="4">
        <v>0</v>
      </c>
      <c r="F94" s="3" t="e">
        <f>VLOOKUP(B94,'Profit &amp; Loss'!$B$2:$C$390,2,0)</f>
        <v>#N/A</v>
      </c>
    </row>
    <row r="95" spans="1:6" x14ac:dyDescent="0.2">
      <c r="A95" s="3" t="s">
        <v>87</v>
      </c>
      <c r="B95" s="3" t="s">
        <v>89</v>
      </c>
      <c r="C95" s="4">
        <v>655044.07999999996</v>
      </c>
      <c r="D95" s="4">
        <v>655044.07999999996</v>
      </c>
      <c r="E95" s="4">
        <v>0</v>
      </c>
      <c r="F95" s="3" t="e">
        <f>VLOOKUP(B95,'Profit &amp; Loss'!$B$2:$C$390,2,0)</f>
        <v>#N/A</v>
      </c>
    </row>
    <row r="96" spans="1:6" x14ac:dyDescent="0.2">
      <c r="A96" s="3" t="s">
        <v>87</v>
      </c>
      <c r="B96" s="3" t="s">
        <v>90</v>
      </c>
      <c r="C96" s="4">
        <v>-151568.38</v>
      </c>
      <c r="D96" s="4">
        <v>-151512.79999999999</v>
      </c>
      <c r="E96" s="4">
        <v>-55.58</v>
      </c>
      <c r="F96" s="3" t="e">
        <f>VLOOKUP(B96,'Profit &amp; Loss'!$B$2:$C$390,2,0)</f>
        <v>#N/A</v>
      </c>
    </row>
    <row r="97" spans="1:6" x14ac:dyDescent="0.2">
      <c r="A97" s="3" t="s">
        <v>87</v>
      </c>
      <c r="B97" s="3" t="s">
        <v>91</v>
      </c>
      <c r="C97" s="4">
        <v>-672923.66</v>
      </c>
      <c r="D97" s="4">
        <v>-671222.72</v>
      </c>
      <c r="E97" s="4">
        <v>-1700.94</v>
      </c>
      <c r="F97" s="3" t="e">
        <f>VLOOKUP(B97,'Profit &amp; Loss'!$B$2:$C$390,2,0)</f>
        <v>#N/A</v>
      </c>
    </row>
    <row r="98" spans="1:6" x14ac:dyDescent="0.2">
      <c r="A98" s="3" t="s">
        <v>87</v>
      </c>
      <c r="B98" s="3" t="s">
        <v>2</v>
      </c>
      <c r="C98" s="4">
        <v>-16823.490000000002</v>
      </c>
      <c r="D98" s="4">
        <v>-15066.97</v>
      </c>
      <c r="E98" s="4">
        <v>-1756.52</v>
      </c>
      <c r="F98" s="3" t="e">
        <f>VLOOKUP(B98,'Profit &amp; Loss'!$B$2:$C$390,2,0)</f>
        <v>#N/A</v>
      </c>
    </row>
    <row r="99" spans="1:6" x14ac:dyDescent="0.2">
      <c r="A99" s="3" t="s">
        <v>92</v>
      </c>
      <c r="B99" s="3" t="s">
        <v>93</v>
      </c>
      <c r="C99" s="4">
        <v>4903.3100000000004</v>
      </c>
      <c r="D99" s="4">
        <v>4903.3100000000004</v>
      </c>
      <c r="E99" s="4">
        <v>0</v>
      </c>
      <c r="F99" s="3" t="e">
        <f>VLOOKUP(B99,'Profit &amp; Loss'!$B$2:$C$390,2,0)</f>
        <v>#N/A</v>
      </c>
    </row>
    <row r="100" spans="1:6" x14ac:dyDescent="0.2">
      <c r="A100" s="3" t="s">
        <v>92</v>
      </c>
      <c r="B100" s="3" t="s">
        <v>94</v>
      </c>
      <c r="C100" s="4">
        <v>247830.51</v>
      </c>
      <c r="D100" s="4">
        <v>247830.51</v>
      </c>
      <c r="E100" s="4">
        <v>0</v>
      </c>
      <c r="F100" s="3" t="e">
        <f>VLOOKUP(B100,'Profit &amp; Loss'!$B$2:$C$390,2,0)</f>
        <v>#N/A</v>
      </c>
    </row>
    <row r="101" spans="1:6" x14ac:dyDescent="0.2">
      <c r="A101" s="3" t="s">
        <v>92</v>
      </c>
      <c r="B101" s="3" t="s">
        <v>95</v>
      </c>
      <c r="C101" s="4">
        <v>-3495.93</v>
      </c>
      <c r="D101" s="4">
        <v>-3423.76</v>
      </c>
      <c r="E101" s="4">
        <v>-72.17</v>
      </c>
      <c r="F101" s="3" t="e">
        <f>VLOOKUP(B101,'Profit &amp; Loss'!$B$2:$C$390,2,0)</f>
        <v>#N/A</v>
      </c>
    </row>
    <row r="102" spans="1:6" x14ac:dyDescent="0.2">
      <c r="A102" s="3" t="s">
        <v>92</v>
      </c>
      <c r="B102" s="3" t="s">
        <v>96</v>
      </c>
      <c r="C102" s="4">
        <v>-166811.04</v>
      </c>
      <c r="D102" s="4">
        <v>-161297.51999999999</v>
      </c>
      <c r="E102" s="4">
        <v>-5513.52</v>
      </c>
      <c r="F102" s="3" t="e">
        <f>VLOOKUP(B102,'Profit &amp; Loss'!$B$2:$C$390,2,0)</f>
        <v>#N/A</v>
      </c>
    </row>
    <row r="103" spans="1:6" x14ac:dyDescent="0.2">
      <c r="A103" s="3" t="s">
        <v>92</v>
      </c>
      <c r="B103" s="3" t="s">
        <v>2</v>
      </c>
      <c r="C103" s="4">
        <v>82426.850000000006</v>
      </c>
      <c r="D103" s="4">
        <v>88012.54</v>
      </c>
      <c r="E103" s="4">
        <v>-5585.69</v>
      </c>
      <c r="F103" s="3" t="e">
        <f>VLOOKUP(B103,'Profit &amp; Loss'!$B$2:$C$390,2,0)</f>
        <v>#N/A</v>
      </c>
    </row>
    <row r="104" spans="1:6" x14ac:dyDescent="0.2">
      <c r="A104" s="3" t="s">
        <v>97</v>
      </c>
      <c r="B104" s="3" t="s">
        <v>98</v>
      </c>
      <c r="C104" s="4">
        <v>146144.09</v>
      </c>
      <c r="D104" s="4">
        <v>174986.36</v>
      </c>
      <c r="E104" s="4">
        <v>-28842.27</v>
      </c>
      <c r="F104" s="3" t="e">
        <f>VLOOKUP(B104,'Profit &amp; Loss'!$B$2:$C$390,2,0)</f>
        <v>#N/A</v>
      </c>
    </row>
    <row r="105" spans="1:6" x14ac:dyDescent="0.2">
      <c r="A105" s="3" t="s">
        <v>97</v>
      </c>
      <c r="B105" s="3" t="s">
        <v>99</v>
      </c>
      <c r="C105" s="4">
        <v>-82250.06</v>
      </c>
      <c r="D105" s="4">
        <v>-95677.57</v>
      </c>
      <c r="E105" s="4">
        <v>13427.51</v>
      </c>
      <c r="F105" s="3" t="e">
        <f>VLOOKUP(B105,'Profit &amp; Loss'!$B$2:$C$390,2,0)</f>
        <v>#N/A</v>
      </c>
    </row>
    <row r="106" spans="1:6" x14ac:dyDescent="0.2">
      <c r="A106" s="3" t="s">
        <v>97</v>
      </c>
      <c r="B106" s="3" t="s">
        <v>2</v>
      </c>
      <c r="C106" s="4">
        <v>63894.03</v>
      </c>
      <c r="D106" s="4">
        <v>79308.789999999994</v>
      </c>
      <c r="E106" s="4">
        <v>-15414.76</v>
      </c>
      <c r="F106" s="3" t="e">
        <f>VLOOKUP(B106,'Profit &amp; Loss'!$B$2:$C$390,2,0)</f>
        <v>#N/A</v>
      </c>
    </row>
    <row r="107" spans="1:6" x14ac:dyDescent="0.2">
      <c r="A107" s="3" t="s">
        <v>100</v>
      </c>
      <c r="B107" s="3" t="s">
        <v>101</v>
      </c>
      <c r="C107" s="4">
        <v>122262.1</v>
      </c>
      <c r="D107" s="4">
        <v>121864.18</v>
      </c>
      <c r="E107" s="4">
        <v>397.92</v>
      </c>
      <c r="F107" s="3" t="e">
        <f>VLOOKUP(B107,'Profit &amp; Loss'!$B$2:$C$390,2,0)</f>
        <v>#N/A</v>
      </c>
    </row>
    <row r="108" spans="1:6" x14ac:dyDescent="0.2">
      <c r="A108" s="3" t="s">
        <v>100</v>
      </c>
      <c r="B108" s="3" t="s">
        <v>980</v>
      </c>
      <c r="C108" s="4">
        <v>101857.79</v>
      </c>
      <c r="D108" s="4">
        <v>101857.79</v>
      </c>
      <c r="E108" s="4">
        <v>0</v>
      </c>
      <c r="F108" s="3" t="e">
        <f>VLOOKUP(B108,'Profit &amp; Loss'!$B$2:$C$390,2,0)</f>
        <v>#N/A</v>
      </c>
    </row>
    <row r="109" spans="1:6" x14ac:dyDescent="0.2">
      <c r="A109" s="3" t="s">
        <v>100</v>
      </c>
      <c r="B109" s="3" t="s">
        <v>102</v>
      </c>
      <c r="C109" s="4">
        <v>-106536.26</v>
      </c>
      <c r="D109" s="4">
        <v>-105981.53</v>
      </c>
      <c r="E109" s="4">
        <v>-554.73</v>
      </c>
      <c r="F109" s="3" t="e">
        <f>VLOOKUP(B109,'Profit &amp; Loss'!$B$2:$C$390,2,0)</f>
        <v>#N/A</v>
      </c>
    </row>
    <row r="110" spans="1:6" x14ac:dyDescent="0.2">
      <c r="A110" s="3" t="s">
        <v>100</v>
      </c>
      <c r="B110" s="3" t="s">
        <v>981</v>
      </c>
      <c r="C110" s="4">
        <v>-101857.79</v>
      </c>
      <c r="D110" s="4">
        <v>-101857.79</v>
      </c>
      <c r="E110" s="4">
        <v>0</v>
      </c>
      <c r="F110" s="3" t="e">
        <f>VLOOKUP(B110,'Profit &amp; Loss'!$B$2:$C$390,2,0)</f>
        <v>#N/A</v>
      </c>
    </row>
    <row r="111" spans="1:6" x14ac:dyDescent="0.2">
      <c r="A111" s="3" t="s">
        <v>100</v>
      </c>
      <c r="B111" s="3" t="s">
        <v>2</v>
      </c>
      <c r="C111" s="4">
        <v>15725.84</v>
      </c>
      <c r="D111" s="4">
        <v>15882.65</v>
      </c>
      <c r="E111" s="4">
        <v>-156.81</v>
      </c>
      <c r="F111" s="3" t="e">
        <f>VLOOKUP(B111,'Profit &amp; Loss'!$B$2:$C$390,2,0)</f>
        <v>#N/A</v>
      </c>
    </row>
    <row r="112" spans="1:6" x14ac:dyDescent="0.2">
      <c r="A112" s="3" t="s">
        <v>103</v>
      </c>
      <c r="B112" s="3" t="s">
        <v>2</v>
      </c>
      <c r="C112" s="4">
        <v>13068237.65</v>
      </c>
      <c r="D112" s="4">
        <v>12513899.810000001</v>
      </c>
      <c r="E112" s="4">
        <v>554337.84</v>
      </c>
      <c r="F112" s="3" t="e">
        <f>VLOOKUP(B112,'Profit &amp; Loss'!$B$2:$C$390,2,0)</f>
        <v>#N/A</v>
      </c>
    </row>
    <row r="113" spans="1:6" x14ac:dyDescent="0.2">
      <c r="A113" s="3" t="s">
        <v>104</v>
      </c>
      <c r="B113" s="3" t="s">
        <v>105</v>
      </c>
      <c r="C113" s="4">
        <v>2927636.37</v>
      </c>
      <c r="D113" s="4">
        <v>2113106.6</v>
      </c>
      <c r="E113" s="4">
        <v>814529.77</v>
      </c>
      <c r="F113" s="3" t="e">
        <f>VLOOKUP(B113,'Profit &amp; Loss'!$B$2:$C$390,2,0)</f>
        <v>#N/A</v>
      </c>
    </row>
    <row r="114" spans="1:6" x14ac:dyDescent="0.2">
      <c r="A114" s="3" t="s">
        <v>104</v>
      </c>
      <c r="B114" s="3" t="s">
        <v>106</v>
      </c>
      <c r="C114" s="4">
        <v>751020.44</v>
      </c>
      <c r="D114" s="4">
        <v>678752.24</v>
      </c>
      <c r="E114" s="4">
        <v>72268.2</v>
      </c>
      <c r="F114" s="3" t="e">
        <f>VLOOKUP(B114,'Profit &amp; Loss'!$B$2:$C$390,2,0)</f>
        <v>#N/A</v>
      </c>
    </row>
    <row r="115" spans="1:6" x14ac:dyDescent="0.2">
      <c r="A115" s="3" t="s">
        <v>104</v>
      </c>
      <c r="B115" s="3" t="s">
        <v>107</v>
      </c>
      <c r="C115" s="4">
        <v>-2426387.2999999998</v>
      </c>
      <c r="D115" s="4">
        <v>-2113106.6</v>
      </c>
      <c r="E115" s="4">
        <v>-313280.7</v>
      </c>
      <c r="F115" s="3" t="e">
        <f>VLOOKUP(B115,'Profit &amp; Loss'!$B$2:$C$390,2,0)</f>
        <v>#N/A</v>
      </c>
    </row>
    <row r="116" spans="1:6" x14ac:dyDescent="0.2">
      <c r="A116" s="3" t="s">
        <v>104</v>
      </c>
      <c r="B116" s="3" t="s">
        <v>108</v>
      </c>
      <c r="C116" s="4">
        <v>-580742.6</v>
      </c>
      <c r="D116" s="4">
        <v>-560853.17000000004</v>
      </c>
      <c r="E116" s="4">
        <v>-19889.43</v>
      </c>
      <c r="F116" s="3" t="e">
        <f>VLOOKUP(B116,'Profit &amp; Loss'!$B$2:$C$390,2,0)</f>
        <v>#N/A</v>
      </c>
    </row>
    <row r="117" spans="1:6" x14ac:dyDescent="0.2">
      <c r="A117" s="3" t="s">
        <v>104</v>
      </c>
      <c r="B117" s="3" t="s">
        <v>109</v>
      </c>
      <c r="C117" s="4">
        <v>-80257.42</v>
      </c>
      <c r="D117" s="4">
        <v>-80257.42</v>
      </c>
      <c r="E117" s="4">
        <v>0</v>
      </c>
      <c r="F117" s="3" t="e">
        <f>VLOOKUP(B117,'Profit &amp; Loss'!$B$2:$C$390,2,0)</f>
        <v>#N/A</v>
      </c>
    </row>
    <row r="118" spans="1:6" x14ac:dyDescent="0.2">
      <c r="A118" s="3" t="s">
        <v>104</v>
      </c>
      <c r="B118" s="3" t="s">
        <v>110</v>
      </c>
      <c r="C118" s="4">
        <v>11976.55</v>
      </c>
      <c r="D118" s="4">
        <v>11976.55</v>
      </c>
      <c r="E118" s="4">
        <v>0</v>
      </c>
      <c r="F118" s="3" t="e">
        <f>VLOOKUP(B118,'Profit &amp; Loss'!$B$2:$C$390,2,0)</f>
        <v>#N/A</v>
      </c>
    </row>
    <row r="119" spans="1:6" x14ac:dyDescent="0.2">
      <c r="A119" s="3" t="s">
        <v>104</v>
      </c>
      <c r="B119" s="3" t="s">
        <v>2</v>
      </c>
      <c r="C119" s="4">
        <v>603246.04</v>
      </c>
      <c r="D119" s="4">
        <v>49618.2</v>
      </c>
      <c r="E119" s="4">
        <v>553627.84</v>
      </c>
      <c r="F119" s="3" t="e">
        <f>VLOOKUP(B119,'Profit &amp; Loss'!$B$2:$C$390,2,0)</f>
        <v>#N/A</v>
      </c>
    </row>
    <row r="120" spans="1:6" x14ac:dyDescent="0.2">
      <c r="A120" s="3" t="s">
        <v>112</v>
      </c>
      <c r="B120" s="3" t="s">
        <v>2</v>
      </c>
      <c r="C120" s="4">
        <v>603246.04</v>
      </c>
      <c r="D120" s="4">
        <v>49618.2</v>
      </c>
      <c r="E120" s="4">
        <v>553627.84</v>
      </c>
      <c r="F120" s="3" t="e">
        <f>VLOOKUP(B120,'Profit &amp; Loss'!$B$2:$C$390,2,0)</f>
        <v>#N/A</v>
      </c>
    </row>
    <row r="121" spans="1:6" x14ac:dyDescent="0.2">
      <c r="A121" s="3" t="s">
        <v>0</v>
      </c>
      <c r="B121" s="3" t="s">
        <v>113</v>
      </c>
      <c r="C121" s="4">
        <v>51699452.240000002</v>
      </c>
      <c r="D121" s="4">
        <v>47039969.259999998</v>
      </c>
      <c r="E121" s="4">
        <v>4659482.9800000004</v>
      </c>
      <c r="F121" s="3" t="e">
        <f>VLOOKUP(B121,'Profit &amp; Loss'!$B$2:$C$390,2,0)</f>
        <v>#N/A</v>
      </c>
    </row>
    <row r="122" spans="1:6" x14ac:dyDescent="0.2">
      <c r="A122" s="3" t="s">
        <v>0</v>
      </c>
      <c r="B122" s="5" t="s">
        <v>114</v>
      </c>
      <c r="C122" s="4">
        <v>0</v>
      </c>
      <c r="D122" s="4">
        <v>0</v>
      </c>
      <c r="E122" s="4">
        <v>0</v>
      </c>
      <c r="F122" s="3" t="e">
        <f>VLOOKUP(B122,'Profit &amp; Loss'!$B$2:$C$390,2,0)</f>
        <v>#N/A</v>
      </c>
    </row>
    <row r="123" spans="1:6" x14ac:dyDescent="0.2">
      <c r="A123" s="3" t="s">
        <v>115</v>
      </c>
      <c r="B123" s="3" t="s">
        <v>116</v>
      </c>
      <c r="C123" s="4">
        <v>0</v>
      </c>
      <c r="D123" s="4">
        <v>0</v>
      </c>
      <c r="E123" s="4">
        <v>0</v>
      </c>
      <c r="F123" s="3" t="e">
        <f>VLOOKUP(B123,'Profit &amp; Loss'!$B$2:$C$390,2,0)</f>
        <v>#N/A</v>
      </c>
    </row>
    <row r="124" spans="1:6" x14ac:dyDescent="0.2">
      <c r="A124" s="3" t="s">
        <v>115</v>
      </c>
      <c r="B124" s="5" t="s">
        <v>117</v>
      </c>
      <c r="C124" s="4">
        <v>0</v>
      </c>
      <c r="D124" s="4">
        <v>0</v>
      </c>
      <c r="E124" s="4">
        <v>0</v>
      </c>
      <c r="F124" s="3" t="e">
        <f>VLOOKUP(B124,'Profit &amp; Loss'!$B$2:$C$390,2,0)</f>
        <v>#N/A</v>
      </c>
    </row>
    <row r="125" spans="1:6" x14ac:dyDescent="0.2">
      <c r="A125" s="3" t="s">
        <v>118</v>
      </c>
      <c r="B125" s="3" t="s">
        <v>119</v>
      </c>
      <c r="C125" s="4">
        <v>-151607.47</v>
      </c>
      <c r="D125" s="4">
        <v>-80380.67</v>
      </c>
      <c r="E125" s="4">
        <v>-71226.8</v>
      </c>
      <c r="F125" s="3" t="e">
        <f>VLOOKUP(B125,'Profit &amp; Loss'!$B$2:$C$390,2,0)</f>
        <v>#N/A</v>
      </c>
    </row>
    <row r="126" spans="1:6" x14ac:dyDescent="0.2">
      <c r="A126" s="3" t="s">
        <v>118</v>
      </c>
      <c r="B126" s="3" t="s">
        <v>120</v>
      </c>
      <c r="C126" s="4">
        <v>-1439.25</v>
      </c>
      <c r="D126" s="4">
        <v>308.04000000000002</v>
      </c>
      <c r="E126" s="4">
        <v>-1747.29</v>
      </c>
      <c r="F126" s="3" t="e">
        <f>VLOOKUP(B126,'Profit &amp; Loss'!$B$2:$C$390,2,0)</f>
        <v>#N/A</v>
      </c>
    </row>
    <row r="127" spans="1:6" x14ac:dyDescent="0.2">
      <c r="A127" s="3" t="s">
        <v>118</v>
      </c>
      <c r="B127" s="3" t="s">
        <v>984</v>
      </c>
      <c r="C127" s="4">
        <v>0</v>
      </c>
      <c r="D127" s="4">
        <v>-995</v>
      </c>
      <c r="E127" s="4">
        <v>995</v>
      </c>
      <c r="F127" s="3" t="e">
        <f>VLOOKUP(B127,'Profit &amp; Loss'!$B$2:$C$390,2,0)</f>
        <v>#N/A</v>
      </c>
    </row>
    <row r="128" spans="1:6" x14ac:dyDescent="0.2">
      <c r="A128" s="3" t="s">
        <v>118</v>
      </c>
      <c r="B128" s="3" t="s">
        <v>2</v>
      </c>
      <c r="C128" s="4">
        <v>-153046.72</v>
      </c>
      <c r="D128" s="4">
        <v>-81067.63</v>
      </c>
      <c r="E128" s="4">
        <v>-71979.09</v>
      </c>
      <c r="F128" s="3" t="e">
        <f>VLOOKUP(B128,'Profit &amp; Loss'!$B$2:$C$390,2,0)</f>
        <v>#N/A</v>
      </c>
    </row>
    <row r="129" spans="1:6" x14ac:dyDescent="0.2">
      <c r="A129" s="3" t="s">
        <v>121</v>
      </c>
      <c r="B129" s="3" t="s">
        <v>2</v>
      </c>
      <c r="C129" s="4">
        <v>-153046.72</v>
      </c>
      <c r="D129" s="4">
        <v>-81067.63</v>
      </c>
      <c r="E129" s="4">
        <v>-71979.09</v>
      </c>
      <c r="F129" s="3" t="e">
        <f>VLOOKUP(B129,'Profit &amp; Loss'!$B$2:$C$390,2,0)</f>
        <v>#N/A</v>
      </c>
    </row>
    <row r="130" spans="1:6" x14ac:dyDescent="0.2">
      <c r="A130" s="3" t="s">
        <v>122</v>
      </c>
      <c r="B130" s="3" t="s">
        <v>123</v>
      </c>
      <c r="C130" s="4">
        <v>-163614.89000000001</v>
      </c>
      <c r="D130" s="4">
        <v>-277903.57</v>
      </c>
      <c r="E130" s="4">
        <v>114288.68</v>
      </c>
      <c r="F130" s="3" t="e">
        <f>VLOOKUP(B130,'Profit &amp; Loss'!$B$2:$C$390,2,0)</f>
        <v>#N/A</v>
      </c>
    </row>
    <row r="131" spans="1:6" x14ac:dyDescent="0.2">
      <c r="A131" s="3" t="s">
        <v>122</v>
      </c>
      <c r="B131" s="3" t="s">
        <v>124</v>
      </c>
      <c r="C131" s="4">
        <v>-996.46</v>
      </c>
      <c r="D131" s="4">
        <v>1203.46</v>
      </c>
      <c r="E131" s="4">
        <v>-2199.92</v>
      </c>
      <c r="F131" s="3" t="e">
        <f>VLOOKUP(B131,'Profit &amp; Loss'!$B$2:$C$390,2,0)</f>
        <v>#N/A</v>
      </c>
    </row>
    <row r="132" spans="1:6" x14ac:dyDescent="0.2">
      <c r="A132" s="3" t="s">
        <v>122</v>
      </c>
      <c r="B132" s="3" t="s">
        <v>126</v>
      </c>
      <c r="C132" s="4">
        <v>4751605.46</v>
      </c>
      <c r="D132" s="4">
        <v>2241806.39</v>
      </c>
      <c r="E132" s="4">
        <v>2509799.0699999998</v>
      </c>
      <c r="F132" s="3" t="e">
        <f>VLOOKUP(B132,'Profit &amp; Loss'!$B$2:$C$390,2,0)</f>
        <v>#N/A</v>
      </c>
    </row>
    <row r="133" spans="1:6" x14ac:dyDescent="0.2">
      <c r="A133" s="3" t="s">
        <v>122</v>
      </c>
      <c r="B133" s="3" t="s">
        <v>127</v>
      </c>
      <c r="C133" s="4">
        <v>10107.790000000001</v>
      </c>
      <c r="D133" s="4">
        <v>6142.99</v>
      </c>
      <c r="E133" s="4">
        <v>3964.8</v>
      </c>
      <c r="F133" s="3" t="e">
        <f>VLOOKUP(B133,'Profit &amp; Loss'!$B$2:$C$390,2,0)</f>
        <v>#N/A</v>
      </c>
    </row>
    <row r="134" spans="1:6" x14ac:dyDescent="0.2">
      <c r="A134" s="3" t="s">
        <v>122</v>
      </c>
      <c r="B134" s="3" t="s">
        <v>128</v>
      </c>
      <c r="C134" s="4">
        <v>54165.19</v>
      </c>
      <c r="D134" s="4">
        <v>28321.17</v>
      </c>
      <c r="E134" s="4">
        <v>25844.02</v>
      </c>
      <c r="F134" s="3" t="e">
        <f>VLOOKUP(B134,'Profit &amp; Loss'!$B$2:$C$390,2,0)</f>
        <v>#N/A</v>
      </c>
    </row>
    <row r="135" spans="1:6" x14ac:dyDescent="0.2">
      <c r="A135" s="3" t="s">
        <v>122</v>
      </c>
      <c r="B135" s="3" t="s">
        <v>129</v>
      </c>
      <c r="C135" s="4">
        <v>-4751605.46</v>
      </c>
      <c r="D135" s="4">
        <v>-2241806.39</v>
      </c>
      <c r="E135" s="4">
        <v>-2509799.0699999998</v>
      </c>
      <c r="F135" s="3" t="e">
        <f>VLOOKUP(B135,'Profit &amp; Loss'!$B$2:$C$390,2,0)</f>
        <v>#N/A</v>
      </c>
    </row>
    <row r="136" spans="1:6" x14ac:dyDescent="0.2">
      <c r="A136" s="3" t="s">
        <v>122</v>
      </c>
      <c r="B136" s="3" t="s">
        <v>130</v>
      </c>
      <c r="C136" s="4">
        <v>-10107.790000000001</v>
      </c>
      <c r="D136" s="4">
        <v>-6142.99</v>
      </c>
      <c r="E136" s="4">
        <v>-3964.8</v>
      </c>
      <c r="F136" s="3" t="e">
        <f>VLOOKUP(B136,'Profit &amp; Loss'!$B$2:$C$390,2,0)</f>
        <v>#N/A</v>
      </c>
    </row>
    <row r="137" spans="1:6" x14ac:dyDescent="0.2">
      <c r="A137" s="3" t="s">
        <v>122</v>
      </c>
      <c r="B137" s="3" t="s">
        <v>131</v>
      </c>
      <c r="C137" s="4">
        <v>-54165.19</v>
      </c>
      <c r="D137" s="4">
        <v>-28321.17</v>
      </c>
      <c r="E137" s="4">
        <v>-25844.02</v>
      </c>
      <c r="F137" s="3" t="e">
        <f>VLOOKUP(B137,'Profit &amp; Loss'!$B$2:$C$390,2,0)</f>
        <v>#N/A</v>
      </c>
    </row>
    <row r="138" spans="1:6" x14ac:dyDescent="0.2">
      <c r="A138" s="3" t="s">
        <v>122</v>
      </c>
      <c r="B138" s="3" t="s">
        <v>132</v>
      </c>
      <c r="C138" s="4">
        <v>-2364.69</v>
      </c>
      <c r="D138" s="4">
        <v>-20835.54</v>
      </c>
      <c r="E138" s="4">
        <v>18470.849999999999</v>
      </c>
      <c r="F138" s="3" t="e">
        <f>VLOOKUP(B138,'Profit &amp; Loss'!$B$2:$C$390,2,0)</f>
        <v>#N/A</v>
      </c>
    </row>
    <row r="139" spans="1:6" x14ac:dyDescent="0.2">
      <c r="A139" s="3" t="s">
        <v>122</v>
      </c>
      <c r="B139" s="3" t="s">
        <v>133</v>
      </c>
      <c r="C139" s="4">
        <v>2364.69</v>
      </c>
      <c r="D139" s="4">
        <v>20835.54</v>
      </c>
      <c r="E139" s="4">
        <v>-18470.849999999999</v>
      </c>
      <c r="F139" s="3" t="e">
        <f>VLOOKUP(B139,'Profit &amp; Loss'!$B$2:$C$390,2,0)</f>
        <v>#N/A</v>
      </c>
    </row>
    <row r="140" spans="1:6" x14ac:dyDescent="0.2">
      <c r="A140" s="3" t="s">
        <v>122</v>
      </c>
      <c r="B140" s="3" t="s">
        <v>134</v>
      </c>
      <c r="C140" s="4">
        <v>-3847.51</v>
      </c>
      <c r="D140" s="4">
        <v>-3986.89</v>
      </c>
      <c r="E140" s="4">
        <v>139.38</v>
      </c>
      <c r="F140" s="3" t="e">
        <f>VLOOKUP(B140,'Profit &amp; Loss'!$B$2:$C$390,2,0)</f>
        <v>#N/A</v>
      </c>
    </row>
    <row r="141" spans="1:6" x14ac:dyDescent="0.2">
      <c r="A141" s="3" t="s">
        <v>122</v>
      </c>
      <c r="B141" s="3" t="s">
        <v>135</v>
      </c>
      <c r="C141" s="4">
        <v>3847.51</v>
      </c>
      <c r="D141" s="4">
        <v>3986.89</v>
      </c>
      <c r="E141" s="4">
        <v>-139.38</v>
      </c>
      <c r="F141" s="3" t="e">
        <f>VLOOKUP(B141,'Profit &amp; Loss'!$B$2:$C$390,2,0)</f>
        <v>#N/A</v>
      </c>
    </row>
    <row r="142" spans="1:6" x14ac:dyDescent="0.2">
      <c r="A142" s="3" t="s">
        <v>122</v>
      </c>
      <c r="B142" s="3" t="s">
        <v>136</v>
      </c>
      <c r="C142" s="4">
        <v>-25699.49</v>
      </c>
      <c r="D142" s="4">
        <v>-26090.1</v>
      </c>
      <c r="E142" s="4">
        <v>390.61</v>
      </c>
      <c r="F142" s="3" t="e">
        <f>VLOOKUP(B142,'Profit &amp; Loss'!$B$2:$C$390,2,0)</f>
        <v>#N/A</v>
      </c>
    </row>
    <row r="143" spans="1:6" x14ac:dyDescent="0.2">
      <c r="A143" s="3" t="s">
        <v>122</v>
      </c>
      <c r="B143" s="3" t="s">
        <v>137</v>
      </c>
      <c r="C143" s="4">
        <v>25699.49</v>
      </c>
      <c r="D143" s="4">
        <v>26090.1</v>
      </c>
      <c r="E143" s="4">
        <v>-390.61</v>
      </c>
      <c r="F143" s="3" t="e">
        <f>VLOOKUP(B143,'Profit &amp; Loss'!$B$2:$C$390,2,0)</f>
        <v>#N/A</v>
      </c>
    </row>
    <row r="144" spans="1:6" x14ac:dyDescent="0.2">
      <c r="A144" s="3" t="s">
        <v>122</v>
      </c>
      <c r="B144" s="3" t="s">
        <v>138</v>
      </c>
      <c r="C144" s="4">
        <v>-8929.4</v>
      </c>
      <c r="D144" s="4">
        <v>-7006.11</v>
      </c>
      <c r="E144" s="4">
        <v>-1923.29</v>
      </c>
      <c r="F144" s="3" t="e">
        <f>VLOOKUP(B144,'Profit &amp; Loss'!$B$2:$C$390,2,0)</f>
        <v>#N/A</v>
      </c>
    </row>
    <row r="145" spans="1:6" x14ac:dyDescent="0.2">
      <c r="A145" s="3" t="s">
        <v>122</v>
      </c>
      <c r="B145" s="3" t="s">
        <v>139</v>
      </c>
      <c r="C145" s="4">
        <v>8929.4</v>
      </c>
      <c r="D145" s="4">
        <v>7006.11</v>
      </c>
      <c r="E145" s="4">
        <v>1923.29</v>
      </c>
      <c r="F145" s="3" t="e">
        <f>VLOOKUP(B145,'Profit &amp; Loss'!$B$2:$C$390,2,0)</f>
        <v>#N/A</v>
      </c>
    </row>
    <row r="146" spans="1:6" x14ac:dyDescent="0.2">
      <c r="A146" s="3" t="s">
        <v>122</v>
      </c>
      <c r="B146" s="3" t="s">
        <v>985</v>
      </c>
      <c r="C146" s="4">
        <v>-1905.06</v>
      </c>
      <c r="D146" s="4">
        <v>-655.82</v>
      </c>
      <c r="E146" s="4">
        <v>-1249.24</v>
      </c>
      <c r="F146" s="3" t="e">
        <f>VLOOKUP(B146,'Profit &amp; Loss'!$B$2:$C$390,2,0)</f>
        <v>#N/A</v>
      </c>
    </row>
    <row r="147" spans="1:6" x14ac:dyDescent="0.2">
      <c r="A147" s="3" t="s">
        <v>122</v>
      </c>
      <c r="B147" s="3" t="s">
        <v>986</v>
      </c>
      <c r="C147" s="4">
        <v>1905.06</v>
      </c>
      <c r="D147" s="4">
        <v>655.82</v>
      </c>
      <c r="E147" s="4">
        <v>1249.24</v>
      </c>
      <c r="F147" s="3" t="e">
        <f>VLOOKUP(B147,'Profit &amp; Loss'!$B$2:$C$390,2,0)</f>
        <v>#N/A</v>
      </c>
    </row>
    <row r="148" spans="1:6" x14ac:dyDescent="0.2">
      <c r="A148" s="3" t="s">
        <v>122</v>
      </c>
      <c r="B148" s="3" t="s">
        <v>140</v>
      </c>
      <c r="C148" s="4">
        <v>-72931.350000000006</v>
      </c>
      <c r="D148" s="4">
        <v>-153156.34</v>
      </c>
      <c r="E148" s="4">
        <v>80224.990000000005</v>
      </c>
      <c r="F148" s="3" t="e">
        <f>VLOOKUP(B148,'Profit &amp; Loss'!$B$2:$C$390,2,0)</f>
        <v>#N/A</v>
      </c>
    </row>
    <row r="149" spans="1:6" x14ac:dyDescent="0.2">
      <c r="A149" s="3" t="s">
        <v>122</v>
      </c>
      <c r="B149" s="3" t="s">
        <v>141</v>
      </c>
      <c r="C149" s="4">
        <v>74239.77</v>
      </c>
      <c r="D149" s="4">
        <v>153156.34</v>
      </c>
      <c r="E149" s="4">
        <v>-78916.570000000007</v>
      </c>
      <c r="F149" s="3" t="e">
        <f>VLOOKUP(B149,'Profit &amp; Loss'!$B$2:$C$390,2,0)</f>
        <v>#N/A</v>
      </c>
    </row>
    <row r="150" spans="1:6" x14ac:dyDescent="0.2">
      <c r="A150" s="3" t="s">
        <v>122</v>
      </c>
      <c r="B150" s="3" t="s">
        <v>142</v>
      </c>
      <c r="C150" s="4">
        <v>-386146.28</v>
      </c>
      <c r="D150" s="4">
        <v>-95140.25</v>
      </c>
      <c r="E150" s="4">
        <v>-291006.03000000003</v>
      </c>
      <c r="F150" s="3" t="e">
        <f>VLOOKUP(B150,'Profit &amp; Loss'!$B$2:$C$390,2,0)</f>
        <v>#N/A</v>
      </c>
    </row>
    <row r="151" spans="1:6" x14ac:dyDescent="0.2">
      <c r="A151" s="3" t="s">
        <v>122</v>
      </c>
      <c r="B151" s="3" t="s">
        <v>143</v>
      </c>
      <c r="C151" s="4">
        <v>389524.3</v>
      </c>
      <c r="D151" s="4">
        <v>94366.34</v>
      </c>
      <c r="E151" s="4">
        <v>295157.96000000002</v>
      </c>
      <c r="F151" s="3" t="e">
        <f>VLOOKUP(B151,'Profit &amp; Loss'!$B$2:$C$390,2,0)</f>
        <v>#N/A</v>
      </c>
    </row>
    <row r="152" spans="1:6" x14ac:dyDescent="0.2">
      <c r="A152" s="3" t="s">
        <v>122</v>
      </c>
      <c r="B152" s="3" t="s">
        <v>144</v>
      </c>
      <c r="C152" s="4">
        <v>176731.45</v>
      </c>
      <c r="D152" s="4">
        <v>176731.45</v>
      </c>
      <c r="E152" s="4">
        <v>0</v>
      </c>
      <c r="F152" s="3" t="e">
        <f>VLOOKUP(B152,'Profit &amp; Loss'!$B$2:$C$390,2,0)</f>
        <v>#N/A</v>
      </c>
    </row>
    <row r="153" spans="1:6" x14ac:dyDescent="0.2">
      <c r="A153" s="3" t="s">
        <v>122</v>
      </c>
      <c r="B153" s="3" t="s">
        <v>145</v>
      </c>
      <c r="C153" s="4">
        <v>-0.48</v>
      </c>
      <c r="D153" s="4">
        <v>-0.48</v>
      </c>
      <c r="E153" s="4">
        <v>0</v>
      </c>
      <c r="F153" s="3" t="e">
        <f>VLOOKUP(B153,'Profit &amp; Loss'!$B$2:$C$390,2,0)</f>
        <v>#N/A</v>
      </c>
    </row>
    <row r="154" spans="1:6" x14ac:dyDescent="0.2">
      <c r="A154" s="3" t="s">
        <v>122</v>
      </c>
      <c r="B154" s="3" t="s">
        <v>146</v>
      </c>
      <c r="C154" s="4">
        <v>0.48</v>
      </c>
      <c r="D154" s="4">
        <v>0.48</v>
      </c>
      <c r="E154" s="4">
        <v>0</v>
      </c>
      <c r="F154" s="3" t="e">
        <f>VLOOKUP(B154,'Profit &amp; Loss'!$B$2:$C$390,2,0)</f>
        <v>#N/A</v>
      </c>
    </row>
    <row r="155" spans="1:6" x14ac:dyDescent="0.2">
      <c r="A155" s="3" t="s">
        <v>122</v>
      </c>
      <c r="B155" s="3" t="s">
        <v>147</v>
      </c>
      <c r="C155" s="4">
        <v>-2817260.21</v>
      </c>
      <c r="D155" s="4">
        <v>-2514040.3199999998</v>
      </c>
      <c r="E155" s="4">
        <v>-303219.89</v>
      </c>
      <c r="F155" s="3" t="e">
        <f>VLOOKUP(B155,'Profit &amp; Loss'!$B$2:$C$390,2,0)</f>
        <v>#N/A</v>
      </c>
    </row>
    <row r="156" spans="1:6" x14ac:dyDescent="0.2">
      <c r="A156" s="3" t="s">
        <v>122</v>
      </c>
      <c r="B156" s="3" t="s">
        <v>2</v>
      </c>
      <c r="C156" s="4">
        <v>-2800453.67</v>
      </c>
      <c r="D156" s="4">
        <v>-2614782.89</v>
      </c>
      <c r="E156" s="4">
        <v>-185670.78</v>
      </c>
      <c r="F156" s="3" t="e">
        <f>VLOOKUP(B156,'Profit &amp; Loss'!$B$2:$C$390,2,0)</f>
        <v>#N/A</v>
      </c>
    </row>
    <row r="157" spans="1:6" x14ac:dyDescent="0.2">
      <c r="A157" s="3" t="s">
        <v>148</v>
      </c>
      <c r="B157" s="3" t="s">
        <v>2</v>
      </c>
      <c r="C157" s="4">
        <v>-2800453.67</v>
      </c>
      <c r="D157" s="4">
        <v>-2614782.89</v>
      </c>
      <c r="E157" s="4">
        <v>-185670.78</v>
      </c>
      <c r="F157" s="3" t="e">
        <f>VLOOKUP(B157,'Profit &amp; Loss'!$B$2:$C$390,2,0)</f>
        <v>#N/A</v>
      </c>
    </row>
    <row r="158" spans="1:6" x14ac:dyDescent="0.2">
      <c r="A158" s="3" t="s">
        <v>149</v>
      </c>
      <c r="B158" s="3" t="s">
        <v>150</v>
      </c>
      <c r="C158" s="4">
        <v>108.76</v>
      </c>
      <c r="D158" s="4">
        <v>108.76</v>
      </c>
      <c r="E158" s="4">
        <v>0</v>
      </c>
      <c r="F158" s="3" t="e">
        <f>VLOOKUP(B158,'Profit &amp; Loss'!$B$2:$C$390,2,0)</f>
        <v>#N/A</v>
      </c>
    </row>
    <row r="159" spans="1:6" x14ac:dyDescent="0.2">
      <c r="A159" s="3" t="s">
        <v>149</v>
      </c>
      <c r="B159" s="3" t="s">
        <v>151</v>
      </c>
      <c r="C159" s="4">
        <v>-4.45</v>
      </c>
      <c r="D159" s="4">
        <v>-144.38</v>
      </c>
      <c r="E159" s="4">
        <v>139.93</v>
      </c>
      <c r="F159" s="3" t="e">
        <f>VLOOKUP(B159,'Profit &amp; Loss'!$B$2:$C$390,2,0)</f>
        <v>#N/A</v>
      </c>
    </row>
    <row r="160" spans="1:6" x14ac:dyDescent="0.2">
      <c r="A160" s="3" t="s">
        <v>149</v>
      </c>
      <c r="B160" s="3" t="s">
        <v>152</v>
      </c>
      <c r="C160" s="4">
        <v>4855.91</v>
      </c>
      <c r="D160" s="4">
        <v>4855.91</v>
      </c>
      <c r="E160" s="4">
        <v>0</v>
      </c>
      <c r="F160" s="3" t="e">
        <f>VLOOKUP(B160,'Profit &amp; Loss'!$B$2:$C$390,2,0)</f>
        <v>#N/A</v>
      </c>
    </row>
    <row r="161" spans="1:6" x14ac:dyDescent="0.2">
      <c r="A161" s="3" t="s">
        <v>149</v>
      </c>
      <c r="B161" s="3" t="s">
        <v>153</v>
      </c>
      <c r="C161" s="4">
        <v>-248.8</v>
      </c>
      <c r="D161" s="4">
        <v>-248.8</v>
      </c>
      <c r="E161" s="4">
        <v>0</v>
      </c>
      <c r="F161" s="3" t="e">
        <f>VLOOKUP(B161,'Profit &amp; Loss'!$B$2:$C$390,2,0)</f>
        <v>#N/A</v>
      </c>
    </row>
    <row r="162" spans="1:6" x14ac:dyDescent="0.2">
      <c r="A162" s="3" t="s">
        <v>149</v>
      </c>
      <c r="B162" s="3" t="s">
        <v>154</v>
      </c>
      <c r="C162" s="4">
        <v>-3218.55</v>
      </c>
      <c r="D162" s="4">
        <v>-2784.16</v>
      </c>
      <c r="E162" s="4">
        <v>-434.39</v>
      </c>
      <c r="F162" s="3" t="e">
        <f>VLOOKUP(B162,'Profit &amp; Loss'!$B$2:$C$390,2,0)</f>
        <v>#N/A</v>
      </c>
    </row>
    <row r="163" spans="1:6" x14ac:dyDescent="0.2">
      <c r="A163" s="3" t="s">
        <v>149</v>
      </c>
      <c r="B163" s="3" t="s">
        <v>2</v>
      </c>
      <c r="C163" s="4">
        <v>1492.87</v>
      </c>
      <c r="D163" s="4">
        <v>1787.33</v>
      </c>
      <c r="E163" s="4">
        <v>-294.45999999999998</v>
      </c>
      <c r="F163" s="3" t="e">
        <f>VLOOKUP(B163,'Profit &amp; Loss'!$B$2:$C$390,2,0)</f>
        <v>#N/A</v>
      </c>
    </row>
    <row r="164" spans="1:6" x14ac:dyDescent="0.2">
      <c r="A164" s="3" t="s">
        <v>155</v>
      </c>
      <c r="B164" s="3" t="s">
        <v>2</v>
      </c>
      <c r="C164" s="4">
        <v>1492.87</v>
      </c>
      <c r="D164" s="4">
        <v>1787.33</v>
      </c>
      <c r="E164" s="4">
        <v>-294.45999999999998</v>
      </c>
      <c r="F164" s="3" t="e">
        <f>VLOOKUP(B164,'Profit &amp; Loss'!$B$2:$C$390,2,0)</f>
        <v>#N/A</v>
      </c>
    </row>
    <row r="165" spans="1:6" x14ac:dyDescent="0.2">
      <c r="A165" s="3" t="s">
        <v>156</v>
      </c>
      <c r="B165" s="3" t="s">
        <v>157</v>
      </c>
      <c r="C165" s="4">
        <v>-1534.99</v>
      </c>
      <c r="D165" s="4">
        <v>-1534.99</v>
      </c>
      <c r="E165" s="4">
        <v>0</v>
      </c>
      <c r="F165" s="3" t="e">
        <f>VLOOKUP(B165,'Profit &amp; Loss'!$B$2:$C$390,2,0)</f>
        <v>#N/A</v>
      </c>
    </row>
    <row r="166" spans="1:6" x14ac:dyDescent="0.2">
      <c r="A166" s="3" t="s">
        <v>156</v>
      </c>
      <c r="B166" s="3" t="s">
        <v>158</v>
      </c>
      <c r="C166" s="4">
        <v>1168.55</v>
      </c>
      <c r="D166" s="4">
        <v>1168.55</v>
      </c>
      <c r="E166" s="4">
        <v>0</v>
      </c>
      <c r="F166" s="3" t="e">
        <f>VLOOKUP(B166,'Profit &amp; Loss'!$B$2:$C$390,2,0)</f>
        <v>#N/A</v>
      </c>
    </row>
    <row r="167" spans="1:6" x14ac:dyDescent="0.2">
      <c r="A167" s="3" t="s">
        <v>156</v>
      </c>
      <c r="B167" s="3" t="s">
        <v>160</v>
      </c>
      <c r="C167" s="4">
        <v>-556.95000000000005</v>
      </c>
      <c r="D167" s="4">
        <v>-556.95000000000005</v>
      </c>
      <c r="E167" s="4">
        <v>0</v>
      </c>
      <c r="F167" s="3" t="e">
        <f>VLOOKUP(B167,'Profit &amp; Loss'!$B$2:$C$390,2,0)</f>
        <v>#N/A</v>
      </c>
    </row>
    <row r="168" spans="1:6" x14ac:dyDescent="0.2">
      <c r="A168" s="3" t="s">
        <v>156</v>
      </c>
      <c r="B168" s="3" t="s">
        <v>161</v>
      </c>
      <c r="C168" s="4">
        <v>-482.8</v>
      </c>
      <c r="D168" s="4">
        <v>-2751.55</v>
      </c>
      <c r="E168" s="4">
        <v>2268.75</v>
      </c>
      <c r="F168" s="3" t="e">
        <f>VLOOKUP(B168,'Profit &amp; Loss'!$B$2:$C$390,2,0)</f>
        <v>#N/A</v>
      </c>
    </row>
    <row r="169" spans="1:6" x14ac:dyDescent="0.2">
      <c r="A169" s="3" t="s">
        <v>156</v>
      </c>
      <c r="B169" s="3" t="s">
        <v>2</v>
      </c>
      <c r="C169" s="4">
        <v>-1406.19</v>
      </c>
      <c r="D169" s="4">
        <v>-3674.94</v>
      </c>
      <c r="E169" s="4">
        <v>2268.75</v>
      </c>
      <c r="F169" s="3" t="e">
        <f>VLOOKUP(B169,'Profit &amp; Loss'!$B$2:$C$390,2,0)</f>
        <v>#N/A</v>
      </c>
    </row>
    <row r="170" spans="1:6" x14ac:dyDescent="0.2">
      <c r="A170" s="3" t="s">
        <v>162</v>
      </c>
      <c r="B170" s="3" t="s">
        <v>163</v>
      </c>
      <c r="C170" s="4">
        <v>-68234.289999999994</v>
      </c>
      <c r="D170" s="4">
        <v>-68234.289999999994</v>
      </c>
      <c r="E170" s="4">
        <v>0</v>
      </c>
      <c r="F170" s="3" t="e">
        <f>VLOOKUP(B170,'Profit &amp; Loss'!$B$2:$C$390,2,0)</f>
        <v>#N/A</v>
      </c>
    </row>
    <row r="171" spans="1:6" x14ac:dyDescent="0.2">
      <c r="A171" s="3" t="s">
        <v>162</v>
      </c>
      <c r="B171" s="3" t="s">
        <v>164</v>
      </c>
      <c r="C171" s="4">
        <v>-322222.13</v>
      </c>
      <c r="D171" s="4">
        <v>-324829</v>
      </c>
      <c r="E171" s="4">
        <v>2606.87</v>
      </c>
      <c r="F171" s="3" t="e">
        <f>VLOOKUP(B171,'Profit &amp; Loss'!$B$2:$C$390,2,0)</f>
        <v>#N/A</v>
      </c>
    </row>
    <row r="172" spans="1:6" x14ac:dyDescent="0.2">
      <c r="A172" s="3" t="s">
        <v>162</v>
      </c>
      <c r="B172" s="3" t="s">
        <v>165</v>
      </c>
      <c r="C172" s="4">
        <v>-261856.44</v>
      </c>
      <c r="D172" s="4">
        <v>-257590.38</v>
      </c>
      <c r="E172" s="4">
        <v>-4266.0600000000004</v>
      </c>
      <c r="F172" s="3" t="e">
        <f>VLOOKUP(B172,'Profit &amp; Loss'!$B$2:$C$390,2,0)</f>
        <v>#N/A</v>
      </c>
    </row>
    <row r="173" spans="1:6" x14ac:dyDescent="0.2">
      <c r="A173" s="3" t="s">
        <v>162</v>
      </c>
      <c r="B173" s="3" t="s">
        <v>166</v>
      </c>
      <c r="C173" s="4">
        <v>9707.39</v>
      </c>
      <c r="D173" s="4">
        <v>20937.599999999999</v>
      </c>
      <c r="E173" s="4">
        <v>-11230.21</v>
      </c>
      <c r="F173" s="3" t="e">
        <f>VLOOKUP(B173,'Profit &amp; Loss'!$B$2:$C$390,2,0)</f>
        <v>#N/A</v>
      </c>
    </row>
    <row r="174" spans="1:6" x14ac:dyDescent="0.2">
      <c r="A174" s="3" t="s">
        <v>162</v>
      </c>
      <c r="B174" s="3" t="s">
        <v>167</v>
      </c>
      <c r="C174" s="4">
        <v>-514550.2</v>
      </c>
      <c r="D174" s="4">
        <v>-510581.36</v>
      </c>
      <c r="E174" s="4">
        <v>-3968.84</v>
      </c>
      <c r="F174" s="3" t="e">
        <f>VLOOKUP(B174,'Profit &amp; Loss'!$B$2:$C$390,2,0)</f>
        <v>#N/A</v>
      </c>
    </row>
    <row r="175" spans="1:6" x14ac:dyDescent="0.2">
      <c r="A175" s="3" t="s">
        <v>162</v>
      </c>
      <c r="B175" s="3" t="s">
        <v>168</v>
      </c>
      <c r="C175" s="4">
        <v>-53192.57</v>
      </c>
      <c r="D175" s="4">
        <v>-53652.59</v>
      </c>
      <c r="E175" s="4">
        <v>460.02</v>
      </c>
      <c r="F175" s="3" t="e">
        <f>VLOOKUP(B175,'Profit &amp; Loss'!$B$2:$C$390,2,0)</f>
        <v>#N/A</v>
      </c>
    </row>
    <row r="176" spans="1:6" x14ac:dyDescent="0.2">
      <c r="A176" s="3" t="s">
        <v>162</v>
      </c>
      <c r="B176" s="3" t="s">
        <v>169</v>
      </c>
      <c r="C176" s="4">
        <v>-912.79</v>
      </c>
      <c r="D176" s="4">
        <v>-693.59</v>
      </c>
      <c r="E176" s="4">
        <v>-219.2</v>
      </c>
      <c r="F176" s="3" t="e">
        <f>VLOOKUP(B176,'Profit &amp; Loss'!$B$2:$C$390,2,0)</f>
        <v>#N/A</v>
      </c>
    </row>
    <row r="177" spans="1:6" x14ac:dyDescent="0.2">
      <c r="A177" s="3" t="s">
        <v>162</v>
      </c>
      <c r="B177" s="3" t="s">
        <v>170</v>
      </c>
      <c r="C177" s="4">
        <v>-305036</v>
      </c>
      <c r="D177" s="4">
        <v>-307519.18</v>
      </c>
      <c r="E177" s="4">
        <v>2483.1799999999998</v>
      </c>
      <c r="F177" s="3" t="e">
        <f>VLOOKUP(B177,'Profit &amp; Loss'!$B$2:$C$390,2,0)</f>
        <v>#N/A</v>
      </c>
    </row>
    <row r="178" spans="1:6" x14ac:dyDescent="0.2">
      <c r="A178" s="3" t="s">
        <v>162</v>
      </c>
      <c r="B178" s="3" t="s">
        <v>171</v>
      </c>
      <c r="C178" s="4">
        <v>-256014.36</v>
      </c>
      <c r="D178" s="4">
        <v>-258090.07</v>
      </c>
      <c r="E178" s="4">
        <v>2075.71</v>
      </c>
      <c r="F178" s="3" t="e">
        <f>VLOOKUP(B178,'Profit &amp; Loss'!$B$2:$C$390,2,0)</f>
        <v>#N/A</v>
      </c>
    </row>
    <row r="179" spans="1:6" x14ac:dyDescent="0.2">
      <c r="A179" s="3" t="s">
        <v>162</v>
      </c>
      <c r="B179" s="3" t="s">
        <v>2</v>
      </c>
      <c r="C179" s="4">
        <v>-1772311.39</v>
      </c>
      <c r="D179" s="4">
        <v>-1760252.86</v>
      </c>
      <c r="E179" s="4">
        <v>-12058.53</v>
      </c>
      <c r="F179" s="3" t="e">
        <f>VLOOKUP(B179,'Profit &amp; Loss'!$B$2:$C$390,2,0)</f>
        <v>#N/A</v>
      </c>
    </row>
    <row r="180" spans="1:6" x14ac:dyDescent="0.2">
      <c r="A180" s="3" t="s">
        <v>172</v>
      </c>
      <c r="B180" s="3" t="s">
        <v>173</v>
      </c>
      <c r="C180" s="4">
        <v>-1139.6199999999999</v>
      </c>
      <c r="D180" s="4">
        <v>-447.79</v>
      </c>
      <c r="E180" s="4">
        <v>-691.83</v>
      </c>
      <c r="F180" s="3" t="e">
        <f>VLOOKUP(B180,'Profit &amp; Loss'!$B$2:$C$390,2,0)</f>
        <v>#N/A</v>
      </c>
    </row>
    <row r="181" spans="1:6" x14ac:dyDescent="0.2">
      <c r="A181" s="3" t="s">
        <v>172</v>
      </c>
      <c r="B181" s="3" t="s">
        <v>2</v>
      </c>
      <c r="C181" s="4">
        <v>-1139.6199999999999</v>
      </c>
      <c r="D181" s="4">
        <v>-447.79</v>
      </c>
      <c r="E181" s="4">
        <v>-691.83</v>
      </c>
      <c r="F181" s="3" t="e">
        <f>VLOOKUP(B181,'Profit &amp; Loss'!$B$2:$C$390,2,0)</f>
        <v>#N/A</v>
      </c>
    </row>
    <row r="182" spans="1:6" x14ac:dyDescent="0.2">
      <c r="A182" s="3" t="s">
        <v>174</v>
      </c>
      <c r="B182" s="3" t="s">
        <v>175</v>
      </c>
      <c r="C182" s="4">
        <v>2875.48</v>
      </c>
      <c r="D182" s="4">
        <v>2412.86</v>
      </c>
      <c r="E182" s="4">
        <v>462.62</v>
      </c>
      <c r="F182" s="3" t="e">
        <f>VLOOKUP(B182,'Profit &amp; Loss'!$B$2:$C$390,2,0)</f>
        <v>#N/A</v>
      </c>
    </row>
    <row r="183" spans="1:6" x14ac:dyDescent="0.2">
      <c r="A183" s="3" t="s">
        <v>174</v>
      </c>
      <c r="B183" s="3" t="s">
        <v>176</v>
      </c>
      <c r="C183" s="4">
        <v>-644672.77</v>
      </c>
      <c r="D183" s="4">
        <v>-642932.11</v>
      </c>
      <c r="E183" s="4">
        <v>-1740.66</v>
      </c>
      <c r="F183" s="3" t="e">
        <f>VLOOKUP(B183,'Profit &amp; Loss'!$B$2:$C$390,2,0)</f>
        <v>#N/A</v>
      </c>
    </row>
    <row r="184" spans="1:6" x14ac:dyDescent="0.2">
      <c r="A184" s="3" t="s">
        <v>174</v>
      </c>
      <c r="B184" s="3" t="s">
        <v>177</v>
      </c>
      <c r="C184" s="4">
        <v>-63055.4</v>
      </c>
      <c r="D184" s="4">
        <v>-59154.82</v>
      </c>
      <c r="E184" s="4">
        <v>-3900.58</v>
      </c>
      <c r="F184" s="3" t="e">
        <f>VLOOKUP(B184,'Profit &amp; Loss'!$B$2:$C$390,2,0)</f>
        <v>#N/A</v>
      </c>
    </row>
    <row r="185" spans="1:6" x14ac:dyDescent="0.2">
      <c r="A185" s="3" t="s">
        <v>174</v>
      </c>
      <c r="B185" s="3" t="s">
        <v>2</v>
      </c>
      <c r="C185" s="4">
        <v>-704852.69</v>
      </c>
      <c r="D185" s="4">
        <v>-699674.07</v>
      </c>
      <c r="E185" s="4">
        <v>-5178.62</v>
      </c>
      <c r="F185" s="3" t="e">
        <f>VLOOKUP(B185,'Profit &amp; Loss'!$B$2:$C$390,2,0)</f>
        <v>#N/A</v>
      </c>
    </row>
    <row r="186" spans="1:6" x14ac:dyDescent="0.2">
      <c r="A186" s="3" t="s">
        <v>178</v>
      </c>
      <c r="B186" s="3" t="s">
        <v>179</v>
      </c>
      <c r="C186" s="4">
        <v>44373</v>
      </c>
      <c r="D186" s="4">
        <v>-744625.13</v>
      </c>
      <c r="E186" s="4">
        <v>788998.13</v>
      </c>
      <c r="F186" s="3" t="e">
        <f>VLOOKUP(B186,'Profit &amp; Loss'!$B$2:$C$390,2,0)</f>
        <v>#N/A</v>
      </c>
    </row>
    <row r="187" spans="1:6" x14ac:dyDescent="0.2">
      <c r="A187" s="3" t="s">
        <v>178</v>
      </c>
      <c r="B187" s="3" t="s">
        <v>180</v>
      </c>
      <c r="C187" s="4">
        <v>-184.64</v>
      </c>
      <c r="D187" s="4">
        <v>-184.64</v>
      </c>
      <c r="E187" s="4">
        <v>0</v>
      </c>
      <c r="F187" s="3" t="e">
        <f>VLOOKUP(B187,'Profit &amp; Loss'!$B$2:$C$390,2,0)</f>
        <v>#N/A</v>
      </c>
    </row>
    <row r="188" spans="1:6" x14ac:dyDescent="0.2">
      <c r="A188" s="3" t="s">
        <v>178</v>
      </c>
      <c r="B188" s="3" t="s">
        <v>181</v>
      </c>
      <c r="C188" s="4">
        <v>899.58</v>
      </c>
      <c r="D188" s="4">
        <v>846.64</v>
      </c>
      <c r="E188" s="4">
        <v>52.94</v>
      </c>
      <c r="F188" s="3" t="e">
        <f>VLOOKUP(B188,'Profit &amp; Loss'!$B$2:$C$390,2,0)</f>
        <v>#N/A</v>
      </c>
    </row>
    <row r="189" spans="1:6" x14ac:dyDescent="0.2">
      <c r="A189" s="3" t="s">
        <v>178</v>
      </c>
      <c r="B189" s="3" t="s">
        <v>182</v>
      </c>
      <c r="C189" s="4">
        <v>-597.94000000000005</v>
      </c>
      <c r="D189" s="4">
        <v>-948.5</v>
      </c>
      <c r="E189" s="4">
        <v>350.56</v>
      </c>
      <c r="F189" s="3" t="e">
        <f>VLOOKUP(B189,'Profit &amp; Loss'!$B$2:$C$390,2,0)</f>
        <v>#N/A</v>
      </c>
    </row>
    <row r="190" spans="1:6" x14ac:dyDescent="0.2">
      <c r="A190" s="3" t="s">
        <v>178</v>
      </c>
      <c r="B190" s="3" t="s">
        <v>184</v>
      </c>
      <c r="C190" s="4">
        <v>-1002</v>
      </c>
      <c r="D190" s="4">
        <v>-1002</v>
      </c>
      <c r="E190" s="4">
        <v>0</v>
      </c>
      <c r="F190" s="3" t="e">
        <f>VLOOKUP(B190,'Profit &amp; Loss'!$B$2:$C$390,2,0)</f>
        <v>#N/A</v>
      </c>
    </row>
    <row r="191" spans="1:6" x14ac:dyDescent="0.2">
      <c r="A191" s="3" t="s">
        <v>178</v>
      </c>
      <c r="B191" s="3" t="s">
        <v>186</v>
      </c>
      <c r="C191" s="4">
        <v>-200</v>
      </c>
      <c r="D191" s="4">
        <v>-200</v>
      </c>
      <c r="E191" s="4">
        <v>0</v>
      </c>
      <c r="F191" s="3" t="e">
        <f>VLOOKUP(B191,'Profit &amp; Loss'!$B$2:$C$390,2,0)</f>
        <v>#N/A</v>
      </c>
    </row>
    <row r="192" spans="1:6" x14ac:dyDescent="0.2">
      <c r="A192" s="3" t="s">
        <v>178</v>
      </c>
      <c r="B192" s="3" t="s">
        <v>187</v>
      </c>
      <c r="C192" s="4">
        <v>207.92</v>
      </c>
      <c r="D192" s="4">
        <v>207.92</v>
      </c>
      <c r="E192" s="4">
        <v>0</v>
      </c>
      <c r="F192" s="3" t="e">
        <f>VLOOKUP(B192,'Profit &amp; Loss'!$B$2:$C$390,2,0)</f>
        <v>#N/A</v>
      </c>
    </row>
    <row r="193" spans="1:6" x14ac:dyDescent="0.2">
      <c r="A193" s="3" t="s">
        <v>178</v>
      </c>
      <c r="B193" s="3" t="s">
        <v>188</v>
      </c>
      <c r="C193" s="4">
        <v>-1455.24</v>
      </c>
      <c r="D193" s="4">
        <v>-1455.24</v>
      </c>
      <c r="E193" s="4">
        <v>0</v>
      </c>
      <c r="F193" s="3" t="e">
        <f>VLOOKUP(B193,'Profit &amp; Loss'!$B$2:$C$390,2,0)</f>
        <v>#N/A</v>
      </c>
    </row>
    <row r="194" spans="1:6" x14ac:dyDescent="0.2">
      <c r="A194" s="3" t="s">
        <v>178</v>
      </c>
      <c r="B194" s="3" t="s">
        <v>189</v>
      </c>
      <c r="C194" s="4">
        <v>47.93</v>
      </c>
      <c r="D194" s="4">
        <v>47.93</v>
      </c>
      <c r="E194" s="4">
        <v>0</v>
      </c>
      <c r="F194" s="3" t="e">
        <f>VLOOKUP(B194,'Profit &amp; Loss'!$B$2:$C$390,2,0)</f>
        <v>#N/A</v>
      </c>
    </row>
    <row r="195" spans="1:6" x14ac:dyDescent="0.2">
      <c r="A195" s="3" t="s">
        <v>178</v>
      </c>
      <c r="B195" s="3" t="s">
        <v>190</v>
      </c>
      <c r="C195" s="4">
        <v>140.44</v>
      </c>
      <c r="D195" s="4">
        <v>176.72</v>
      </c>
      <c r="E195" s="4">
        <v>-36.28</v>
      </c>
      <c r="F195" s="3" t="e">
        <f>VLOOKUP(B195,'Profit &amp; Loss'!$B$2:$C$390,2,0)</f>
        <v>#N/A</v>
      </c>
    </row>
    <row r="196" spans="1:6" x14ac:dyDescent="0.2">
      <c r="A196" s="3" t="s">
        <v>178</v>
      </c>
      <c r="B196" s="3" t="s">
        <v>191</v>
      </c>
      <c r="C196" s="4">
        <v>-70.59</v>
      </c>
      <c r="D196" s="4">
        <v>-47.87</v>
      </c>
      <c r="E196" s="4">
        <v>-22.72</v>
      </c>
      <c r="F196" s="3" t="e">
        <f>VLOOKUP(B196,'Profit &amp; Loss'!$B$2:$C$390,2,0)</f>
        <v>#N/A</v>
      </c>
    </row>
    <row r="197" spans="1:6" x14ac:dyDescent="0.2">
      <c r="A197" s="3" t="s">
        <v>178</v>
      </c>
      <c r="B197" s="3" t="s">
        <v>192</v>
      </c>
      <c r="C197" s="4">
        <v>8035.92</v>
      </c>
      <c r="D197" s="4">
        <v>6746.08</v>
      </c>
      <c r="E197" s="4">
        <v>1289.8399999999999</v>
      </c>
      <c r="F197" s="3" t="e">
        <f>VLOOKUP(B197,'Profit &amp; Loss'!$B$2:$C$390,2,0)</f>
        <v>#N/A</v>
      </c>
    </row>
    <row r="198" spans="1:6" x14ac:dyDescent="0.2">
      <c r="A198" s="3" t="s">
        <v>178</v>
      </c>
      <c r="B198" s="3" t="s">
        <v>193</v>
      </c>
      <c r="C198" s="4">
        <v>203.95</v>
      </c>
      <c r="D198" s="4">
        <v>0</v>
      </c>
      <c r="E198" s="4">
        <v>203.95</v>
      </c>
      <c r="F198" s="3" t="e">
        <f>VLOOKUP(B198,'Profit &amp; Loss'!$B$2:$C$390,2,0)</f>
        <v>#N/A</v>
      </c>
    </row>
    <row r="199" spans="1:6" x14ac:dyDescent="0.2">
      <c r="A199" s="3" t="s">
        <v>178</v>
      </c>
      <c r="B199" s="3" t="s">
        <v>194</v>
      </c>
      <c r="C199" s="4">
        <v>-23655.87</v>
      </c>
      <c r="D199" s="4">
        <v>-23655.87</v>
      </c>
      <c r="E199" s="4">
        <v>0</v>
      </c>
      <c r="F199" s="3" t="e">
        <f>VLOOKUP(B199,'Profit &amp; Loss'!$B$2:$C$390,2,0)</f>
        <v>#N/A</v>
      </c>
    </row>
    <row r="200" spans="1:6" x14ac:dyDescent="0.2">
      <c r="A200" s="3" t="s">
        <v>178</v>
      </c>
      <c r="B200" s="3" t="s">
        <v>195</v>
      </c>
      <c r="C200" s="4">
        <v>-38097.839999999997</v>
      </c>
      <c r="D200" s="4">
        <v>-38430.28</v>
      </c>
      <c r="E200" s="4">
        <v>332.44</v>
      </c>
      <c r="F200" s="3" t="e">
        <f>VLOOKUP(B200,'Profit &amp; Loss'!$B$2:$C$390,2,0)</f>
        <v>#N/A</v>
      </c>
    </row>
    <row r="201" spans="1:6" x14ac:dyDescent="0.2">
      <c r="A201" s="3" t="s">
        <v>178</v>
      </c>
      <c r="B201" s="3" t="s">
        <v>196</v>
      </c>
      <c r="C201" s="4">
        <v>-34457.39</v>
      </c>
      <c r="D201" s="4">
        <v>-35156.339999999997</v>
      </c>
      <c r="E201" s="4">
        <v>698.95</v>
      </c>
      <c r="F201" s="3" t="e">
        <f>VLOOKUP(B201,'Profit &amp; Loss'!$B$2:$C$390,2,0)</f>
        <v>#N/A</v>
      </c>
    </row>
    <row r="202" spans="1:6" x14ac:dyDescent="0.2">
      <c r="A202" s="3" t="s">
        <v>178</v>
      </c>
      <c r="B202" s="3" t="s">
        <v>2</v>
      </c>
      <c r="C202" s="4">
        <v>-45812.77</v>
      </c>
      <c r="D202" s="4">
        <v>-837680.58</v>
      </c>
      <c r="E202" s="4">
        <v>791867.81</v>
      </c>
      <c r="F202" s="3" t="e">
        <f>VLOOKUP(B202,'Profit &amp; Loss'!$B$2:$C$390,2,0)</f>
        <v>#N/A</v>
      </c>
    </row>
    <row r="203" spans="1:6" x14ac:dyDescent="0.2">
      <c r="A203" s="3" t="s">
        <v>197</v>
      </c>
      <c r="B203" s="3" t="s">
        <v>2</v>
      </c>
      <c r="C203" s="4">
        <v>-2525522.66</v>
      </c>
      <c r="D203" s="4">
        <v>-3301730.24</v>
      </c>
      <c r="E203" s="4">
        <v>776207.58</v>
      </c>
      <c r="F203" s="3" t="e">
        <f>VLOOKUP(B203,'Profit &amp; Loss'!$B$2:$C$390,2,0)</f>
        <v>#N/A</v>
      </c>
    </row>
    <row r="204" spans="1:6" x14ac:dyDescent="0.2">
      <c r="A204" s="3" t="s">
        <v>198</v>
      </c>
      <c r="B204" s="3" t="s">
        <v>199</v>
      </c>
      <c r="C204" s="4">
        <v>379483.04</v>
      </c>
      <c r="D204" s="4">
        <v>354357.92</v>
      </c>
      <c r="E204" s="4">
        <v>25125.119999999999</v>
      </c>
      <c r="F204" s="3" t="e">
        <f>VLOOKUP(B204,'Profit &amp; Loss'!$B$2:$C$390,2,0)</f>
        <v>#N/A</v>
      </c>
    </row>
    <row r="205" spans="1:6" x14ac:dyDescent="0.2">
      <c r="A205" s="3" t="s">
        <v>198</v>
      </c>
      <c r="B205" s="3" t="s">
        <v>2</v>
      </c>
      <c r="C205" s="4">
        <v>379483.04</v>
      </c>
      <c r="D205" s="4">
        <v>354357.92</v>
      </c>
      <c r="E205" s="4">
        <v>25125.119999999999</v>
      </c>
      <c r="F205" s="3" t="e">
        <f>VLOOKUP(B205,'Profit &amp; Loss'!$B$2:$C$390,2,0)</f>
        <v>#N/A</v>
      </c>
    </row>
    <row r="206" spans="1:6" x14ac:dyDescent="0.2">
      <c r="A206" s="3" t="s">
        <v>200</v>
      </c>
      <c r="B206" s="3" t="s">
        <v>201</v>
      </c>
      <c r="C206" s="4">
        <v>-5252.67</v>
      </c>
      <c r="D206" s="4">
        <v>-5252.67</v>
      </c>
      <c r="E206" s="4">
        <v>0</v>
      </c>
      <c r="F206" s="3" t="e">
        <f>VLOOKUP(B206,'Profit &amp; Loss'!$B$2:$C$390,2,0)</f>
        <v>#N/A</v>
      </c>
    </row>
    <row r="207" spans="1:6" x14ac:dyDescent="0.2">
      <c r="A207" s="3" t="s">
        <v>200</v>
      </c>
      <c r="B207" s="3" t="s">
        <v>203</v>
      </c>
      <c r="C207" s="4">
        <v>-10671.57</v>
      </c>
      <c r="D207" s="4">
        <v>-10671.57</v>
      </c>
      <c r="E207" s="4">
        <v>0</v>
      </c>
      <c r="F207" s="3" t="e">
        <f>VLOOKUP(B207,'Profit &amp; Loss'!$B$2:$C$390,2,0)</f>
        <v>#N/A</v>
      </c>
    </row>
    <row r="208" spans="1:6" x14ac:dyDescent="0.2">
      <c r="A208" s="3" t="s">
        <v>200</v>
      </c>
      <c r="B208" s="3" t="s">
        <v>204</v>
      </c>
      <c r="C208" s="4">
        <v>-20871.29</v>
      </c>
      <c r="D208" s="4">
        <v>-20871.29</v>
      </c>
      <c r="E208" s="4">
        <v>0</v>
      </c>
      <c r="F208" s="3" t="e">
        <f>VLOOKUP(B208,'Profit &amp; Loss'!$B$2:$C$390,2,0)</f>
        <v>#N/A</v>
      </c>
    </row>
    <row r="209" spans="1:6" x14ac:dyDescent="0.2">
      <c r="A209" s="3" t="s">
        <v>200</v>
      </c>
      <c r="B209" s="3" t="s">
        <v>205</v>
      </c>
      <c r="C209" s="4">
        <v>-5.01</v>
      </c>
      <c r="D209" s="4">
        <v>-5.01</v>
      </c>
      <c r="E209" s="4">
        <v>0</v>
      </c>
      <c r="F209" s="3" t="e">
        <f>VLOOKUP(B209,'Profit &amp; Loss'!$B$2:$C$390,2,0)</f>
        <v>#N/A</v>
      </c>
    </row>
    <row r="210" spans="1:6" x14ac:dyDescent="0.2">
      <c r="A210" s="3" t="s">
        <v>200</v>
      </c>
      <c r="B210" s="3" t="s">
        <v>209</v>
      </c>
      <c r="C210" s="4">
        <v>-0.03</v>
      </c>
      <c r="D210" s="4">
        <v>-0.03</v>
      </c>
      <c r="E210" s="4">
        <v>0</v>
      </c>
      <c r="F210" s="3" t="e">
        <f>VLOOKUP(B210,'Profit &amp; Loss'!$B$2:$C$390,2,0)</f>
        <v>#N/A</v>
      </c>
    </row>
    <row r="211" spans="1:6" x14ac:dyDescent="0.2">
      <c r="A211" s="3" t="s">
        <v>200</v>
      </c>
      <c r="B211" s="3" t="s">
        <v>2</v>
      </c>
      <c r="C211" s="4">
        <v>-36800.57</v>
      </c>
      <c r="D211" s="4">
        <v>-36800.57</v>
      </c>
      <c r="E211" s="4">
        <v>0</v>
      </c>
      <c r="F211" s="3" t="e">
        <f>VLOOKUP(B211,'Profit &amp; Loss'!$B$2:$C$390,2,0)</f>
        <v>#N/A</v>
      </c>
    </row>
    <row r="212" spans="1:6" x14ac:dyDescent="0.2">
      <c r="A212" s="3" t="s">
        <v>210</v>
      </c>
      <c r="B212" s="3" t="s">
        <v>2</v>
      </c>
      <c r="C212" s="4">
        <v>342682.47</v>
      </c>
      <c r="D212" s="4">
        <v>317557.34999999998</v>
      </c>
      <c r="E212" s="4">
        <v>25125.119999999999</v>
      </c>
      <c r="F212" s="3" t="e">
        <f>VLOOKUP(B212,'Profit &amp; Loss'!$B$2:$C$390,2,0)</f>
        <v>#N/A</v>
      </c>
    </row>
    <row r="213" spans="1:6" x14ac:dyDescent="0.2">
      <c r="A213" s="3" t="s">
        <v>211</v>
      </c>
      <c r="B213" s="3" t="s">
        <v>212</v>
      </c>
      <c r="C213" s="4">
        <v>-598218.41</v>
      </c>
      <c r="D213" s="4">
        <v>-91742.080000000002</v>
      </c>
      <c r="E213" s="4">
        <v>-506476.33</v>
      </c>
      <c r="F213" s="3" t="e">
        <f>VLOOKUP(B213,'Profit &amp; Loss'!$B$2:$C$390,2,0)</f>
        <v>#N/A</v>
      </c>
    </row>
    <row r="214" spans="1:6" x14ac:dyDescent="0.2">
      <c r="A214" s="3" t="s">
        <v>211</v>
      </c>
      <c r="B214" s="3" t="s">
        <v>213</v>
      </c>
      <c r="C214" s="4">
        <v>-123916.43</v>
      </c>
      <c r="D214" s="4">
        <v>-91441.75</v>
      </c>
      <c r="E214" s="4">
        <v>-32474.68</v>
      </c>
      <c r="F214" s="3" t="e">
        <f>VLOOKUP(B214,'Profit &amp; Loss'!$B$2:$C$390,2,0)</f>
        <v>#N/A</v>
      </c>
    </row>
    <row r="215" spans="1:6" x14ac:dyDescent="0.2">
      <c r="A215" s="3" t="s">
        <v>211</v>
      </c>
      <c r="B215" s="3" t="s">
        <v>214</v>
      </c>
      <c r="C215" s="4">
        <v>-72761.119999999995</v>
      </c>
      <c r="D215" s="4">
        <v>-73958.91</v>
      </c>
      <c r="E215" s="4">
        <v>1197.79</v>
      </c>
      <c r="F215" s="3" t="e">
        <f>VLOOKUP(B215,'Profit &amp; Loss'!$B$2:$C$390,2,0)</f>
        <v>#N/A</v>
      </c>
    </row>
    <row r="216" spans="1:6" x14ac:dyDescent="0.2">
      <c r="A216" s="3" t="s">
        <v>211</v>
      </c>
      <c r="B216" s="3" t="s">
        <v>215</v>
      </c>
      <c r="C216" s="4">
        <v>-74730.39</v>
      </c>
      <c r="D216" s="4">
        <v>-67684.28</v>
      </c>
      <c r="E216" s="4">
        <v>-7046.11</v>
      </c>
      <c r="F216" s="3" t="e">
        <f>VLOOKUP(B216,'Profit &amp; Loss'!$B$2:$C$390,2,0)</f>
        <v>#N/A</v>
      </c>
    </row>
    <row r="217" spans="1:6" x14ac:dyDescent="0.2">
      <c r="A217" s="3" t="s">
        <v>211</v>
      </c>
      <c r="B217" s="3" t="s">
        <v>216</v>
      </c>
      <c r="C217" s="4">
        <v>-51369.2</v>
      </c>
      <c r="D217" s="4">
        <v>-30223.06</v>
      </c>
      <c r="E217" s="4">
        <v>-21146.14</v>
      </c>
      <c r="F217" s="3" t="e">
        <f>VLOOKUP(B217,'Profit &amp; Loss'!$B$2:$C$390,2,0)</f>
        <v>#N/A</v>
      </c>
    </row>
    <row r="218" spans="1:6" x14ac:dyDescent="0.2">
      <c r="A218" s="3" t="s">
        <v>211</v>
      </c>
      <c r="B218" s="3" t="s">
        <v>217</v>
      </c>
      <c r="C218" s="4">
        <v>-236680.67</v>
      </c>
      <c r="D218" s="4">
        <v>-240988.87</v>
      </c>
      <c r="E218" s="4">
        <v>4308.2</v>
      </c>
      <c r="F218" s="3" t="e">
        <f>VLOOKUP(B218,'Profit &amp; Loss'!$B$2:$C$390,2,0)</f>
        <v>#N/A</v>
      </c>
    </row>
    <row r="219" spans="1:6" x14ac:dyDescent="0.2">
      <c r="A219" s="3" t="s">
        <v>211</v>
      </c>
      <c r="B219" s="3" t="s">
        <v>2</v>
      </c>
      <c r="C219" s="4">
        <v>-1157676.22</v>
      </c>
      <c r="D219" s="4">
        <v>-596038.94999999995</v>
      </c>
      <c r="E219" s="4">
        <v>-561637.27</v>
      </c>
      <c r="F219" s="3" t="e">
        <f>VLOOKUP(B219,'Profit &amp; Loss'!$B$2:$C$390,2,0)</f>
        <v>#N/A</v>
      </c>
    </row>
    <row r="220" spans="1:6" x14ac:dyDescent="0.2">
      <c r="A220" s="3" t="s">
        <v>218</v>
      </c>
      <c r="B220" s="3" t="s">
        <v>2</v>
      </c>
      <c r="C220" s="4">
        <v>-1157676.22</v>
      </c>
      <c r="D220" s="4">
        <v>-596038.94999999995</v>
      </c>
      <c r="E220" s="4">
        <v>-561637.27</v>
      </c>
      <c r="F220" s="3" t="e">
        <f>VLOOKUP(B220,'Profit &amp; Loss'!$B$2:$C$390,2,0)</f>
        <v>#N/A</v>
      </c>
    </row>
    <row r="221" spans="1:6" x14ac:dyDescent="0.2">
      <c r="A221" s="3" t="s">
        <v>219</v>
      </c>
      <c r="B221" s="3" t="s">
        <v>220</v>
      </c>
      <c r="C221" s="4">
        <v>120.57</v>
      </c>
      <c r="D221" s="4">
        <v>120.57</v>
      </c>
      <c r="E221" s="4">
        <v>0</v>
      </c>
      <c r="F221" s="3" t="e">
        <f>VLOOKUP(B221,'Profit &amp; Loss'!$B$2:$C$390,2,0)</f>
        <v>#N/A</v>
      </c>
    </row>
    <row r="222" spans="1:6" x14ac:dyDescent="0.2">
      <c r="A222" s="3" t="s">
        <v>219</v>
      </c>
      <c r="B222" s="3" t="s">
        <v>221</v>
      </c>
      <c r="C222" s="4">
        <v>596.78</v>
      </c>
      <c r="D222" s="4">
        <v>596.78</v>
      </c>
      <c r="E222" s="4">
        <v>0</v>
      </c>
      <c r="F222" s="3" t="e">
        <f>VLOOKUP(B222,'Profit &amp; Loss'!$B$2:$C$390,2,0)</f>
        <v>#N/A</v>
      </c>
    </row>
    <row r="223" spans="1:6" x14ac:dyDescent="0.2">
      <c r="A223" s="3" t="s">
        <v>219</v>
      </c>
      <c r="B223" s="3" t="s">
        <v>222</v>
      </c>
      <c r="C223" s="4">
        <v>48847713.219999999</v>
      </c>
      <c r="D223" s="4">
        <v>51925407</v>
      </c>
      <c r="E223" s="4">
        <v>-3077693.78</v>
      </c>
      <c r="F223" s="3" t="e">
        <f>VLOOKUP(B223,'Profit &amp; Loss'!$B$2:$C$390,2,0)</f>
        <v>#N/A</v>
      </c>
    </row>
    <row r="224" spans="1:6" x14ac:dyDescent="0.2">
      <c r="A224" s="3" t="s">
        <v>219</v>
      </c>
      <c r="B224" s="3" t="s">
        <v>2</v>
      </c>
      <c r="C224" s="4">
        <v>48848430.57</v>
      </c>
      <c r="D224" s="4">
        <v>51926124.350000001</v>
      </c>
      <c r="E224" s="4">
        <v>-3077693.78</v>
      </c>
      <c r="F224" s="3" t="e">
        <f>VLOOKUP(B224,'Profit &amp; Loss'!$B$2:$C$390,2,0)</f>
        <v>#N/A</v>
      </c>
    </row>
    <row r="225" spans="1:6" x14ac:dyDescent="0.2">
      <c r="A225" s="3" t="s">
        <v>223</v>
      </c>
      <c r="B225" s="3" t="s">
        <v>2</v>
      </c>
      <c r="C225" s="4">
        <v>48848430.57</v>
      </c>
      <c r="D225" s="4">
        <v>51926124.350000001</v>
      </c>
      <c r="E225" s="4">
        <v>-3077693.78</v>
      </c>
      <c r="F225" s="3" t="e">
        <f>VLOOKUP(B225,'Profit &amp; Loss'!$B$2:$C$390,2,0)</f>
        <v>#N/A</v>
      </c>
    </row>
    <row r="226" spans="1:6" x14ac:dyDescent="0.2">
      <c r="A226" s="3" t="s">
        <v>224</v>
      </c>
      <c r="B226" s="3" t="s">
        <v>2</v>
      </c>
      <c r="C226" s="4">
        <v>42555906.640000001</v>
      </c>
      <c r="D226" s="4">
        <v>45651849.32</v>
      </c>
      <c r="E226" s="4">
        <v>-3095942.68</v>
      </c>
      <c r="F226" s="3" t="e">
        <f>VLOOKUP(B226,'Profit &amp; Loss'!$B$2:$C$390,2,0)</f>
        <v>#N/A</v>
      </c>
    </row>
    <row r="227" spans="1:6" x14ac:dyDescent="0.2">
      <c r="A227" s="3" t="s">
        <v>225</v>
      </c>
      <c r="B227" s="3" t="s">
        <v>226</v>
      </c>
      <c r="C227" s="4">
        <v>-85746371.450000003</v>
      </c>
      <c r="D227" s="4">
        <v>-85746371.450000003</v>
      </c>
      <c r="E227" s="4">
        <v>0</v>
      </c>
      <c r="F227" s="3" t="e">
        <f>VLOOKUP(B227,'Profit &amp; Loss'!$B$2:$C$390,2,0)</f>
        <v>#N/A</v>
      </c>
    </row>
    <row r="228" spans="1:6" x14ac:dyDescent="0.2">
      <c r="A228" s="3" t="s">
        <v>225</v>
      </c>
      <c r="B228" s="3" t="s">
        <v>2</v>
      </c>
      <c r="C228" s="4">
        <v>-85746371.450000003</v>
      </c>
      <c r="D228" s="4">
        <v>-85746371.450000003</v>
      </c>
      <c r="E228" s="4">
        <v>0</v>
      </c>
      <c r="F228" s="3" t="e">
        <f>VLOOKUP(B228,'Profit &amp; Loss'!$B$2:$C$390,2,0)</f>
        <v>#N/A</v>
      </c>
    </row>
    <row r="229" spans="1:6" x14ac:dyDescent="0.2">
      <c r="A229" s="3" t="s">
        <v>227</v>
      </c>
      <c r="B229" s="3" t="s">
        <v>2</v>
      </c>
      <c r="C229" s="4">
        <v>-85746371.450000003</v>
      </c>
      <c r="D229" s="4">
        <v>-85746371.450000003</v>
      </c>
      <c r="E229" s="4">
        <v>0</v>
      </c>
      <c r="F229" s="3" t="e">
        <f>VLOOKUP(B229,'Profit &amp; Loss'!$B$2:$C$390,2,0)</f>
        <v>#N/A</v>
      </c>
    </row>
    <row r="230" spans="1:6" x14ac:dyDescent="0.2">
      <c r="A230" s="3" t="s">
        <v>228</v>
      </c>
      <c r="B230" s="3" t="s">
        <v>2</v>
      </c>
      <c r="C230" s="4">
        <v>-85746371.450000003</v>
      </c>
      <c r="D230" s="4">
        <v>-85746371.450000003</v>
      </c>
      <c r="E230" s="4">
        <v>0</v>
      </c>
      <c r="F230" s="3" t="e">
        <f>VLOOKUP(B230,'Profit &amp; Loss'!$B$2:$C$390,2,0)</f>
        <v>#N/A</v>
      </c>
    </row>
    <row r="231" spans="1:6" x14ac:dyDescent="0.2">
      <c r="A231" s="3" t="s">
        <v>229</v>
      </c>
      <c r="B231" s="3" t="s">
        <v>230</v>
      </c>
      <c r="C231" s="4">
        <v>0</v>
      </c>
      <c r="D231" s="4">
        <v>0</v>
      </c>
      <c r="E231" s="4">
        <v>0</v>
      </c>
      <c r="F231" s="3" t="e">
        <f>VLOOKUP(B231,'Profit &amp; Loss'!$B$2:$C$390,2,0)</f>
        <v>#N/A</v>
      </c>
    </row>
    <row r="232" spans="1:6" x14ac:dyDescent="0.2">
      <c r="A232" s="3" t="s">
        <v>229</v>
      </c>
      <c r="B232" s="5" t="s">
        <v>231</v>
      </c>
      <c r="C232" s="4">
        <v>0</v>
      </c>
      <c r="D232" s="4">
        <v>0</v>
      </c>
      <c r="E232" s="4">
        <v>0</v>
      </c>
      <c r="F232" s="3" t="e">
        <f>VLOOKUP(B232,'Profit &amp; Loss'!$B$2:$C$390,2,0)</f>
        <v>#N/A</v>
      </c>
    </row>
    <row r="233" spans="1:6" x14ac:dyDescent="0.2">
      <c r="A233" s="3" t="s">
        <v>232</v>
      </c>
      <c r="B233" s="3" t="s">
        <v>2</v>
      </c>
      <c r="C233" s="4">
        <v>-8508987.4299999997</v>
      </c>
      <c r="D233" s="4">
        <v>-6945447.1299999999</v>
      </c>
      <c r="E233" s="4">
        <v>-1563540.3</v>
      </c>
      <c r="F233" s="3" t="e">
        <f>VLOOKUP(B233,'Profit &amp; Loss'!$B$2:$C$390,2,0)</f>
        <v>#N/A</v>
      </c>
    </row>
    <row r="234" spans="1:6" x14ac:dyDescent="0.2">
      <c r="A234" s="3" t="s">
        <v>229</v>
      </c>
      <c r="B234" s="3" t="s">
        <v>233</v>
      </c>
      <c r="C234" s="4">
        <v>-8508987.4299999997</v>
      </c>
      <c r="D234" s="4">
        <v>-6945447.1299999999</v>
      </c>
      <c r="E234" s="4">
        <v>-1563540.3</v>
      </c>
      <c r="F234" s="3" t="e">
        <f>VLOOKUP(B234,'Profit &amp; Loss'!$B$2:$C$390,2,0)</f>
        <v>#N/A</v>
      </c>
    </row>
    <row r="235" spans="1:6" x14ac:dyDescent="0.2">
      <c r="A235" s="3" t="s">
        <v>229</v>
      </c>
      <c r="B235" s="5" t="s">
        <v>234</v>
      </c>
      <c r="C235" s="4">
        <v>0</v>
      </c>
      <c r="D235" s="4">
        <v>0</v>
      </c>
      <c r="E235" s="4">
        <v>0</v>
      </c>
      <c r="F235" s="3" t="e">
        <f>VLOOKUP(B235,'Profit &amp; Loss'!$B$2:$C$390,2,0)</f>
        <v>#N/A</v>
      </c>
    </row>
    <row r="236" spans="1:6" x14ac:dyDescent="0.2">
      <c r="A236" s="3" t="s">
        <v>115</v>
      </c>
      <c r="B236" s="3" t="s">
        <v>235</v>
      </c>
      <c r="C236" s="4">
        <v>-51699452.240000002</v>
      </c>
      <c r="D236" s="4">
        <v>-47039969.259999998</v>
      </c>
      <c r="E236" s="4">
        <v>-4659482.9800000004</v>
      </c>
      <c r="F236" s="3" t="e">
        <f>VLOOKUP(B236,'Profit &amp; Loss'!$B$2:$C$390,2,0)</f>
        <v>#N/A</v>
      </c>
    </row>
    <row r="237" spans="1:6" x14ac:dyDescent="0.2">
      <c r="A237" s="3" t="s">
        <v>115</v>
      </c>
      <c r="B237" s="5" t="s">
        <v>236</v>
      </c>
      <c r="C237" s="4">
        <v>0</v>
      </c>
      <c r="D237" s="4">
        <v>0</v>
      </c>
      <c r="E237" s="4">
        <v>0</v>
      </c>
      <c r="F237" s="3" t="e">
        <f>VLOOKUP(B237,'Profit &amp; Loss'!$B$2:$C$390,2,0)</f>
        <v>#N/A</v>
      </c>
    </row>
    <row r="238" spans="1:6" x14ac:dyDescent="0.2">
      <c r="A238" s="3" t="s">
        <v>237</v>
      </c>
      <c r="B238" s="3" t="s">
        <v>238</v>
      </c>
      <c r="C238" s="4">
        <v>0</v>
      </c>
      <c r="D238" s="4">
        <v>0</v>
      </c>
      <c r="E238" s="4">
        <v>0</v>
      </c>
      <c r="F238" s="3">
        <f>VLOOKUP(B238,'Profit &amp; Loss'!$B$2:$C$390,2,0)</f>
        <v>0</v>
      </c>
    </row>
    <row r="239" spans="1:6" x14ac:dyDescent="0.2">
      <c r="A239" s="3" t="s">
        <v>237</v>
      </c>
      <c r="B239" s="5" t="s">
        <v>239</v>
      </c>
      <c r="C239" s="4">
        <v>0</v>
      </c>
      <c r="D239" s="4">
        <v>0</v>
      </c>
      <c r="E239" s="4">
        <v>0</v>
      </c>
      <c r="F239" s="3" t="e">
        <f>VLOOKUP(B239,'Profit &amp; Loss'!$B$2:$C$390,2,0)</f>
        <v>#N/A</v>
      </c>
    </row>
    <row r="240" spans="1:6" x14ac:dyDescent="0.2">
      <c r="A240" s="3" t="s">
        <v>240</v>
      </c>
      <c r="B240" s="3" t="s">
        <v>241</v>
      </c>
      <c r="C240" s="4">
        <v>-58033.760000000002</v>
      </c>
      <c r="D240" s="4">
        <v>-58033.760000000002</v>
      </c>
      <c r="E240" s="4">
        <v>0</v>
      </c>
      <c r="F240" s="3">
        <f>VLOOKUP(B240,'Profit &amp; Loss'!$B$2:$C$390,2,0)</f>
        <v>-58033.760000000002</v>
      </c>
    </row>
    <row r="241" spans="1:6" x14ac:dyDescent="0.2">
      <c r="A241" s="3" t="s">
        <v>240</v>
      </c>
      <c r="B241" s="3" t="s">
        <v>824</v>
      </c>
      <c r="C241" s="4">
        <v>3837.96</v>
      </c>
      <c r="D241" s="4">
        <v>3837.96</v>
      </c>
      <c r="E241" s="4">
        <v>0</v>
      </c>
      <c r="F241" s="3">
        <f>VLOOKUP(B241,'Profit &amp; Loss'!$B$2:$C$390,2,0)</f>
        <v>3837.96</v>
      </c>
    </row>
    <row r="242" spans="1:6" x14ac:dyDescent="0.2">
      <c r="A242" s="3" t="s">
        <v>240</v>
      </c>
      <c r="B242" s="3" t="s">
        <v>2</v>
      </c>
      <c r="C242" s="4">
        <v>-54195.8</v>
      </c>
      <c r="D242" s="4">
        <v>-54195.8</v>
      </c>
      <c r="E242" s="4">
        <v>0</v>
      </c>
      <c r="F242" s="3" t="e">
        <f>VLOOKUP(B242,'Profit &amp; Loss'!$B$2:$C$390,2,0)</f>
        <v>#N/A</v>
      </c>
    </row>
    <row r="243" spans="1:6" x14ac:dyDescent="0.2">
      <c r="A243" s="3" t="s">
        <v>244</v>
      </c>
      <c r="B243" s="3" t="s">
        <v>245</v>
      </c>
      <c r="C243" s="4">
        <v>-24902355.489999998</v>
      </c>
      <c r="D243" s="4">
        <v>-19292042.82</v>
      </c>
      <c r="E243" s="4">
        <v>-5610312.6699999999</v>
      </c>
      <c r="F243" s="3">
        <f>VLOOKUP(B243,'Profit &amp; Loss'!$B$2:$C$390,2,0)</f>
        <v>-4673022.7699999996</v>
      </c>
    </row>
    <row r="244" spans="1:6" x14ac:dyDescent="0.2">
      <c r="A244" s="3" t="s">
        <v>244</v>
      </c>
      <c r="B244" s="3" t="s">
        <v>536</v>
      </c>
      <c r="C244" s="4">
        <v>-120117.74</v>
      </c>
      <c r="D244" s="4">
        <v>-54157.57</v>
      </c>
      <c r="E244" s="4">
        <v>-65960.17</v>
      </c>
      <c r="F244" s="3">
        <f>VLOOKUP(B244,'Profit &amp; Loss'!$B$2:$C$390,2,0)</f>
        <v>-9457.2900000000009</v>
      </c>
    </row>
    <row r="245" spans="1:6" x14ac:dyDescent="0.2">
      <c r="A245" s="3" t="s">
        <v>244</v>
      </c>
      <c r="B245" s="3" t="s">
        <v>537</v>
      </c>
      <c r="C245" s="4">
        <v>24059.03</v>
      </c>
      <c r="D245" s="4">
        <v>471.93</v>
      </c>
      <c r="E245" s="4">
        <v>23587.1</v>
      </c>
      <c r="F245" s="3">
        <f>VLOOKUP(B245,'Profit &amp; Loss'!$B$2:$C$390,2,0)</f>
        <v>0.01</v>
      </c>
    </row>
    <row r="246" spans="1:6" x14ac:dyDescent="0.2">
      <c r="A246" s="3" t="s">
        <v>244</v>
      </c>
      <c r="B246" s="3" t="s">
        <v>246</v>
      </c>
      <c r="C246" s="4">
        <v>-577569.99</v>
      </c>
      <c r="D246" s="4">
        <v>-464653.49</v>
      </c>
      <c r="E246" s="4">
        <v>-112916.5</v>
      </c>
      <c r="F246" s="3">
        <f>VLOOKUP(B246,'Profit &amp; Loss'!$B$2:$C$390,2,0)</f>
        <v>-49623.57</v>
      </c>
    </row>
    <row r="247" spans="1:6" x14ac:dyDescent="0.2">
      <c r="A247" s="3" t="s">
        <v>244</v>
      </c>
      <c r="B247" s="3" t="s">
        <v>247</v>
      </c>
      <c r="C247" s="4">
        <v>-138.57</v>
      </c>
      <c r="D247" s="4">
        <v>-111.79</v>
      </c>
      <c r="E247" s="4">
        <v>-26.78</v>
      </c>
      <c r="F247" s="3">
        <f>VLOOKUP(B247,'Profit &amp; Loss'!$B$2:$C$390,2,0)</f>
        <v>-27.12</v>
      </c>
    </row>
    <row r="248" spans="1:6" x14ac:dyDescent="0.2">
      <c r="A248" s="3" t="s">
        <v>244</v>
      </c>
      <c r="B248" s="3" t="s">
        <v>949</v>
      </c>
      <c r="C248" s="4">
        <v>-149983.57999999999</v>
      </c>
      <c r="D248" s="4">
        <v>-149983.57999999999</v>
      </c>
      <c r="E248" s="4">
        <v>0</v>
      </c>
      <c r="F248" s="3">
        <f>VLOOKUP(B248,'Profit &amp; Loss'!$B$2:$C$390,2,0)</f>
        <v>-133950.59</v>
      </c>
    </row>
    <row r="249" spans="1:6" x14ac:dyDescent="0.2">
      <c r="A249" s="3" t="s">
        <v>244</v>
      </c>
      <c r="B249" s="3" t="s">
        <v>248</v>
      </c>
      <c r="C249" s="4">
        <v>-307133.55</v>
      </c>
      <c r="D249" s="4">
        <v>-279006.68</v>
      </c>
      <c r="E249" s="4">
        <v>-28126.87</v>
      </c>
      <c r="F249" s="3">
        <f>VLOOKUP(B249,'Profit &amp; Loss'!$B$2:$C$390,2,0)</f>
        <v>0</v>
      </c>
    </row>
    <row r="250" spans="1:6" x14ac:dyDescent="0.2">
      <c r="A250" s="3" t="s">
        <v>244</v>
      </c>
      <c r="B250" s="3" t="s">
        <v>249</v>
      </c>
      <c r="C250" s="4">
        <v>-224149.19</v>
      </c>
      <c r="D250" s="4">
        <v>-146097.82999999999</v>
      </c>
      <c r="E250" s="4">
        <v>-78051.360000000001</v>
      </c>
      <c r="F250" s="3">
        <f>VLOOKUP(B250,'Profit &amp; Loss'!$B$2:$C$390,2,0)</f>
        <v>0</v>
      </c>
    </row>
    <row r="251" spans="1:6" x14ac:dyDescent="0.2">
      <c r="A251" s="3" t="s">
        <v>244</v>
      </c>
      <c r="B251" s="3" t="s">
        <v>250</v>
      </c>
      <c r="C251" s="4">
        <v>-9665.61</v>
      </c>
      <c r="D251" s="4">
        <v>-2131.5500000000002</v>
      </c>
      <c r="E251" s="4">
        <v>-7534.06</v>
      </c>
      <c r="F251" s="3">
        <f>VLOOKUP(B251,'Profit &amp; Loss'!$B$2:$C$390,2,0)</f>
        <v>-1606.18</v>
      </c>
    </row>
    <row r="252" spans="1:6" x14ac:dyDescent="0.2">
      <c r="A252" s="3" t="s">
        <v>244</v>
      </c>
      <c r="B252" s="3" t="s">
        <v>251</v>
      </c>
      <c r="C252" s="4">
        <v>67372.98</v>
      </c>
      <c r="D252" s="4">
        <v>47449.16</v>
      </c>
      <c r="E252" s="4">
        <v>19923.82</v>
      </c>
      <c r="F252" s="3">
        <f>VLOOKUP(B252,'Profit &amp; Loss'!$B$2:$C$390,2,0)</f>
        <v>12361.59</v>
      </c>
    </row>
    <row r="253" spans="1:6" x14ac:dyDescent="0.2">
      <c r="A253" s="3" t="s">
        <v>244</v>
      </c>
      <c r="B253" s="3" t="s">
        <v>252</v>
      </c>
      <c r="C253" s="4">
        <v>-18423.14</v>
      </c>
      <c r="D253" s="4">
        <v>-16139.73</v>
      </c>
      <c r="E253" s="4">
        <v>-2283.41</v>
      </c>
      <c r="F253" s="3">
        <f>VLOOKUP(B253,'Profit &amp; Loss'!$B$2:$C$390,2,0)</f>
        <v>0</v>
      </c>
    </row>
    <row r="254" spans="1:6" x14ac:dyDescent="0.2">
      <c r="A254" s="3" t="s">
        <v>244</v>
      </c>
      <c r="B254" s="3" t="s">
        <v>2</v>
      </c>
      <c r="C254" s="4">
        <v>-26218104.850000001</v>
      </c>
      <c r="D254" s="4">
        <v>-20356403.949999999</v>
      </c>
      <c r="E254" s="4">
        <v>-5861700.9000000004</v>
      </c>
      <c r="F254" s="3" t="e">
        <f>VLOOKUP(B254,'Profit &amp; Loss'!$B$2:$C$390,2,0)</f>
        <v>#N/A</v>
      </c>
    </row>
    <row r="255" spans="1:6" x14ac:dyDescent="0.2">
      <c r="A255" s="3" t="s">
        <v>253</v>
      </c>
      <c r="B255" s="3" t="s">
        <v>254</v>
      </c>
      <c r="C255" s="4">
        <v>226463.81</v>
      </c>
      <c r="D255" s="4">
        <v>178280.13</v>
      </c>
      <c r="E255" s="4">
        <v>48183.68</v>
      </c>
      <c r="F255" s="3">
        <f>VLOOKUP(B255,'Profit &amp; Loss'!$B$2:$C$390,2,0)</f>
        <v>31846.94</v>
      </c>
    </row>
    <row r="256" spans="1:6" x14ac:dyDescent="0.2">
      <c r="A256" s="3" t="s">
        <v>253</v>
      </c>
      <c r="B256" s="3" t="s">
        <v>255</v>
      </c>
      <c r="C256" s="4">
        <v>-141221.35999999999</v>
      </c>
      <c r="D256" s="4">
        <v>-119471.85</v>
      </c>
      <c r="E256" s="4">
        <v>-21749.51</v>
      </c>
      <c r="F256" s="3">
        <f>VLOOKUP(B256,'Profit &amp; Loss'!$B$2:$C$390,2,0)</f>
        <v>-31894.21</v>
      </c>
    </row>
    <row r="257" spans="1:6" x14ac:dyDescent="0.2">
      <c r="A257" s="3" t="s">
        <v>253</v>
      </c>
      <c r="B257" s="3" t="s">
        <v>256</v>
      </c>
      <c r="C257" s="4">
        <v>-76192.08</v>
      </c>
      <c r="D257" s="4">
        <v>-61853.760000000002</v>
      </c>
      <c r="E257" s="4">
        <v>-14338.32</v>
      </c>
      <c r="F257" s="3">
        <f>VLOOKUP(B257,'Profit &amp; Loss'!$B$2:$C$390,2,0)</f>
        <v>-17785.87</v>
      </c>
    </row>
    <row r="258" spans="1:6" x14ac:dyDescent="0.2">
      <c r="A258" s="3" t="s">
        <v>253</v>
      </c>
      <c r="B258" s="3" t="s">
        <v>257</v>
      </c>
      <c r="C258" s="4">
        <v>-1479379.39</v>
      </c>
      <c r="D258" s="4">
        <v>-1137130.95</v>
      </c>
      <c r="E258" s="4">
        <v>-342248.44</v>
      </c>
      <c r="F258" s="3">
        <f>VLOOKUP(B258,'Profit &amp; Loss'!$B$2:$C$390,2,0)</f>
        <v>-222549.26</v>
      </c>
    </row>
    <row r="259" spans="1:6" x14ac:dyDescent="0.2">
      <c r="A259" s="3" t="s">
        <v>253</v>
      </c>
      <c r="B259" s="3" t="s">
        <v>258</v>
      </c>
      <c r="C259" s="4">
        <v>22182.09</v>
      </c>
      <c r="D259" s="4">
        <v>21064.27</v>
      </c>
      <c r="E259" s="4">
        <v>1117.82</v>
      </c>
      <c r="F259" s="3">
        <f>VLOOKUP(B259,'Profit &amp; Loss'!$B$2:$C$390,2,0)</f>
        <v>4.93</v>
      </c>
    </row>
    <row r="260" spans="1:6" x14ac:dyDescent="0.2">
      <c r="A260" s="3" t="s">
        <v>253</v>
      </c>
      <c r="B260" s="3" t="s">
        <v>259</v>
      </c>
      <c r="C260" s="4">
        <v>-251.57</v>
      </c>
      <c r="D260" s="4">
        <v>-251.57</v>
      </c>
      <c r="E260" s="4">
        <v>0</v>
      </c>
      <c r="F260" s="3">
        <f>VLOOKUP(B260,'Profit &amp; Loss'!$B$2:$C$390,2,0)</f>
        <v>0</v>
      </c>
    </row>
    <row r="261" spans="1:6" x14ac:dyDescent="0.2">
      <c r="A261" s="3" t="s">
        <v>253</v>
      </c>
      <c r="B261" s="3" t="s">
        <v>1227</v>
      </c>
      <c r="C261" s="4">
        <v>-142.18</v>
      </c>
      <c r="D261" s="4">
        <v>-142.18</v>
      </c>
      <c r="E261" s="4">
        <v>0</v>
      </c>
      <c r="F261" s="3">
        <f>VLOOKUP(B261,'Profit &amp; Loss'!$B$2:$C$390,2,0)</f>
        <v>0</v>
      </c>
    </row>
    <row r="262" spans="1:6" x14ac:dyDescent="0.2">
      <c r="A262" s="3" t="s">
        <v>253</v>
      </c>
      <c r="B262" s="3" t="s">
        <v>989</v>
      </c>
      <c r="C262" s="4">
        <v>5.01</v>
      </c>
      <c r="D262" s="4">
        <v>5.01</v>
      </c>
      <c r="E262" s="4">
        <v>0</v>
      </c>
      <c r="F262" s="3">
        <f>VLOOKUP(B262,'Profit &amp; Loss'!$B$2:$C$390,2,0)</f>
        <v>5.01</v>
      </c>
    </row>
    <row r="263" spans="1:6" x14ac:dyDescent="0.2">
      <c r="A263" s="3" t="s">
        <v>253</v>
      </c>
      <c r="B263" s="3" t="s">
        <v>2</v>
      </c>
      <c r="C263" s="4">
        <v>-1448535.67</v>
      </c>
      <c r="D263" s="4">
        <v>-1119500.8999999999</v>
      </c>
      <c r="E263" s="4">
        <v>-329034.77</v>
      </c>
      <c r="F263" s="3" t="e">
        <f>VLOOKUP(B263,'Profit &amp; Loss'!$B$2:$C$390,2,0)</f>
        <v>#N/A</v>
      </c>
    </row>
    <row r="264" spans="1:6" x14ac:dyDescent="0.2">
      <c r="A264" s="3" t="s">
        <v>260</v>
      </c>
      <c r="B264" s="3" t="s">
        <v>261</v>
      </c>
      <c r="C264" s="4">
        <v>-2899108.17</v>
      </c>
      <c r="D264" s="4">
        <v>-2276431.6800000002</v>
      </c>
      <c r="E264" s="4">
        <v>-622676.49</v>
      </c>
      <c r="F264" s="3">
        <f>VLOOKUP(B264,'Profit &amp; Loss'!$B$2:$C$390,2,0)</f>
        <v>-646517.02</v>
      </c>
    </row>
    <row r="265" spans="1:6" x14ac:dyDescent="0.2">
      <c r="A265" s="3" t="s">
        <v>260</v>
      </c>
      <c r="B265" s="3" t="s">
        <v>2</v>
      </c>
      <c r="C265" s="4">
        <v>-2899108.17</v>
      </c>
      <c r="D265" s="4">
        <v>-2276431.6800000002</v>
      </c>
      <c r="E265" s="4">
        <v>-622676.49</v>
      </c>
      <c r="F265" s="3" t="e">
        <f>VLOOKUP(B265,'Profit &amp; Loss'!$B$2:$C$390,2,0)</f>
        <v>#N/A</v>
      </c>
    </row>
    <row r="266" spans="1:6" x14ac:dyDescent="0.2">
      <c r="A266" s="3" t="s">
        <v>263</v>
      </c>
      <c r="B266" s="3" t="s">
        <v>264</v>
      </c>
      <c r="C266" s="4">
        <v>-379483.04</v>
      </c>
      <c r="D266" s="4">
        <v>-354357.92</v>
      </c>
      <c r="E266" s="4">
        <v>-25125.119999999999</v>
      </c>
      <c r="F266" s="3">
        <f>VLOOKUP(B266,'Profit &amp; Loss'!$B$2:$C$390,2,0)</f>
        <v>-52009.78</v>
      </c>
    </row>
    <row r="267" spans="1:6" x14ac:dyDescent="0.2">
      <c r="A267" s="3" t="s">
        <v>263</v>
      </c>
      <c r="B267" s="3" t="s">
        <v>2</v>
      </c>
      <c r="C267" s="4">
        <v>-379483.04</v>
      </c>
      <c r="D267" s="4">
        <v>-354357.92</v>
      </c>
      <c r="E267" s="4">
        <v>-25125.119999999999</v>
      </c>
      <c r="F267" s="3" t="e">
        <f>VLOOKUP(B267,'Profit &amp; Loss'!$B$2:$C$390,2,0)</f>
        <v>#N/A</v>
      </c>
    </row>
    <row r="268" spans="1:6" x14ac:dyDescent="0.2">
      <c r="A268" s="3" t="s">
        <v>265</v>
      </c>
      <c r="B268" s="3" t="s">
        <v>2</v>
      </c>
      <c r="C268" s="4">
        <v>-30999427.530000001</v>
      </c>
      <c r="D268" s="4">
        <v>-24160890.25</v>
      </c>
      <c r="E268" s="4">
        <v>-6838537.2800000003</v>
      </c>
      <c r="F268" s="3" t="e">
        <f>VLOOKUP(B268,'Profit &amp; Loss'!$B$2:$C$390,2,0)</f>
        <v>#N/A</v>
      </c>
    </row>
    <row r="269" spans="1:6" x14ac:dyDescent="0.2">
      <c r="A269" s="3" t="s">
        <v>266</v>
      </c>
      <c r="B269" s="3" t="s">
        <v>267</v>
      </c>
      <c r="C269" s="4">
        <v>36345.19</v>
      </c>
      <c r="D269" s="4">
        <v>35994.629999999997</v>
      </c>
      <c r="E269" s="4">
        <v>350.56</v>
      </c>
      <c r="F269" s="3">
        <f>VLOOKUP(B269,'Profit &amp; Loss'!$B$2:$C$390,2,0)</f>
        <v>35994.629999999997</v>
      </c>
    </row>
    <row r="270" spans="1:6" x14ac:dyDescent="0.2">
      <c r="A270" s="3" t="s">
        <v>266</v>
      </c>
      <c r="B270" s="3" t="s">
        <v>542</v>
      </c>
      <c r="C270" s="4">
        <v>70.900000000000006</v>
      </c>
      <c r="D270" s="4">
        <v>70.900000000000006</v>
      </c>
      <c r="E270" s="4">
        <v>0</v>
      </c>
      <c r="F270" s="3">
        <f>VLOOKUP(B270,'Profit &amp; Loss'!$B$2:$C$390,2,0)</f>
        <v>0</v>
      </c>
    </row>
    <row r="271" spans="1:6" x14ac:dyDescent="0.2">
      <c r="A271" s="3" t="s">
        <v>266</v>
      </c>
      <c r="B271" s="3" t="s">
        <v>270</v>
      </c>
      <c r="C271" s="4">
        <v>1700</v>
      </c>
      <c r="D271" s="4">
        <v>1700</v>
      </c>
      <c r="E271" s="4">
        <v>0</v>
      </c>
      <c r="F271" s="3">
        <f>VLOOKUP(B271,'Profit &amp; Loss'!$B$2:$C$390,2,0)</f>
        <v>1700</v>
      </c>
    </row>
    <row r="272" spans="1:6" x14ac:dyDescent="0.2">
      <c r="A272" s="3" t="s">
        <v>266</v>
      </c>
      <c r="B272" s="3" t="s">
        <v>271</v>
      </c>
      <c r="C272" s="4">
        <v>1259.51</v>
      </c>
      <c r="D272" s="4">
        <v>1259.51</v>
      </c>
      <c r="E272" s="4">
        <v>0</v>
      </c>
      <c r="F272" s="3">
        <f>VLOOKUP(B272,'Profit &amp; Loss'!$B$2:$C$390,2,0)</f>
        <v>687.98</v>
      </c>
    </row>
    <row r="273" spans="1:6" x14ac:dyDescent="0.2">
      <c r="A273" s="3" t="s">
        <v>266</v>
      </c>
      <c r="B273" s="3" t="s">
        <v>272</v>
      </c>
      <c r="C273" s="4">
        <v>3744.15</v>
      </c>
      <c r="D273" s="4">
        <v>3744.15</v>
      </c>
      <c r="E273" s="4">
        <v>0</v>
      </c>
      <c r="F273" s="3">
        <f>VLOOKUP(B273,'Profit &amp; Loss'!$B$2:$C$390,2,0)</f>
        <v>3744.15</v>
      </c>
    </row>
    <row r="274" spans="1:6" x14ac:dyDescent="0.2">
      <c r="A274" s="3" t="s">
        <v>266</v>
      </c>
      <c r="B274" s="3" t="s">
        <v>273</v>
      </c>
      <c r="C274" s="4">
        <v>160.72</v>
      </c>
      <c r="D274" s="4">
        <v>107.78</v>
      </c>
      <c r="E274" s="4">
        <v>52.94</v>
      </c>
      <c r="F274" s="3">
        <f>VLOOKUP(B274,'Profit &amp; Loss'!$B$2:$C$390,2,0)</f>
        <v>0</v>
      </c>
    </row>
    <row r="275" spans="1:6" x14ac:dyDescent="0.2">
      <c r="A275" s="3" t="s">
        <v>266</v>
      </c>
      <c r="B275" s="3" t="s">
        <v>274</v>
      </c>
      <c r="C275" s="4">
        <v>54.02</v>
      </c>
      <c r="D275" s="4">
        <v>54.02</v>
      </c>
      <c r="E275" s="4">
        <v>0</v>
      </c>
      <c r="F275" s="3">
        <f>VLOOKUP(B275,'Profit &amp; Loss'!$B$2:$C$390,2,0)</f>
        <v>54.02</v>
      </c>
    </row>
    <row r="276" spans="1:6" x14ac:dyDescent="0.2">
      <c r="A276" s="3" t="s">
        <v>266</v>
      </c>
      <c r="B276" s="3" t="s">
        <v>641</v>
      </c>
      <c r="C276" s="4">
        <v>706.62</v>
      </c>
      <c r="D276" s="4">
        <v>706.62</v>
      </c>
      <c r="E276" s="4">
        <v>0</v>
      </c>
      <c r="F276" s="3">
        <f>VLOOKUP(B276,'Profit &amp; Loss'!$B$2:$C$390,2,0)</f>
        <v>0</v>
      </c>
    </row>
    <row r="277" spans="1:6" x14ac:dyDescent="0.2">
      <c r="A277" s="3" t="s">
        <v>266</v>
      </c>
      <c r="B277" s="3" t="s">
        <v>275</v>
      </c>
      <c r="C277" s="4">
        <v>-1089.48</v>
      </c>
      <c r="D277" s="4">
        <v>-1093.8699999999999</v>
      </c>
      <c r="E277" s="4">
        <v>4.3899999999999997</v>
      </c>
      <c r="F277" s="3">
        <f>VLOOKUP(B277,'Profit &amp; Loss'!$B$2:$C$390,2,0)</f>
        <v>270.11</v>
      </c>
    </row>
    <row r="278" spans="1:6" x14ac:dyDescent="0.2">
      <c r="A278" s="3" t="s">
        <v>266</v>
      </c>
      <c r="B278" s="3" t="s">
        <v>276</v>
      </c>
      <c r="C278" s="4">
        <v>1857.54</v>
      </c>
      <c r="D278" s="4">
        <v>1857.54</v>
      </c>
      <c r="E278" s="4">
        <v>0</v>
      </c>
      <c r="F278" s="3">
        <f>VLOOKUP(B278,'Profit &amp; Loss'!$B$2:$C$390,2,0)</f>
        <v>1027.45</v>
      </c>
    </row>
    <row r="279" spans="1:6" x14ac:dyDescent="0.2">
      <c r="A279" s="3" t="s">
        <v>266</v>
      </c>
      <c r="B279" s="3" t="s">
        <v>279</v>
      </c>
      <c r="C279" s="4">
        <v>-1344.92</v>
      </c>
      <c r="D279" s="4">
        <v>-994.36</v>
      </c>
      <c r="E279" s="4">
        <v>-350.56</v>
      </c>
      <c r="F279" s="3">
        <f>VLOOKUP(B279,'Profit &amp; Loss'!$B$2:$C$390,2,0)</f>
        <v>611.70000000000005</v>
      </c>
    </row>
    <row r="280" spans="1:6" x14ac:dyDescent="0.2">
      <c r="A280" s="3" t="s">
        <v>266</v>
      </c>
      <c r="B280" s="3" t="s">
        <v>280</v>
      </c>
      <c r="C280" s="4">
        <v>-1974.34</v>
      </c>
      <c r="D280" s="4">
        <v>-1974.34</v>
      </c>
      <c r="E280" s="4">
        <v>0</v>
      </c>
      <c r="F280" s="3">
        <f>VLOOKUP(B280,'Profit &amp; Loss'!$B$2:$C$390,2,0)</f>
        <v>0</v>
      </c>
    </row>
    <row r="281" spans="1:6" x14ac:dyDescent="0.2">
      <c r="A281" s="3" t="s">
        <v>266</v>
      </c>
      <c r="B281" s="3" t="s">
        <v>281</v>
      </c>
      <c r="C281" s="4">
        <v>-1251.47</v>
      </c>
      <c r="D281" s="4">
        <v>-1251.47</v>
      </c>
      <c r="E281" s="4">
        <v>0</v>
      </c>
      <c r="F281" s="3">
        <f>VLOOKUP(B281,'Profit &amp; Loss'!$B$2:$C$390,2,0)</f>
        <v>-195.89</v>
      </c>
    </row>
    <row r="282" spans="1:6" x14ac:dyDescent="0.2">
      <c r="A282" s="3" t="s">
        <v>266</v>
      </c>
      <c r="B282" s="3" t="s">
        <v>282</v>
      </c>
      <c r="C282" s="4">
        <v>-60.88</v>
      </c>
      <c r="D282" s="4">
        <v>-60.88</v>
      </c>
      <c r="E282" s="4">
        <v>0</v>
      </c>
      <c r="F282" s="3">
        <f>VLOOKUP(B282,'Profit &amp; Loss'!$B$2:$C$390,2,0)</f>
        <v>0</v>
      </c>
    </row>
    <row r="283" spans="1:6" x14ac:dyDescent="0.2">
      <c r="A283" s="3" t="s">
        <v>266</v>
      </c>
      <c r="B283" s="3" t="s">
        <v>829</v>
      </c>
      <c r="C283" s="4">
        <v>-476.2</v>
      </c>
      <c r="D283" s="4">
        <v>-423.26</v>
      </c>
      <c r="E283" s="4">
        <v>-52.94</v>
      </c>
      <c r="F283" s="3">
        <f>VLOOKUP(B283,'Profit &amp; Loss'!$B$2:$C$390,2,0)</f>
        <v>199.48</v>
      </c>
    </row>
    <row r="284" spans="1:6" x14ac:dyDescent="0.2">
      <c r="A284" s="3" t="s">
        <v>266</v>
      </c>
      <c r="B284" s="3" t="s">
        <v>283</v>
      </c>
      <c r="C284" s="4">
        <v>-1955.09</v>
      </c>
      <c r="D284" s="4">
        <v>-1955.09</v>
      </c>
      <c r="E284" s="4">
        <v>0</v>
      </c>
      <c r="F284" s="3">
        <f>VLOOKUP(B284,'Profit &amp; Loss'!$B$2:$C$390,2,0)</f>
        <v>1000</v>
      </c>
    </row>
    <row r="285" spans="1:6" x14ac:dyDescent="0.2">
      <c r="A285" s="3" t="s">
        <v>266</v>
      </c>
      <c r="B285" s="3" t="s">
        <v>284</v>
      </c>
      <c r="C285" s="4">
        <v>-455.7</v>
      </c>
      <c r="D285" s="4">
        <v>-455.7</v>
      </c>
      <c r="E285" s="4">
        <v>0</v>
      </c>
      <c r="F285" s="3">
        <f>VLOOKUP(B285,'Profit &amp; Loss'!$B$2:$C$390,2,0)</f>
        <v>536.67999999999995</v>
      </c>
    </row>
    <row r="286" spans="1:6" x14ac:dyDescent="0.2">
      <c r="A286" s="3" t="s">
        <v>266</v>
      </c>
      <c r="B286" s="3" t="s">
        <v>285</v>
      </c>
      <c r="C286" s="4">
        <v>-400</v>
      </c>
      <c r="D286" s="4">
        <v>-400</v>
      </c>
      <c r="E286" s="4">
        <v>0</v>
      </c>
      <c r="F286" s="3">
        <f>VLOOKUP(B286,'Profit &amp; Loss'!$B$2:$C$390,2,0)</f>
        <v>200</v>
      </c>
    </row>
    <row r="287" spans="1:6" x14ac:dyDescent="0.2">
      <c r="A287" s="3" t="s">
        <v>266</v>
      </c>
      <c r="B287" s="3" t="s">
        <v>2</v>
      </c>
      <c r="C287" s="4">
        <v>36890.57</v>
      </c>
      <c r="D287" s="4">
        <v>36886.18</v>
      </c>
      <c r="E287" s="4">
        <v>4.3899999999999997</v>
      </c>
      <c r="F287" s="3" t="e">
        <f>VLOOKUP(B287,'Profit &amp; Loss'!$B$2:$C$390,2,0)</f>
        <v>#N/A</v>
      </c>
    </row>
    <row r="288" spans="1:6" x14ac:dyDescent="0.2">
      <c r="A288" s="3" t="s">
        <v>286</v>
      </c>
      <c r="B288" s="3" t="s">
        <v>287</v>
      </c>
      <c r="C288" s="4">
        <v>16870166.140000001</v>
      </c>
      <c r="D288" s="4">
        <v>13066547.380000001</v>
      </c>
      <c r="E288" s="4">
        <v>3803618.76</v>
      </c>
      <c r="F288" s="3">
        <f>VLOOKUP(B288,'Profit &amp; Loss'!$B$2:$C$390,2,0)</f>
        <v>3184835.62</v>
      </c>
    </row>
    <row r="289" spans="1:6" x14ac:dyDescent="0.2">
      <c r="A289" s="3" t="s">
        <v>286</v>
      </c>
      <c r="B289" s="3" t="s">
        <v>548</v>
      </c>
      <c r="C289" s="4">
        <v>58182.54</v>
      </c>
      <c r="D289" s="4">
        <v>29156.98</v>
      </c>
      <c r="E289" s="4">
        <v>29025.56</v>
      </c>
      <c r="F289" s="3">
        <f>VLOOKUP(B289,'Profit &amp; Loss'!$B$2:$C$390,2,0)</f>
        <v>7169.99</v>
      </c>
    </row>
    <row r="290" spans="1:6" x14ac:dyDescent="0.2">
      <c r="A290" s="3" t="s">
        <v>286</v>
      </c>
      <c r="B290" s="3" t="s">
        <v>288</v>
      </c>
      <c r="C290" s="4">
        <v>435303.65</v>
      </c>
      <c r="D290" s="4">
        <v>355314.38</v>
      </c>
      <c r="E290" s="4">
        <v>79989.27</v>
      </c>
      <c r="F290" s="3">
        <f>VLOOKUP(B290,'Profit &amp; Loss'!$B$2:$C$390,2,0)</f>
        <v>28211.14</v>
      </c>
    </row>
    <row r="291" spans="1:6" x14ac:dyDescent="0.2">
      <c r="A291" s="3" t="s">
        <v>286</v>
      </c>
      <c r="B291" s="3" t="s">
        <v>289</v>
      </c>
      <c r="C291" s="4">
        <v>92.43</v>
      </c>
      <c r="D291" s="4">
        <v>74.48</v>
      </c>
      <c r="E291" s="4">
        <v>17.95</v>
      </c>
      <c r="F291" s="3">
        <f>VLOOKUP(B291,'Profit &amp; Loss'!$B$2:$C$390,2,0)</f>
        <v>18.079999999999998</v>
      </c>
    </row>
    <row r="292" spans="1:6" x14ac:dyDescent="0.2">
      <c r="A292" s="3" t="s">
        <v>286</v>
      </c>
      <c r="B292" s="3" t="s">
        <v>952</v>
      </c>
      <c r="C292" s="4">
        <v>9771.2099999999991</v>
      </c>
      <c r="D292" s="4">
        <v>9771.2099999999991</v>
      </c>
      <c r="E292" s="4">
        <v>0</v>
      </c>
      <c r="F292" s="3">
        <f>VLOOKUP(B292,'Profit &amp; Loss'!$B$2:$C$390,2,0)</f>
        <v>8746</v>
      </c>
    </row>
    <row r="293" spans="1:6" x14ac:dyDescent="0.2">
      <c r="A293" s="3" t="s">
        <v>286</v>
      </c>
      <c r="B293" s="3" t="s">
        <v>290</v>
      </c>
      <c r="C293" s="4">
        <v>-162707.09</v>
      </c>
      <c r="D293" s="4">
        <v>-92058.55</v>
      </c>
      <c r="E293" s="4">
        <v>-70648.539999999994</v>
      </c>
      <c r="F293" s="3">
        <f>VLOOKUP(B293,'Profit &amp; Loss'!$B$2:$C$390,2,0)</f>
        <v>-21923.22</v>
      </c>
    </row>
    <row r="294" spans="1:6" x14ac:dyDescent="0.2">
      <c r="A294" s="3" t="s">
        <v>286</v>
      </c>
      <c r="B294" s="3" t="s">
        <v>291</v>
      </c>
      <c r="C294" s="4">
        <v>-387063.91</v>
      </c>
      <c r="D294" s="4">
        <v>-253655.05</v>
      </c>
      <c r="E294" s="4">
        <v>-133408.85999999999</v>
      </c>
      <c r="F294" s="3">
        <f>VLOOKUP(B294,'Profit &amp; Loss'!$B$2:$C$390,2,0)</f>
        <v>-107667</v>
      </c>
    </row>
    <row r="295" spans="1:6" x14ac:dyDescent="0.2">
      <c r="A295" s="3" t="s">
        <v>286</v>
      </c>
      <c r="B295" s="3" t="s">
        <v>292</v>
      </c>
      <c r="C295" s="4">
        <v>184885.26</v>
      </c>
      <c r="D295" s="4">
        <v>163589.29</v>
      </c>
      <c r="E295" s="4">
        <v>21295.97</v>
      </c>
      <c r="F295" s="3">
        <f>VLOOKUP(B295,'Profit &amp; Loss'!$B$2:$C$390,2,0)</f>
        <v>0</v>
      </c>
    </row>
    <row r="296" spans="1:6" x14ac:dyDescent="0.2">
      <c r="A296" s="3" t="s">
        <v>286</v>
      </c>
      <c r="B296" s="3" t="s">
        <v>293</v>
      </c>
      <c r="C296" s="4">
        <v>189600.03</v>
      </c>
      <c r="D296" s="4">
        <v>168433.87</v>
      </c>
      <c r="E296" s="4">
        <v>21166.16</v>
      </c>
      <c r="F296" s="3">
        <f>VLOOKUP(B296,'Profit &amp; Loss'!$B$2:$C$390,2,0)</f>
        <v>0</v>
      </c>
    </row>
    <row r="297" spans="1:6" x14ac:dyDescent="0.2">
      <c r="A297" s="3" t="s">
        <v>286</v>
      </c>
      <c r="B297" s="3" t="s">
        <v>294</v>
      </c>
      <c r="C297" s="4">
        <v>1754.61</v>
      </c>
      <c r="D297" s="4">
        <v>1465.22</v>
      </c>
      <c r="E297" s="4">
        <v>289.39</v>
      </c>
      <c r="F297" s="3">
        <f>VLOOKUP(B297,'Profit &amp; Loss'!$B$2:$C$390,2,0)</f>
        <v>0</v>
      </c>
    </row>
    <row r="298" spans="1:6" x14ac:dyDescent="0.2">
      <c r="A298" s="3" t="s">
        <v>286</v>
      </c>
      <c r="B298" s="3" t="s">
        <v>296</v>
      </c>
      <c r="C298" s="4">
        <v>-945.45</v>
      </c>
      <c r="D298" s="4">
        <v>-316.08999999999997</v>
      </c>
      <c r="E298" s="4">
        <v>-629.36</v>
      </c>
      <c r="F298" s="3">
        <f>VLOOKUP(B298,'Profit &amp; Loss'!$B$2:$C$390,2,0)</f>
        <v>-1015.33</v>
      </c>
    </row>
    <row r="299" spans="1:6" x14ac:dyDescent="0.2">
      <c r="A299" s="3" t="s">
        <v>286</v>
      </c>
      <c r="B299" s="3" t="s">
        <v>2</v>
      </c>
      <c r="C299" s="4">
        <v>17199039.420000002</v>
      </c>
      <c r="D299" s="4">
        <v>13448323.119999999</v>
      </c>
      <c r="E299" s="4">
        <v>3750716.3</v>
      </c>
      <c r="F299" s="3" t="e">
        <f>VLOOKUP(B299,'Profit &amp; Loss'!$B$2:$C$390,2,0)</f>
        <v>#N/A</v>
      </c>
    </row>
    <row r="300" spans="1:6" x14ac:dyDescent="0.2">
      <c r="A300" s="3" t="s">
        <v>297</v>
      </c>
      <c r="B300" s="3" t="s">
        <v>298</v>
      </c>
      <c r="C300" s="4">
        <v>129193.03</v>
      </c>
      <c r="D300" s="4">
        <v>109631.51</v>
      </c>
      <c r="E300" s="4">
        <v>19561.52</v>
      </c>
      <c r="F300" s="3">
        <f>VLOOKUP(B300,'Profit &amp; Loss'!$B$2:$C$390,2,0)</f>
        <v>28187.67</v>
      </c>
    </row>
    <row r="301" spans="1:6" x14ac:dyDescent="0.2">
      <c r="A301" s="3" t="s">
        <v>297</v>
      </c>
      <c r="B301" s="3" t="s">
        <v>299</v>
      </c>
      <c r="C301" s="4">
        <v>732998.81</v>
      </c>
      <c r="D301" s="4">
        <v>561336.73</v>
      </c>
      <c r="E301" s="4">
        <v>171662.07999999999</v>
      </c>
      <c r="F301" s="3">
        <f>VLOOKUP(B301,'Profit &amp; Loss'!$B$2:$C$390,2,0)</f>
        <v>111346.46</v>
      </c>
    </row>
    <row r="302" spans="1:6" x14ac:dyDescent="0.2">
      <c r="A302" s="3" t="s">
        <v>297</v>
      </c>
      <c r="B302" s="3" t="s">
        <v>300</v>
      </c>
      <c r="C302" s="4">
        <v>302.95</v>
      </c>
      <c r="D302" s="4">
        <v>302.95</v>
      </c>
      <c r="E302" s="4">
        <v>0</v>
      </c>
      <c r="F302" s="3">
        <f>VLOOKUP(B302,'Profit &amp; Loss'!$B$2:$C$390,2,0)</f>
        <v>0</v>
      </c>
    </row>
    <row r="303" spans="1:6" x14ac:dyDescent="0.2">
      <c r="A303" s="3" t="s">
        <v>297</v>
      </c>
      <c r="B303" s="3" t="s">
        <v>2</v>
      </c>
      <c r="C303" s="4">
        <v>862494.79</v>
      </c>
      <c r="D303" s="4">
        <v>671271.19</v>
      </c>
      <c r="E303" s="4">
        <v>191223.6</v>
      </c>
      <c r="F303" s="3" t="e">
        <f>VLOOKUP(B303,'Profit &amp; Loss'!$B$2:$C$390,2,0)</f>
        <v>#N/A</v>
      </c>
    </row>
    <row r="304" spans="1:6" s="18" customFormat="1" x14ac:dyDescent="0.2">
      <c r="A304" s="18" t="s">
        <v>301</v>
      </c>
      <c r="B304" s="18" t="s">
        <v>1426</v>
      </c>
      <c r="C304" s="19">
        <v>10283.11</v>
      </c>
      <c r="D304" s="19">
        <v>0</v>
      </c>
      <c r="E304" s="19">
        <v>10283.11</v>
      </c>
      <c r="F304" s="18">
        <f>VLOOKUP(B304,'Profit &amp; Loss'!$B$2:$C$390,2,0)</f>
        <v>0</v>
      </c>
    </row>
    <row r="305" spans="1:6" x14ac:dyDescent="0.2">
      <c r="A305" s="3" t="s">
        <v>301</v>
      </c>
      <c r="B305" s="3" t="s">
        <v>302</v>
      </c>
      <c r="C305" s="4">
        <v>35333.9</v>
      </c>
      <c r="D305" s="4">
        <v>26512.78</v>
      </c>
      <c r="E305" s="4">
        <v>8821.1200000000008</v>
      </c>
      <c r="F305" s="3">
        <f>VLOOKUP(B305,'Profit &amp; Loss'!$B$2:$C$390,2,0)</f>
        <v>5793.22</v>
      </c>
    </row>
    <row r="306" spans="1:6" x14ac:dyDescent="0.2">
      <c r="A306" s="3" t="s">
        <v>301</v>
      </c>
      <c r="B306" s="3" t="s">
        <v>647</v>
      </c>
      <c r="C306" s="4">
        <v>8266.08</v>
      </c>
      <c r="D306" s="4">
        <v>8266.08</v>
      </c>
      <c r="E306" s="4">
        <v>0</v>
      </c>
      <c r="F306" s="3">
        <f>VLOOKUP(B306,'Profit &amp; Loss'!$B$2:$C$390,2,0)</f>
        <v>0</v>
      </c>
    </row>
    <row r="307" spans="1:6" x14ac:dyDescent="0.2">
      <c r="A307" s="3" t="s">
        <v>301</v>
      </c>
      <c r="B307" s="3" t="s">
        <v>303</v>
      </c>
      <c r="C307" s="4">
        <v>49022.92</v>
      </c>
      <c r="D307" s="4">
        <v>26321.24</v>
      </c>
      <c r="E307" s="4">
        <v>22701.68</v>
      </c>
      <c r="F307" s="3">
        <f>VLOOKUP(B307,'Profit &amp; Loss'!$B$2:$C$390,2,0)</f>
        <v>2303.9899999999998</v>
      </c>
    </row>
    <row r="308" spans="1:6" x14ac:dyDescent="0.2">
      <c r="A308" s="3" t="s">
        <v>301</v>
      </c>
      <c r="B308" s="3" t="s">
        <v>305</v>
      </c>
      <c r="C308" s="4">
        <v>-8070.03</v>
      </c>
      <c r="D308" s="4">
        <v>1583.11</v>
      </c>
      <c r="E308" s="4">
        <v>-9653.14</v>
      </c>
      <c r="F308" s="3">
        <f>VLOOKUP(B308,'Profit &amp; Loss'!$B$2:$C$390,2,0)</f>
        <v>9337.1200000000008</v>
      </c>
    </row>
    <row r="309" spans="1:6" x14ac:dyDescent="0.2">
      <c r="A309" s="3" t="s">
        <v>301</v>
      </c>
      <c r="B309" s="3" t="s">
        <v>306</v>
      </c>
      <c r="C309" s="4">
        <v>568259.74</v>
      </c>
      <c r="D309" s="4">
        <v>411995.01</v>
      </c>
      <c r="E309" s="4">
        <v>156264.73000000001</v>
      </c>
      <c r="F309" s="3">
        <f>VLOOKUP(B309,'Profit &amp; Loss'!$B$2:$C$390,2,0)</f>
        <v>86638.62</v>
      </c>
    </row>
    <row r="310" spans="1:6" x14ac:dyDescent="0.2">
      <c r="A310" s="3" t="s">
        <v>301</v>
      </c>
      <c r="B310" s="3" t="s">
        <v>838</v>
      </c>
      <c r="C310" s="4">
        <v>-31</v>
      </c>
      <c r="D310" s="4">
        <v>-31</v>
      </c>
      <c r="E310" s="4">
        <v>0</v>
      </c>
      <c r="F310" s="3">
        <f>VLOOKUP(B310,'Profit &amp; Loss'!$B$2:$C$390,2,0)</f>
        <v>0</v>
      </c>
    </row>
    <row r="311" spans="1:6" x14ac:dyDescent="0.2">
      <c r="A311" s="3" t="s">
        <v>301</v>
      </c>
      <c r="B311" s="3" t="s">
        <v>307</v>
      </c>
      <c r="C311" s="4">
        <v>990482.66</v>
      </c>
      <c r="D311" s="4">
        <v>734286.53</v>
      </c>
      <c r="E311" s="4">
        <v>256196.13</v>
      </c>
      <c r="F311" s="3">
        <f>VLOOKUP(B311,'Profit &amp; Loss'!$B$2:$C$390,2,0)</f>
        <v>155566</v>
      </c>
    </row>
    <row r="312" spans="1:6" x14ac:dyDescent="0.2">
      <c r="A312" s="3" t="s">
        <v>301</v>
      </c>
      <c r="B312" s="3" t="s">
        <v>308</v>
      </c>
      <c r="C312" s="4">
        <v>14957.34</v>
      </c>
      <c r="D312" s="4">
        <v>14036.28</v>
      </c>
      <c r="E312" s="4">
        <v>921.06</v>
      </c>
      <c r="F312" s="3">
        <f>VLOOKUP(B312,'Profit &amp; Loss'!$B$2:$C$390,2,0)</f>
        <v>5356.12</v>
      </c>
    </row>
    <row r="313" spans="1:6" x14ac:dyDescent="0.2">
      <c r="A313" s="3" t="s">
        <v>301</v>
      </c>
      <c r="B313" s="3" t="s">
        <v>2</v>
      </c>
      <c r="C313" s="4">
        <v>1668504.72</v>
      </c>
      <c r="D313" s="4">
        <v>1222970.03</v>
      </c>
      <c r="E313" s="4">
        <v>445534.69</v>
      </c>
      <c r="F313" s="3" t="e">
        <f>VLOOKUP(B313,'Profit &amp; Loss'!$B$2:$C$390,2,0)</f>
        <v>#N/A</v>
      </c>
    </row>
    <row r="314" spans="1:6" x14ac:dyDescent="0.2">
      <c r="A314" s="3" t="s">
        <v>310</v>
      </c>
      <c r="B314" s="3" t="s">
        <v>311</v>
      </c>
      <c r="C314" s="4">
        <v>262717.5</v>
      </c>
      <c r="D314" s="4">
        <v>245449.32</v>
      </c>
      <c r="E314" s="4">
        <v>17268.18</v>
      </c>
      <c r="F314" s="3">
        <f>VLOOKUP(B314,'Profit &amp; Loss'!$B$2:$C$390,2,0)</f>
        <v>32947.410000000003</v>
      </c>
    </row>
    <row r="315" spans="1:6" x14ac:dyDescent="0.2">
      <c r="A315" s="3" t="s">
        <v>310</v>
      </c>
      <c r="B315" s="3" t="s">
        <v>2</v>
      </c>
      <c r="C315" s="4">
        <v>262717.5</v>
      </c>
      <c r="D315" s="4">
        <v>245449.32</v>
      </c>
      <c r="E315" s="4">
        <v>17268.18</v>
      </c>
      <c r="F315" s="3" t="e">
        <f>VLOOKUP(B315,'Profit &amp; Loss'!$B$2:$C$390,2,0)</f>
        <v>#N/A</v>
      </c>
    </row>
    <row r="316" spans="1:6" x14ac:dyDescent="0.2">
      <c r="A316" s="3" t="s">
        <v>312</v>
      </c>
      <c r="B316" s="3" t="s">
        <v>2</v>
      </c>
      <c r="C316" s="4">
        <v>20029647</v>
      </c>
      <c r="D316" s="4">
        <v>15624899.84</v>
      </c>
      <c r="E316" s="4">
        <v>4404747.16</v>
      </c>
      <c r="F316" s="3" t="e">
        <f>VLOOKUP(B316,'Profit &amp; Loss'!$B$2:$C$390,2,0)</f>
        <v>#N/A</v>
      </c>
    </row>
    <row r="317" spans="1:6" x14ac:dyDescent="0.2">
      <c r="A317" s="3" t="s">
        <v>313</v>
      </c>
      <c r="B317" s="3" t="s">
        <v>314</v>
      </c>
      <c r="C317" s="4">
        <v>286199.15999999997</v>
      </c>
      <c r="D317" s="4">
        <v>226357.99</v>
      </c>
      <c r="E317" s="4">
        <v>59841.17</v>
      </c>
      <c r="F317" s="3">
        <f>VLOOKUP(B317,'Profit &amp; Loss'!$B$2:$C$390,2,0)</f>
        <v>47720.12</v>
      </c>
    </row>
    <row r="318" spans="1:6" x14ac:dyDescent="0.2">
      <c r="A318" s="3" t="s">
        <v>313</v>
      </c>
      <c r="B318" s="3" t="s">
        <v>315</v>
      </c>
      <c r="C318" s="4">
        <v>12890.32</v>
      </c>
      <c r="D318" s="4">
        <v>8763.73</v>
      </c>
      <c r="E318" s="4">
        <v>4126.59</v>
      </c>
      <c r="F318" s="3">
        <f>VLOOKUP(B318,'Profit &amp; Loss'!$B$2:$C$390,2,0)</f>
        <v>3030.51</v>
      </c>
    </row>
    <row r="319" spans="1:6" x14ac:dyDescent="0.2">
      <c r="A319" s="3" t="s">
        <v>313</v>
      </c>
      <c r="B319" s="3" t="s">
        <v>558</v>
      </c>
      <c r="C319" s="4">
        <v>51303</v>
      </c>
      <c r="D319" s="4">
        <v>51303</v>
      </c>
      <c r="E319" s="4">
        <v>0</v>
      </c>
      <c r="F319" s="3">
        <f>VLOOKUP(B319,'Profit &amp; Loss'!$B$2:$C$390,2,0)</f>
        <v>0</v>
      </c>
    </row>
    <row r="320" spans="1:6" x14ac:dyDescent="0.2">
      <c r="A320" s="3" t="s">
        <v>313</v>
      </c>
      <c r="B320" s="3" t="s">
        <v>559</v>
      </c>
      <c r="C320" s="4">
        <v>4408.71</v>
      </c>
      <c r="D320" s="4">
        <v>4408.71</v>
      </c>
      <c r="E320" s="4">
        <v>0</v>
      </c>
      <c r="F320" s="3">
        <f>VLOOKUP(B320,'Profit &amp; Loss'!$B$2:$C$390,2,0)</f>
        <v>3030.51</v>
      </c>
    </row>
    <row r="321" spans="1:6" x14ac:dyDescent="0.2">
      <c r="A321" s="3" t="s">
        <v>313</v>
      </c>
      <c r="B321" s="3" t="s">
        <v>316</v>
      </c>
      <c r="C321" s="4">
        <v>66963.740000000005</v>
      </c>
      <c r="D321" s="4">
        <v>51920.43</v>
      </c>
      <c r="E321" s="4">
        <v>15043.31</v>
      </c>
      <c r="F321" s="3">
        <f>VLOOKUP(B321,'Profit &amp; Loss'!$B$2:$C$390,2,0)</f>
        <v>21674.33</v>
      </c>
    </row>
    <row r="322" spans="1:6" x14ac:dyDescent="0.2">
      <c r="A322" s="3" t="s">
        <v>313</v>
      </c>
      <c r="B322" s="3" t="s">
        <v>317</v>
      </c>
      <c r="C322" s="4">
        <v>1107.27</v>
      </c>
      <c r="D322" s="4">
        <v>916.29</v>
      </c>
      <c r="E322" s="4">
        <v>190.98</v>
      </c>
      <c r="F322" s="3">
        <f>VLOOKUP(B322,'Profit &amp; Loss'!$B$2:$C$390,2,0)</f>
        <v>423.23</v>
      </c>
    </row>
    <row r="323" spans="1:6" x14ac:dyDescent="0.2">
      <c r="A323" s="3" t="s">
        <v>313</v>
      </c>
      <c r="B323" s="3" t="s">
        <v>318</v>
      </c>
      <c r="C323" s="4">
        <v>69567.8</v>
      </c>
      <c r="D323" s="4">
        <v>61827.37</v>
      </c>
      <c r="E323" s="4">
        <v>7740.43</v>
      </c>
      <c r="F323" s="3">
        <f>VLOOKUP(B323,'Profit &amp; Loss'!$B$2:$C$390,2,0)</f>
        <v>12048.91</v>
      </c>
    </row>
    <row r="324" spans="1:6" x14ac:dyDescent="0.2">
      <c r="A324" s="3" t="s">
        <v>313</v>
      </c>
      <c r="B324" s="3" t="s">
        <v>319</v>
      </c>
      <c r="C324" s="4">
        <v>208348.58</v>
      </c>
      <c r="D324" s="4">
        <v>173067.23</v>
      </c>
      <c r="E324" s="4">
        <v>35281.35</v>
      </c>
      <c r="F324" s="3">
        <f>VLOOKUP(B324,'Profit &amp; Loss'!$B$2:$C$390,2,0)</f>
        <v>40731.18</v>
      </c>
    </row>
    <row r="325" spans="1:6" x14ac:dyDescent="0.2">
      <c r="A325" s="3" t="s">
        <v>313</v>
      </c>
      <c r="B325" s="3" t="s">
        <v>320</v>
      </c>
      <c r="C325" s="4">
        <v>-27294.37</v>
      </c>
      <c r="D325" s="4">
        <v>-32281.82</v>
      </c>
      <c r="E325" s="4">
        <v>4987.45</v>
      </c>
      <c r="F325" s="3">
        <f>VLOOKUP(B325,'Profit &amp; Loss'!$B$2:$C$390,2,0)</f>
        <v>4675.82</v>
      </c>
    </row>
    <row r="326" spans="1:6" x14ac:dyDescent="0.2">
      <c r="A326" s="3" t="s">
        <v>313</v>
      </c>
      <c r="B326" s="3" t="s">
        <v>321</v>
      </c>
      <c r="C326" s="4">
        <v>-660845.79</v>
      </c>
      <c r="D326" s="4">
        <v>-498735.1</v>
      </c>
      <c r="E326" s="4">
        <v>-162110.69</v>
      </c>
      <c r="F326" s="3">
        <f>VLOOKUP(B326,'Profit &amp; Loss'!$B$2:$C$390,2,0)</f>
        <v>-127447.83</v>
      </c>
    </row>
    <row r="327" spans="1:6" x14ac:dyDescent="0.2">
      <c r="A327" s="3" t="s">
        <v>313</v>
      </c>
      <c r="B327" s="3" t="s">
        <v>841</v>
      </c>
      <c r="C327" s="4">
        <v>60741.5</v>
      </c>
      <c r="D327" s="4">
        <v>692.9</v>
      </c>
      <c r="E327" s="4">
        <v>60048.6</v>
      </c>
      <c r="F327" s="3">
        <f>VLOOKUP(B327,'Profit &amp; Loss'!$B$2:$C$390,2,0)</f>
        <v>-27313.17</v>
      </c>
    </row>
    <row r="328" spans="1:6" x14ac:dyDescent="0.2">
      <c r="A328" s="3" t="s">
        <v>313</v>
      </c>
      <c r="B328" s="3" t="s">
        <v>560</v>
      </c>
      <c r="C328" s="4">
        <v>17191.05</v>
      </c>
      <c r="D328" s="4">
        <v>17199.07</v>
      </c>
      <c r="E328" s="4">
        <v>-8.02</v>
      </c>
      <c r="F328" s="3">
        <f>VLOOKUP(B328,'Profit &amp; Loss'!$B$2:$C$390,2,0)</f>
        <v>1760.34</v>
      </c>
    </row>
    <row r="329" spans="1:6" x14ac:dyDescent="0.2">
      <c r="A329" s="3" t="s">
        <v>313</v>
      </c>
      <c r="B329" s="3" t="s">
        <v>1085</v>
      </c>
      <c r="C329" s="4">
        <v>575.25</v>
      </c>
      <c r="D329" s="4">
        <v>575.25</v>
      </c>
      <c r="E329" s="4">
        <v>0</v>
      </c>
      <c r="F329" s="3">
        <f>VLOOKUP(B329,'Profit &amp; Loss'!$B$2:$C$390,2,0)</f>
        <v>0</v>
      </c>
    </row>
    <row r="330" spans="1:6" x14ac:dyDescent="0.2">
      <c r="A330" s="3" t="s">
        <v>313</v>
      </c>
      <c r="B330" s="3" t="s">
        <v>990</v>
      </c>
      <c r="C330" s="4">
        <v>-160.66</v>
      </c>
      <c r="D330" s="4">
        <v>-160.66</v>
      </c>
      <c r="E330" s="4">
        <v>0</v>
      </c>
      <c r="F330" s="3">
        <f>VLOOKUP(B330,'Profit &amp; Loss'!$B$2:$C$390,2,0)</f>
        <v>-40.28</v>
      </c>
    </row>
    <row r="331" spans="1:6" x14ac:dyDescent="0.2">
      <c r="A331" s="3" t="s">
        <v>313</v>
      </c>
      <c r="B331" s="3" t="s">
        <v>322</v>
      </c>
      <c r="C331" s="4">
        <v>201.45</v>
      </c>
      <c r="D331" s="4">
        <v>177.76</v>
      </c>
      <c r="E331" s="4">
        <v>23.69</v>
      </c>
      <c r="F331" s="3">
        <f>VLOOKUP(B331,'Profit &amp; Loss'!$B$2:$C$390,2,0)</f>
        <v>2.09</v>
      </c>
    </row>
    <row r="332" spans="1:6" x14ac:dyDescent="0.2">
      <c r="A332" s="3" t="s">
        <v>313</v>
      </c>
      <c r="B332" s="3" t="s">
        <v>652</v>
      </c>
      <c r="C332" s="4">
        <v>118.05</v>
      </c>
      <c r="D332" s="4">
        <v>111.23</v>
      </c>
      <c r="E332" s="4">
        <v>6.82</v>
      </c>
      <c r="F332" s="3">
        <f>VLOOKUP(B332,'Profit &amp; Loss'!$B$2:$C$390,2,0)</f>
        <v>35.14</v>
      </c>
    </row>
    <row r="333" spans="1:6" x14ac:dyDescent="0.2">
      <c r="A333" s="3" t="s">
        <v>313</v>
      </c>
      <c r="B333" s="3" t="s">
        <v>323</v>
      </c>
      <c r="C333" s="4">
        <v>9391.14</v>
      </c>
      <c r="D333" s="4">
        <v>7951.32</v>
      </c>
      <c r="E333" s="4">
        <v>1439.82</v>
      </c>
      <c r="F333" s="3">
        <f>VLOOKUP(B333,'Profit &amp; Loss'!$B$2:$C$390,2,0)</f>
        <v>3243.68</v>
      </c>
    </row>
    <row r="334" spans="1:6" x14ac:dyDescent="0.2">
      <c r="A334" s="3" t="s">
        <v>313</v>
      </c>
      <c r="B334" s="3" t="s">
        <v>324</v>
      </c>
      <c r="C334" s="4">
        <v>145160.17000000001</v>
      </c>
      <c r="D334" s="4">
        <v>118811.1</v>
      </c>
      <c r="E334" s="4">
        <v>26349.07</v>
      </c>
      <c r="F334" s="3">
        <f>VLOOKUP(B334,'Profit &amp; Loss'!$B$2:$C$390,2,0)</f>
        <v>33298</v>
      </c>
    </row>
    <row r="335" spans="1:6" x14ac:dyDescent="0.2">
      <c r="A335" s="3" t="s">
        <v>313</v>
      </c>
      <c r="B335" s="3" t="s">
        <v>913</v>
      </c>
      <c r="C335" s="4">
        <v>118.21</v>
      </c>
      <c r="D335" s="4">
        <v>118.21</v>
      </c>
      <c r="E335" s="4">
        <v>0</v>
      </c>
      <c r="F335" s="3">
        <f>VLOOKUP(B335,'Profit &amp; Loss'!$B$2:$C$390,2,0)</f>
        <v>0</v>
      </c>
    </row>
    <row r="336" spans="1:6" x14ac:dyDescent="0.2">
      <c r="A336" s="3" t="s">
        <v>313</v>
      </c>
      <c r="B336" s="3" t="s">
        <v>561</v>
      </c>
      <c r="C336" s="4">
        <v>599.34</v>
      </c>
      <c r="D336" s="4">
        <v>461.45</v>
      </c>
      <c r="E336" s="4">
        <v>137.88999999999999</v>
      </c>
      <c r="F336" s="3">
        <f>VLOOKUP(B336,'Profit &amp; Loss'!$B$2:$C$390,2,0)</f>
        <v>0</v>
      </c>
    </row>
    <row r="337" spans="1:6" x14ac:dyDescent="0.2">
      <c r="A337" s="3" t="s">
        <v>313</v>
      </c>
      <c r="B337" s="3" t="s">
        <v>654</v>
      </c>
      <c r="C337" s="4">
        <v>1086.76</v>
      </c>
      <c r="D337" s="4">
        <v>1086.76</v>
      </c>
      <c r="E337" s="4">
        <v>0</v>
      </c>
      <c r="F337" s="3">
        <f>VLOOKUP(B337,'Profit &amp; Loss'!$B$2:$C$390,2,0)</f>
        <v>36.44</v>
      </c>
    </row>
    <row r="338" spans="1:6" x14ac:dyDescent="0.2">
      <c r="A338" s="3" t="s">
        <v>313</v>
      </c>
      <c r="B338" s="3" t="s">
        <v>991</v>
      </c>
      <c r="C338" s="4">
        <v>82780.5</v>
      </c>
      <c r="D338" s="4">
        <v>11579.85</v>
      </c>
      <c r="E338" s="4">
        <v>71200.649999999994</v>
      </c>
      <c r="F338" s="3">
        <f>VLOOKUP(B338,'Profit &amp; Loss'!$B$2:$C$390,2,0)</f>
        <v>-28825.55</v>
      </c>
    </row>
    <row r="339" spans="1:6" x14ac:dyDescent="0.2">
      <c r="A339" s="3" t="s">
        <v>313</v>
      </c>
      <c r="B339" s="3" t="s">
        <v>326</v>
      </c>
      <c r="C339" s="4">
        <v>15176</v>
      </c>
      <c r="D339" s="4">
        <v>14629.13</v>
      </c>
      <c r="E339" s="4">
        <v>546.87</v>
      </c>
      <c r="F339" s="3">
        <f>VLOOKUP(B339,'Profit &amp; Loss'!$B$2:$C$390,2,0)</f>
        <v>-435.68</v>
      </c>
    </row>
    <row r="340" spans="1:6" x14ac:dyDescent="0.2">
      <c r="A340" s="3" t="s">
        <v>313</v>
      </c>
      <c r="B340" s="3" t="s">
        <v>1254</v>
      </c>
      <c r="C340" s="4">
        <v>124.19</v>
      </c>
      <c r="D340" s="4">
        <v>124.19</v>
      </c>
      <c r="E340" s="4">
        <v>0</v>
      </c>
      <c r="F340" s="3">
        <f>VLOOKUP(B340,'Profit &amp; Loss'!$B$2:$C$390,2,0)</f>
        <v>0</v>
      </c>
    </row>
    <row r="341" spans="1:6" x14ac:dyDescent="0.2">
      <c r="A341" s="3" t="s">
        <v>313</v>
      </c>
      <c r="B341" s="3" t="s">
        <v>327</v>
      </c>
      <c r="C341" s="4">
        <v>429.3</v>
      </c>
      <c r="D341" s="4">
        <v>429.3</v>
      </c>
      <c r="E341" s="4">
        <v>0</v>
      </c>
      <c r="F341" s="3">
        <f>VLOOKUP(B341,'Profit &amp; Loss'!$B$2:$C$390,2,0)</f>
        <v>286.14</v>
      </c>
    </row>
    <row r="342" spans="1:6" x14ac:dyDescent="0.2">
      <c r="A342" s="3" t="s">
        <v>313</v>
      </c>
      <c r="B342" s="3" t="s">
        <v>328</v>
      </c>
      <c r="C342" s="4">
        <v>-1662.77</v>
      </c>
      <c r="D342" s="4">
        <v>-1662.77</v>
      </c>
      <c r="E342" s="4">
        <v>0</v>
      </c>
      <c r="F342" s="3">
        <f>VLOOKUP(B342,'Profit &amp; Loss'!$B$2:$C$390,2,0)</f>
        <v>-756.63</v>
      </c>
    </row>
    <row r="343" spans="1:6" x14ac:dyDescent="0.2">
      <c r="A343" s="3" t="s">
        <v>313</v>
      </c>
      <c r="B343" s="3" t="s">
        <v>656</v>
      </c>
      <c r="C343" s="4">
        <v>26382.560000000001</v>
      </c>
      <c r="D343" s="4">
        <v>18511</v>
      </c>
      <c r="E343" s="4">
        <v>7871.56</v>
      </c>
      <c r="F343" s="3">
        <f>VLOOKUP(B343,'Profit &amp; Loss'!$B$2:$C$390,2,0)</f>
        <v>0</v>
      </c>
    </row>
    <row r="344" spans="1:6" x14ac:dyDescent="0.2">
      <c r="A344" s="3" t="s">
        <v>313</v>
      </c>
      <c r="B344" s="3" t="s">
        <v>329</v>
      </c>
      <c r="C344" s="4">
        <v>26734.26</v>
      </c>
      <c r="D344" s="4">
        <v>19364.560000000001</v>
      </c>
      <c r="E344" s="4">
        <v>7369.7</v>
      </c>
      <c r="F344" s="3">
        <f>VLOOKUP(B344,'Profit &amp; Loss'!$B$2:$C$390,2,0)</f>
        <v>6174.84</v>
      </c>
    </row>
    <row r="345" spans="1:6" x14ac:dyDescent="0.2">
      <c r="A345" s="3" t="s">
        <v>313</v>
      </c>
      <c r="B345" s="3" t="s">
        <v>330</v>
      </c>
      <c r="C345" s="4">
        <v>5479.33</v>
      </c>
      <c r="D345" s="4">
        <v>5479.33</v>
      </c>
      <c r="E345" s="4">
        <v>0</v>
      </c>
      <c r="F345" s="3">
        <f>VLOOKUP(B345,'Profit &amp; Loss'!$B$2:$C$390,2,0)</f>
        <v>890.78</v>
      </c>
    </row>
    <row r="346" spans="1:6" x14ac:dyDescent="0.2">
      <c r="A346" s="3" t="s">
        <v>313</v>
      </c>
      <c r="B346" s="3" t="s">
        <v>331</v>
      </c>
      <c r="C346" s="4">
        <v>32865.83</v>
      </c>
      <c r="D346" s="4">
        <v>19037.52</v>
      </c>
      <c r="E346" s="4">
        <v>13828.31</v>
      </c>
      <c r="F346" s="3">
        <f>VLOOKUP(B346,'Profit &amp; Loss'!$B$2:$C$390,2,0)</f>
        <v>-3008.88</v>
      </c>
    </row>
    <row r="347" spans="1:6" x14ac:dyDescent="0.2">
      <c r="A347" s="3" t="s">
        <v>313</v>
      </c>
      <c r="B347" s="3" t="s">
        <v>332</v>
      </c>
      <c r="C347" s="4">
        <v>210.22</v>
      </c>
      <c r="D347" s="4">
        <v>186.42</v>
      </c>
      <c r="E347" s="4">
        <v>23.8</v>
      </c>
      <c r="F347" s="3">
        <f>VLOOKUP(B347,'Profit &amp; Loss'!$B$2:$C$390,2,0)</f>
        <v>24.68</v>
      </c>
    </row>
    <row r="348" spans="1:6" x14ac:dyDescent="0.2">
      <c r="A348" s="3" t="s">
        <v>313</v>
      </c>
      <c r="B348" s="3" t="s">
        <v>657</v>
      </c>
      <c r="C348" s="4">
        <v>276876.15999999997</v>
      </c>
      <c r="D348" s="4">
        <v>112786.75</v>
      </c>
      <c r="E348" s="4">
        <v>164089.41</v>
      </c>
      <c r="F348" s="3">
        <f>VLOOKUP(B348,'Profit &amp; Loss'!$B$2:$C$390,2,0)</f>
        <v>0</v>
      </c>
    </row>
    <row r="349" spans="1:6" x14ac:dyDescent="0.2">
      <c r="A349" s="3" t="s">
        <v>313</v>
      </c>
      <c r="B349" s="3" t="s">
        <v>333</v>
      </c>
      <c r="C349" s="4">
        <v>10947.04</v>
      </c>
      <c r="D349" s="4">
        <v>9523.68</v>
      </c>
      <c r="E349" s="4">
        <v>1423.36</v>
      </c>
      <c r="F349" s="3">
        <f>VLOOKUP(B349,'Profit &amp; Loss'!$B$2:$C$390,2,0)</f>
        <v>3308.5</v>
      </c>
    </row>
    <row r="350" spans="1:6" x14ac:dyDescent="0.2">
      <c r="A350" s="3" t="s">
        <v>313</v>
      </c>
      <c r="B350" s="3" t="s">
        <v>2</v>
      </c>
      <c r="C350" s="4">
        <v>724013.3</v>
      </c>
      <c r="D350" s="4">
        <v>404561.18</v>
      </c>
      <c r="E350" s="4">
        <v>319452.12</v>
      </c>
      <c r="F350" s="3" t="e">
        <f>VLOOKUP(B350,'Profit &amp; Loss'!$B$2:$C$390,2,0)</f>
        <v>#N/A</v>
      </c>
    </row>
    <row r="351" spans="1:6" x14ac:dyDescent="0.2">
      <c r="A351" s="3" t="s">
        <v>334</v>
      </c>
      <c r="B351" s="3" t="s">
        <v>335</v>
      </c>
      <c r="C351" s="4">
        <v>371642.15</v>
      </c>
      <c r="D351" s="4">
        <v>298417.98</v>
      </c>
      <c r="E351" s="4">
        <v>73224.17</v>
      </c>
      <c r="F351" s="3">
        <f>VLOOKUP(B351,'Profit &amp; Loss'!$B$2:$C$390,2,0)</f>
        <v>55035.39</v>
      </c>
    </row>
    <row r="352" spans="1:6" x14ac:dyDescent="0.2">
      <c r="A352" s="3" t="s">
        <v>334</v>
      </c>
      <c r="B352" s="3" t="s">
        <v>562</v>
      </c>
      <c r="C352" s="4">
        <v>66390.5</v>
      </c>
      <c r="D352" s="4">
        <v>66390.5</v>
      </c>
      <c r="E352" s="4">
        <v>0</v>
      </c>
      <c r="F352" s="3">
        <f>VLOOKUP(B352,'Profit &amp; Loss'!$B$2:$C$390,2,0)</f>
        <v>0</v>
      </c>
    </row>
    <row r="353" spans="1:6" x14ac:dyDescent="0.2">
      <c r="A353" s="3" t="s">
        <v>334</v>
      </c>
      <c r="B353" s="3" t="s">
        <v>336</v>
      </c>
      <c r="C353" s="4">
        <v>-35407.72</v>
      </c>
      <c r="D353" s="4">
        <v>-41520.29</v>
      </c>
      <c r="E353" s="4">
        <v>6112.57</v>
      </c>
      <c r="F353" s="3">
        <f>VLOOKUP(B353,'Profit &amp; Loss'!$B$2:$C$390,2,0)</f>
        <v>5279.69</v>
      </c>
    </row>
    <row r="354" spans="1:6" x14ac:dyDescent="0.2">
      <c r="A354" s="3" t="s">
        <v>334</v>
      </c>
      <c r="B354" s="3" t="s">
        <v>337</v>
      </c>
      <c r="C354" s="4">
        <v>15045.27</v>
      </c>
      <c r="D354" s="4">
        <v>13441.33</v>
      </c>
      <c r="E354" s="4">
        <v>1603.94</v>
      </c>
      <c r="F354" s="3">
        <f>VLOOKUP(B354,'Profit &amp; Loss'!$B$2:$C$390,2,0)</f>
        <v>2800.93</v>
      </c>
    </row>
    <row r="355" spans="1:6" x14ac:dyDescent="0.2">
      <c r="A355" s="3" t="s">
        <v>334</v>
      </c>
      <c r="B355" s="3" t="s">
        <v>338</v>
      </c>
      <c r="C355" s="4">
        <v>96348.65</v>
      </c>
      <c r="D355" s="4">
        <v>85637.59</v>
      </c>
      <c r="E355" s="4">
        <v>10711.06</v>
      </c>
      <c r="F355" s="3">
        <f>VLOOKUP(B355,'Profit &amp; Loss'!$B$2:$C$390,2,0)</f>
        <v>17648.05</v>
      </c>
    </row>
    <row r="356" spans="1:6" x14ac:dyDescent="0.2">
      <c r="A356" s="3" t="s">
        <v>334</v>
      </c>
      <c r="B356" s="3" t="s">
        <v>563</v>
      </c>
      <c r="C356" s="4">
        <v>165.75</v>
      </c>
      <c r="D356" s="4">
        <v>165.75</v>
      </c>
      <c r="E356" s="4">
        <v>0</v>
      </c>
      <c r="F356" s="3">
        <f>VLOOKUP(B356,'Profit &amp; Loss'!$B$2:$C$390,2,0)</f>
        <v>0</v>
      </c>
    </row>
    <row r="357" spans="1:6" x14ac:dyDescent="0.2">
      <c r="A357" s="3" t="s">
        <v>334</v>
      </c>
      <c r="B357" s="3" t="s">
        <v>339</v>
      </c>
      <c r="C357" s="4">
        <v>14684.74</v>
      </c>
      <c r="D357" s="4">
        <v>11359.6</v>
      </c>
      <c r="E357" s="4">
        <v>3325.14</v>
      </c>
      <c r="F357" s="3">
        <f>VLOOKUP(B357,'Profit &amp; Loss'!$B$2:$C$390,2,0)</f>
        <v>4180.01</v>
      </c>
    </row>
    <row r="358" spans="1:6" x14ac:dyDescent="0.2">
      <c r="A358" s="3" t="s">
        <v>334</v>
      </c>
      <c r="B358" s="3" t="s">
        <v>768</v>
      </c>
      <c r="C358" s="4">
        <v>96267.16</v>
      </c>
      <c r="D358" s="4">
        <v>96267.16</v>
      </c>
      <c r="E358" s="4">
        <v>0</v>
      </c>
      <c r="F358" s="3">
        <f>VLOOKUP(B358,'Profit &amp; Loss'!$B$2:$C$390,2,0)</f>
        <v>0</v>
      </c>
    </row>
    <row r="359" spans="1:6" x14ac:dyDescent="0.2">
      <c r="A359" s="3" t="s">
        <v>334</v>
      </c>
      <c r="B359" s="3" t="s">
        <v>340</v>
      </c>
      <c r="C359" s="4">
        <v>-34301.53</v>
      </c>
      <c r="D359" s="4">
        <v>-46526.68</v>
      </c>
      <c r="E359" s="4">
        <v>12225.15</v>
      </c>
      <c r="F359" s="3">
        <f>VLOOKUP(B359,'Profit &amp; Loss'!$B$2:$C$390,2,0)</f>
        <v>10559.39</v>
      </c>
    </row>
    <row r="360" spans="1:6" x14ac:dyDescent="0.2">
      <c r="A360" s="3" t="s">
        <v>334</v>
      </c>
      <c r="B360" s="3" t="s">
        <v>341</v>
      </c>
      <c r="C360" s="4">
        <v>83546.94</v>
      </c>
      <c r="D360" s="4">
        <v>61169.2</v>
      </c>
      <c r="E360" s="4">
        <v>22377.74</v>
      </c>
      <c r="F360" s="3">
        <f>VLOOKUP(B360,'Profit &amp; Loss'!$B$2:$C$390,2,0)</f>
        <v>18487.189999999999</v>
      </c>
    </row>
    <row r="361" spans="1:6" x14ac:dyDescent="0.2">
      <c r="A361" s="3" t="s">
        <v>334</v>
      </c>
      <c r="B361" s="3" t="s">
        <v>342</v>
      </c>
      <c r="C361" s="4">
        <v>3822.27</v>
      </c>
      <c r="D361" s="4">
        <v>3822.27</v>
      </c>
      <c r="E361" s="4">
        <v>0</v>
      </c>
      <c r="F361" s="3">
        <f>VLOOKUP(B361,'Profit &amp; Loss'!$B$2:$C$390,2,0)</f>
        <v>2577.34</v>
      </c>
    </row>
    <row r="362" spans="1:6" x14ac:dyDescent="0.2">
      <c r="A362" s="3" t="s">
        <v>334</v>
      </c>
      <c r="B362" s="3" t="s">
        <v>566</v>
      </c>
      <c r="C362" s="4">
        <v>939.81</v>
      </c>
      <c r="D362" s="4">
        <v>244.29</v>
      </c>
      <c r="E362" s="4">
        <v>695.52</v>
      </c>
      <c r="F362" s="3">
        <f>VLOOKUP(B362,'Profit &amp; Loss'!$B$2:$C$390,2,0)</f>
        <v>0</v>
      </c>
    </row>
    <row r="363" spans="1:6" x14ac:dyDescent="0.2">
      <c r="A363" s="3" t="s">
        <v>334</v>
      </c>
      <c r="B363" s="3" t="s">
        <v>343</v>
      </c>
      <c r="C363" s="4">
        <v>11666.17</v>
      </c>
      <c r="D363" s="4">
        <v>8045.43</v>
      </c>
      <c r="E363" s="4">
        <v>3620.74</v>
      </c>
      <c r="F363" s="3">
        <f>VLOOKUP(B363,'Profit &amp; Loss'!$B$2:$C$390,2,0)</f>
        <v>-203.37</v>
      </c>
    </row>
    <row r="364" spans="1:6" x14ac:dyDescent="0.2">
      <c r="A364" s="3" t="s">
        <v>334</v>
      </c>
      <c r="B364" s="3" t="s">
        <v>992</v>
      </c>
      <c r="C364" s="4">
        <v>733.43</v>
      </c>
      <c r="D364" s="4">
        <v>733.43</v>
      </c>
      <c r="E364" s="4">
        <v>0</v>
      </c>
      <c r="F364" s="3">
        <f>VLOOKUP(B364,'Profit &amp; Loss'!$B$2:$C$390,2,0)</f>
        <v>733.43</v>
      </c>
    </row>
    <row r="365" spans="1:6" x14ac:dyDescent="0.2">
      <c r="A365" s="3" t="s">
        <v>334</v>
      </c>
      <c r="B365" s="3" t="s">
        <v>345</v>
      </c>
      <c r="C365" s="4">
        <v>66455.649999999994</v>
      </c>
      <c r="D365" s="4">
        <v>54696.52</v>
      </c>
      <c r="E365" s="4">
        <v>11759.13</v>
      </c>
      <c r="F365" s="3">
        <f>VLOOKUP(B365,'Profit &amp; Loss'!$B$2:$C$390,2,0)</f>
        <v>11989.03</v>
      </c>
    </row>
    <row r="366" spans="1:6" x14ac:dyDescent="0.2">
      <c r="A366" s="3" t="s">
        <v>334</v>
      </c>
      <c r="B366" s="3" t="s">
        <v>346</v>
      </c>
      <c r="C366" s="4">
        <v>24416.2</v>
      </c>
      <c r="D366" s="4">
        <v>19487.77</v>
      </c>
      <c r="E366" s="4">
        <v>4928.43</v>
      </c>
      <c r="F366" s="3">
        <f>VLOOKUP(B366,'Profit &amp; Loss'!$B$2:$C$390,2,0)</f>
        <v>4420.24</v>
      </c>
    </row>
    <row r="367" spans="1:6" x14ac:dyDescent="0.2">
      <c r="A367" s="3" t="s">
        <v>334</v>
      </c>
      <c r="B367" s="3" t="s">
        <v>347</v>
      </c>
      <c r="C367" s="4">
        <v>11833.38</v>
      </c>
      <c r="D367" s="4">
        <v>9429.3700000000008</v>
      </c>
      <c r="E367" s="4">
        <v>2404.0100000000002</v>
      </c>
      <c r="F367" s="3">
        <f>VLOOKUP(B367,'Profit &amp; Loss'!$B$2:$C$390,2,0)</f>
        <v>2182.88</v>
      </c>
    </row>
    <row r="368" spans="1:6" x14ac:dyDescent="0.2">
      <c r="A368" s="3" t="s">
        <v>334</v>
      </c>
      <c r="B368" s="3" t="s">
        <v>348</v>
      </c>
      <c r="C368" s="4">
        <v>33148.559999999998</v>
      </c>
      <c r="D368" s="4">
        <v>26534.28</v>
      </c>
      <c r="E368" s="4">
        <v>6614.28</v>
      </c>
      <c r="F368" s="3">
        <f>VLOOKUP(B368,'Profit &amp; Loss'!$B$2:$C$390,2,0)</f>
        <v>5823.94</v>
      </c>
    </row>
    <row r="369" spans="1:6" x14ac:dyDescent="0.2">
      <c r="A369" s="3" t="s">
        <v>334</v>
      </c>
      <c r="B369" s="3" t="s">
        <v>349</v>
      </c>
      <c r="C369" s="4">
        <v>23834.86</v>
      </c>
      <c r="D369" s="4">
        <v>19168.580000000002</v>
      </c>
      <c r="E369" s="4">
        <v>4666.28</v>
      </c>
      <c r="F369" s="3">
        <f>VLOOKUP(B369,'Profit &amp; Loss'!$B$2:$C$390,2,0)</f>
        <v>3750.29</v>
      </c>
    </row>
    <row r="370" spans="1:6" x14ac:dyDescent="0.2">
      <c r="A370" s="3" t="s">
        <v>334</v>
      </c>
      <c r="B370" s="3" t="s">
        <v>350</v>
      </c>
      <c r="C370" s="4">
        <v>18777.78</v>
      </c>
      <c r="D370" s="4">
        <v>15844.25</v>
      </c>
      <c r="E370" s="4">
        <v>2933.53</v>
      </c>
      <c r="F370" s="3">
        <f>VLOOKUP(B370,'Profit &amp; Loss'!$B$2:$C$390,2,0)</f>
        <v>5549.93</v>
      </c>
    </row>
    <row r="371" spans="1:6" x14ac:dyDescent="0.2">
      <c r="A371" s="3" t="s">
        <v>334</v>
      </c>
      <c r="B371" s="3" t="s">
        <v>351</v>
      </c>
      <c r="C371" s="4">
        <v>31654.080000000002</v>
      </c>
      <c r="D371" s="4">
        <v>26407.71</v>
      </c>
      <c r="E371" s="4">
        <v>5246.37</v>
      </c>
      <c r="F371" s="3">
        <f>VLOOKUP(B371,'Profit &amp; Loss'!$B$2:$C$390,2,0)</f>
        <v>4678.2299999999996</v>
      </c>
    </row>
    <row r="372" spans="1:6" x14ac:dyDescent="0.2">
      <c r="A372" s="3" t="s">
        <v>334</v>
      </c>
      <c r="B372" s="3" t="s">
        <v>352</v>
      </c>
      <c r="C372" s="4">
        <v>2343.84</v>
      </c>
      <c r="D372" s="4">
        <v>2017.81</v>
      </c>
      <c r="E372" s="4">
        <v>326.02999999999997</v>
      </c>
      <c r="F372" s="3">
        <f>VLOOKUP(B372,'Profit &amp; Loss'!$B$2:$C$390,2,0)</f>
        <v>1184.21</v>
      </c>
    </row>
    <row r="373" spans="1:6" x14ac:dyDescent="0.2">
      <c r="A373" s="3" t="s">
        <v>334</v>
      </c>
      <c r="B373" s="3" t="s">
        <v>569</v>
      </c>
      <c r="C373" s="4">
        <v>1610.04</v>
      </c>
      <c r="D373" s="4">
        <v>1610.04</v>
      </c>
      <c r="E373" s="4">
        <v>0</v>
      </c>
      <c r="F373" s="3">
        <f>VLOOKUP(B373,'Profit &amp; Loss'!$B$2:$C$390,2,0)</f>
        <v>1388.56</v>
      </c>
    </row>
    <row r="374" spans="1:6" x14ac:dyDescent="0.2">
      <c r="A374" s="3" t="s">
        <v>334</v>
      </c>
      <c r="B374" s="3" t="s">
        <v>667</v>
      </c>
      <c r="C374" s="4">
        <v>1088.68</v>
      </c>
      <c r="D374" s="4">
        <v>1088.68</v>
      </c>
      <c r="E374" s="4">
        <v>0</v>
      </c>
      <c r="F374" s="3">
        <f>VLOOKUP(B374,'Profit &amp; Loss'!$B$2:$C$390,2,0)</f>
        <v>0</v>
      </c>
    </row>
    <row r="375" spans="1:6" x14ac:dyDescent="0.2">
      <c r="A375" s="3" t="s">
        <v>334</v>
      </c>
      <c r="B375" s="3" t="s">
        <v>353</v>
      </c>
      <c r="C375" s="4">
        <v>9027.49</v>
      </c>
      <c r="D375" s="4">
        <v>7700.06</v>
      </c>
      <c r="E375" s="4">
        <v>1327.43</v>
      </c>
      <c r="F375" s="3">
        <f>VLOOKUP(B375,'Profit &amp; Loss'!$B$2:$C$390,2,0)</f>
        <v>1304.8699999999999</v>
      </c>
    </row>
    <row r="376" spans="1:6" x14ac:dyDescent="0.2">
      <c r="A376" s="3" t="s">
        <v>334</v>
      </c>
      <c r="B376" s="3" t="s">
        <v>772</v>
      </c>
      <c r="C376" s="4">
        <v>727.72</v>
      </c>
      <c r="D376" s="4">
        <v>582.23</v>
      </c>
      <c r="E376" s="4">
        <v>145.49</v>
      </c>
      <c r="F376" s="3">
        <f>VLOOKUP(B376,'Profit &amp; Loss'!$B$2:$C$390,2,0)</f>
        <v>0</v>
      </c>
    </row>
    <row r="377" spans="1:6" x14ac:dyDescent="0.2">
      <c r="A377" s="3" t="s">
        <v>334</v>
      </c>
      <c r="B377" s="3" t="s">
        <v>354</v>
      </c>
      <c r="C377" s="4">
        <v>3563.44</v>
      </c>
      <c r="D377" s="4">
        <v>2844.16</v>
      </c>
      <c r="E377" s="4">
        <v>719.28</v>
      </c>
      <c r="F377" s="3">
        <f>VLOOKUP(B377,'Profit &amp; Loss'!$B$2:$C$390,2,0)</f>
        <v>645.12</v>
      </c>
    </row>
    <row r="378" spans="1:6" x14ac:dyDescent="0.2">
      <c r="A378" s="3" t="s">
        <v>334</v>
      </c>
      <c r="B378" s="3" t="s">
        <v>355</v>
      </c>
      <c r="C378" s="4">
        <v>24441.14</v>
      </c>
      <c r="D378" s="4">
        <v>19306.7</v>
      </c>
      <c r="E378" s="4">
        <v>5134.4399999999996</v>
      </c>
      <c r="F378" s="3">
        <f>VLOOKUP(B378,'Profit &amp; Loss'!$B$2:$C$390,2,0)</f>
        <v>4654.41</v>
      </c>
    </row>
    <row r="379" spans="1:6" x14ac:dyDescent="0.2">
      <c r="A379" s="3" t="s">
        <v>334</v>
      </c>
      <c r="B379" s="3" t="s">
        <v>356</v>
      </c>
      <c r="C379" s="4">
        <v>169.68</v>
      </c>
      <c r="D379" s="4">
        <v>169.68</v>
      </c>
      <c r="E379" s="4">
        <v>0</v>
      </c>
      <c r="F379" s="3">
        <f>VLOOKUP(B379,'Profit &amp; Loss'!$B$2:$C$390,2,0)</f>
        <v>164.53</v>
      </c>
    </row>
    <row r="380" spans="1:6" x14ac:dyDescent="0.2">
      <c r="A380" s="3" t="s">
        <v>334</v>
      </c>
      <c r="B380" s="3" t="s">
        <v>357</v>
      </c>
      <c r="C380" s="4">
        <v>9641.77</v>
      </c>
      <c r="D380" s="4">
        <v>7244.43</v>
      </c>
      <c r="E380" s="4">
        <v>2397.34</v>
      </c>
      <c r="F380" s="3">
        <f>VLOOKUP(B380,'Profit &amp; Loss'!$B$2:$C$390,2,0)</f>
        <v>1147.27</v>
      </c>
    </row>
    <row r="381" spans="1:6" x14ac:dyDescent="0.2">
      <c r="A381" s="3" t="s">
        <v>334</v>
      </c>
      <c r="B381" s="3" t="s">
        <v>920</v>
      </c>
      <c r="C381" s="4">
        <v>6178.53</v>
      </c>
      <c r="D381" s="4">
        <v>6178.53</v>
      </c>
      <c r="E381" s="4">
        <v>0</v>
      </c>
      <c r="F381" s="3">
        <f>VLOOKUP(B381,'Profit &amp; Loss'!$B$2:$C$390,2,0)</f>
        <v>0</v>
      </c>
    </row>
    <row r="382" spans="1:6" x14ac:dyDescent="0.2">
      <c r="A382" s="3" t="s">
        <v>334</v>
      </c>
      <c r="B382" s="3" t="s">
        <v>358</v>
      </c>
      <c r="C382" s="4">
        <v>6729.2</v>
      </c>
      <c r="D382" s="4">
        <v>6729.2</v>
      </c>
      <c r="E382" s="4">
        <v>0</v>
      </c>
      <c r="F382" s="3">
        <f>VLOOKUP(B382,'Profit &amp; Loss'!$B$2:$C$390,2,0)</f>
        <v>3993.12</v>
      </c>
    </row>
    <row r="383" spans="1:6" x14ac:dyDescent="0.2">
      <c r="A383" s="3" t="s">
        <v>334</v>
      </c>
      <c r="B383" s="3" t="s">
        <v>359</v>
      </c>
      <c r="C383" s="4">
        <v>1270.6400000000001</v>
      </c>
      <c r="D383" s="4">
        <v>1270.6400000000001</v>
      </c>
      <c r="E383" s="4">
        <v>0</v>
      </c>
      <c r="F383" s="3">
        <f>VLOOKUP(B383,'Profit &amp; Loss'!$B$2:$C$390,2,0)</f>
        <v>1270.6400000000001</v>
      </c>
    </row>
    <row r="384" spans="1:6" x14ac:dyDescent="0.2">
      <c r="A384" s="3" t="s">
        <v>334</v>
      </c>
      <c r="B384" s="3" t="s">
        <v>360</v>
      </c>
      <c r="C384" s="4">
        <v>89626.16</v>
      </c>
      <c r="D384" s="4">
        <v>71244.06</v>
      </c>
      <c r="E384" s="4">
        <v>18382.099999999999</v>
      </c>
      <c r="F384" s="3">
        <f>VLOOKUP(B384,'Profit &amp; Loss'!$B$2:$C$390,2,0)</f>
        <v>16594.689999999999</v>
      </c>
    </row>
    <row r="385" spans="1:6" x14ac:dyDescent="0.2">
      <c r="A385" s="3" t="s">
        <v>334</v>
      </c>
      <c r="B385" s="3" t="s">
        <v>571</v>
      </c>
      <c r="C385" s="4">
        <v>10916.21</v>
      </c>
      <c r="D385" s="4">
        <v>9299.68</v>
      </c>
      <c r="E385" s="4">
        <v>1616.53</v>
      </c>
      <c r="F385" s="3">
        <f>VLOOKUP(B385,'Profit &amp; Loss'!$B$2:$C$390,2,0)</f>
        <v>7423.55</v>
      </c>
    </row>
    <row r="386" spans="1:6" s="18" customFormat="1" x14ac:dyDescent="0.2">
      <c r="A386" s="18" t="s">
        <v>334</v>
      </c>
      <c r="B386" s="18" t="s">
        <v>1427</v>
      </c>
      <c r="C386" s="19">
        <v>34.090000000000003</v>
      </c>
      <c r="D386" s="19">
        <v>0</v>
      </c>
      <c r="E386" s="19">
        <v>34.090000000000003</v>
      </c>
      <c r="F386" s="18">
        <f>VLOOKUP(B386,'Profit &amp; Loss'!$B$2:$C$390,2,0)</f>
        <v>0</v>
      </c>
    </row>
    <row r="387" spans="1:6" x14ac:dyDescent="0.2">
      <c r="A387" s="3" t="s">
        <v>334</v>
      </c>
      <c r="B387" s="3" t="s">
        <v>921</v>
      </c>
      <c r="C387" s="4">
        <v>62</v>
      </c>
      <c r="D387" s="4">
        <v>62</v>
      </c>
      <c r="E387" s="4">
        <v>0</v>
      </c>
      <c r="F387" s="3">
        <f>VLOOKUP(B387,'Profit &amp; Loss'!$B$2:$C$390,2,0)</f>
        <v>0</v>
      </c>
    </row>
    <row r="388" spans="1:6" x14ac:dyDescent="0.2">
      <c r="A388" s="3" t="s">
        <v>334</v>
      </c>
      <c r="B388" s="3" t="s">
        <v>852</v>
      </c>
      <c r="C388" s="4">
        <v>1297.71</v>
      </c>
      <c r="D388" s="4">
        <v>1297.71</v>
      </c>
      <c r="E388" s="4">
        <v>0</v>
      </c>
      <c r="F388" s="3">
        <f>VLOOKUP(B388,'Profit &amp; Loss'!$B$2:$C$390,2,0)</f>
        <v>0</v>
      </c>
    </row>
    <row r="389" spans="1:6" x14ac:dyDescent="0.2">
      <c r="A389" s="3" t="s">
        <v>334</v>
      </c>
      <c r="B389" s="3" t="s">
        <v>363</v>
      </c>
      <c r="C389" s="4">
        <v>10361.74</v>
      </c>
      <c r="D389" s="4">
        <v>8525.81</v>
      </c>
      <c r="E389" s="4">
        <v>1835.93</v>
      </c>
      <c r="F389" s="3">
        <f>VLOOKUP(B389,'Profit &amp; Loss'!$B$2:$C$390,2,0)</f>
        <v>1958.16</v>
      </c>
    </row>
    <row r="390" spans="1:6" x14ac:dyDescent="0.2">
      <c r="A390" s="3" t="s">
        <v>334</v>
      </c>
      <c r="B390" s="3" t="s">
        <v>2</v>
      </c>
      <c r="C390" s="4">
        <v>1080754.18</v>
      </c>
      <c r="D390" s="4">
        <v>876387.46</v>
      </c>
      <c r="E390" s="4">
        <v>204366.72</v>
      </c>
      <c r="F390" s="3" t="e">
        <f>VLOOKUP(B390,'Profit &amp; Loss'!$B$2:$C$390,2,0)</f>
        <v>#N/A</v>
      </c>
    </row>
    <row r="391" spans="1:6" x14ac:dyDescent="0.2">
      <c r="A391" s="3" t="s">
        <v>364</v>
      </c>
      <c r="B391" s="3" t="s">
        <v>366</v>
      </c>
      <c r="C391" s="4">
        <v>8374.39</v>
      </c>
      <c r="D391" s="4">
        <v>4828.87</v>
      </c>
      <c r="E391" s="4">
        <v>3545.52</v>
      </c>
      <c r="F391" s="3">
        <f>VLOOKUP(B391,'Profit &amp; Loss'!$B$2:$C$390,2,0)</f>
        <v>223.34</v>
      </c>
    </row>
    <row r="392" spans="1:6" x14ac:dyDescent="0.2">
      <c r="A392" s="3" t="s">
        <v>364</v>
      </c>
      <c r="B392" s="3" t="s">
        <v>367</v>
      </c>
      <c r="C392" s="4">
        <v>1033.68</v>
      </c>
      <c r="D392" s="4">
        <v>921.68</v>
      </c>
      <c r="E392" s="4">
        <v>112</v>
      </c>
      <c r="F392" s="3">
        <f>VLOOKUP(B392,'Profit &amp; Loss'!$B$2:$C$390,2,0)</f>
        <v>462.09</v>
      </c>
    </row>
    <row r="393" spans="1:6" x14ac:dyDescent="0.2">
      <c r="A393" s="3" t="s">
        <v>364</v>
      </c>
      <c r="B393" s="3" t="s">
        <v>368</v>
      </c>
      <c r="C393" s="4">
        <v>288.72000000000003</v>
      </c>
      <c r="D393" s="4">
        <v>261.33999999999997</v>
      </c>
      <c r="E393" s="4">
        <v>27.38</v>
      </c>
      <c r="F393" s="3">
        <f>VLOOKUP(B393,'Profit &amp; Loss'!$B$2:$C$390,2,0)</f>
        <v>120.24</v>
      </c>
    </row>
    <row r="394" spans="1:6" x14ac:dyDescent="0.2">
      <c r="A394" s="3" t="s">
        <v>364</v>
      </c>
      <c r="B394" s="3" t="s">
        <v>369</v>
      </c>
      <c r="C394" s="4">
        <v>102.78</v>
      </c>
      <c r="D394" s="4">
        <v>11.91</v>
      </c>
      <c r="E394" s="4">
        <v>90.87</v>
      </c>
      <c r="F394" s="3">
        <f>VLOOKUP(B394,'Profit &amp; Loss'!$B$2:$C$390,2,0)</f>
        <v>11.91</v>
      </c>
    </row>
    <row r="395" spans="1:6" x14ac:dyDescent="0.2">
      <c r="A395" s="3" t="s">
        <v>364</v>
      </c>
      <c r="B395" s="3" t="s">
        <v>372</v>
      </c>
      <c r="C395" s="4">
        <v>1695.63</v>
      </c>
      <c r="D395" s="4">
        <v>1468.59</v>
      </c>
      <c r="E395" s="4">
        <v>227.04</v>
      </c>
      <c r="F395" s="3">
        <f>VLOOKUP(B395,'Profit &amp; Loss'!$B$2:$C$390,2,0)</f>
        <v>247.77</v>
      </c>
    </row>
    <row r="396" spans="1:6" x14ac:dyDescent="0.2">
      <c r="A396" s="3" t="s">
        <v>364</v>
      </c>
      <c r="B396" s="3" t="s">
        <v>572</v>
      </c>
      <c r="C396" s="4">
        <v>800.14</v>
      </c>
      <c r="D396" s="4">
        <v>185.93</v>
      </c>
      <c r="E396" s="4">
        <v>614.21</v>
      </c>
      <c r="F396" s="3">
        <f>VLOOKUP(B396,'Profit &amp; Loss'!$B$2:$C$390,2,0)</f>
        <v>0</v>
      </c>
    </row>
    <row r="397" spans="1:6" x14ac:dyDescent="0.2">
      <c r="A397" s="3" t="s">
        <v>364</v>
      </c>
      <c r="B397" s="3" t="s">
        <v>2</v>
      </c>
      <c r="C397" s="4">
        <v>12295.34</v>
      </c>
      <c r="D397" s="4">
        <v>7678.32</v>
      </c>
      <c r="E397" s="4">
        <v>4617.0200000000004</v>
      </c>
      <c r="F397" s="3" t="e">
        <f>VLOOKUP(B397,'Profit &amp; Loss'!$B$2:$C$390,2,0)</f>
        <v>#N/A</v>
      </c>
    </row>
    <row r="398" spans="1:6" x14ac:dyDescent="0.2">
      <c r="A398" s="3" t="s">
        <v>373</v>
      </c>
      <c r="B398" s="3" t="s">
        <v>673</v>
      </c>
      <c r="C398" s="4">
        <v>3537.33</v>
      </c>
      <c r="D398" s="4">
        <v>2368.63</v>
      </c>
      <c r="E398" s="4">
        <v>1168.7</v>
      </c>
      <c r="F398" s="3">
        <f>VLOOKUP(B398,'Profit &amp; Loss'!$B$2:$C$390,2,0)</f>
        <v>0</v>
      </c>
    </row>
    <row r="399" spans="1:6" x14ac:dyDescent="0.2">
      <c r="A399" s="3" t="s">
        <v>373</v>
      </c>
      <c r="B399" s="3" t="s">
        <v>374</v>
      </c>
      <c r="C399" s="4">
        <v>434.46</v>
      </c>
      <c r="D399" s="4">
        <v>208.65</v>
      </c>
      <c r="E399" s="4">
        <v>225.81</v>
      </c>
      <c r="F399" s="3">
        <f>VLOOKUP(B399,'Profit &amp; Loss'!$B$2:$C$390,2,0)</f>
        <v>2.44</v>
      </c>
    </row>
    <row r="400" spans="1:6" x14ac:dyDescent="0.2">
      <c r="A400" s="3" t="s">
        <v>373</v>
      </c>
      <c r="B400" s="3" t="s">
        <v>375</v>
      </c>
      <c r="C400" s="4">
        <v>5022.6499999999996</v>
      </c>
      <c r="D400" s="4">
        <v>3256.05</v>
      </c>
      <c r="E400" s="4">
        <v>1766.6</v>
      </c>
      <c r="F400" s="3">
        <f>VLOOKUP(B400,'Profit &amp; Loss'!$B$2:$C$390,2,0)</f>
        <v>-429.67</v>
      </c>
    </row>
    <row r="401" spans="1:6" x14ac:dyDescent="0.2">
      <c r="A401" s="3" t="s">
        <v>373</v>
      </c>
      <c r="B401" s="3" t="s">
        <v>573</v>
      </c>
      <c r="C401" s="4">
        <v>1208.25</v>
      </c>
      <c r="D401" s="4">
        <v>1208.25</v>
      </c>
      <c r="E401" s="4">
        <v>0</v>
      </c>
      <c r="F401" s="3">
        <f>VLOOKUP(B401,'Profit &amp; Loss'!$B$2:$C$390,2,0)</f>
        <v>939.64</v>
      </c>
    </row>
    <row r="402" spans="1:6" x14ac:dyDescent="0.2">
      <c r="A402" s="3" t="s">
        <v>373</v>
      </c>
      <c r="B402" s="3" t="s">
        <v>574</v>
      </c>
      <c r="C402" s="4">
        <v>540.29</v>
      </c>
      <c r="D402" s="4">
        <v>540.29</v>
      </c>
      <c r="E402" s="4">
        <v>0</v>
      </c>
      <c r="F402" s="3">
        <f>VLOOKUP(B402,'Profit &amp; Loss'!$B$2:$C$390,2,0)</f>
        <v>0</v>
      </c>
    </row>
    <row r="403" spans="1:6" x14ac:dyDescent="0.2">
      <c r="A403" s="3" t="s">
        <v>373</v>
      </c>
      <c r="B403" s="3" t="s">
        <v>376</v>
      </c>
      <c r="C403" s="4">
        <v>2117.64</v>
      </c>
      <c r="D403" s="4">
        <v>2092.7199999999998</v>
      </c>
      <c r="E403" s="4">
        <v>24.92</v>
      </c>
      <c r="F403" s="3">
        <f>VLOOKUP(B403,'Profit &amp; Loss'!$B$2:$C$390,2,0)</f>
        <v>654.64</v>
      </c>
    </row>
    <row r="404" spans="1:6" x14ac:dyDescent="0.2">
      <c r="A404" s="3" t="s">
        <v>373</v>
      </c>
      <c r="B404" s="3" t="s">
        <v>377</v>
      </c>
      <c r="C404" s="4">
        <v>4974.74</v>
      </c>
      <c r="D404" s="4">
        <v>3071.74</v>
      </c>
      <c r="E404" s="4">
        <v>1903</v>
      </c>
      <c r="F404" s="3">
        <f>VLOOKUP(B404,'Profit &amp; Loss'!$B$2:$C$390,2,0)</f>
        <v>0</v>
      </c>
    </row>
    <row r="405" spans="1:6" x14ac:dyDescent="0.2">
      <c r="A405" s="3" t="s">
        <v>373</v>
      </c>
      <c r="B405" s="3" t="s">
        <v>857</v>
      </c>
      <c r="C405" s="4">
        <v>36586.15</v>
      </c>
      <c r="D405" s="4">
        <v>30502.02</v>
      </c>
      <c r="E405" s="4">
        <v>6084.13</v>
      </c>
      <c r="F405" s="3">
        <f>VLOOKUP(B405,'Profit &amp; Loss'!$B$2:$C$390,2,0)</f>
        <v>0</v>
      </c>
    </row>
    <row r="406" spans="1:6" x14ac:dyDescent="0.2">
      <c r="A406" s="3" t="s">
        <v>373</v>
      </c>
      <c r="B406" s="3" t="s">
        <v>378</v>
      </c>
      <c r="C406" s="4">
        <v>27795.79</v>
      </c>
      <c r="D406" s="4">
        <v>20555.400000000001</v>
      </c>
      <c r="E406" s="4">
        <v>7240.39</v>
      </c>
      <c r="F406" s="3">
        <f>VLOOKUP(B406,'Profit &amp; Loss'!$B$2:$C$390,2,0)</f>
        <v>679.62</v>
      </c>
    </row>
    <row r="407" spans="1:6" x14ac:dyDescent="0.2">
      <c r="A407" s="3" t="s">
        <v>373</v>
      </c>
      <c r="B407" s="3" t="s">
        <v>2</v>
      </c>
      <c r="C407" s="4">
        <v>82217.3</v>
      </c>
      <c r="D407" s="4">
        <v>63803.75</v>
      </c>
      <c r="E407" s="4">
        <v>18413.55</v>
      </c>
      <c r="F407" s="3" t="e">
        <f>VLOOKUP(B407,'Profit &amp; Loss'!$B$2:$C$390,2,0)</f>
        <v>#N/A</v>
      </c>
    </row>
    <row r="408" spans="1:6" x14ac:dyDescent="0.2">
      <c r="A408" s="3" t="s">
        <v>379</v>
      </c>
      <c r="B408" s="3" t="s">
        <v>380</v>
      </c>
      <c r="C408" s="4">
        <v>953.57</v>
      </c>
      <c r="D408" s="4">
        <v>953.57</v>
      </c>
      <c r="E408" s="4">
        <v>0</v>
      </c>
      <c r="F408" s="3">
        <f>VLOOKUP(B408,'Profit &amp; Loss'!$B$2:$C$390,2,0)</f>
        <v>94.24</v>
      </c>
    </row>
    <row r="409" spans="1:6" x14ac:dyDescent="0.2">
      <c r="A409" s="3" t="s">
        <v>379</v>
      </c>
      <c r="B409" s="3" t="s">
        <v>381</v>
      </c>
      <c r="C409" s="4">
        <v>9790.82</v>
      </c>
      <c r="D409" s="4">
        <v>7863.65</v>
      </c>
      <c r="E409" s="4">
        <v>1927.17</v>
      </c>
      <c r="F409" s="3">
        <f>VLOOKUP(B409,'Profit &amp; Loss'!$B$2:$C$390,2,0)</f>
        <v>-870.15</v>
      </c>
    </row>
    <row r="410" spans="1:6" x14ac:dyDescent="0.2">
      <c r="A410" s="3" t="s">
        <v>379</v>
      </c>
      <c r="B410" s="3" t="s">
        <v>382</v>
      </c>
      <c r="C410" s="4">
        <v>1720.86</v>
      </c>
      <c r="D410" s="4">
        <v>1464.93</v>
      </c>
      <c r="E410" s="4">
        <v>255.93</v>
      </c>
      <c r="F410" s="3">
        <f>VLOOKUP(B410,'Profit &amp; Loss'!$B$2:$C$390,2,0)</f>
        <v>-237.73</v>
      </c>
    </row>
    <row r="411" spans="1:6" x14ac:dyDescent="0.2">
      <c r="A411" s="3" t="s">
        <v>379</v>
      </c>
      <c r="B411" s="3" t="s">
        <v>2</v>
      </c>
      <c r="C411" s="4">
        <v>12465.25</v>
      </c>
      <c r="D411" s="4">
        <v>10282.15</v>
      </c>
      <c r="E411" s="4">
        <v>2183.1</v>
      </c>
      <c r="F411" s="3" t="e">
        <f>VLOOKUP(B411,'Profit &amp; Loss'!$B$2:$C$390,2,0)</f>
        <v>#N/A</v>
      </c>
    </row>
    <row r="412" spans="1:6" x14ac:dyDescent="0.2">
      <c r="A412" s="3" t="s">
        <v>383</v>
      </c>
      <c r="B412" s="3" t="s">
        <v>384</v>
      </c>
      <c r="C412" s="4">
        <v>1099.83</v>
      </c>
      <c r="D412" s="4">
        <v>1093.77</v>
      </c>
      <c r="E412" s="4">
        <v>6.06</v>
      </c>
      <c r="F412" s="3">
        <f>VLOOKUP(B412,'Profit &amp; Loss'!$B$2:$C$390,2,0)</f>
        <v>152.97999999999999</v>
      </c>
    </row>
    <row r="413" spans="1:6" x14ac:dyDescent="0.2">
      <c r="A413" s="3" t="s">
        <v>383</v>
      </c>
      <c r="B413" s="3" t="s">
        <v>993</v>
      </c>
      <c r="C413" s="4">
        <v>-130594.91</v>
      </c>
      <c r="D413" s="4">
        <v>-130594.91</v>
      </c>
      <c r="E413" s="4">
        <v>0</v>
      </c>
      <c r="F413" s="3">
        <f>VLOOKUP(B413,'Profit &amp; Loss'!$B$2:$C$390,2,0)</f>
        <v>-130594.91</v>
      </c>
    </row>
    <row r="414" spans="1:6" x14ac:dyDescent="0.2">
      <c r="A414" s="3" t="s">
        <v>383</v>
      </c>
      <c r="B414" s="3" t="s">
        <v>385</v>
      </c>
      <c r="C414" s="4">
        <v>23032.42</v>
      </c>
      <c r="D414" s="4">
        <v>19248.61</v>
      </c>
      <c r="E414" s="4">
        <v>3783.81</v>
      </c>
      <c r="F414" s="3">
        <f>VLOOKUP(B414,'Profit &amp; Loss'!$B$2:$C$390,2,0)</f>
        <v>3245.65</v>
      </c>
    </row>
    <row r="415" spans="1:6" x14ac:dyDescent="0.2">
      <c r="A415" s="3" t="s">
        <v>383</v>
      </c>
      <c r="B415" s="3" t="s">
        <v>386</v>
      </c>
      <c r="C415" s="4">
        <v>23760.63</v>
      </c>
      <c r="D415" s="4">
        <v>19101.93</v>
      </c>
      <c r="E415" s="4">
        <v>4658.7</v>
      </c>
      <c r="F415" s="3">
        <f>VLOOKUP(B415,'Profit &amp; Loss'!$B$2:$C$390,2,0)</f>
        <v>4774.8</v>
      </c>
    </row>
    <row r="416" spans="1:6" x14ac:dyDescent="0.2">
      <c r="A416" s="3" t="s">
        <v>383</v>
      </c>
      <c r="B416" s="3" t="s">
        <v>387</v>
      </c>
      <c r="C416" s="4">
        <v>29581.45</v>
      </c>
      <c r="D416" s="4">
        <v>23961.68</v>
      </c>
      <c r="E416" s="4">
        <v>5619.77</v>
      </c>
      <c r="F416" s="3">
        <f>VLOOKUP(B416,'Profit &amp; Loss'!$B$2:$C$390,2,0)</f>
        <v>5944.89</v>
      </c>
    </row>
    <row r="417" spans="1:6" x14ac:dyDescent="0.2">
      <c r="A417" s="3" t="s">
        <v>383</v>
      </c>
      <c r="B417" s="3" t="s">
        <v>2</v>
      </c>
      <c r="C417" s="4">
        <v>-53120.58</v>
      </c>
      <c r="D417" s="4">
        <v>-67188.92</v>
      </c>
      <c r="E417" s="4">
        <v>14068.34</v>
      </c>
      <c r="F417" s="3" t="e">
        <f>VLOOKUP(B417,'Profit &amp; Loss'!$B$2:$C$390,2,0)</f>
        <v>#N/A</v>
      </c>
    </row>
    <row r="418" spans="1:6" x14ac:dyDescent="0.2">
      <c r="A418" s="3" t="s">
        <v>678</v>
      </c>
      <c r="B418" s="3" t="s">
        <v>994</v>
      </c>
      <c r="C418" s="4">
        <v>249.17</v>
      </c>
      <c r="D418" s="4">
        <v>249.17</v>
      </c>
      <c r="E418" s="4">
        <v>0</v>
      </c>
      <c r="F418" s="3">
        <f>VLOOKUP(B418,'Profit &amp; Loss'!$B$2:$C$390,2,0)</f>
        <v>1302.99</v>
      </c>
    </row>
    <row r="419" spans="1:6" x14ac:dyDescent="0.2">
      <c r="A419" s="3" t="s">
        <v>678</v>
      </c>
      <c r="B419" s="3" t="s">
        <v>679</v>
      </c>
      <c r="C419" s="4">
        <v>1741.22</v>
      </c>
      <c r="D419" s="4">
        <v>1741.22</v>
      </c>
      <c r="E419" s="4">
        <v>0</v>
      </c>
      <c r="F419" s="3" t="e">
        <f>VLOOKUP(B419,'Profit &amp; Loss'!$B$2:$C$390,2,0)</f>
        <v>#N/A</v>
      </c>
    </row>
    <row r="420" spans="1:6" x14ac:dyDescent="0.2">
      <c r="A420" s="3" t="s">
        <v>678</v>
      </c>
      <c r="B420" s="3" t="s">
        <v>2</v>
      </c>
      <c r="C420" s="4">
        <v>1990.39</v>
      </c>
      <c r="D420" s="4">
        <v>1990.39</v>
      </c>
      <c r="E420" s="4">
        <v>0</v>
      </c>
      <c r="F420" s="3" t="e">
        <f>VLOOKUP(B420,'Profit &amp; Loss'!$B$2:$C$390,2,0)</f>
        <v>#N/A</v>
      </c>
    </row>
    <row r="421" spans="1:6" x14ac:dyDescent="0.2">
      <c r="A421" s="3" t="s">
        <v>388</v>
      </c>
      <c r="B421" s="3" t="s">
        <v>390</v>
      </c>
      <c r="C421" s="4">
        <v>3535.66</v>
      </c>
      <c r="D421" s="4">
        <v>2850.42</v>
      </c>
      <c r="E421" s="4">
        <v>685.24</v>
      </c>
      <c r="F421" s="3" t="e">
        <f>VLOOKUP(B421,'Profit &amp; Loss'!$B$2:$C$390,2,0)</f>
        <v>#N/A</v>
      </c>
    </row>
    <row r="422" spans="1:6" x14ac:dyDescent="0.2">
      <c r="A422" s="3" t="s">
        <v>388</v>
      </c>
      <c r="B422" s="3" t="s">
        <v>2</v>
      </c>
      <c r="C422" s="4">
        <v>3535.66</v>
      </c>
      <c r="D422" s="4">
        <v>2850.42</v>
      </c>
      <c r="E422" s="4">
        <v>685.24</v>
      </c>
      <c r="F422" s="3" t="e">
        <f>VLOOKUP(B422,'Profit &amp; Loss'!$B$2:$C$390,2,0)</f>
        <v>#N/A</v>
      </c>
    </row>
    <row r="423" spans="1:6" x14ac:dyDescent="0.2">
      <c r="A423" s="3" t="s">
        <v>391</v>
      </c>
      <c r="B423" s="3" t="s">
        <v>579</v>
      </c>
      <c r="C423" s="4">
        <v>1001.07</v>
      </c>
      <c r="D423" s="4">
        <v>1001.07</v>
      </c>
      <c r="E423" s="4">
        <v>0</v>
      </c>
      <c r="F423" s="3">
        <f>VLOOKUP(B423,'Profit &amp; Loss'!$B$2:$C$390,2,0)</f>
        <v>2.69</v>
      </c>
    </row>
    <row r="424" spans="1:6" x14ac:dyDescent="0.2">
      <c r="A424" s="3" t="s">
        <v>391</v>
      </c>
      <c r="B424" s="3" t="s">
        <v>392</v>
      </c>
      <c r="C424" s="4">
        <v>11520.52</v>
      </c>
      <c r="D424" s="4">
        <v>9512.94</v>
      </c>
      <c r="E424" s="4">
        <v>2007.58</v>
      </c>
      <c r="F424" s="3">
        <f>VLOOKUP(B424,'Profit &amp; Loss'!$B$2:$C$390,2,0)</f>
        <v>904.52</v>
      </c>
    </row>
    <row r="425" spans="1:6" x14ac:dyDescent="0.2">
      <c r="A425" s="3" t="s">
        <v>391</v>
      </c>
      <c r="B425" s="3" t="s">
        <v>2</v>
      </c>
      <c r="C425" s="4">
        <v>12521.59</v>
      </c>
      <c r="D425" s="4">
        <v>10514.01</v>
      </c>
      <c r="E425" s="4">
        <v>2007.58</v>
      </c>
      <c r="F425" s="3" t="e">
        <f>VLOOKUP(B425,'Profit &amp; Loss'!$B$2:$C$390,2,0)</f>
        <v>#N/A</v>
      </c>
    </row>
    <row r="426" spans="1:6" x14ac:dyDescent="0.2">
      <c r="A426" s="3" t="s">
        <v>393</v>
      </c>
      <c r="B426" s="3" t="s">
        <v>394</v>
      </c>
      <c r="C426" s="4">
        <v>8663.65</v>
      </c>
      <c r="D426" s="4">
        <v>7726.66</v>
      </c>
      <c r="E426" s="4">
        <v>936.99</v>
      </c>
      <c r="F426" s="3">
        <f>VLOOKUP(B426,'Profit &amp; Loss'!$B$2:$C$390,2,0)</f>
        <v>1534.08</v>
      </c>
    </row>
    <row r="427" spans="1:6" x14ac:dyDescent="0.2">
      <c r="A427" s="3" t="s">
        <v>393</v>
      </c>
      <c r="B427" s="3" t="s">
        <v>395</v>
      </c>
      <c r="C427" s="4">
        <v>8629.58</v>
      </c>
      <c r="D427" s="4">
        <v>8439.2199999999993</v>
      </c>
      <c r="E427" s="4">
        <v>190.36</v>
      </c>
      <c r="F427" s="3">
        <f>VLOOKUP(B427,'Profit &amp; Loss'!$B$2:$C$390,2,0)</f>
        <v>2034.12</v>
      </c>
    </row>
    <row r="428" spans="1:6" x14ac:dyDescent="0.2">
      <c r="A428" s="3" t="s">
        <v>393</v>
      </c>
      <c r="B428" s="3" t="s">
        <v>2</v>
      </c>
      <c r="C428" s="4">
        <v>17293.23</v>
      </c>
      <c r="D428" s="4">
        <v>16165.88</v>
      </c>
      <c r="E428" s="4">
        <v>1127.3499999999999</v>
      </c>
      <c r="F428" s="3" t="e">
        <f>VLOOKUP(B428,'Profit &amp; Loss'!$B$2:$C$390,2,0)</f>
        <v>#N/A</v>
      </c>
    </row>
    <row r="429" spans="1:6" x14ac:dyDescent="0.2">
      <c r="A429" s="3" t="s">
        <v>582</v>
      </c>
      <c r="B429" s="3" t="s">
        <v>583</v>
      </c>
      <c r="C429" s="4">
        <v>35659.21</v>
      </c>
      <c r="D429" s="4">
        <v>-21886.48</v>
      </c>
      <c r="E429" s="4">
        <v>57545.69</v>
      </c>
      <c r="F429" s="3">
        <f>VLOOKUP(B429,'Profit &amp; Loss'!$B$2:$C$390,2,0)</f>
        <v>-54602.16</v>
      </c>
    </row>
    <row r="430" spans="1:6" x14ac:dyDescent="0.2">
      <c r="A430" s="3" t="s">
        <v>582</v>
      </c>
      <c r="B430" s="3" t="s">
        <v>584</v>
      </c>
      <c r="C430" s="4">
        <v>57867.82</v>
      </c>
      <c r="D430" s="4">
        <v>38449.040000000001</v>
      </c>
      <c r="E430" s="4">
        <v>19418.78</v>
      </c>
      <c r="F430" s="3">
        <f>VLOOKUP(B430,'Profit &amp; Loss'!$B$2:$C$390,2,0)</f>
        <v>-28044.34</v>
      </c>
    </row>
    <row r="431" spans="1:6" x14ac:dyDescent="0.2">
      <c r="A431" s="3" t="s">
        <v>582</v>
      </c>
      <c r="B431" s="3" t="s">
        <v>684</v>
      </c>
      <c r="C431" s="4">
        <v>43840.66</v>
      </c>
      <c r="D431" s="4">
        <v>33001.410000000003</v>
      </c>
      <c r="E431" s="4">
        <v>10839.25</v>
      </c>
      <c r="F431" s="3">
        <f>VLOOKUP(B431,'Profit &amp; Loss'!$B$2:$C$390,2,0)</f>
        <v>-37.07</v>
      </c>
    </row>
    <row r="432" spans="1:6" x14ac:dyDescent="0.2">
      <c r="A432" s="3" t="s">
        <v>582</v>
      </c>
      <c r="B432" s="3" t="s">
        <v>2</v>
      </c>
      <c r="C432" s="4">
        <v>137367.69</v>
      </c>
      <c r="D432" s="4">
        <v>49563.97</v>
      </c>
      <c r="E432" s="4">
        <v>87803.72</v>
      </c>
      <c r="F432" s="3" t="e">
        <f>VLOOKUP(B432,'Profit &amp; Loss'!$B$2:$C$390,2,0)</f>
        <v>#N/A</v>
      </c>
    </row>
    <row r="433" spans="1:6" x14ac:dyDescent="0.2">
      <c r="A433" s="3" t="s">
        <v>396</v>
      </c>
      <c r="B433" s="3" t="s">
        <v>1403</v>
      </c>
      <c r="C433" s="4">
        <v>162.94</v>
      </c>
      <c r="D433" s="4">
        <v>162.94</v>
      </c>
      <c r="E433" s="4">
        <v>0</v>
      </c>
      <c r="F433" s="3">
        <f>VLOOKUP(B433,'Profit &amp; Loss'!$B$2:$C$390,2,0)</f>
        <v>0</v>
      </c>
    </row>
    <row r="434" spans="1:6" x14ac:dyDescent="0.2">
      <c r="A434" s="3" t="s">
        <v>396</v>
      </c>
      <c r="B434" s="3" t="s">
        <v>397</v>
      </c>
      <c r="C434" s="4">
        <v>9956.4599999999991</v>
      </c>
      <c r="D434" s="4">
        <v>9956.4599999999991</v>
      </c>
      <c r="E434" s="4">
        <v>0</v>
      </c>
      <c r="F434" s="3">
        <f>VLOOKUP(B434,'Profit &amp; Loss'!$B$2:$C$390,2,0)</f>
        <v>4528.21</v>
      </c>
    </row>
    <row r="435" spans="1:6" x14ac:dyDescent="0.2">
      <c r="A435" s="3" t="s">
        <v>396</v>
      </c>
      <c r="B435" s="3" t="s">
        <v>2</v>
      </c>
      <c r="C435" s="4">
        <v>10119.4</v>
      </c>
      <c r="D435" s="4">
        <v>10119.4</v>
      </c>
      <c r="E435" s="4">
        <v>0</v>
      </c>
      <c r="F435" s="3" t="e">
        <f>VLOOKUP(B435,'Profit &amp; Loss'!$B$2:$C$390,2,0)</f>
        <v>#N/A</v>
      </c>
    </row>
    <row r="436" spans="1:6" x14ac:dyDescent="0.2">
      <c r="A436" s="3" t="s">
        <v>398</v>
      </c>
      <c r="B436" s="3" t="s">
        <v>399</v>
      </c>
      <c r="C436" s="4">
        <v>13410.16</v>
      </c>
      <c r="D436" s="4">
        <v>10522.28</v>
      </c>
      <c r="E436" s="4">
        <v>2887.88</v>
      </c>
      <c r="F436" s="3">
        <f>VLOOKUP(B436,'Profit &amp; Loss'!$B$2:$C$390,2,0)</f>
        <v>6517.4</v>
      </c>
    </row>
    <row r="437" spans="1:6" x14ac:dyDescent="0.2">
      <c r="A437" s="3" t="s">
        <v>398</v>
      </c>
      <c r="B437" s="3" t="s">
        <v>400</v>
      </c>
      <c r="C437" s="4">
        <v>17547.2</v>
      </c>
      <c r="D437" s="4">
        <v>17547.2</v>
      </c>
      <c r="E437" s="4">
        <v>0</v>
      </c>
      <c r="F437" s="3">
        <f>VLOOKUP(B437,'Profit &amp; Loss'!$B$2:$C$390,2,0)</f>
        <v>0</v>
      </c>
    </row>
    <row r="438" spans="1:6" x14ac:dyDescent="0.2">
      <c r="A438" s="3" t="s">
        <v>398</v>
      </c>
      <c r="B438" s="3" t="s">
        <v>2</v>
      </c>
      <c r="C438" s="4">
        <v>30957.360000000001</v>
      </c>
      <c r="D438" s="4">
        <v>28069.48</v>
      </c>
      <c r="E438" s="4">
        <v>2887.88</v>
      </c>
      <c r="F438" s="3" t="e">
        <f>VLOOKUP(B438,'Profit &amp; Loss'!$B$2:$C$390,2,0)</f>
        <v>#N/A</v>
      </c>
    </row>
    <row r="439" spans="1:6" x14ac:dyDescent="0.2">
      <c r="A439" s="3" t="s">
        <v>401</v>
      </c>
      <c r="B439" s="3" t="s">
        <v>402</v>
      </c>
      <c r="C439" s="4">
        <v>139.75</v>
      </c>
      <c r="D439" s="4">
        <v>139.75</v>
      </c>
      <c r="E439" s="4">
        <v>0</v>
      </c>
      <c r="F439" s="3">
        <f>VLOOKUP(B439,'Profit &amp; Loss'!$B$2:$C$390,2,0)</f>
        <v>139.75</v>
      </c>
    </row>
    <row r="440" spans="1:6" x14ac:dyDescent="0.2">
      <c r="A440" s="3" t="s">
        <v>401</v>
      </c>
      <c r="B440" s="3" t="s">
        <v>2</v>
      </c>
      <c r="C440" s="4">
        <v>139.75</v>
      </c>
      <c r="D440" s="4">
        <v>139.75</v>
      </c>
      <c r="E440" s="4">
        <v>0</v>
      </c>
      <c r="F440" s="3" t="e">
        <f>VLOOKUP(B440,'Profit &amp; Loss'!$B$2:$C$390,2,0)</f>
        <v>#N/A</v>
      </c>
    </row>
    <row r="441" spans="1:6" x14ac:dyDescent="0.2">
      <c r="A441" s="3" t="s">
        <v>403</v>
      </c>
      <c r="B441" s="3" t="s">
        <v>404</v>
      </c>
      <c r="C441" s="4">
        <v>6693.66</v>
      </c>
      <c r="D441" s="4">
        <v>5883.17</v>
      </c>
      <c r="E441" s="4">
        <v>810.49</v>
      </c>
      <c r="F441" s="3">
        <f>VLOOKUP(B441,'Profit &amp; Loss'!$B$2:$C$390,2,0)</f>
        <v>1539.76</v>
      </c>
    </row>
    <row r="442" spans="1:6" x14ac:dyDescent="0.2">
      <c r="A442" s="3" t="s">
        <v>403</v>
      </c>
      <c r="B442" s="3" t="s">
        <v>405</v>
      </c>
      <c r="C442" s="4">
        <v>75075.199999999997</v>
      </c>
      <c r="D442" s="4">
        <v>63015.95</v>
      </c>
      <c r="E442" s="4">
        <v>12059.25</v>
      </c>
      <c r="F442" s="3">
        <f>VLOOKUP(B442,'Profit &amp; Loss'!$B$2:$C$390,2,0)</f>
        <v>2743.74</v>
      </c>
    </row>
    <row r="443" spans="1:6" x14ac:dyDescent="0.2">
      <c r="A443" s="3" t="s">
        <v>403</v>
      </c>
      <c r="B443" s="3" t="s">
        <v>406</v>
      </c>
      <c r="C443" s="4">
        <v>63.95</v>
      </c>
      <c r="D443" s="4">
        <v>55.91</v>
      </c>
      <c r="E443" s="4">
        <v>8.0399999999999991</v>
      </c>
      <c r="F443" s="3">
        <f>VLOOKUP(B443,'Profit &amp; Loss'!$B$2:$C$390,2,0)</f>
        <v>28.84</v>
      </c>
    </row>
    <row r="444" spans="1:6" x14ac:dyDescent="0.2">
      <c r="A444" s="3" t="s">
        <v>403</v>
      </c>
      <c r="B444" s="3" t="s">
        <v>407</v>
      </c>
      <c r="C444" s="4">
        <v>174.21</v>
      </c>
      <c r="D444" s="4">
        <v>174.21</v>
      </c>
      <c r="E444" s="4">
        <v>0</v>
      </c>
      <c r="F444" s="3">
        <f>VLOOKUP(B444,'Profit &amp; Loss'!$B$2:$C$390,2,0)</f>
        <v>0</v>
      </c>
    </row>
    <row r="445" spans="1:6" x14ac:dyDescent="0.2">
      <c r="A445" s="3" t="s">
        <v>403</v>
      </c>
      <c r="B445" s="3" t="s">
        <v>686</v>
      </c>
      <c r="C445" s="4">
        <v>564.88</v>
      </c>
      <c r="D445" s="4">
        <v>564.88</v>
      </c>
      <c r="E445" s="4">
        <v>0</v>
      </c>
      <c r="F445" s="3">
        <f>VLOOKUP(B445,'Profit &amp; Loss'!$B$2:$C$390,2,0)</f>
        <v>494.67</v>
      </c>
    </row>
    <row r="446" spans="1:6" x14ac:dyDescent="0.2">
      <c r="A446" s="3" t="s">
        <v>403</v>
      </c>
      <c r="B446" s="3" t="s">
        <v>2</v>
      </c>
      <c r="C446" s="4">
        <v>82571.899999999994</v>
      </c>
      <c r="D446" s="4">
        <v>69694.12</v>
      </c>
      <c r="E446" s="4">
        <v>12877.78</v>
      </c>
      <c r="F446" s="3" t="e">
        <f>VLOOKUP(B446,'Profit &amp; Loss'!$B$2:$C$390,2,0)</f>
        <v>#N/A</v>
      </c>
    </row>
    <row r="447" spans="1:6" x14ac:dyDescent="0.2">
      <c r="A447" s="3" t="s">
        <v>408</v>
      </c>
      <c r="B447" s="3" t="s">
        <v>409</v>
      </c>
      <c r="C447" s="4">
        <v>24466.799999999999</v>
      </c>
      <c r="D447" s="4">
        <v>18657.73</v>
      </c>
      <c r="E447" s="4">
        <v>5809.07</v>
      </c>
      <c r="F447" s="3">
        <f>VLOOKUP(B447,'Profit &amp; Loss'!$B$2:$C$390,2,0)</f>
        <v>3504.81</v>
      </c>
    </row>
    <row r="448" spans="1:6" x14ac:dyDescent="0.2">
      <c r="A448" s="3" t="s">
        <v>408</v>
      </c>
      <c r="B448" s="3" t="s">
        <v>995</v>
      </c>
      <c r="C448" s="4">
        <v>33.01</v>
      </c>
      <c r="D448" s="4">
        <v>33.01</v>
      </c>
      <c r="E448" s="4">
        <v>0</v>
      </c>
      <c r="F448" s="3">
        <f>VLOOKUP(B448,'Profit &amp; Loss'!$B$2:$C$390,2,0)</f>
        <v>8.25</v>
      </c>
    </row>
    <row r="449" spans="1:6" x14ac:dyDescent="0.2">
      <c r="A449" s="3" t="s">
        <v>408</v>
      </c>
      <c r="B449" s="3" t="s">
        <v>410</v>
      </c>
      <c r="C449" s="4">
        <v>323.63</v>
      </c>
      <c r="D449" s="4">
        <v>251.46</v>
      </c>
      <c r="E449" s="4">
        <v>72.17</v>
      </c>
      <c r="F449" s="3">
        <f>VLOOKUP(B449,'Profit &amp; Loss'!$B$2:$C$390,2,0)</f>
        <v>34.97</v>
      </c>
    </row>
    <row r="450" spans="1:6" x14ac:dyDescent="0.2">
      <c r="A450" s="3" t="s">
        <v>408</v>
      </c>
      <c r="B450" s="3" t="s">
        <v>411</v>
      </c>
      <c r="C450" s="4">
        <v>11006.45</v>
      </c>
      <c r="D450" s="4">
        <v>8638.64</v>
      </c>
      <c r="E450" s="4">
        <v>2367.81</v>
      </c>
      <c r="F450" s="3">
        <f>VLOOKUP(B450,'Profit &amp; Loss'!$B$2:$C$390,2,0)</f>
        <v>2065.9299999999998</v>
      </c>
    </row>
    <row r="451" spans="1:6" x14ac:dyDescent="0.2">
      <c r="A451" s="3" t="s">
        <v>408</v>
      </c>
      <c r="B451" s="3" t="s">
        <v>412</v>
      </c>
      <c r="C451" s="4">
        <v>1507.4</v>
      </c>
      <c r="D451" s="4">
        <v>1232.8900000000001</v>
      </c>
      <c r="E451" s="4">
        <v>274.51</v>
      </c>
      <c r="F451" s="3">
        <f>VLOOKUP(B451,'Profit &amp; Loss'!$B$2:$C$390,2,0)</f>
        <v>409.3</v>
      </c>
    </row>
    <row r="452" spans="1:6" x14ac:dyDescent="0.2">
      <c r="A452" s="3" t="s">
        <v>408</v>
      </c>
      <c r="B452" s="3" t="s">
        <v>413</v>
      </c>
      <c r="C452" s="4">
        <v>9042.93</v>
      </c>
      <c r="D452" s="4">
        <v>6761.99</v>
      </c>
      <c r="E452" s="4">
        <v>2280.94</v>
      </c>
      <c r="F452" s="3">
        <f>VLOOKUP(B452,'Profit &amp; Loss'!$B$2:$C$390,2,0)</f>
        <v>1687.53</v>
      </c>
    </row>
    <row r="453" spans="1:6" x14ac:dyDescent="0.2">
      <c r="A453" s="3" t="s">
        <v>408</v>
      </c>
      <c r="B453" s="3" t="s">
        <v>414</v>
      </c>
      <c r="C453" s="4">
        <v>5573.87</v>
      </c>
      <c r="D453" s="4">
        <v>4459.1000000000004</v>
      </c>
      <c r="E453" s="4">
        <v>1114.77</v>
      </c>
      <c r="F453" s="3">
        <f>VLOOKUP(B453,'Profit &amp; Loss'!$B$2:$C$390,2,0)</f>
        <v>1114.78</v>
      </c>
    </row>
    <row r="454" spans="1:6" x14ac:dyDescent="0.2">
      <c r="A454" s="3" t="s">
        <v>408</v>
      </c>
      <c r="B454" s="3" t="s">
        <v>415</v>
      </c>
      <c r="C454" s="4">
        <v>277.92</v>
      </c>
      <c r="D454" s="4">
        <v>222.34</v>
      </c>
      <c r="E454" s="4">
        <v>55.58</v>
      </c>
      <c r="F454" s="3">
        <f>VLOOKUP(B454,'Profit &amp; Loss'!$B$2:$C$390,2,0)</f>
        <v>55.58</v>
      </c>
    </row>
    <row r="455" spans="1:6" x14ac:dyDescent="0.2">
      <c r="A455" s="3" t="s">
        <v>408</v>
      </c>
      <c r="B455" s="3" t="s">
        <v>416</v>
      </c>
      <c r="C455" s="4">
        <v>12966.26</v>
      </c>
      <c r="D455" s="4">
        <v>11265.32</v>
      </c>
      <c r="E455" s="4">
        <v>1700.94</v>
      </c>
      <c r="F455" s="3">
        <f>VLOOKUP(B455,'Profit &amp; Loss'!$B$2:$C$390,2,0)</f>
        <v>5433.31</v>
      </c>
    </row>
    <row r="456" spans="1:6" x14ac:dyDescent="0.2">
      <c r="A456" s="3" t="s">
        <v>408</v>
      </c>
      <c r="B456" s="3" t="s">
        <v>417</v>
      </c>
      <c r="C456" s="4">
        <v>14582.2</v>
      </c>
      <c r="D456" s="4">
        <v>11665.76</v>
      </c>
      <c r="E456" s="4">
        <v>2916.44</v>
      </c>
      <c r="F456" s="3">
        <f>VLOOKUP(B456,'Profit &amp; Loss'!$B$2:$C$390,2,0)</f>
        <v>2916.44</v>
      </c>
    </row>
    <row r="457" spans="1:6" x14ac:dyDescent="0.2">
      <c r="A457" s="3" t="s">
        <v>408</v>
      </c>
      <c r="B457" s="3" t="s">
        <v>689</v>
      </c>
      <c r="C457" s="4">
        <v>373898.41</v>
      </c>
      <c r="D457" s="4">
        <v>60617.71</v>
      </c>
      <c r="E457" s="4">
        <v>313280.7</v>
      </c>
      <c r="F457" s="3">
        <f>VLOOKUP(B457,'Profit &amp; Loss'!$B$2:$C$390,2,0)</f>
        <v>60617.71</v>
      </c>
    </row>
    <row r="458" spans="1:6" x14ac:dyDescent="0.2">
      <c r="A458" s="3" t="s">
        <v>408</v>
      </c>
      <c r="B458" s="3" t="s">
        <v>418</v>
      </c>
      <c r="C458" s="4">
        <v>54259.57</v>
      </c>
      <c r="D458" s="4">
        <v>34370.14</v>
      </c>
      <c r="E458" s="4">
        <v>19889.43</v>
      </c>
      <c r="F458" s="3">
        <f>VLOOKUP(B458,'Profit &amp; Loss'!$B$2:$C$390,2,0)</f>
        <v>10835.77</v>
      </c>
    </row>
    <row r="459" spans="1:6" x14ac:dyDescent="0.2">
      <c r="A459" s="3" t="s">
        <v>408</v>
      </c>
      <c r="B459" s="3" t="s">
        <v>419</v>
      </c>
      <c r="C459" s="4">
        <v>27471.25</v>
      </c>
      <c r="D459" s="4">
        <v>21957.73</v>
      </c>
      <c r="E459" s="4">
        <v>5513.52</v>
      </c>
      <c r="F459" s="3">
        <f>VLOOKUP(B459,'Profit &amp; Loss'!$B$2:$C$390,2,0)</f>
        <v>5356.49</v>
      </c>
    </row>
    <row r="460" spans="1:6" x14ac:dyDescent="0.2">
      <c r="A460" s="3" t="s">
        <v>408</v>
      </c>
      <c r="B460" s="3" t="s">
        <v>2</v>
      </c>
      <c r="C460" s="4">
        <v>535409.69999999995</v>
      </c>
      <c r="D460" s="4">
        <v>180133.82</v>
      </c>
      <c r="E460" s="4">
        <v>355275.88</v>
      </c>
      <c r="F460" s="3" t="e">
        <f>VLOOKUP(B460,'Profit &amp; Loss'!$B$2:$C$390,2,0)</f>
        <v>#N/A</v>
      </c>
    </row>
    <row r="461" spans="1:6" x14ac:dyDescent="0.2">
      <c r="A461" s="3" t="s">
        <v>420</v>
      </c>
      <c r="B461" s="3" t="s">
        <v>421</v>
      </c>
      <c r="C461" s="4">
        <v>56416.37</v>
      </c>
      <c r="D461" s="4">
        <v>50068.93</v>
      </c>
      <c r="E461" s="4">
        <v>6347.44</v>
      </c>
      <c r="F461" s="3">
        <f>VLOOKUP(B461,'Profit &amp; Loss'!$B$2:$C$390,2,0)</f>
        <v>9127.73</v>
      </c>
    </row>
    <row r="462" spans="1:6" x14ac:dyDescent="0.2">
      <c r="A462" s="3" t="s">
        <v>420</v>
      </c>
      <c r="B462" s="3" t="s">
        <v>422</v>
      </c>
      <c r="C462" s="4">
        <v>15536.52</v>
      </c>
      <c r="D462" s="4">
        <v>11464.57</v>
      </c>
      <c r="E462" s="4">
        <v>4071.95</v>
      </c>
      <c r="F462" s="3">
        <f>VLOOKUP(B462,'Profit &amp; Loss'!$B$2:$C$390,2,0)</f>
        <v>4172.96</v>
      </c>
    </row>
    <row r="463" spans="1:6" x14ac:dyDescent="0.2">
      <c r="A463" s="3" t="s">
        <v>420</v>
      </c>
      <c r="B463" s="3" t="s">
        <v>423</v>
      </c>
      <c r="C463" s="4">
        <v>18505.46</v>
      </c>
      <c r="D463" s="4">
        <v>15882.51</v>
      </c>
      <c r="E463" s="4">
        <v>2622.95</v>
      </c>
      <c r="F463" s="3">
        <f>VLOOKUP(B463,'Profit &amp; Loss'!$B$2:$C$390,2,0)</f>
        <v>6431.37</v>
      </c>
    </row>
    <row r="464" spans="1:6" x14ac:dyDescent="0.2">
      <c r="A464" s="3" t="s">
        <v>420</v>
      </c>
      <c r="B464" s="3" t="s">
        <v>424</v>
      </c>
      <c r="C464" s="4">
        <v>13795.2</v>
      </c>
      <c r="D464" s="4">
        <v>10144.24</v>
      </c>
      <c r="E464" s="4">
        <v>3650.96</v>
      </c>
      <c r="F464" s="3">
        <f>VLOOKUP(B464,'Profit &amp; Loss'!$B$2:$C$390,2,0)</f>
        <v>2832.61</v>
      </c>
    </row>
    <row r="465" spans="1:6" x14ac:dyDescent="0.2">
      <c r="A465" s="3" t="s">
        <v>420</v>
      </c>
      <c r="B465" s="3" t="s">
        <v>588</v>
      </c>
      <c r="C465" s="4">
        <v>149.44999999999999</v>
      </c>
      <c r="D465" s="4">
        <v>132.38999999999999</v>
      </c>
      <c r="E465" s="4">
        <v>17.059999999999999</v>
      </c>
      <c r="F465" s="3">
        <f>VLOOKUP(B465,'Profit &amp; Loss'!$B$2:$C$390,2,0)</f>
        <v>104.5</v>
      </c>
    </row>
    <row r="466" spans="1:6" x14ac:dyDescent="0.2">
      <c r="A466" s="3" t="s">
        <v>420</v>
      </c>
      <c r="B466" s="3" t="s">
        <v>425</v>
      </c>
      <c r="C466" s="4">
        <v>3198.43</v>
      </c>
      <c r="D466" s="4">
        <v>2526.38</v>
      </c>
      <c r="E466" s="4">
        <v>672.05</v>
      </c>
      <c r="F466" s="3">
        <f>VLOOKUP(B466,'Profit &amp; Loss'!$B$2:$C$390,2,0)</f>
        <v>330.94</v>
      </c>
    </row>
    <row r="467" spans="1:6" x14ac:dyDescent="0.2">
      <c r="A467" s="3" t="s">
        <v>420</v>
      </c>
      <c r="B467" s="3" t="s">
        <v>795</v>
      </c>
      <c r="C467" s="4">
        <v>42007.83</v>
      </c>
      <c r="D467" s="4">
        <v>10720.32</v>
      </c>
      <c r="E467" s="4">
        <v>31287.51</v>
      </c>
      <c r="F467" s="3">
        <f>VLOOKUP(B467,'Profit &amp; Loss'!$B$2:$C$390,2,0)</f>
        <v>-7152.42</v>
      </c>
    </row>
    <row r="468" spans="1:6" x14ac:dyDescent="0.2">
      <c r="A468" s="3" t="s">
        <v>420</v>
      </c>
      <c r="B468" s="3" t="s">
        <v>2</v>
      </c>
      <c r="C468" s="4">
        <v>149609.26</v>
      </c>
      <c r="D468" s="4">
        <v>100939.34</v>
      </c>
      <c r="E468" s="4">
        <v>48669.919999999998</v>
      </c>
      <c r="F468" s="3" t="e">
        <f>VLOOKUP(B468,'Profit &amp; Loss'!$B$2:$C$390,2,0)</f>
        <v>#N/A</v>
      </c>
    </row>
    <row r="469" spans="1:6" x14ac:dyDescent="0.2">
      <c r="A469" s="3" t="s">
        <v>426</v>
      </c>
      <c r="B469" s="3" t="s">
        <v>427</v>
      </c>
      <c r="C469" s="4">
        <v>190.9</v>
      </c>
      <c r="D469" s="4">
        <v>190.9</v>
      </c>
      <c r="E469" s="4">
        <v>0</v>
      </c>
      <c r="F469" s="3">
        <f>VLOOKUP(B469,'Profit &amp; Loss'!$B$2:$C$390,2,0)</f>
        <v>0</v>
      </c>
    </row>
    <row r="470" spans="1:6" x14ac:dyDescent="0.2">
      <c r="A470" s="3" t="s">
        <v>426</v>
      </c>
      <c r="B470" s="3" t="s">
        <v>428</v>
      </c>
      <c r="C470" s="4">
        <v>2638.72</v>
      </c>
      <c r="D470" s="4">
        <v>2638.72</v>
      </c>
      <c r="E470" s="4">
        <v>0</v>
      </c>
      <c r="F470" s="3">
        <f>VLOOKUP(B470,'Profit &amp; Loss'!$B$2:$C$390,2,0)</f>
        <v>-347.23</v>
      </c>
    </row>
    <row r="471" spans="1:6" x14ac:dyDescent="0.2">
      <c r="A471" s="3" t="s">
        <v>426</v>
      </c>
      <c r="B471" s="3" t="s">
        <v>429</v>
      </c>
      <c r="C471" s="4">
        <v>32470.080000000002</v>
      </c>
      <c r="D471" s="4">
        <v>26059.69</v>
      </c>
      <c r="E471" s="4">
        <v>6410.39</v>
      </c>
      <c r="F471" s="3">
        <f>VLOOKUP(B471,'Profit &amp; Loss'!$B$2:$C$390,2,0)</f>
        <v>7237.53</v>
      </c>
    </row>
    <row r="472" spans="1:6" x14ac:dyDescent="0.2">
      <c r="A472" s="3" t="s">
        <v>426</v>
      </c>
      <c r="B472" s="3" t="s">
        <v>430</v>
      </c>
      <c r="C472" s="4">
        <v>7051.5</v>
      </c>
      <c r="D472" s="4">
        <v>8259.2800000000007</v>
      </c>
      <c r="E472" s="4">
        <v>-1207.78</v>
      </c>
      <c r="F472" s="3">
        <f>VLOOKUP(B472,'Profit &amp; Loss'!$B$2:$C$390,2,0)</f>
        <v>378.03</v>
      </c>
    </row>
    <row r="473" spans="1:6" x14ac:dyDescent="0.2">
      <c r="A473" s="3" t="s">
        <v>426</v>
      </c>
      <c r="B473" s="3" t="s">
        <v>2</v>
      </c>
      <c r="C473" s="4">
        <v>42351.199999999997</v>
      </c>
      <c r="D473" s="4">
        <v>37148.589999999997</v>
      </c>
      <c r="E473" s="4">
        <v>5202.6099999999997</v>
      </c>
      <c r="F473" s="3" t="e">
        <f>VLOOKUP(B473,'Profit &amp; Loss'!$B$2:$C$390,2,0)</f>
        <v>#N/A</v>
      </c>
    </row>
    <row r="474" spans="1:6" x14ac:dyDescent="0.2">
      <c r="A474" s="3" t="s">
        <v>431</v>
      </c>
      <c r="B474" s="3" t="s">
        <v>432</v>
      </c>
      <c r="C474" s="4">
        <v>-540686.43000000005</v>
      </c>
      <c r="D474" s="4">
        <v>-408052.96</v>
      </c>
      <c r="E474" s="4">
        <v>-132633.47</v>
      </c>
      <c r="F474" s="3">
        <f>VLOOKUP(B474,'Profit &amp; Loss'!$B$2:$C$390,2,0)</f>
        <v>-104275.76</v>
      </c>
    </row>
    <row r="475" spans="1:6" x14ac:dyDescent="0.2">
      <c r="A475" s="3" t="s">
        <v>431</v>
      </c>
      <c r="B475" s="3" t="s">
        <v>2</v>
      </c>
      <c r="C475" s="4">
        <v>-540686.43000000005</v>
      </c>
      <c r="D475" s="4">
        <v>-408052.96</v>
      </c>
      <c r="E475" s="4">
        <v>-132633.47</v>
      </c>
      <c r="F475" s="3" t="e">
        <f>VLOOKUP(B475,'Profit &amp; Loss'!$B$2:$C$390,2,0)</f>
        <v>#N/A</v>
      </c>
    </row>
    <row r="476" spans="1:6" x14ac:dyDescent="0.2">
      <c r="A476" s="3" t="s">
        <v>433</v>
      </c>
      <c r="B476" s="3" t="s">
        <v>2</v>
      </c>
      <c r="C476" s="4">
        <v>1617792.19</v>
      </c>
      <c r="D476" s="4">
        <v>990238.97</v>
      </c>
      <c r="E476" s="4">
        <v>627553.22</v>
      </c>
      <c r="F476" s="3" t="e">
        <f>VLOOKUP(B476,'Profit &amp; Loss'!$B$2:$C$390,2,0)</f>
        <v>#N/A</v>
      </c>
    </row>
    <row r="477" spans="1:6" x14ac:dyDescent="0.2">
      <c r="A477" s="3" t="s">
        <v>434</v>
      </c>
      <c r="B477" s="3" t="s">
        <v>796</v>
      </c>
      <c r="C477" s="4">
        <v>-33834.46</v>
      </c>
      <c r="D477" s="4">
        <v>-33834.46</v>
      </c>
      <c r="E477" s="4">
        <v>0</v>
      </c>
      <c r="F477" s="3">
        <f>VLOOKUP(B477,'Profit &amp; Loss'!$B$2:$C$390,2,0)</f>
        <v>0</v>
      </c>
    </row>
    <row r="478" spans="1:6" x14ac:dyDescent="0.2">
      <c r="A478" s="3" t="s">
        <v>434</v>
      </c>
      <c r="B478" s="3" t="s">
        <v>870</v>
      </c>
      <c r="C478" s="4">
        <v>13131.86</v>
      </c>
      <c r="D478" s="4">
        <v>633.54</v>
      </c>
      <c r="E478" s="4">
        <v>12498.32</v>
      </c>
      <c r="F478" s="3">
        <f>VLOOKUP(B478,'Profit &amp; Loss'!$B$2:$C$390,2,0)</f>
        <v>0</v>
      </c>
    </row>
    <row r="479" spans="1:6" x14ac:dyDescent="0.2">
      <c r="A479" s="3" t="s">
        <v>434</v>
      </c>
      <c r="B479" s="3" t="s">
        <v>590</v>
      </c>
      <c r="C479" s="4">
        <v>-4920.34</v>
      </c>
      <c r="D479" s="4">
        <v>-4920.34</v>
      </c>
      <c r="E479" s="4">
        <v>0</v>
      </c>
      <c r="F479" s="3">
        <f>VLOOKUP(B479,'Profit &amp; Loss'!$B$2:$C$390,2,0)</f>
        <v>-98.26</v>
      </c>
    </row>
    <row r="480" spans="1:6" x14ac:dyDescent="0.2">
      <c r="A480" s="3" t="s">
        <v>434</v>
      </c>
      <c r="B480" s="3" t="s">
        <v>1310</v>
      </c>
      <c r="C480" s="4">
        <v>0</v>
      </c>
      <c r="D480" s="4">
        <v>7315.99</v>
      </c>
      <c r="E480" s="4">
        <v>-7315.99</v>
      </c>
      <c r="F480" s="3">
        <f>VLOOKUP(B480,'Profit &amp; Loss'!$B$2:$C$390,2,0)</f>
        <v>0</v>
      </c>
    </row>
    <row r="481" spans="1:6" x14ac:dyDescent="0.2">
      <c r="A481" s="3" t="s">
        <v>434</v>
      </c>
      <c r="B481" s="3" t="s">
        <v>436</v>
      </c>
      <c r="C481" s="4">
        <v>216577.59</v>
      </c>
      <c r="D481" s="4">
        <v>158705.24</v>
      </c>
      <c r="E481" s="4">
        <v>57872.35</v>
      </c>
      <c r="F481" s="3">
        <f>VLOOKUP(B481,'Profit &amp; Loss'!$B$2:$C$390,2,0)</f>
        <v>26750</v>
      </c>
    </row>
    <row r="482" spans="1:6" x14ac:dyDescent="0.2">
      <c r="A482" s="3" t="s">
        <v>434</v>
      </c>
      <c r="B482" s="3" t="s">
        <v>2</v>
      </c>
      <c r="C482" s="4">
        <v>190954.65</v>
      </c>
      <c r="D482" s="4">
        <v>127899.97</v>
      </c>
      <c r="E482" s="4">
        <v>63054.68</v>
      </c>
      <c r="F482" s="3" t="e">
        <f>VLOOKUP(B482,'Profit &amp; Loss'!$B$2:$C$390,2,0)</f>
        <v>#N/A</v>
      </c>
    </row>
    <row r="483" spans="1:6" x14ac:dyDescent="0.2">
      <c r="A483" s="3" t="s">
        <v>437</v>
      </c>
      <c r="B483" s="3" t="s">
        <v>592</v>
      </c>
      <c r="C483" s="4">
        <v>2294.09</v>
      </c>
      <c r="D483" s="4">
        <v>706.84</v>
      </c>
      <c r="E483" s="4">
        <v>1587.25</v>
      </c>
      <c r="F483" s="3">
        <f>VLOOKUP(B483,'Profit &amp; Loss'!$B$2:$C$390,2,0)</f>
        <v>0</v>
      </c>
    </row>
    <row r="484" spans="1:6" x14ac:dyDescent="0.2">
      <c r="A484" s="3" t="s">
        <v>437</v>
      </c>
      <c r="B484" s="3" t="s">
        <v>1311</v>
      </c>
      <c r="C484" s="4">
        <v>1673.69</v>
      </c>
      <c r="D484" s="4">
        <v>1673.69</v>
      </c>
      <c r="E484" s="4">
        <v>0</v>
      </c>
      <c r="F484" s="3">
        <f>VLOOKUP(B484,'Profit &amp; Loss'!$B$2:$C$390,2,0)</f>
        <v>0</v>
      </c>
    </row>
    <row r="485" spans="1:6" x14ac:dyDescent="0.2">
      <c r="A485" s="3" t="s">
        <v>437</v>
      </c>
      <c r="B485" s="3" t="s">
        <v>438</v>
      </c>
      <c r="C485" s="4">
        <v>131956.78</v>
      </c>
      <c r="D485" s="4">
        <v>65657.05</v>
      </c>
      <c r="E485" s="4">
        <v>66299.73</v>
      </c>
      <c r="F485" s="3">
        <f>VLOOKUP(B485,'Profit &amp; Loss'!$B$2:$C$390,2,0)</f>
        <v>9806.14</v>
      </c>
    </row>
    <row r="486" spans="1:6" x14ac:dyDescent="0.2">
      <c r="A486" s="3" t="s">
        <v>437</v>
      </c>
      <c r="B486" s="3" t="s">
        <v>439</v>
      </c>
      <c r="C486" s="4">
        <v>7431.39</v>
      </c>
      <c r="D486" s="4">
        <v>5881.95</v>
      </c>
      <c r="E486" s="4">
        <v>1549.44</v>
      </c>
      <c r="F486" s="3">
        <f>VLOOKUP(B486,'Profit &amp; Loss'!$B$2:$C$390,2,0)</f>
        <v>1430.38</v>
      </c>
    </row>
    <row r="487" spans="1:6" x14ac:dyDescent="0.2">
      <c r="A487" s="3" t="s">
        <v>437</v>
      </c>
      <c r="B487" s="3" t="s">
        <v>440</v>
      </c>
      <c r="C487" s="4">
        <v>48997.99</v>
      </c>
      <c r="D487" s="4">
        <v>21934.080000000002</v>
      </c>
      <c r="E487" s="4">
        <v>27063.91</v>
      </c>
      <c r="F487" s="3">
        <f>VLOOKUP(B487,'Profit &amp; Loss'!$B$2:$C$390,2,0)</f>
        <v>7785.86</v>
      </c>
    </row>
    <row r="488" spans="1:6" x14ac:dyDescent="0.2">
      <c r="A488" s="3" t="s">
        <v>437</v>
      </c>
      <c r="B488" s="3" t="s">
        <v>2</v>
      </c>
      <c r="C488" s="4">
        <v>192353.94</v>
      </c>
      <c r="D488" s="4">
        <v>95853.61</v>
      </c>
      <c r="E488" s="4">
        <v>96500.33</v>
      </c>
      <c r="F488" s="3" t="e">
        <f>VLOOKUP(B488,'Profit &amp; Loss'!$B$2:$C$390,2,0)</f>
        <v>#N/A</v>
      </c>
    </row>
    <row r="489" spans="1:6" x14ac:dyDescent="0.2">
      <c r="A489" s="3" t="s">
        <v>441</v>
      </c>
      <c r="B489" s="3" t="s">
        <v>2</v>
      </c>
      <c r="C489" s="4">
        <v>383308.59</v>
      </c>
      <c r="D489" s="4">
        <v>223753.58</v>
      </c>
      <c r="E489" s="4">
        <v>159555.01</v>
      </c>
      <c r="F489" s="3" t="e">
        <f>VLOOKUP(B489,'Profit &amp; Loss'!$B$2:$C$390,2,0)</f>
        <v>#N/A</v>
      </c>
    </row>
    <row r="490" spans="1:6" x14ac:dyDescent="0.2">
      <c r="A490" s="3" t="s">
        <v>442</v>
      </c>
      <c r="B490" s="3" t="s">
        <v>443</v>
      </c>
      <c r="C490" s="4">
        <v>-8.2200000000000006</v>
      </c>
      <c r="D490" s="4">
        <v>-7.87</v>
      </c>
      <c r="E490" s="4">
        <v>-0.35</v>
      </c>
      <c r="F490" s="3">
        <f>VLOOKUP(B490,'Profit &amp; Loss'!$B$2:$C$390,2,0)</f>
        <v>-0.33</v>
      </c>
    </row>
    <row r="491" spans="1:6" x14ac:dyDescent="0.2">
      <c r="A491" s="3" t="s">
        <v>442</v>
      </c>
      <c r="B491" s="3" t="s">
        <v>2</v>
      </c>
      <c r="C491" s="4">
        <v>-8.2200000000000006</v>
      </c>
      <c r="D491" s="4">
        <v>-7.87</v>
      </c>
      <c r="E491" s="4">
        <v>-0.35</v>
      </c>
      <c r="F491" s="3" t="e">
        <f>VLOOKUP(B491,'Profit &amp; Loss'!$B$2:$C$390,2,0)</f>
        <v>#N/A</v>
      </c>
    </row>
    <row r="492" spans="1:6" x14ac:dyDescent="0.2">
      <c r="A492" s="3" t="s">
        <v>444</v>
      </c>
      <c r="B492" s="3" t="s">
        <v>2</v>
      </c>
      <c r="C492" s="4">
        <v>-8.2200000000000006</v>
      </c>
      <c r="D492" s="4">
        <v>-7.87</v>
      </c>
      <c r="E492" s="4">
        <v>-0.35</v>
      </c>
      <c r="F492" s="3" t="e">
        <f>VLOOKUP(B492,'Profit &amp; Loss'!$B$2:$C$390,2,0)</f>
        <v>#N/A</v>
      </c>
    </row>
    <row r="493" spans="1:6" x14ac:dyDescent="0.2">
      <c r="A493" s="3" t="s">
        <v>445</v>
      </c>
      <c r="B493" s="3" t="s">
        <v>692</v>
      </c>
      <c r="C493" s="4">
        <v>223.16</v>
      </c>
      <c r="D493" s="4">
        <v>160.21</v>
      </c>
      <c r="E493" s="4">
        <v>62.95</v>
      </c>
      <c r="F493" s="3">
        <f>VLOOKUP(B493,'Profit &amp; Loss'!$B$2:$C$390,2,0)</f>
        <v>69.52</v>
      </c>
    </row>
    <row r="494" spans="1:6" x14ac:dyDescent="0.2">
      <c r="A494" s="3" t="s">
        <v>445</v>
      </c>
      <c r="B494" s="3" t="s">
        <v>1161</v>
      </c>
      <c r="C494" s="4">
        <v>3.48</v>
      </c>
      <c r="D494" s="4">
        <v>3.48</v>
      </c>
      <c r="E494" s="4">
        <v>0</v>
      </c>
      <c r="F494" s="3">
        <f>VLOOKUP(B494,'Profit &amp; Loss'!$B$2:$C$390,2,0)</f>
        <v>0</v>
      </c>
    </row>
    <row r="495" spans="1:6" x14ac:dyDescent="0.2">
      <c r="A495" s="3" t="s">
        <v>445</v>
      </c>
      <c r="B495" s="3" t="s">
        <v>446</v>
      </c>
      <c r="C495" s="4">
        <v>40672</v>
      </c>
      <c r="D495" s="4">
        <v>8532.9599999999991</v>
      </c>
      <c r="E495" s="4">
        <v>32139.040000000001</v>
      </c>
      <c r="F495" s="3">
        <f>VLOOKUP(B495,'Profit &amp; Loss'!$B$2:$C$390,2,0)</f>
        <v>2583.69</v>
      </c>
    </row>
    <row r="496" spans="1:6" x14ac:dyDescent="0.2">
      <c r="A496" s="3" t="s">
        <v>445</v>
      </c>
      <c r="B496" s="3" t="s">
        <v>996</v>
      </c>
      <c r="C496" s="4">
        <v>-4183</v>
      </c>
      <c r="D496" s="4">
        <v>-4183</v>
      </c>
      <c r="E496" s="4">
        <v>0</v>
      </c>
      <c r="F496" s="3">
        <f>VLOOKUP(B496,'Profit &amp; Loss'!$B$2:$C$390,2,0)</f>
        <v>-2863.58</v>
      </c>
    </row>
    <row r="497" spans="1:6" x14ac:dyDescent="0.2">
      <c r="A497" s="3" t="s">
        <v>445</v>
      </c>
      <c r="B497" s="3" t="s">
        <v>2</v>
      </c>
      <c r="C497" s="4">
        <v>36715.64</v>
      </c>
      <c r="D497" s="4">
        <v>4513.6499999999996</v>
      </c>
      <c r="E497" s="4">
        <v>32201.99</v>
      </c>
      <c r="F497" s="3" t="e">
        <f>VLOOKUP(B497,'Profit &amp; Loss'!$B$2:$C$390,2,0)</f>
        <v>#N/A</v>
      </c>
    </row>
    <row r="498" spans="1:6" x14ac:dyDescent="0.2">
      <c r="A498" s="3" t="s">
        <v>447</v>
      </c>
      <c r="B498" s="3" t="s">
        <v>2</v>
      </c>
      <c r="C498" s="4">
        <v>36715.64</v>
      </c>
      <c r="D498" s="4">
        <v>4513.6499999999996</v>
      </c>
      <c r="E498" s="4">
        <v>32201.99</v>
      </c>
      <c r="F498" s="3" t="e">
        <f>VLOOKUP(B498,'Profit &amp; Loss'!$B$2:$C$390,2,0)</f>
        <v>#N/A</v>
      </c>
    </row>
    <row r="499" spans="1:6" x14ac:dyDescent="0.2">
      <c r="A499" s="3" t="s">
        <v>237</v>
      </c>
      <c r="B499" s="3" t="s">
        <v>448</v>
      </c>
      <c r="C499" s="4">
        <v>-8207959.0300000003</v>
      </c>
      <c r="D499" s="4">
        <v>-6912930.9000000004</v>
      </c>
      <c r="E499" s="4">
        <v>-1295028.1299999999</v>
      </c>
      <c r="F499" s="3">
        <f>VLOOKUP(B499,'Profit &amp; Loss'!$B$2:$C$390,2,0)</f>
        <v>-2188985.1399999992</v>
      </c>
    </row>
    <row r="500" spans="1:6" x14ac:dyDescent="0.2">
      <c r="A500" s="3" t="s">
        <v>237</v>
      </c>
      <c r="B500" s="5" t="s">
        <v>449</v>
      </c>
      <c r="C500" s="4">
        <v>0</v>
      </c>
      <c r="D500" s="4">
        <v>0</v>
      </c>
      <c r="E500" s="4">
        <v>0</v>
      </c>
      <c r="F500" s="3" t="e">
        <f>VLOOKUP(B500,'Profit &amp; Loss'!$B$2:$C$390,2,0)</f>
        <v>#N/A</v>
      </c>
    </row>
    <row r="501" spans="1:6" x14ac:dyDescent="0.2">
      <c r="A501" s="3" t="s">
        <v>450</v>
      </c>
      <c r="B501" s="3" t="s">
        <v>451</v>
      </c>
      <c r="C501" s="4">
        <v>0</v>
      </c>
      <c r="D501" s="4">
        <v>0</v>
      </c>
      <c r="E501" s="4">
        <v>0</v>
      </c>
      <c r="F501" s="3" t="e">
        <f>VLOOKUP(B501,'Profit &amp; Loss'!$B$2:$C$390,2,0)</f>
        <v>#N/A</v>
      </c>
    </row>
    <row r="502" spans="1:6" x14ac:dyDescent="0.2">
      <c r="A502" s="3" t="s">
        <v>450</v>
      </c>
      <c r="B502" s="5" t="s">
        <v>234</v>
      </c>
      <c r="C502" s="4">
        <v>0</v>
      </c>
      <c r="D502" s="4">
        <v>0</v>
      </c>
      <c r="E502" s="4">
        <v>0</v>
      </c>
      <c r="F502" s="3" t="e">
        <f>VLOOKUP(B502,'Profit &amp; Loss'!$B$2:$C$390,2,0)</f>
        <v>#N/A</v>
      </c>
    </row>
    <row r="503" spans="1:6" x14ac:dyDescent="0.2">
      <c r="A503" s="3" t="s">
        <v>452</v>
      </c>
      <c r="B503" s="3" t="s">
        <v>453</v>
      </c>
      <c r="C503" s="4">
        <v>0</v>
      </c>
      <c r="D503" s="4">
        <v>0</v>
      </c>
      <c r="E503" s="4">
        <v>0</v>
      </c>
      <c r="F503" s="3" t="e">
        <f>VLOOKUP(B503,'Profit &amp; Loss'!$B$2:$C$390,2,0)</f>
        <v>#N/A</v>
      </c>
    </row>
    <row r="504" spans="1:6" x14ac:dyDescent="0.2">
      <c r="A504" s="3" t="s">
        <v>452</v>
      </c>
      <c r="B504" s="3" t="s">
        <v>2</v>
      </c>
      <c r="C504" s="4">
        <v>8207959.0300000003</v>
      </c>
      <c r="D504" s="4">
        <v>6912930.9000000004</v>
      </c>
      <c r="E504" s="4">
        <v>1295028.1299999999</v>
      </c>
      <c r="F504" s="3" t="e">
        <f>VLOOKUP(B504,'Profit &amp; Loss'!$B$2:$C$390,2,0)</f>
        <v>#N/A</v>
      </c>
    </row>
    <row r="505" spans="1:6" x14ac:dyDescent="0.2">
      <c r="A505" s="3" t="s">
        <v>450</v>
      </c>
      <c r="B505" s="3" t="s">
        <v>2</v>
      </c>
      <c r="C505" s="4">
        <v>8207959.0300000003</v>
      </c>
      <c r="D505" s="4">
        <v>6912930.9000000004</v>
      </c>
      <c r="E505" s="4">
        <v>1295028.1299999999</v>
      </c>
      <c r="F505" s="3" t="e">
        <f>VLOOKUP(B505,'Profit &amp; Loss'!$B$2:$C$390,2,0)</f>
        <v>#N/A</v>
      </c>
    </row>
    <row r="506" spans="1:6" x14ac:dyDescent="0.2">
      <c r="A506" s="3" t="s">
        <v>454</v>
      </c>
      <c r="B506" s="3" t="s">
        <v>455</v>
      </c>
      <c r="C506" s="4">
        <v>0</v>
      </c>
      <c r="D506" s="4">
        <v>0</v>
      </c>
      <c r="E506" s="4">
        <v>0</v>
      </c>
      <c r="F506" s="3" t="e">
        <f>VLOOKUP(B506,'Profit &amp; Loss'!$B$2:$C$390,2,0)</f>
        <v>#N/A</v>
      </c>
    </row>
    <row r="507" spans="1:6" x14ac:dyDescent="0.2">
      <c r="A507" s="3" t="s">
        <v>454</v>
      </c>
      <c r="B507" s="5" t="s">
        <v>456</v>
      </c>
      <c r="C507" s="4">
        <v>0</v>
      </c>
      <c r="D507" s="4">
        <v>0</v>
      </c>
      <c r="E507" s="4">
        <v>0</v>
      </c>
      <c r="F507" s="3" t="e">
        <f>VLOOKUP(B507,'Profit &amp; Loss'!$B$2:$C$390,2,0)</f>
        <v>#N/A</v>
      </c>
    </row>
    <row r="508" spans="1:6" x14ac:dyDescent="0.2">
      <c r="A508" s="3" t="s">
        <v>454</v>
      </c>
      <c r="B508" s="3" t="s">
        <v>457</v>
      </c>
      <c r="C508" s="4">
        <v>-67161.06</v>
      </c>
      <c r="D508" s="4">
        <v>-73774.25</v>
      </c>
      <c r="E508" s="4">
        <v>6613.19</v>
      </c>
      <c r="F508" s="3" t="e">
        <f>VLOOKUP(B508,'Profit &amp; Loss'!$B$2:$C$390,2,0)</f>
        <v>#N/A</v>
      </c>
    </row>
    <row r="509" spans="1:6" x14ac:dyDescent="0.2">
      <c r="A509" s="3" t="s">
        <v>454</v>
      </c>
      <c r="B509" s="3" t="s">
        <v>458</v>
      </c>
      <c r="C509" s="4">
        <v>-388359.78</v>
      </c>
      <c r="D509" s="4">
        <v>-96108.67</v>
      </c>
      <c r="E509" s="4">
        <v>-292251.11</v>
      </c>
      <c r="F509" s="3" t="e">
        <f>VLOOKUP(B509,'Profit &amp; Loss'!$B$2:$C$390,2,0)</f>
        <v>#N/A</v>
      </c>
    </row>
    <row r="510" spans="1:6" x14ac:dyDescent="0.2">
      <c r="A510" s="3" t="s">
        <v>454</v>
      </c>
      <c r="B510" s="3" t="s">
        <v>694</v>
      </c>
      <c r="C510" s="4">
        <v>-1755.71</v>
      </c>
      <c r="D510" s="4">
        <v>73.349999999999994</v>
      </c>
      <c r="E510" s="4">
        <v>-1829.06</v>
      </c>
      <c r="F510" s="3" t="e">
        <f>VLOOKUP(B510,'Profit &amp; Loss'!$B$2:$C$390,2,0)</f>
        <v>#N/A</v>
      </c>
    </row>
    <row r="511" spans="1:6" x14ac:dyDescent="0.2">
      <c r="A511" s="3" t="s">
        <v>454</v>
      </c>
      <c r="B511" s="3" t="s">
        <v>459</v>
      </c>
      <c r="C511" s="4">
        <v>29717.3</v>
      </c>
      <c r="D511" s="4">
        <v>27793.19</v>
      </c>
      <c r="E511" s="4">
        <v>1924.11</v>
      </c>
      <c r="F511" s="3" t="e">
        <f>VLOOKUP(B511,'Profit &amp; Loss'!$B$2:$C$390,2,0)</f>
        <v>#N/A</v>
      </c>
    </row>
    <row r="512" spans="1:6" x14ac:dyDescent="0.2">
      <c r="A512" s="3" t="s">
        <v>454</v>
      </c>
      <c r="B512" s="3" t="s">
        <v>460</v>
      </c>
      <c r="C512" s="4">
        <v>-40507.79</v>
      </c>
      <c r="D512" s="4">
        <v>-40507.79</v>
      </c>
      <c r="E512" s="4">
        <v>0</v>
      </c>
      <c r="F512" s="3" t="e">
        <f>VLOOKUP(B512,'Profit &amp; Loss'!$B$2:$C$390,2,0)</f>
        <v>#N/A</v>
      </c>
    </row>
    <row r="513" spans="1:6" x14ac:dyDescent="0.2">
      <c r="A513" s="3" t="s">
        <v>454</v>
      </c>
      <c r="B513" s="3" t="s">
        <v>874</v>
      </c>
      <c r="C513" s="4">
        <v>22669.18</v>
      </c>
      <c r="D513" s="4">
        <v>5638.48</v>
      </c>
      <c r="E513" s="4">
        <v>17030.7</v>
      </c>
      <c r="F513" s="3">
        <f>VLOOKUP(B513,'Profit &amp; Loss'!$B$2:$C$390,2,0)</f>
        <v>0</v>
      </c>
    </row>
    <row r="514" spans="1:6" x14ac:dyDescent="0.2">
      <c r="A514" s="3" t="s">
        <v>454</v>
      </c>
      <c r="B514" s="3" t="s">
        <v>461</v>
      </c>
      <c r="C514" s="4">
        <v>-445397.86</v>
      </c>
      <c r="D514" s="4">
        <v>-176885.69</v>
      </c>
      <c r="E514" s="4">
        <v>-268512.17</v>
      </c>
      <c r="F514" s="3" t="e">
        <f>VLOOKUP(B514,'Profit &amp; Loss'!$B$2:$C$390,2,0)</f>
        <v>#N/A</v>
      </c>
    </row>
    <row r="515" spans="1:6" x14ac:dyDescent="0.2">
      <c r="A515" s="3" t="s">
        <v>454</v>
      </c>
      <c r="B515" s="5" t="s">
        <v>462</v>
      </c>
      <c r="C515" s="4">
        <v>0</v>
      </c>
      <c r="D515" s="4">
        <v>0</v>
      </c>
      <c r="E515" s="4">
        <v>0</v>
      </c>
      <c r="F515" s="3" t="e">
        <f>VLOOKUP(B515,'Profit &amp; Loss'!$B$2:$C$390,2,0)</f>
        <v>#N/A</v>
      </c>
    </row>
  </sheetData>
  <autoFilter ref="A1:F515" xr:uid="{33D5CF49-A390-45E8-AEE5-4C230143C4C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7BCA9-432B-4530-9D81-8002FA378171}">
  <dimension ref="A1:F522"/>
  <sheetViews>
    <sheetView topLeftCell="A494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VLOOKUP(B2,'Profit &amp; Loss'!$B$3:$C$390,2,0)</f>
        <v>#N/A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VLOOKUP(B3,'Profit &amp; Loss'!$B$3:$C$390,2,0)</f>
        <v>#N/A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VLOOKUP(B4,'Profit &amp; Loss'!$B$3:$C$390,2,0)</f>
        <v>#N/A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VLOOKUP(B5,'Profit &amp; Loss'!$B$3:$C$390,2,0)</f>
        <v>#N/A</v>
      </c>
    </row>
    <row r="6" spans="1:6" x14ac:dyDescent="0.2">
      <c r="A6" s="3" t="s">
        <v>4</v>
      </c>
      <c r="B6" s="3" t="s">
        <v>8</v>
      </c>
      <c r="C6" s="4">
        <v>27333.65</v>
      </c>
      <c r="D6" s="4">
        <v>27965.02</v>
      </c>
      <c r="E6" s="4">
        <v>-631.37</v>
      </c>
      <c r="F6" s="3" t="e">
        <f>VLOOKUP(B6,'Profit &amp; Loss'!$B$3:$C$390,2,0)</f>
        <v>#N/A</v>
      </c>
    </row>
    <row r="7" spans="1:6" x14ac:dyDescent="0.2">
      <c r="A7" s="3" t="s">
        <v>4</v>
      </c>
      <c r="B7" s="3" t="s">
        <v>9</v>
      </c>
      <c r="C7" s="4">
        <v>-23475.58</v>
      </c>
      <c r="D7" s="4">
        <v>-23414.15</v>
      </c>
      <c r="E7" s="4">
        <v>-61.43</v>
      </c>
      <c r="F7" s="3" t="e">
        <f>VLOOKUP(B7,'Profit &amp; Loss'!$B$3:$C$390,2,0)</f>
        <v>#N/A</v>
      </c>
    </row>
    <row r="8" spans="1:6" x14ac:dyDescent="0.2">
      <c r="A8" s="3" t="s">
        <v>4</v>
      </c>
      <c r="B8" s="3" t="s">
        <v>10</v>
      </c>
      <c r="C8" s="4">
        <v>68.650000000000006</v>
      </c>
      <c r="D8" s="4">
        <v>68.61</v>
      </c>
      <c r="E8" s="4">
        <v>0.04</v>
      </c>
      <c r="F8" s="3" t="e">
        <f>VLOOKUP(B8,'Profit &amp; Loss'!$B$3:$C$390,2,0)</f>
        <v>#N/A</v>
      </c>
    </row>
    <row r="9" spans="1:6" x14ac:dyDescent="0.2">
      <c r="A9" s="3" t="s">
        <v>4</v>
      </c>
      <c r="B9" s="3" t="s">
        <v>11</v>
      </c>
      <c r="C9" s="4">
        <v>0.38</v>
      </c>
      <c r="D9" s="4">
        <v>1.87</v>
      </c>
      <c r="E9" s="4">
        <v>-1.49</v>
      </c>
      <c r="F9" s="3" t="e">
        <f>VLOOKUP(B9,'Profit &amp; Loss'!$B$3:$C$390,2,0)</f>
        <v>#N/A</v>
      </c>
    </row>
    <row r="10" spans="1:6" x14ac:dyDescent="0.2">
      <c r="A10" s="3" t="s">
        <v>4</v>
      </c>
      <c r="B10" s="3" t="s">
        <v>2</v>
      </c>
      <c r="C10" s="4">
        <v>4866.62</v>
      </c>
      <c r="D10" s="4">
        <v>5560.87</v>
      </c>
      <c r="E10" s="4">
        <v>-694.25</v>
      </c>
      <c r="F10" s="3" t="e">
        <f>VLOOKUP(B10,'Profit &amp; Loss'!$B$3:$C$390,2,0)</f>
        <v>#N/A</v>
      </c>
    </row>
    <row r="11" spans="1:6" x14ac:dyDescent="0.2">
      <c r="A11" s="3" t="s">
        <v>12</v>
      </c>
      <c r="B11" s="3" t="s">
        <v>2</v>
      </c>
      <c r="C11" s="4">
        <v>4866.62</v>
      </c>
      <c r="D11" s="4">
        <v>5560.87</v>
      </c>
      <c r="E11" s="4">
        <v>-694.25</v>
      </c>
      <c r="F11" s="3" t="e">
        <f>VLOOKUP(B11,'Profit &amp; Loss'!$B$3:$C$390,2,0)</f>
        <v>#N/A</v>
      </c>
    </row>
    <row r="12" spans="1:6" x14ac:dyDescent="0.2">
      <c r="A12" s="3" t="s">
        <v>13</v>
      </c>
      <c r="B12" s="3" t="s">
        <v>14</v>
      </c>
      <c r="C12" s="4">
        <v>17993761.309999999</v>
      </c>
      <c r="D12" s="4">
        <v>15592929.92</v>
      </c>
      <c r="E12" s="4">
        <v>2400831.39</v>
      </c>
      <c r="F12" s="3" t="e">
        <f>VLOOKUP(B12,'Profit &amp; Loss'!$B$3:$C$390,2,0)</f>
        <v>#N/A</v>
      </c>
    </row>
    <row r="13" spans="1:6" x14ac:dyDescent="0.2">
      <c r="A13" s="3" t="s">
        <v>13</v>
      </c>
      <c r="B13" s="3" t="s">
        <v>15</v>
      </c>
      <c r="C13" s="4">
        <v>-210470.35</v>
      </c>
      <c r="D13" s="4">
        <v>-42604.13</v>
      </c>
      <c r="E13" s="4">
        <v>-167866.22</v>
      </c>
      <c r="F13" s="3" t="e">
        <f>VLOOKUP(B13,'Profit &amp; Loss'!$B$3:$C$390,2,0)</f>
        <v>#N/A</v>
      </c>
    </row>
    <row r="14" spans="1:6" x14ac:dyDescent="0.2">
      <c r="A14" s="3" t="s">
        <v>13</v>
      </c>
      <c r="B14" s="3" t="s">
        <v>16</v>
      </c>
      <c r="C14" s="4">
        <v>1601815.61</v>
      </c>
      <c r="D14" s="4">
        <v>1601828.45</v>
      </c>
      <c r="E14" s="4">
        <v>-12.84</v>
      </c>
      <c r="F14" s="3" t="e">
        <f>VLOOKUP(B14,'Profit &amp; Loss'!$B$3:$C$390,2,0)</f>
        <v>#N/A</v>
      </c>
    </row>
    <row r="15" spans="1:6" x14ac:dyDescent="0.2">
      <c r="A15" s="3" t="s">
        <v>13</v>
      </c>
      <c r="B15" s="3" t="s">
        <v>17</v>
      </c>
      <c r="C15" s="4">
        <v>-147864.41</v>
      </c>
      <c r="D15" s="4">
        <v>-117425.53</v>
      </c>
      <c r="E15" s="4">
        <v>-30438.880000000001</v>
      </c>
      <c r="F15" s="3" t="e">
        <f>VLOOKUP(B15,'Profit &amp; Loss'!$B$3:$C$390,2,0)</f>
        <v>#N/A</v>
      </c>
    </row>
    <row r="16" spans="1:6" x14ac:dyDescent="0.2">
      <c r="A16" s="3" t="s">
        <v>13</v>
      </c>
      <c r="B16" s="3" t="s">
        <v>2</v>
      </c>
      <c r="C16" s="4">
        <v>19237242.16</v>
      </c>
      <c r="D16" s="4">
        <v>17034728.710000001</v>
      </c>
      <c r="E16" s="4">
        <v>2202513.4500000002</v>
      </c>
      <c r="F16" s="3" t="e">
        <f>VLOOKUP(B16,'Profit &amp; Loss'!$B$3:$C$390,2,0)</f>
        <v>#N/A</v>
      </c>
    </row>
    <row r="17" spans="1:6" x14ac:dyDescent="0.2">
      <c r="A17" s="3" t="s">
        <v>18</v>
      </c>
      <c r="B17" s="3" t="s">
        <v>19</v>
      </c>
      <c r="C17" s="4">
        <v>-46603.57</v>
      </c>
      <c r="D17" s="4">
        <v>-44390.62</v>
      </c>
      <c r="E17" s="4">
        <v>-2212.9499999999998</v>
      </c>
      <c r="F17" s="3" t="e">
        <f>VLOOKUP(B17,'Profit &amp; Loss'!$B$3:$C$390,2,0)</f>
        <v>#N/A</v>
      </c>
    </row>
    <row r="18" spans="1:6" x14ac:dyDescent="0.2">
      <c r="A18" s="3" t="s">
        <v>18</v>
      </c>
      <c r="B18" s="3" t="s">
        <v>2</v>
      </c>
      <c r="C18" s="4">
        <v>-46603.57</v>
      </c>
      <c r="D18" s="4">
        <v>-44390.62</v>
      </c>
      <c r="E18" s="4">
        <v>-2212.9499999999998</v>
      </c>
      <c r="F18" s="3" t="e">
        <f>VLOOKUP(B18,'Profit &amp; Loss'!$B$3:$C$390,2,0)</f>
        <v>#N/A</v>
      </c>
    </row>
    <row r="19" spans="1:6" x14ac:dyDescent="0.2">
      <c r="A19" s="3" t="s">
        <v>20</v>
      </c>
      <c r="B19" s="3" t="s">
        <v>2</v>
      </c>
      <c r="C19" s="4">
        <v>19190638.59</v>
      </c>
      <c r="D19" s="4">
        <v>16990338.09</v>
      </c>
      <c r="E19" s="4">
        <v>2200300.5</v>
      </c>
      <c r="F19" s="3" t="e">
        <f>VLOOKUP(B19,'Profit &amp; Loss'!$B$3:$C$390,2,0)</f>
        <v>#N/A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VLOOKUP(B20,'Profit &amp; Loss'!$B$3:$C$390,2,0)</f>
        <v>#N/A</v>
      </c>
    </row>
    <row r="21" spans="1:6" x14ac:dyDescent="0.2">
      <c r="A21" s="3" t="s">
        <v>21</v>
      </c>
      <c r="B21" s="3" t="s">
        <v>23</v>
      </c>
      <c r="C21" s="4">
        <v>4240.6899999999996</v>
      </c>
      <c r="D21" s="4">
        <v>3868.21</v>
      </c>
      <c r="E21" s="4">
        <v>372.48</v>
      </c>
      <c r="F21" s="3" t="e">
        <f>VLOOKUP(B21,'Profit &amp; Loss'!$B$3:$C$390,2,0)</f>
        <v>#N/A</v>
      </c>
    </row>
    <row r="22" spans="1:6" x14ac:dyDescent="0.2">
      <c r="A22" s="3" t="s">
        <v>21</v>
      </c>
      <c r="B22" s="3" t="s">
        <v>25</v>
      </c>
      <c r="C22" s="4">
        <v>64966.35</v>
      </c>
      <c r="D22" s="4">
        <v>64064.44</v>
      </c>
      <c r="E22" s="4">
        <v>901.91</v>
      </c>
      <c r="F22" s="3" t="e">
        <f>VLOOKUP(B22,'Profit &amp; Loss'!$B$3:$C$390,2,0)</f>
        <v>#N/A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VLOOKUP(B23,'Profit &amp; Loss'!$B$3:$C$390,2,0)</f>
        <v>#N/A</v>
      </c>
    </row>
    <row r="24" spans="1:6" x14ac:dyDescent="0.2">
      <c r="A24" s="3" t="s">
        <v>21</v>
      </c>
      <c r="B24" s="3" t="s">
        <v>27</v>
      </c>
      <c r="C24" s="4">
        <v>28368.560000000001</v>
      </c>
      <c r="D24" s="4">
        <v>15779.64</v>
      </c>
      <c r="E24" s="4">
        <v>12588.92</v>
      </c>
      <c r="F24" s="3" t="e">
        <f>VLOOKUP(B24,'Profit &amp; Loss'!$B$3:$C$390,2,0)</f>
        <v>#N/A</v>
      </c>
    </row>
    <row r="25" spans="1:6" x14ac:dyDescent="0.2">
      <c r="A25" s="3" t="s">
        <v>21</v>
      </c>
      <c r="B25" s="3" t="s">
        <v>28</v>
      </c>
      <c r="C25" s="4">
        <v>57645.23</v>
      </c>
      <c r="D25" s="4">
        <v>25960.5</v>
      </c>
      <c r="E25" s="4">
        <v>31684.73</v>
      </c>
      <c r="F25" s="3" t="e">
        <f>VLOOKUP(B25,'Profit &amp; Loss'!$B$3:$C$390,2,0)</f>
        <v>#N/A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VLOOKUP(B26,'Profit &amp; Loss'!$B$3:$C$390,2,0)</f>
        <v>#N/A</v>
      </c>
    </row>
    <row r="27" spans="1:6" x14ac:dyDescent="0.2">
      <c r="A27" s="3" t="s">
        <v>21</v>
      </c>
      <c r="B27" s="3" t="s">
        <v>2</v>
      </c>
      <c r="C27" s="4">
        <v>155240.20000000001</v>
      </c>
      <c r="D27" s="4">
        <v>109692.16</v>
      </c>
      <c r="E27" s="4">
        <v>45548.04</v>
      </c>
      <c r="F27" s="3" t="e">
        <f>VLOOKUP(B27,'Profit &amp; Loss'!$B$3:$C$390,2,0)</f>
        <v>#N/A</v>
      </c>
    </row>
    <row r="28" spans="1:6" x14ac:dyDescent="0.2">
      <c r="A28" s="3" t="s">
        <v>30</v>
      </c>
      <c r="B28" s="3" t="s">
        <v>31</v>
      </c>
      <c r="C28" s="4">
        <v>130819.01</v>
      </c>
      <c r="D28" s="4">
        <v>-5282.2</v>
      </c>
      <c r="E28" s="4">
        <v>136101.21</v>
      </c>
      <c r="F28" s="3" t="e">
        <f>VLOOKUP(B28,'Profit &amp; Loss'!$B$3:$C$390,2,0)</f>
        <v>#N/A</v>
      </c>
    </row>
    <row r="29" spans="1:6" x14ac:dyDescent="0.2">
      <c r="A29" s="3" t="s">
        <v>30</v>
      </c>
      <c r="B29" s="3" t="s">
        <v>2</v>
      </c>
      <c r="C29" s="4">
        <v>130819.01</v>
      </c>
      <c r="D29" s="4">
        <v>-5282.2</v>
      </c>
      <c r="E29" s="4">
        <v>136101.21</v>
      </c>
      <c r="F29" s="3" t="e">
        <f>VLOOKUP(B29,'Profit &amp; Loss'!$B$3:$C$390,2,0)</f>
        <v>#N/A</v>
      </c>
    </row>
    <row r="30" spans="1:6" x14ac:dyDescent="0.2">
      <c r="A30" s="3" t="s">
        <v>32</v>
      </c>
      <c r="B30" s="3" t="s">
        <v>33</v>
      </c>
      <c r="C30" s="4">
        <v>56103.77</v>
      </c>
      <c r="D30" s="4">
        <v>53215.46</v>
      </c>
      <c r="E30" s="4">
        <v>2888.31</v>
      </c>
      <c r="F30" s="3" t="e">
        <f>VLOOKUP(B30,'Profit &amp; Loss'!$B$3:$C$390,2,0)</f>
        <v>#N/A</v>
      </c>
    </row>
    <row r="31" spans="1:6" x14ac:dyDescent="0.2">
      <c r="A31" s="3" t="s">
        <v>32</v>
      </c>
      <c r="B31" s="3" t="s">
        <v>34</v>
      </c>
      <c r="C31" s="4">
        <v>-647.28</v>
      </c>
      <c r="D31" s="4">
        <v>-41.52</v>
      </c>
      <c r="E31" s="4">
        <v>-605.76</v>
      </c>
      <c r="F31" s="3" t="e">
        <f>VLOOKUP(B31,'Profit &amp; Loss'!$B$3:$C$390,2,0)</f>
        <v>#N/A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VLOOKUP(B32,'Profit &amp; Loss'!$B$3:$C$390,2,0)</f>
        <v>#N/A</v>
      </c>
    </row>
    <row r="33" spans="1:6" x14ac:dyDescent="0.2">
      <c r="A33" s="3" t="s">
        <v>32</v>
      </c>
      <c r="B33" s="3" t="s">
        <v>477</v>
      </c>
      <c r="C33" s="4">
        <v>5352.52</v>
      </c>
      <c r="D33" s="4">
        <v>5352.52</v>
      </c>
      <c r="E33" s="4">
        <v>0</v>
      </c>
      <c r="F33" s="3" t="e">
        <f>VLOOKUP(B33,'Profit &amp; Loss'!$B$3:$C$390,2,0)</f>
        <v>#N/A</v>
      </c>
    </row>
    <row r="34" spans="1:6" x14ac:dyDescent="0.2">
      <c r="A34" s="3" t="s">
        <v>32</v>
      </c>
      <c r="B34" s="3" t="s">
        <v>478</v>
      </c>
      <c r="C34" s="4">
        <v>-157.12</v>
      </c>
      <c r="D34" s="4">
        <v>-48.36</v>
      </c>
      <c r="E34" s="4">
        <v>-108.76</v>
      </c>
      <c r="F34" s="3" t="e">
        <f>VLOOKUP(B34,'Profit &amp; Loss'!$B$3:$C$390,2,0)</f>
        <v>#N/A</v>
      </c>
    </row>
    <row r="35" spans="1:6" x14ac:dyDescent="0.2">
      <c r="A35" s="3" t="s">
        <v>32</v>
      </c>
      <c r="B35" s="3" t="s">
        <v>36</v>
      </c>
      <c r="C35" s="4">
        <v>64.12</v>
      </c>
      <c r="D35" s="4">
        <v>-9391.58</v>
      </c>
      <c r="E35" s="4">
        <v>9455.7000000000007</v>
      </c>
      <c r="F35" s="3" t="e">
        <f>VLOOKUP(B35,'Profit &amp; Loss'!$B$3:$C$390,2,0)</f>
        <v>#N/A</v>
      </c>
    </row>
    <row r="36" spans="1:6" x14ac:dyDescent="0.2">
      <c r="A36" s="3" t="s">
        <v>32</v>
      </c>
      <c r="B36" s="3" t="s">
        <v>39</v>
      </c>
      <c r="C36" s="4">
        <v>3056.82</v>
      </c>
      <c r="D36" s="4">
        <v>2138.75</v>
      </c>
      <c r="E36" s="4">
        <v>918.07</v>
      </c>
      <c r="F36" s="3" t="e">
        <f>VLOOKUP(B36,'Profit &amp; Loss'!$B$3:$C$390,2,0)</f>
        <v>#N/A</v>
      </c>
    </row>
    <row r="37" spans="1:6" x14ac:dyDescent="0.2">
      <c r="A37" s="3" t="s">
        <v>32</v>
      </c>
      <c r="B37" s="3" t="s">
        <v>42</v>
      </c>
      <c r="C37" s="4">
        <v>47.5</v>
      </c>
      <c r="D37" s="4">
        <v>42.92</v>
      </c>
      <c r="E37" s="4">
        <v>4.58</v>
      </c>
      <c r="F37" s="3" t="e">
        <f>VLOOKUP(B37,'Profit &amp; Loss'!$B$3:$C$390,2,0)</f>
        <v>#N/A</v>
      </c>
    </row>
    <row r="38" spans="1:6" x14ac:dyDescent="0.2">
      <c r="A38" s="3" t="s">
        <v>32</v>
      </c>
      <c r="B38" s="3" t="s">
        <v>2</v>
      </c>
      <c r="C38" s="4">
        <v>66417.850000000006</v>
      </c>
      <c r="D38" s="4">
        <v>53865.71</v>
      </c>
      <c r="E38" s="4">
        <v>12552.14</v>
      </c>
      <c r="F38" s="3" t="e">
        <f>VLOOKUP(B38,'Profit &amp; Loss'!$B$3:$C$390,2,0)</f>
        <v>#N/A</v>
      </c>
    </row>
    <row r="39" spans="1:6" x14ac:dyDescent="0.2">
      <c r="A39" s="3" t="s">
        <v>43</v>
      </c>
      <c r="B39" s="3" t="s">
        <v>2</v>
      </c>
      <c r="C39" s="4">
        <v>352477.06</v>
      </c>
      <c r="D39" s="4">
        <v>158275.67000000001</v>
      </c>
      <c r="E39" s="4">
        <v>194201.39</v>
      </c>
      <c r="F39" s="3" t="e">
        <f>VLOOKUP(B39,'Profit &amp; Loss'!$B$3:$C$390,2,0)</f>
        <v>#N/A</v>
      </c>
    </row>
    <row r="40" spans="1:6" x14ac:dyDescent="0.2">
      <c r="A40" s="3" t="s">
        <v>44</v>
      </c>
      <c r="B40" s="3" t="s">
        <v>973</v>
      </c>
      <c r="C40" s="4">
        <v>-0.1</v>
      </c>
      <c r="D40" s="4">
        <v>-0.1</v>
      </c>
      <c r="E40" s="4">
        <v>0</v>
      </c>
      <c r="F40" s="3" t="e">
        <f>VLOOKUP(B40,'Profit &amp; Loss'!$B$3:$C$390,2,0)</f>
        <v>#N/A</v>
      </c>
    </row>
    <row r="41" spans="1:6" x14ac:dyDescent="0.2">
      <c r="A41" s="3" t="s">
        <v>44</v>
      </c>
      <c r="B41" s="3" t="s">
        <v>46</v>
      </c>
      <c r="C41" s="4">
        <v>-176.64</v>
      </c>
      <c r="D41" s="4">
        <v>591.19000000000005</v>
      </c>
      <c r="E41" s="4">
        <v>-767.83</v>
      </c>
      <c r="F41" s="3" t="e">
        <f>VLOOKUP(B41,'Profit &amp; Loss'!$B$3:$C$390,2,0)</f>
        <v>#N/A</v>
      </c>
    </row>
    <row r="42" spans="1:6" x14ac:dyDescent="0.2">
      <c r="A42" s="3" t="s">
        <v>44</v>
      </c>
      <c r="B42" s="3" t="s">
        <v>2</v>
      </c>
      <c r="C42" s="4">
        <v>-176.74</v>
      </c>
      <c r="D42" s="4">
        <v>591.09</v>
      </c>
      <c r="E42" s="4">
        <v>-767.83</v>
      </c>
      <c r="F42" s="3" t="e">
        <f>VLOOKUP(B42,'Profit &amp; Loss'!$B$3:$C$390,2,0)</f>
        <v>#N/A</v>
      </c>
    </row>
    <row r="43" spans="1:6" x14ac:dyDescent="0.2">
      <c r="A43" s="3" t="s">
        <v>47</v>
      </c>
      <c r="B43" s="3" t="s">
        <v>48</v>
      </c>
      <c r="C43" s="4">
        <v>13391890.130000001</v>
      </c>
      <c r="D43" s="4">
        <v>12765262.18</v>
      </c>
      <c r="E43" s="4">
        <v>626627.94999999995</v>
      </c>
      <c r="F43" s="3" t="e">
        <f>VLOOKUP(B43,'Profit &amp; Loss'!$B$3:$C$390,2,0)</f>
        <v>#N/A</v>
      </c>
    </row>
    <row r="44" spans="1:6" x14ac:dyDescent="0.2">
      <c r="A44" s="3" t="s">
        <v>47</v>
      </c>
      <c r="B44" s="3" t="s">
        <v>599</v>
      </c>
      <c r="C44" s="4">
        <v>0</v>
      </c>
      <c r="D44" s="4">
        <v>1057.78</v>
      </c>
      <c r="E44" s="4">
        <v>-1057.78</v>
      </c>
      <c r="F44" s="3" t="e">
        <f>VLOOKUP(B44,'Profit &amp; Loss'!$B$3:$C$390,2,0)</f>
        <v>#N/A</v>
      </c>
    </row>
    <row r="45" spans="1:6" x14ac:dyDescent="0.2">
      <c r="A45" s="3" t="s">
        <v>47</v>
      </c>
      <c r="B45" s="3" t="s">
        <v>49</v>
      </c>
      <c r="C45" s="4">
        <v>-95877.43</v>
      </c>
      <c r="D45" s="4">
        <v>-12898.85</v>
      </c>
      <c r="E45" s="4">
        <v>-82978.58</v>
      </c>
      <c r="F45" s="3" t="e">
        <f>VLOOKUP(B45,'Profit &amp; Loss'!$B$3:$C$390,2,0)</f>
        <v>#N/A</v>
      </c>
    </row>
    <row r="46" spans="1:6" x14ac:dyDescent="0.2">
      <c r="A46" s="3" t="s">
        <v>47</v>
      </c>
      <c r="B46" s="3" t="s">
        <v>50</v>
      </c>
      <c r="C46" s="4">
        <v>1689711.36</v>
      </c>
      <c r="D46" s="4">
        <v>2147285.37</v>
      </c>
      <c r="E46" s="4">
        <v>-457574.01</v>
      </c>
      <c r="F46" s="3" t="e">
        <f>VLOOKUP(B46,'Profit &amp; Loss'!$B$3:$C$390,2,0)</f>
        <v>#N/A</v>
      </c>
    </row>
    <row r="47" spans="1:6" x14ac:dyDescent="0.2">
      <c r="A47" s="3" t="s">
        <v>47</v>
      </c>
      <c r="B47" s="3" t="s">
        <v>51</v>
      </c>
      <c r="C47" s="4">
        <v>2477566.8199999998</v>
      </c>
      <c r="D47" s="4">
        <v>2183327.3199999998</v>
      </c>
      <c r="E47" s="4">
        <v>294239.5</v>
      </c>
      <c r="F47" s="3" t="e">
        <f>VLOOKUP(B47,'Profit &amp; Loss'!$B$3:$C$390,2,0)</f>
        <v>#N/A</v>
      </c>
    </row>
    <row r="48" spans="1:6" x14ac:dyDescent="0.2">
      <c r="A48" s="3" t="s">
        <v>47</v>
      </c>
      <c r="B48" s="3" t="s">
        <v>52</v>
      </c>
      <c r="C48" s="4">
        <v>3969696.21</v>
      </c>
      <c r="D48" s="4">
        <v>4721680.58</v>
      </c>
      <c r="E48" s="4">
        <v>-751984.37</v>
      </c>
      <c r="F48" s="3" t="e">
        <f>VLOOKUP(B48,'Profit &amp; Loss'!$B$3:$C$390,2,0)</f>
        <v>#N/A</v>
      </c>
    </row>
    <row r="49" spans="1:6" x14ac:dyDescent="0.2">
      <c r="A49" s="3" t="s">
        <v>47</v>
      </c>
      <c r="B49" s="3" t="s">
        <v>54</v>
      </c>
      <c r="C49" s="4">
        <v>25109.58</v>
      </c>
      <c r="D49" s="4">
        <v>39169.49</v>
      </c>
      <c r="E49" s="4">
        <v>-14059.91</v>
      </c>
      <c r="F49" s="3" t="e">
        <f>VLOOKUP(B49,'Profit &amp; Loss'!$B$3:$C$390,2,0)</f>
        <v>#N/A</v>
      </c>
    </row>
    <row r="50" spans="1:6" x14ac:dyDescent="0.2">
      <c r="A50" s="3" t="s">
        <v>47</v>
      </c>
      <c r="B50" s="3" t="s">
        <v>55</v>
      </c>
      <c r="C50" s="4">
        <v>-1404046.18</v>
      </c>
      <c r="D50" s="4">
        <v>-1500790.17</v>
      </c>
      <c r="E50" s="4">
        <v>96743.99</v>
      </c>
      <c r="F50" s="3" t="e">
        <f>VLOOKUP(B50,'Profit &amp; Loss'!$B$3:$C$390,2,0)</f>
        <v>#N/A</v>
      </c>
    </row>
    <row r="51" spans="1:6" x14ac:dyDescent="0.2">
      <c r="A51" s="3" t="s">
        <v>47</v>
      </c>
      <c r="B51" s="3" t="s">
        <v>56</v>
      </c>
      <c r="C51" s="4">
        <v>11380.59</v>
      </c>
      <c r="D51" s="4">
        <v>11016.55</v>
      </c>
      <c r="E51" s="4">
        <v>364.04</v>
      </c>
      <c r="F51" s="3" t="e">
        <f>VLOOKUP(B51,'Profit &amp; Loss'!$B$3:$C$390,2,0)</f>
        <v>#N/A</v>
      </c>
    </row>
    <row r="52" spans="1:6" x14ac:dyDescent="0.2">
      <c r="A52" s="3" t="s">
        <v>47</v>
      </c>
      <c r="B52" s="3" t="s">
        <v>57</v>
      </c>
      <c r="C52" s="4">
        <v>-19272.73</v>
      </c>
      <c r="D52" s="4">
        <v>-20542.04</v>
      </c>
      <c r="E52" s="4">
        <v>1269.31</v>
      </c>
      <c r="F52" s="3" t="e">
        <f>VLOOKUP(B52,'Profit &amp; Loss'!$B$3:$C$390,2,0)</f>
        <v>#N/A</v>
      </c>
    </row>
    <row r="53" spans="1:6" x14ac:dyDescent="0.2">
      <c r="A53" s="3" t="s">
        <v>47</v>
      </c>
      <c r="B53" s="3" t="s">
        <v>58</v>
      </c>
      <c r="C53" s="4">
        <v>-14059.92</v>
      </c>
      <c r="D53" s="4">
        <v>-14272.3</v>
      </c>
      <c r="E53" s="4">
        <v>212.38</v>
      </c>
      <c r="F53" s="3" t="e">
        <f>VLOOKUP(B53,'Profit &amp; Loss'!$B$3:$C$390,2,0)</f>
        <v>#N/A</v>
      </c>
    </row>
    <row r="54" spans="1:6" x14ac:dyDescent="0.2">
      <c r="A54" s="3" t="s">
        <v>47</v>
      </c>
      <c r="B54" s="3" t="s">
        <v>2</v>
      </c>
      <c r="C54" s="4">
        <v>20032098.43</v>
      </c>
      <c r="D54" s="4">
        <v>20320295.91</v>
      </c>
      <c r="E54" s="4">
        <v>-288197.48</v>
      </c>
      <c r="F54" s="3" t="e">
        <f>VLOOKUP(B54,'Profit &amp; Loss'!$B$3:$C$390,2,0)</f>
        <v>#N/A</v>
      </c>
    </row>
    <row r="55" spans="1:6" x14ac:dyDescent="0.2">
      <c r="A55" s="3" t="s">
        <v>59</v>
      </c>
      <c r="B55" s="3" t="s">
        <v>60</v>
      </c>
      <c r="C55" s="4">
        <v>220899.3</v>
      </c>
      <c r="D55" s="4">
        <v>208218.69</v>
      </c>
      <c r="E55" s="4">
        <v>12680.61</v>
      </c>
      <c r="F55" s="3" t="e">
        <f>VLOOKUP(B55,'Profit &amp; Loss'!$B$3:$C$390,2,0)</f>
        <v>#N/A</v>
      </c>
    </row>
    <row r="56" spans="1:6" x14ac:dyDescent="0.2">
      <c r="A56" s="3" t="s">
        <v>59</v>
      </c>
      <c r="B56" s="3" t="s">
        <v>975</v>
      </c>
      <c r="C56" s="4">
        <v>100.78</v>
      </c>
      <c r="D56" s="4">
        <v>111.28</v>
      </c>
      <c r="E56" s="4">
        <v>-10.5</v>
      </c>
      <c r="F56" s="3" t="e">
        <f>VLOOKUP(B56,'Profit &amp; Loss'!$B$3:$C$390,2,0)</f>
        <v>#N/A</v>
      </c>
    </row>
    <row r="57" spans="1:6" x14ac:dyDescent="0.2">
      <c r="A57" s="3" t="s">
        <v>59</v>
      </c>
      <c r="B57" s="3" t="s">
        <v>883</v>
      </c>
      <c r="C57" s="4">
        <v>946.22</v>
      </c>
      <c r="D57" s="4">
        <v>946.22</v>
      </c>
      <c r="E57" s="4">
        <v>0</v>
      </c>
      <c r="F57" s="3" t="e">
        <f>VLOOKUP(B57,'Profit &amp; Loss'!$B$3:$C$390,2,0)</f>
        <v>#N/A</v>
      </c>
    </row>
    <row r="58" spans="1:6" x14ac:dyDescent="0.2">
      <c r="A58" s="3" t="s">
        <v>59</v>
      </c>
      <c r="B58" s="3" t="s">
        <v>61</v>
      </c>
      <c r="C58" s="4">
        <v>388.11</v>
      </c>
      <c r="D58" s="4">
        <v>346.46</v>
      </c>
      <c r="E58" s="4">
        <v>41.65</v>
      </c>
      <c r="F58" s="3" t="e">
        <f>VLOOKUP(B58,'Profit &amp; Loss'!$B$3:$C$390,2,0)</f>
        <v>#N/A</v>
      </c>
    </row>
    <row r="59" spans="1:6" x14ac:dyDescent="0.2">
      <c r="A59" s="3" t="s">
        <v>59</v>
      </c>
      <c r="B59" s="3" t="s">
        <v>62</v>
      </c>
      <c r="C59" s="4">
        <v>217186.98</v>
      </c>
      <c r="D59" s="4">
        <v>296419.49</v>
      </c>
      <c r="E59" s="4">
        <v>-79232.509999999995</v>
      </c>
      <c r="F59" s="3" t="e">
        <f>VLOOKUP(B59,'Profit &amp; Loss'!$B$3:$C$390,2,0)</f>
        <v>#N/A</v>
      </c>
    </row>
    <row r="60" spans="1:6" x14ac:dyDescent="0.2">
      <c r="A60" s="3" t="s">
        <v>59</v>
      </c>
      <c r="B60" s="3" t="s">
        <v>63</v>
      </c>
      <c r="C60" s="4">
        <v>58879.92</v>
      </c>
      <c r="D60" s="4">
        <v>22410.21</v>
      </c>
      <c r="E60" s="4">
        <v>36469.71</v>
      </c>
      <c r="F60" s="3" t="e">
        <f>VLOOKUP(B60,'Profit &amp; Loss'!$B$3:$C$390,2,0)</f>
        <v>#N/A</v>
      </c>
    </row>
    <row r="61" spans="1:6" x14ac:dyDescent="0.2">
      <c r="A61" s="3" t="s">
        <v>59</v>
      </c>
      <c r="B61" s="3" t="s">
        <v>64</v>
      </c>
      <c r="C61" s="4">
        <v>375.36</v>
      </c>
      <c r="D61" s="4">
        <v>421.02</v>
      </c>
      <c r="E61" s="4">
        <v>-45.66</v>
      </c>
      <c r="F61" s="3" t="e">
        <f>VLOOKUP(B61,'Profit &amp; Loss'!$B$3:$C$390,2,0)</f>
        <v>#N/A</v>
      </c>
    </row>
    <row r="62" spans="1:6" x14ac:dyDescent="0.2">
      <c r="A62" s="3" t="s">
        <v>59</v>
      </c>
      <c r="B62" s="3" t="s">
        <v>2</v>
      </c>
      <c r="C62" s="4">
        <v>498776.67</v>
      </c>
      <c r="D62" s="4">
        <v>528873.37</v>
      </c>
      <c r="E62" s="4">
        <v>-30096.7</v>
      </c>
      <c r="F62" s="3" t="e">
        <f>VLOOKUP(B62,'Profit &amp; Loss'!$B$3:$C$390,2,0)</f>
        <v>#N/A</v>
      </c>
    </row>
    <row r="63" spans="1:6" x14ac:dyDescent="0.2">
      <c r="A63" s="3" t="s">
        <v>65</v>
      </c>
      <c r="B63" s="3" t="s">
        <v>2</v>
      </c>
      <c r="C63" s="4">
        <v>20530698.359999999</v>
      </c>
      <c r="D63" s="4">
        <v>20849760.370000001</v>
      </c>
      <c r="E63" s="4">
        <v>-319062.01</v>
      </c>
      <c r="F63" s="3" t="e">
        <f>VLOOKUP(B63,'Profit &amp; Loss'!$B$3:$C$390,2,0)</f>
        <v>#N/A</v>
      </c>
    </row>
    <row r="64" spans="1:6" x14ac:dyDescent="0.2">
      <c r="A64" s="3" t="s">
        <v>976</v>
      </c>
      <c r="B64" s="3" t="s">
        <v>977</v>
      </c>
      <c r="C64" s="4">
        <v>0</v>
      </c>
      <c r="D64" s="4">
        <v>14166.64</v>
      </c>
      <c r="E64" s="4">
        <v>-14166.64</v>
      </c>
      <c r="F64" s="3" t="e">
        <f>VLOOKUP(B64,'Profit &amp; Loss'!$B$3:$C$390,2,0)</f>
        <v>#N/A</v>
      </c>
    </row>
    <row r="65" spans="1:6" x14ac:dyDescent="0.2">
      <c r="A65" s="3" t="s">
        <v>976</v>
      </c>
      <c r="B65" s="3" t="s">
        <v>2</v>
      </c>
      <c r="C65" s="4">
        <v>0</v>
      </c>
      <c r="D65" s="4">
        <v>14166.64</v>
      </c>
      <c r="E65" s="4">
        <v>-14166.64</v>
      </c>
      <c r="F65" s="3" t="e">
        <f>VLOOKUP(B65,'Profit &amp; Loss'!$B$3:$C$390,2,0)</f>
        <v>#N/A</v>
      </c>
    </row>
    <row r="66" spans="1:6" x14ac:dyDescent="0.2">
      <c r="A66" s="3" t="s">
        <v>978</v>
      </c>
      <c r="B66" s="3" t="s">
        <v>2</v>
      </c>
      <c r="C66" s="4">
        <v>0</v>
      </c>
      <c r="D66" s="4">
        <v>14166.64</v>
      </c>
      <c r="E66" s="4">
        <v>-14166.64</v>
      </c>
      <c r="F66" s="3" t="e">
        <f>VLOOKUP(B66,'Profit &amp; Loss'!$B$3:$C$390,2,0)</f>
        <v>#N/A</v>
      </c>
    </row>
    <row r="67" spans="1:6" x14ac:dyDescent="0.2">
      <c r="A67" s="3" t="s">
        <v>66</v>
      </c>
      <c r="B67" s="3" t="s">
        <v>67</v>
      </c>
      <c r="C67" s="4">
        <v>-6135.39</v>
      </c>
      <c r="D67" s="4">
        <v>-6135.39</v>
      </c>
      <c r="E67" s="4">
        <v>0</v>
      </c>
      <c r="F67" s="3" t="e">
        <f>VLOOKUP(B67,'Profit &amp; Loss'!$B$3:$C$390,2,0)</f>
        <v>#N/A</v>
      </c>
    </row>
    <row r="68" spans="1:6" x14ac:dyDescent="0.2">
      <c r="A68" s="3" t="s">
        <v>66</v>
      </c>
      <c r="B68" s="3" t="s">
        <v>68</v>
      </c>
      <c r="C68" s="4">
        <v>8601.35</v>
      </c>
      <c r="D68" s="4">
        <v>9178.06</v>
      </c>
      <c r="E68" s="4">
        <v>-576.71</v>
      </c>
      <c r="F68" s="3" t="e">
        <f>VLOOKUP(B68,'Profit &amp; Loss'!$B$3:$C$390,2,0)</f>
        <v>#N/A</v>
      </c>
    </row>
    <row r="69" spans="1:6" x14ac:dyDescent="0.2">
      <c r="A69" s="3" t="s">
        <v>66</v>
      </c>
      <c r="B69" s="3" t="s">
        <v>979</v>
      </c>
      <c r="C69" s="4">
        <v>6329.17</v>
      </c>
      <c r="D69" s="4">
        <v>6329.17</v>
      </c>
      <c r="E69" s="4">
        <v>0</v>
      </c>
      <c r="F69" s="3" t="e">
        <f>VLOOKUP(B69,'Profit &amp; Loss'!$B$3:$C$390,2,0)</f>
        <v>#N/A</v>
      </c>
    </row>
    <row r="70" spans="1:6" x14ac:dyDescent="0.2">
      <c r="A70" s="3" t="s">
        <v>66</v>
      </c>
      <c r="B70" s="3" t="s">
        <v>491</v>
      </c>
      <c r="C70" s="4">
        <v>0</v>
      </c>
      <c r="D70" s="4">
        <v>443.72</v>
      </c>
      <c r="E70" s="4">
        <v>-443.72</v>
      </c>
      <c r="F70" s="3" t="e">
        <f>VLOOKUP(B70,'Profit &amp; Loss'!$B$3:$C$390,2,0)</f>
        <v>#N/A</v>
      </c>
    </row>
    <row r="71" spans="1:6" x14ac:dyDescent="0.2">
      <c r="A71" s="3" t="s">
        <v>66</v>
      </c>
      <c r="B71" s="3" t="s">
        <v>492</v>
      </c>
      <c r="C71" s="4">
        <v>0</v>
      </c>
      <c r="D71" s="4">
        <v>3.22</v>
      </c>
      <c r="E71" s="4">
        <v>-3.22</v>
      </c>
      <c r="F71" s="3" t="e">
        <f>VLOOKUP(B71,'Profit &amp; Loss'!$B$3:$C$390,2,0)</f>
        <v>#N/A</v>
      </c>
    </row>
    <row r="72" spans="1:6" x14ac:dyDescent="0.2">
      <c r="A72" s="3" t="s">
        <v>66</v>
      </c>
      <c r="B72" s="3" t="s">
        <v>493</v>
      </c>
      <c r="C72" s="4">
        <v>886.17</v>
      </c>
      <c r="D72" s="4">
        <v>48.03</v>
      </c>
      <c r="E72" s="4">
        <v>838.14</v>
      </c>
      <c r="F72" s="3" t="e">
        <f>VLOOKUP(B72,'Profit &amp; Loss'!$B$3:$C$390,2,0)</f>
        <v>#N/A</v>
      </c>
    </row>
    <row r="73" spans="1:6" x14ac:dyDescent="0.2">
      <c r="A73" s="3" t="s">
        <v>66</v>
      </c>
      <c r="B73" s="3" t="s">
        <v>494</v>
      </c>
      <c r="C73" s="4">
        <v>-9.14</v>
      </c>
      <c r="D73" s="4">
        <v>0.1</v>
      </c>
      <c r="E73" s="4">
        <v>-9.24</v>
      </c>
      <c r="F73" s="3" t="e">
        <f>VLOOKUP(B73,'Profit &amp; Loss'!$B$3:$C$390,2,0)</f>
        <v>#N/A</v>
      </c>
    </row>
    <row r="74" spans="1:6" x14ac:dyDescent="0.2">
      <c r="A74" s="3" t="s">
        <v>66</v>
      </c>
      <c r="B74" s="3" t="s">
        <v>2</v>
      </c>
      <c r="C74" s="4">
        <v>9672.16</v>
      </c>
      <c r="D74" s="4">
        <v>9866.91</v>
      </c>
      <c r="E74" s="4">
        <v>-194.75</v>
      </c>
      <c r="F74" s="3" t="e">
        <f>VLOOKUP(B74,'Profit &amp; Loss'!$B$3:$C$390,2,0)</f>
        <v>#N/A</v>
      </c>
    </row>
    <row r="75" spans="1:6" x14ac:dyDescent="0.2">
      <c r="A75" s="3" t="s">
        <v>69</v>
      </c>
      <c r="B75" s="3" t="s">
        <v>2</v>
      </c>
      <c r="C75" s="4">
        <v>9672.16</v>
      </c>
      <c r="D75" s="4">
        <v>9866.91</v>
      </c>
      <c r="E75" s="4">
        <v>-194.75</v>
      </c>
      <c r="F75" s="3" t="e">
        <f>VLOOKUP(B75,'Profit &amp; Loss'!$B$3:$C$390,2,0)</f>
        <v>#N/A</v>
      </c>
    </row>
    <row r="76" spans="1:6" x14ac:dyDescent="0.2">
      <c r="A76" s="3" t="s">
        <v>70</v>
      </c>
      <c r="B76" s="3" t="s">
        <v>71</v>
      </c>
      <c r="C76" s="4">
        <v>359163.46</v>
      </c>
      <c r="D76" s="4">
        <v>359163.46</v>
      </c>
      <c r="E76" s="4">
        <v>0</v>
      </c>
      <c r="F76" s="3" t="e">
        <f>VLOOKUP(B76,'Profit &amp; Loss'!$B$3:$C$390,2,0)</f>
        <v>#N/A</v>
      </c>
    </row>
    <row r="77" spans="1:6" x14ac:dyDescent="0.2">
      <c r="A77" s="3" t="s">
        <v>70</v>
      </c>
      <c r="B77" s="3" t="s">
        <v>72</v>
      </c>
      <c r="C77" s="4">
        <v>-262611.32</v>
      </c>
      <c r="D77" s="4">
        <v>-261496.57</v>
      </c>
      <c r="E77" s="4">
        <v>-1114.75</v>
      </c>
      <c r="F77" s="3" t="e">
        <f>VLOOKUP(B77,'Profit &amp; Loss'!$B$3:$C$390,2,0)</f>
        <v>#N/A</v>
      </c>
    </row>
    <row r="78" spans="1:6" x14ac:dyDescent="0.2">
      <c r="A78" s="3" t="s">
        <v>70</v>
      </c>
      <c r="B78" s="3" t="s">
        <v>2</v>
      </c>
      <c r="C78" s="4">
        <v>96552.14</v>
      </c>
      <c r="D78" s="4">
        <v>97666.89</v>
      </c>
      <c r="E78" s="4">
        <v>-1114.75</v>
      </c>
      <c r="F78" s="3" t="e">
        <f>VLOOKUP(B78,'Profit &amp; Loss'!$B$3:$C$390,2,0)</f>
        <v>#N/A</v>
      </c>
    </row>
    <row r="79" spans="1:6" x14ac:dyDescent="0.2">
      <c r="A79" s="3" t="s">
        <v>73</v>
      </c>
      <c r="B79" s="3" t="s">
        <v>74</v>
      </c>
      <c r="C79" s="4">
        <v>132848.63</v>
      </c>
      <c r="D79" s="4">
        <v>132848.63</v>
      </c>
      <c r="E79" s="4">
        <v>0</v>
      </c>
      <c r="F79" s="3" t="e">
        <f>VLOOKUP(B79,'Profit &amp; Loss'!$B$3:$C$390,2,0)</f>
        <v>#N/A</v>
      </c>
    </row>
    <row r="80" spans="1:6" x14ac:dyDescent="0.2">
      <c r="A80" s="3" t="s">
        <v>73</v>
      </c>
      <c r="B80" s="3" t="s">
        <v>75</v>
      </c>
      <c r="C80" s="4">
        <v>767309.11</v>
      </c>
      <c r="D80" s="4">
        <v>765167.23</v>
      </c>
      <c r="E80" s="4">
        <v>2141.88</v>
      </c>
      <c r="F80" s="3" t="e">
        <f>VLOOKUP(B80,'Profit &amp; Loss'!$B$3:$C$390,2,0)</f>
        <v>#N/A</v>
      </c>
    </row>
    <row r="81" spans="1:6" x14ac:dyDescent="0.2">
      <c r="A81" s="3" t="s">
        <v>73</v>
      </c>
      <c r="B81" s="3" t="s">
        <v>76</v>
      </c>
      <c r="C81" s="4">
        <v>380496.66</v>
      </c>
      <c r="D81" s="4">
        <v>387205.26</v>
      </c>
      <c r="E81" s="4">
        <v>-6708.6</v>
      </c>
      <c r="F81" s="3" t="e">
        <f>VLOOKUP(B81,'Profit &amp; Loss'!$B$3:$C$390,2,0)</f>
        <v>#N/A</v>
      </c>
    </row>
    <row r="82" spans="1:6" x14ac:dyDescent="0.2">
      <c r="A82" s="3" t="s">
        <v>73</v>
      </c>
      <c r="B82" s="3" t="s">
        <v>77</v>
      </c>
      <c r="C82" s="4">
        <v>495.24</v>
      </c>
      <c r="D82" s="4">
        <v>495.24</v>
      </c>
      <c r="E82" s="4">
        <v>0</v>
      </c>
      <c r="F82" s="3" t="e">
        <f>VLOOKUP(B82,'Profit &amp; Loss'!$B$3:$C$390,2,0)</f>
        <v>#N/A</v>
      </c>
    </row>
    <row r="83" spans="1:6" x14ac:dyDescent="0.2">
      <c r="A83" s="3" t="s">
        <v>73</v>
      </c>
      <c r="B83" s="3" t="s">
        <v>78</v>
      </c>
      <c r="C83" s="4">
        <v>263566.81</v>
      </c>
      <c r="D83" s="4">
        <v>258667.78</v>
      </c>
      <c r="E83" s="4">
        <v>4899.03</v>
      </c>
      <c r="F83" s="3" t="e">
        <f>VLOOKUP(B83,'Profit &amp; Loss'!$B$3:$C$390,2,0)</f>
        <v>#N/A</v>
      </c>
    </row>
    <row r="84" spans="1:6" x14ac:dyDescent="0.2">
      <c r="A84" s="3" t="s">
        <v>73</v>
      </c>
      <c r="B84" s="3" t="s">
        <v>79</v>
      </c>
      <c r="C84" s="4">
        <v>-126644.01</v>
      </c>
      <c r="D84" s="4">
        <v>-126369.44</v>
      </c>
      <c r="E84" s="4">
        <v>-274.57</v>
      </c>
      <c r="F84" s="3" t="e">
        <f>VLOOKUP(B84,'Profit &amp; Loss'!$B$3:$C$390,2,0)</f>
        <v>#N/A</v>
      </c>
    </row>
    <row r="85" spans="1:6" x14ac:dyDescent="0.2">
      <c r="A85" s="3" t="s">
        <v>73</v>
      </c>
      <c r="B85" s="3" t="s">
        <v>80</v>
      </c>
      <c r="C85" s="4">
        <v>-442801.36</v>
      </c>
      <c r="D85" s="4">
        <v>-436989.81</v>
      </c>
      <c r="E85" s="4">
        <v>-5811.55</v>
      </c>
      <c r="F85" s="3" t="e">
        <f>VLOOKUP(B85,'Profit &amp; Loss'!$B$3:$C$390,2,0)</f>
        <v>#N/A</v>
      </c>
    </row>
    <row r="86" spans="1:6" x14ac:dyDescent="0.2">
      <c r="A86" s="3" t="s">
        <v>73</v>
      </c>
      <c r="B86" s="3" t="s">
        <v>81</v>
      </c>
      <c r="C86" s="4">
        <v>-302267.12</v>
      </c>
      <c r="D86" s="4">
        <v>-306714.58</v>
      </c>
      <c r="E86" s="4">
        <v>4447.46</v>
      </c>
      <c r="F86" s="3" t="e">
        <f>VLOOKUP(B86,'Profit &amp; Loss'!$B$3:$C$390,2,0)</f>
        <v>#N/A</v>
      </c>
    </row>
    <row r="87" spans="1:6" x14ac:dyDescent="0.2">
      <c r="A87" s="3" t="s">
        <v>73</v>
      </c>
      <c r="B87" s="3" t="s">
        <v>82</v>
      </c>
      <c r="C87" s="4">
        <v>-495.24</v>
      </c>
      <c r="D87" s="4">
        <v>-495.24</v>
      </c>
      <c r="E87" s="4">
        <v>0</v>
      </c>
      <c r="F87" s="3" t="e">
        <f>VLOOKUP(B87,'Profit &amp; Loss'!$B$3:$C$390,2,0)</f>
        <v>#N/A</v>
      </c>
    </row>
    <row r="88" spans="1:6" x14ac:dyDescent="0.2">
      <c r="A88" s="3" t="s">
        <v>73</v>
      </c>
      <c r="B88" s="3" t="s">
        <v>83</v>
      </c>
      <c r="C88" s="4">
        <v>-214623.59</v>
      </c>
      <c r="D88" s="4">
        <v>-212415.19</v>
      </c>
      <c r="E88" s="4">
        <v>-2208.4</v>
      </c>
      <c r="F88" s="3" t="e">
        <f>VLOOKUP(B88,'Profit &amp; Loss'!$B$3:$C$390,2,0)</f>
        <v>#N/A</v>
      </c>
    </row>
    <row r="89" spans="1:6" x14ac:dyDescent="0.2">
      <c r="A89" s="3" t="s">
        <v>73</v>
      </c>
      <c r="B89" s="3" t="s">
        <v>2</v>
      </c>
      <c r="C89" s="4">
        <v>457885.13</v>
      </c>
      <c r="D89" s="4">
        <v>461399.88</v>
      </c>
      <c r="E89" s="4">
        <v>-3514.75</v>
      </c>
      <c r="F89" s="3" t="e">
        <f>VLOOKUP(B89,'Profit &amp; Loss'!$B$3:$C$390,2,0)</f>
        <v>#N/A</v>
      </c>
    </row>
    <row r="90" spans="1:6" x14ac:dyDescent="0.2">
      <c r="A90" s="3" t="s">
        <v>84</v>
      </c>
      <c r="B90" s="3" t="s">
        <v>85</v>
      </c>
      <c r="C90" s="4">
        <v>18985571.629999999</v>
      </c>
      <c r="D90" s="4">
        <v>18066691.260000002</v>
      </c>
      <c r="E90" s="4">
        <v>918880.37</v>
      </c>
      <c r="F90" s="3" t="e">
        <f>VLOOKUP(B90,'Profit &amp; Loss'!$B$3:$C$390,2,0)</f>
        <v>#N/A</v>
      </c>
    </row>
    <row r="91" spans="1:6" x14ac:dyDescent="0.2">
      <c r="A91" s="3" t="s">
        <v>84</v>
      </c>
      <c r="B91" s="3" t="s">
        <v>86</v>
      </c>
      <c r="C91" s="4">
        <v>-6307736.2400000002</v>
      </c>
      <c r="D91" s="4">
        <v>-5702743.6100000003</v>
      </c>
      <c r="E91" s="4">
        <v>-604992.63</v>
      </c>
      <c r="F91" s="3" t="e">
        <f>VLOOKUP(B91,'Profit &amp; Loss'!$B$3:$C$390,2,0)</f>
        <v>#N/A</v>
      </c>
    </row>
    <row r="92" spans="1:6" x14ac:dyDescent="0.2">
      <c r="A92" s="3" t="s">
        <v>84</v>
      </c>
      <c r="B92" s="3" t="s">
        <v>2</v>
      </c>
      <c r="C92" s="4">
        <v>12677835.390000001</v>
      </c>
      <c r="D92" s="4">
        <v>12363947.65</v>
      </c>
      <c r="E92" s="4">
        <v>313887.74</v>
      </c>
      <c r="F92" s="3" t="e">
        <f>VLOOKUP(B92,'Profit &amp; Loss'!$B$3:$C$390,2,0)</f>
        <v>#N/A</v>
      </c>
    </row>
    <row r="93" spans="1:6" x14ac:dyDescent="0.2">
      <c r="A93" s="3" t="s">
        <v>87</v>
      </c>
      <c r="B93" s="3" t="s">
        <v>88</v>
      </c>
      <c r="C93" s="4">
        <v>103060.72</v>
      </c>
      <c r="D93" s="4">
        <v>152624.47</v>
      </c>
      <c r="E93" s="4">
        <v>-49563.75</v>
      </c>
      <c r="F93" s="3" t="e">
        <f>VLOOKUP(B93,'Profit &amp; Loss'!$B$3:$C$390,2,0)</f>
        <v>#N/A</v>
      </c>
    </row>
    <row r="94" spans="1:6" x14ac:dyDescent="0.2">
      <c r="A94" s="3" t="s">
        <v>87</v>
      </c>
      <c r="B94" s="3" t="s">
        <v>89</v>
      </c>
      <c r="C94" s="4">
        <v>655044.07999999996</v>
      </c>
      <c r="D94" s="4">
        <v>655044.07999999996</v>
      </c>
      <c r="E94" s="4">
        <v>0</v>
      </c>
      <c r="F94" s="3" t="e">
        <f>VLOOKUP(B94,'Profit &amp; Loss'!$B$3:$C$390,2,0)</f>
        <v>#N/A</v>
      </c>
    </row>
    <row r="95" spans="1:6" x14ac:dyDescent="0.2">
      <c r="A95" s="3" t="s">
        <v>87</v>
      </c>
      <c r="B95" s="3" t="s">
        <v>90</v>
      </c>
      <c r="C95" s="4">
        <v>-102060.21</v>
      </c>
      <c r="D95" s="4">
        <v>-151568.38</v>
      </c>
      <c r="E95" s="4">
        <v>49508.17</v>
      </c>
      <c r="F95" s="3" t="e">
        <f>VLOOKUP(B95,'Profit &amp; Loss'!$B$3:$C$390,2,0)</f>
        <v>#N/A</v>
      </c>
    </row>
    <row r="96" spans="1:6" x14ac:dyDescent="0.2">
      <c r="A96" s="3" t="s">
        <v>87</v>
      </c>
      <c r="B96" s="3" t="s">
        <v>91</v>
      </c>
      <c r="C96" s="4">
        <v>-674624.6</v>
      </c>
      <c r="D96" s="4">
        <v>-672923.66</v>
      </c>
      <c r="E96" s="4">
        <v>-1700.94</v>
      </c>
      <c r="F96" s="3" t="e">
        <f>VLOOKUP(B96,'Profit &amp; Loss'!$B$3:$C$390,2,0)</f>
        <v>#N/A</v>
      </c>
    </row>
    <row r="97" spans="1:6" x14ac:dyDescent="0.2">
      <c r="A97" s="3" t="s">
        <v>87</v>
      </c>
      <c r="B97" s="3" t="s">
        <v>2</v>
      </c>
      <c r="C97" s="4">
        <v>-18580.009999999998</v>
      </c>
      <c r="D97" s="4">
        <v>-16823.490000000002</v>
      </c>
      <c r="E97" s="4">
        <v>-1756.52</v>
      </c>
      <c r="F97" s="3" t="e">
        <f>VLOOKUP(B97,'Profit &amp; Loss'!$B$3:$C$390,2,0)</f>
        <v>#N/A</v>
      </c>
    </row>
    <row r="98" spans="1:6" x14ac:dyDescent="0.2">
      <c r="A98" s="3" t="s">
        <v>92</v>
      </c>
      <c r="B98" s="3" t="s">
        <v>93</v>
      </c>
      <c r="C98" s="4">
        <v>4903.3100000000004</v>
      </c>
      <c r="D98" s="4">
        <v>4903.3100000000004</v>
      </c>
      <c r="E98" s="4">
        <v>0</v>
      </c>
      <c r="F98" s="3" t="e">
        <f>VLOOKUP(B98,'Profit &amp; Loss'!$B$3:$C$390,2,0)</f>
        <v>#N/A</v>
      </c>
    </row>
    <row r="99" spans="1:6" x14ac:dyDescent="0.2">
      <c r="A99" s="3" t="s">
        <v>92</v>
      </c>
      <c r="B99" s="3" t="s">
        <v>94</v>
      </c>
      <c r="C99" s="4">
        <v>255044.67</v>
      </c>
      <c r="D99" s="4">
        <v>247830.51</v>
      </c>
      <c r="E99" s="4">
        <v>7214.16</v>
      </c>
      <c r="F99" s="3" t="e">
        <f>VLOOKUP(B99,'Profit &amp; Loss'!$B$3:$C$390,2,0)</f>
        <v>#N/A</v>
      </c>
    </row>
    <row r="100" spans="1:6" x14ac:dyDescent="0.2">
      <c r="A100" s="3" t="s">
        <v>92</v>
      </c>
      <c r="B100" s="3" t="s">
        <v>95</v>
      </c>
      <c r="C100" s="4">
        <v>-3568.08</v>
      </c>
      <c r="D100" s="4">
        <v>-3495.93</v>
      </c>
      <c r="E100" s="4">
        <v>-72.150000000000006</v>
      </c>
      <c r="F100" s="3" t="e">
        <f>VLOOKUP(B100,'Profit &amp; Loss'!$B$3:$C$390,2,0)</f>
        <v>#N/A</v>
      </c>
    </row>
    <row r="101" spans="1:6" x14ac:dyDescent="0.2">
      <c r="A101" s="3" t="s">
        <v>92</v>
      </c>
      <c r="B101" s="3" t="s">
        <v>96</v>
      </c>
      <c r="C101" s="4">
        <v>-172634.68</v>
      </c>
      <c r="D101" s="4">
        <v>-166811.04</v>
      </c>
      <c r="E101" s="4">
        <v>-5823.64</v>
      </c>
      <c r="F101" s="3" t="e">
        <f>VLOOKUP(B101,'Profit &amp; Loss'!$B$3:$C$390,2,0)</f>
        <v>#N/A</v>
      </c>
    </row>
    <row r="102" spans="1:6" x14ac:dyDescent="0.2">
      <c r="A102" s="3" t="s">
        <v>92</v>
      </c>
      <c r="B102" s="3" t="s">
        <v>2</v>
      </c>
      <c r="C102" s="4">
        <v>83745.22</v>
      </c>
      <c r="D102" s="4">
        <v>82426.850000000006</v>
      </c>
      <c r="E102" s="4">
        <v>1318.37</v>
      </c>
      <c r="F102" s="3" t="e">
        <f>VLOOKUP(B102,'Profit &amp; Loss'!$B$3:$C$390,2,0)</f>
        <v>#N/A</v>
      </c>
    </row>
    <row r="103" spans="1:6" x14ac:dyDescent="0.2">
      <c r="A103" s="3" t="s">
        <v>97</v>
      </c>
      <c r="B103" s="3" t="s">
        <v>98</v>
      </c>
      <c r="C103" s="4">
        <v>146144.09</v>
      </c>
      <c r="D103" s="4">
        <v>146144.09</v>
      </c>
      <c r="E103" s="4">
        <v>0</v>
      </c>
      <c r="F103" s="3" t="e">
        <f>VLOOKUP(B103,'Profit &amp; Loss'!$B$3:$C$390,2,0)</f>
        <v>#N/A</v>
      </c>
    </row>
    <row r="104" spans="1:6" x14ac:dyDescent="0.2">
      <c r="A104" s="3" t="s">
        <v>97</v>
      </c>
      <c r="B104" s="3" t="s">
        <v>99</v>
      </c>
      <c r="C104" s="4">
        <v>-84685.78</v>
      </c>
      <c r="D104" s="4">
        <v>-82250.06</v>
      </c>
      <c r="E104" s="4">
        <v>-2435.7199999999998</v>
      </c>
      <c r="F104" s="3" t="e">
        <f>VLOOKUP(B104,'Profit &amp; Loss'!$B$3:$C$390,2,0)</f>
        <v>#N/A</v>
      </c>
    </row>
    <row r="105" spans="1:6" x14ac:dyDescent="0.2">
      <c r="A105" s="3" t="s">
        <v>97</v>
      </c>
      <c r="B105" s="3" t="s">
        <v>2</v>
      </c>
      <c r="C105" s="4">
        <v>61458.31</v>
      </c>
      <c r="D105" s="4">
        <v>63894.03</v>
      </c>
      <c r="E105" s="4">
        <v>-2435.7199999999998</v>
      </c>
      <c r="F105" s="3" t="e">
        <f>VLOOKUP(B105,'Profit &amp; Loss'!$B$3:$C$390,2,0)</f>
        <v>#N/A</v>
      </c>
    </row>
    <row r="106" spans="1:6" x14ac:dyDescent="0.2">
      <c r="A106" s="3" t="s">
        <v>100</v>
      </c>
      <c r="B106" s="3" t="s">
        <v>101</v>
      </c>
      <c r="C106" s="4">
        <v>123391.7</v>
      </c>
      <c r="D106" s="4">
        <v>122262.1</v>
      </c>
      <c r="E106" s="4">
        <v>1129.5999999999999</v>
      </c>
      <c r="F106" s="3" t="e">
        <f>VLOOKUP(B106,'Profit &amp; Loss'!$B$3:$C$390,2,0)</f>
        <v>#N/A</v>
      </c>
    </row>
    <row r="107" spans="1:6" x14ac:dyDescent="0.2">
      <c r="A107" s="3" t="s">
        <v>100</v>
      </c>
      <c r="B107" s="3" t="s">
        <v>980</v>
      </c>
      <c r="C107" s="4">
        <v>100422.54</v>
      </c>
      <c r="D107" s="4">
        <v>101857.79</v>
      </c>
      <c r="E107" s="4">
        <v>-1435.25</v>
      </c>
      <c r="F107" s="3" t="e">
        <f>VLOOKUP(B107,'Profit &amp; Loss'!$B$3:$C$390,2,0)</f>
        <v>#N/A</v>
      </c>
    </row>
    <row r="108" spans="1:6" x14ac:dyDescent="0.2">
      <c r="A108" s="3" t="s">
        <v>100</v>
      </c>
      <c r="B108" s="3" t="s">
        <v>102</v>
      </c>
      <c r="C108" s="4">
        <v>-107122.31</v>
      </c>
      <c r="D108" s="4">
        <v>-106536.26</v>
      </c>
      <c r="E108" s="4">
        <v>-586.04999999999995</v>
      </c>
      <c r="F108" s="3" t="e">
        <f>VLOOKUP(B108,'Profit &amp; Loss'!$B$3:$C$390,2,0)</f>
        <v>#N/A</v>
      </c>
    </row>
    <row r="109" spans="1:6" x14ac:dyDescent="0.2">
      <c r="A109" s="3" t="s">
        <v>100</v>
      </c>
      <c r="B109" s="3" t="s">
        <v>981</v>
      </c>
      <c r="C109" s="4">
        <v>-100422.54</v>
      </c>
      <c r="D109" s="4">
        <v>-101857.79</v>
      </c>
      <c r="E109" s="4">
        <v>1435.25</v>
      </c>
      <c r="F109" s="3" t="e">
        <f>VLOOKUP(B109,'Profit &amp; Loss'!$B$3:$C$390,2,0)</f>
        <v>#N/A</v>
      </c>
    </row>
    <row r="110" spans="1:6" x14ac:dyDescent="0.2">
      <c r="A110" s="3" t="s">
        <v>100</v>
      </c>
      <c r="B110" s="3" t="s">
        <v>2</v>
      </c>
      <c r="C110" s="4">
        <v>16269.39</v>
      </c>
      <c r="D110" s="4">
        <v>15725.84</v>
      </c>
      <c r="E110" s="4">
        <v>543.54999999999995</v>
      </c>
      <c r="F110" s="3" t="e">
        <f>VLOOKUP(B110,'Profit &amp; Loss'!$B$3:$C$390,2,0)</f>
        <v>#N/A</v>
      </c>
    </row>
    <row r="111" spans="1:6" x14ac:dyDescent="0.2">
      <c r="A111" s="3" t="s">
        <v>103</v>
      </c>
      <c r="B111" s="3" t="s">
        <v>2</v>
      </c>
      <c r="C111" s="4">
        <v>13375165.57</v>
      </c>
      <c r="D111" s="4">
        <v>13068237.65</v>
      </c>
      <c r="E111" s="4">
        <v>306927.92</v>
      </c>
      <c r="F111" s="3" t="e">
        <f>VLOOKUP(B111,'Profit &amp; Loss'!$B$3:$C$390,2,0)</f>
        <v>#N/A</v>
      </c>
    </row>
    <row r="112" spans="1:6" x14ac:dyDescent="0.2">
      <c r="A112" s="3" t="s">
        <v>104</v>
      </c>
      <c r="B112" s="3" t="s">
        <v>105</v>
      </c>
      <c r="C112" s="4">
        <v>2806041.73</v>
      </c>
      <c r="D112" s="4">
        <v>2927636.37</v>
      </c>
      <c r="E112" s="4">
        <v>-121594.64</v>
      </c>
      <c r="F112" s="3" t="e">
        <f>VLOOKUP(B112,'Profit &amp; Loss'!$B$3:$C$390,2,0)</f>
        <v>#N/A</v>
      </c>
    </row>
    <row r="113" spans="1:6" x14ac:dyDescent="0.2">
      <c r="A113" s="3" t="s">
        <v>104</v>
      </c>
      <c r="B113" s="3" t="s">
        <v>106</v>
      </c>
      <c r="C113" s="4">
        <v>751020.44</v>
      </c>
      <c r="D113" s="4">
        <v>751020.44</v>
      </c>
      <c r="E113" s="4">
        <v>0</v>
      </c>
      <c r="F113" s="3" t="e">
        <f>VLOOKUP(B113,'Profit &amp; Loss'!$B$3:$C$390,2,0)</f>
        <v>#N/A</v>
      </c>
    </row>
    <row r="114" spans="1:6" x14ac:dyDescent="0.2">
      <c r="A114" s="3" t="s">
        <v>104</v>
      </c>
      <c r="B114" s="3" t="s">
        <v>107</v>
      </c>
      <c r="C114" s="4">
        <v>-2462237.42</v>
      </c>
      <c r="D114" s="4">
        <v>-2426387.2999999998</v>
      </c>
      <c r="E114" s="4">
        <v>-35850.120000000003</v>
      </c>
      <c r="F114" s="3" t="e">
        <f>VLOOKUP(B114,'Profit &amp; Loss'!$B$3:$C$390,2,0)</f>
        <v>#N/A</v>
      </c>
    </row>
    <row r="115" spans="1:6" x14ac:dyDescent="0.2">
      <c r="A115" s="3" t="s">
        <v>104</v>
      </c>
      <c r="B115" s="3" t="s">
        <v>108</v>
      </c>
      <c r="C115" s="4">
        <v>-591598.55000000005</v>
      </c>
      <c r="D115" s="4">
        <v>-580742.6</v>
      </c>
      <c r="E115" s="4">
        <v>-10855.95</v>
      </c>
      <c r="F115" s="3" t="e">
        <f>VLOOKUP(B115,'Profit &amp; Loss'!$B$3:$C$390,2,0)</f>
        <v>#N/A</v>
      </c>
    </row>
    <row r="116" spans="1:6" x14ac:dyDescent="0.2">
      <c r="A116" s="3" t="s">
        <v>104</v>
      </c>
      <c r="B116" s="3" t="s">
        <v>109</v>
      </c>
      <c r="C116" s="4">
        <v>-80257.42</v>
      </c>
      <c r="D116" s="4">
        <v>-80257.42</v>
      </c>
      <c r="E116" s="4">
        <v>0</v>
      </c>
      <c r="F116" s="3" t="e">
        <f>VLOOKUP(B116,'Profit &amp; Loss'!$B$3:$C$390,2,0)</f>
        <v>#N/A</v>
      </c>
    </row>
    <row r="117" spans="1:6" x14ac:dyDescent="0.2">
      <c r="A117" s="3" t="s">
        <v>104</v>
      </c>
      <c r="B117" s="3" t="s">
        <v>110</v>
      </c>
      <c r="C117" s="4">
        <v>11976.55</v>
      </c>
      <c r="D117" s="4">
        <v>11976.55</v>
      </c>
      <c r="E117" s="4">
        <v>0</v>
      </c>
      <c r="F117" s="3" t="e">
        <f>VLOOKUP(B117,'Profit &amp; Loss'!$B$3:$C$390,2,0)</f>
        <v>#N/A</v>
      </c>
    </row>
    <row r="118" spans="1:6" x14ac:dyDescent="0.2">
      <c r="A118" s="3" t="s">
        <v>104</v>
      </c>
      <c r="B118" s="3" t="s">
        <v>1431</v>
      </c>
      <c r="C118" s="4">
        <v>375936.84</v>
      </c>
      <c r="D118" s="4">
        <v>0</v>
      </c>
      <c r="E118" s="4">
        <v>375936.84</v>
      </c>
      <c r="F118" s="3" t="e">
        <f>VLOOKUP(B118,'Profit &amp; Loss'!$B$3:$C$390,2,0)</f>
        <v>#N/A</v>
      </c>
    </row>
    <row r="119" spans="1:6" x14ac:dyDescent="0.2">
      <c r="A119" s="3" t="s">
        <v>104</v>
      </c>
      <c r="B119" s="3" t="s">
        <v>2</v>
      </c>
      <c r="C119" s="4">
        <v>810882.17</v>
      </c>
      <c r="D119" s="4">
        <v>603246.04</v>
      </c>
      <c r="E119" s="4">
        <v>207636.13</v>
      </c>
      <c r="F119" s="3" t="e">
        <f>VLOOKUP(B119,'Profit &amp; Loss'!$B$3:$C$390,2,0)</f>
        <v>#N/A</v>
      </c>
    </row>
    <row r="120" spans="1:6" x14ac:dyDescent="0.2">
      <c r="A120" s="3" t="s">
        <v>112</v>
      </c>
      <c r="B120" s="3" t="s">
        <v>2</v>
      </c>
      <c r="C120" s="4">
        <v>810882.17</v>
      </c>
      <c r="D120" s="4">
        <v>603246.04</v>
      </c>
      <c r="E120" s="4">
        <v>207636.13</v>
      </c>
      <c r="F120" s="3" t="e">
        <f>VLOOKUP(B120,'Profit &amp; Loss'!$B$3:$C$390,2,0)</f>
        <v>#N/A</v>
      </c>
    </row>
    <row r="121" spans="1:6" x14ac:dyDescent="0.2">
      <c r="A121" s="3" t="s">
        <v>0</v>
      </c>
      <c r="B121" s="3" t="s">
        <v>113</v>
      </c>
      <c r="C121" s="4">
        <v>54274400.530000001</v>
      </c>
      <c r="D121" s="4">
        <v>51699452.240000002</v>
      </c>
      <c r="E121" s="4">
        <v>2574948.29</v>
      </c>
      <c r="F121" s="3" t="e">
        <f>VLOOKUP(B121,'Profit &amp; Loss'!$B$3:$C$390,2,0)</f>
        <v>#N/A</v>
      </c>
    </row>
    <row r="122" spans="1:6" x14ac:dyDescent="0.2">
      <c r="A122" s="3" t="s">
        <v>0</v>
      </c>
      <c r="B122" s="5" t="s">
        <v>114</v>
      </c>
      <c r="C122" s="4">
        <v>0</v>
      </c>
      <c r="D122" s="4">
        <v>0</v>
      </c>
      <c r="E122" s="4">
        <v>0</v>
      </c>
      <c r="F122" s="3" t="e">
        <f>VLOOKUP(B122,'Profit &amp; Loss'!$B$3:$C$390,2,0)</f>
        <v>#N/A</v>
      </c>
    </row>
    <row r="123" spans="1:6" x14ac:dyDescent="0.2">
      <c r="A123" s="3" t="s">
        <v>115</v>
      </c>
      <c r="B123" s="3" t="s">
        <v>116</v>
      </c>
      <c r="C123" s="4">
        <v>0</v>
      </c>
      <c r="D123" s="4">
        <v>0</v>
      </c>
      <c r="E123" s="4">
        <v>0</v>
      </c>
      <c r="F123" s="3" t="e">
        <f>VLOOKUP(B123,'Profit &amp; Loss'!$B$3:$C$390,2,0)</f>
        <v>#N/A</v>
      </c>
    </row>
    <row r="124" spans="1:6" x14ac:dyDescent="0.2">
      <c r="A124" s="3" t="s">
        <v>115</v>
      </c>
      <c r="B124" s="5" t="s">
        <v>117</v>
      </c>
      <c r="C124" s="4">
        <v>0</v>
      </c>
      <c r="D124" s="4">
        <v>0</v>
      </c>
      <c r="E124" s="4">
        <v>0</v>
      </c>
      <c r="F124" s="3" t="e">
        <f>VLOOKUP(B124,'Profit &amp; Loss'!$B$3:$C$390,2,0)</f>
        <v>#N/A</v>
      </c>
    </row>
    <row r="125" spans="1:6" x14ac:dyDescent="0.2">
      <c r="A125" s="3" t="s">
        <v>118</v>
      </c>
      <c r="B125" s="3" t="s">
        <v>119</v>
      </c>
      <c r="C125" s="4">
        <v>-61632.639999999999</v>
      </c>
      <c r="D125" s="4">
        <v>-151607.47</v>
      </c>
      <c r="E125" s="4">
        <v>89974.83</v>
      </c>
      <c r="F125" s="3" t="e">
        <f>VLOOKUP(B125,'Profit &amp; Loss'!$B$3:$C$390,2,0)</f>
        <v>#N/A</v>
      </c>
    </row>
    <row r="126" spans="1:6" x14ac:dyDescent="0.2">
      <c r="A126" s="3" t="s">
        <v>118</v>
      </c>
      <c r="B126" s="3" t="s">
        <v>120</v>
      </c>
      <c r="C126" s="4">
        <v>1278.1600000000001</v>
      </c>
      <c r="D126" s="4">
        <v>-1439.25</v>
      </c>
      <c r="E126" s="4">
        <v>2717.41</v>
      </c>
      <c r="F126" s="3" t="e">
        <f>VLOOKUP(B126,'Profit &amp; Loss'!$B$3:$C$390,2,0)</f>
        <v>#N/A</v>
      </c>
    </row>
    <row r="127" spans="1:6" x14ac:dyDescent="0.2">
      <c r="A127" s="3" t="s">
        <v>118</v>
      </c>
      <c r="B127" s="3" t="s">
        <v>2</v>
      </c>
      <c r="C127" s="4">
        <v>-60354.48</v>
      </c>
      <c r="D127" s="4">
        <v>-153046.72</v>
      </c>
      <c r="E127" s="4">
        <v>92692.24</v>
      </c>
      <c r="F127" s="3" t="e">
        <f>VLOOKUP(B127,'Profit &amp; Loss'!$B$3:$C$390,2,0)</f>
        <v>#N/A</v>
      </c>
    </row>
    <row r="128" spans="1:6" x14ac:dyDescent="0.2">
      <c r="A128" s="3" t="s">
        <v>121</v>
      </c>
      <c r="B128" s="3" t="s">
        <v>2</v>
      </c>
      <c r="C128" s="4">
        <v>-60354.48</v>
      </c>
      <c r="D128" s="4">
        <v>-153046.72</v>
      </c>
      <c r="E128" s="4">
        <v>92692.24</v>
      </c>
      <c r="F128" s="3" t="e">
        <f>VLOOKUP(B128,'Profit &amp; Loss'!$B$3:$C$390,2,0)</f>
        <v>#N/A</v>
      </c>
    </row>
    <row r="129" spans="1:6" x14ac:dyDescent="0.2">
      <c r="A129" s="3" t="s">
        <v>122</v>
      </c>
      <c r="B129" s="3" t="s">
        <v>123</v>
      </c>
      <c r="C129" s="4">
        <v>-708575.65</v>
      </c>
      <c r="D129" s="4">
        <v>-163614.89000000001</v>
      </c>
      <c r="E129" s="4">
        <v>-544960.76</v>
      </c>
      <c r="F129" s="3" t="e">
        <f>VLOOKUP(B129,'Profit &amp; Loss'!$B$3:$C$390,2,0)</f>
        <v>#N/A</v>
      </c>
    </row>
    <row r="130" spans="1:6" x14ac:dyDescent="0.2">
      <c r="A130" s="3" t="s">
        <v>122</v>
      </c>
      <c r="B130" s="3" t="s">
        <v>124</v>
      </c>
      <c r="C130" s="4">
        <v>5355.52</v>
      </c>
      <c r="D130" s="4">
        <v>-996.46</v>
      </c>
      <c r="E130" s="4">
        <v>6351.98</v>
      </c>
      <c r="F130" s="3" t="e">
        <f>VLOOKUP(B130,'Profit &amp; Loss'!$B$3:$C$390,2,0)</f>
        <v>#N/A</v>
      </c>
    </row>
    <row r="131" spans="1:6" x14ac:dyDescent="0.2">
      <c r="A131" s="3" t="s">
        <v>122</v>
      </c>
      <c r="B131" s="3" t="s">
        <v>126</v>
      </c>
      <c r="C131" s="4">
        <v>3733367.23</v>
      </c>
      <c r="D131" s="4">
        <v>4751605.46</v>
      </c>
      <c r="E131" s="4">
        <v>-1018238.23</v>
      </c>
      <c r="F131" s="3" t="e">
        <f>VLOOKUP(B131,'Profit &amp; Loss'!$B$3:$C$390,2,0)</f>
        <v>#N/A</v>
      </c>
    </row>
    <row r="132" spans="1:6" x14ac:dyDescent="0.2">
      <c r="A132" s="3" t="s">
        <v>122</v>
      </c>
      <c r="B132" s="3" t="s">
        <v>127</v>
      </c>
      <c r="C132" s="4">
        <v>10102.75</v>
      </c>
      <c r="D132" s="4">
        <v>10107.790000000001</v>
      </c>
      <c r="E132" s="4">
        <v>-5.04</v>
      </c>
      <c r="F132" s="3" t="e">
        <f>VLOOKUP(B132,'Profit &amp; Loss'!$B$3:$C$390,2,0)</f>
        <v>#N/A</v>
      </c>
    </row>
    <row r="133" spans="1:6" x14ac:dyDescent="0.2">
      <c r="A133" s="3" t="s">
        <v>122</v>
      </c>
      <c r="B133" s="3" t="s">
        <v>128</v>
      </c>
      <c r="C133" s="4">
        <v>37983.26</v>
      </c>
      <c r="D133" s="4">
        <v>54165.19</v>
      </c>
      <c r="E133" s="4">
        <v>-16181.93</v>
      </c>
      <c r="F133" s="3" t="e">
        <f>VLOOKUP(B133,'Profit &amp; Loss'!$B$3:$C$390,2,0)</f>
        <v>#N/A</v>
      </c>
    </row>
    <row r="134" spans="1:6" x14ac:dyDescent="0.2">
      <c r="A134" s="3" t="s">
        <v>122</v>
      </c>
      <c r="B134" s="3" t="s">
        <v>129</v>
      </c>
      <c r="C134" s="4">
        <v>-3733367.23</v>
      </c>
      <c r="D134" s="4">
        <v>-4751605.46</v>
      </c>
      <c r="E134" s="4">
        <v>1018238.23</v>
      </c>
      <c r="F134" s="3" t="e">
        <f>VLOOKUP(B134,'Profit &amp; Loss'!$B$3:$C$390,2,0)</f>
        <v>#N/A</v>
      </c>
    </row>
    <row r="135" spans="1:6" x14ac:dyDescent="0.2">
      <c r="A135" s="3" t="s">
        <v>122</v>
      </c>
      <c r="B135" s="3" t="s">
        <v>130</v>
      </c>
      <c r="C135" s="4">
        <v>-10102.75</v>
      </c>
      <c r="D135" s="4">
        <v>-10107.790000000001</v>
      </c>
      <c r="E135" s="4">
        <v>5.04</v>
      </c>
      <c r="F135" s="3" t="e">
        <f>VLOOKUP(B135,'Profit &amp; Loss'!$B$3:$C$390,2,0)</f>
        <v>#N/A</v>
      </c>
    </row>
    <row r="136" spans="1:6" x14ac:dyDescent="0.2">
      <c r="A136" s="3" t="s">
        <v>122</v>
      </c>
      <c r="B136" s="3" t="s">
        <v>131</v>
      </c>
      <c r="C136" s="4">
        <v>-37983.26</v>
      </c>
      <c r="D136" s="4">
        <v>-54165.19</v>
      </c>
      <c r="E136" s="4">
        <v>16181.93</v>
      </c>
      <c r="F136" s="3" t="e">
        <f>VLOOKUP(B136,'Profit &amp; Loss'!$B$3:$C$390,2,0)</f>
        <v>#N/A</v>
      </c>
    </row>
    <row r="137" spans="1:6" x14ac:dyDescent="0.2">
      <c r="A137" s="3" t="s">
        <v>122</v>
      </c>
      <c r="B137" s="3" t="s">
        <v>132</v>
      </c>
      <c r="C137" s="4">
        <v>6558.55</v>
      </c>
      <c r="D137" s="4">
        <v>-2364.69</v>
      </c>
      <c r="E137" s="4">
        <v>8923.24</v>
      </c>
      <c r="F137" s="3" t="e">
        <f>VLOOKUP(B137,'Profit &amp; Loss'!$B$3:$C$390,2,0)</f>
        <v>#N/A</v>
      </c>
    </row>
    <row r="138" spans="1:6" x14ac:dyDescent="0.2">
      <c r="A138" s="3" t="s">
        <v>122</v>
      </c>
      <c r="B138" s="3" t="s">
        <v>133</v>
      </c>
      <c r="C138" s="4">
        <v>-6558.55</v>
      </c>
      <c r="D138" s="4">
        <v>2364.69</v>
      </c>
      <c r="E138" s="4">
        <v>-8923.24</v>
      </c>
      <c r="F138" s="3" t="e">
        <f>VLOOKUP(B138,'Profit &amp; Loss'!$B$3:$C$390,2,0)</f>
        <v>#N/A</v>
      </c>
    </row>
    <row r="139" spans="1:6" x14ac:dyDescent="0.2">
      <c r="A139" s="3" t="s">
        <v>122</v>
      </c>
      <c r="B139" s="3" t="s">
        <v>134</v>
      </c>
      <c r="C139" s="4">
        <v>-4389.34</v>
      </c>
      <c r="D139" s="4">
        <v>-3847.51</v>
      </c>
      <c r="E139" s="4">
        <v>-541.83000000000004</v>
      </c>
      <c r="F139" s="3" t="e">
        <f>VLOOKUP(B139,'Profit &amp; Loss'!$B$3:$C$390,2,0)</f>
        <v>#N/A</v>
      </c>
    </row>
    <row r="140" spans="1:6" x14ac:dyDescent="0.2">
      <c r="A140" s="3" t="s">
        <v>122</v>
      </c>
      <c r="B140" s="3" t="s">
        <v>135</v>
      </c>
      <c r="C140" s="4">
        <v>4389.34</v>
      </c>
      <c r="D140" s="4">
        <v>3847.51</v>
      </c>
      <c r="E140" s="4">
        <v>541.83000000000004</v>
      </c>
      <c r="F140" s="3" t="e">
        <f>VLOOKUP(B140,'Profit &amp; Loss'!$B$3:$C$390,2,0)</f>
        <v>#N/A</v>
      </c>
    </row>
    <row r="141" spans="1:6" x14ac:dyDescent="0.2">
      <c r="A141" s="3" t="s">
        <v>122</v>
      </c>
      <c r="B141" s="3" t="s">
        <v>136</v>
      </c>
      <c r="C141" s="4">
        <v>-22289.41</v>
      </c>
      <c r="D141" s="4">
        <v>-25699.49</v>
      </c>
      <c r="E141" s="4">
        <v>3410.08</v>
      </c>
      <c r="F141" s="3" t="e">
        <f>VLOOKUP(B141,'Profit &amp; Loss'!$B$3:$C$390,2,0)</f>
        <v>#N/A</v>
      </c>
    </row>
    <row r="142" spans="1:6" x14ac:dyDescent="0.2">
      <c r="A142" s="3" t="s">
        <v>122</v>
      </c>
      <c r="B142" s="3" t="s">
        <v>137</v>
      </c>
      <c r="C142" s="4">
        <v>22289.41</v>
      </c>
      <c r="D142" s="4">
        <v>25699.49</v>
      </c>
      <c r="E142" s="4">
        <v>-3410.08</v>
      </c>
      <c r="F142" s="3" t="e">
        <f>VLOOKUP(B142,'Profit &amp; Loss'!$B$3:$C$390,2,0)</f>
        <v>#N/A</v>
      </c>
    </row>
    <row r="143" spans="1:6" x14ac:dyDescent="0.2">
      <c r="A143" s="3" t="s">
        <v>122</v>
      </c>
      <c r="B143" s="3" t="s">
        <v>138</v>
      </c>
      <c r="C143" s="4">
        <v>-12092.69</v>
      </c>
      <c r="D143" s="4">
        <v>-8929.4</v>
      </c>
      <c r="E143" s="4">
        <v>-3163.29</v>
      </c>
      <c r="F143" s="3" t="e">
        <f>VLOOKUP(B143,'Profit &amp; Loss'!$B$3:$C$390,2,0)</f>
        <v>#N/A</v>
      </c>
    </row>
    <row r="144" spans="1:6" x14ac:dyDescent="0.2">
      <c r="A144" s="3" t="s">
        <v>122</v>
      </c>
      <c r="B144" s="3" t="s">
        <v>139</v>
      </c>
      <c r="C144" s="4">
        <v>12092.69</v>
      </c>
      <c r="D144" s="4">
        <v>8929.4</v>
      </c>
      <c r="E144" s="4">
        <v>3163.29</v>
      </c>
      <c r="F144" s="3" t="e">
        <f>VLOOKUP(B144,'Profit &amp; Loss'!$B$3:$C$390,2,0)</f>
        <v>#N/A</v>
      </c>
    </row>
    <row r="145" spans="1:6" x14ac:dyDescent="0.2">
      <c r="A145" s="3" t="s">
        <v>122</v>
      </c>
      <c r="B145" s="3" t="s">
        <v>985</v>
      </c>
      <c r="C145" s="4">
        <v>-943.24</v>
      </c>
      <c r="D145" s="4">
        <v>-1905.06</v>
      </c>
      <c r="E145" s="4">
        <v>961.82</v>
      </c>
      <c r="F145" s="3" t="e">
        <f>VLOOKUP(B145,'Profit &amp; Loss'!$B$3:$C$390,2,0)</f>
        <v>#N/A</v>
      </c>
    </row>
    <row r="146" spans="1:6" x14ac:dyDescent="0.2">
      <c r="A146" s="3" t="s">
        <v>122</v>
      </c>
      <c r="B146" s="3" t="s">
        <v>986</v>
      </c>
      <c r="C146" s="4">
        <v>943.24</v>
      </c>
      <c r="D146" s="4">
        <v>1905.06</v>
      </c>
      <c r="E146" s="4">
        <v>-961.82</v>
      </c>
      <c r="F146" s="3" t="e">
        <f>VLOOKUP(B146,'Profit &amp; Loss'!$B$3:$C$390,2,0)</f>
        <v>#N/A</v>
      </c>
    </row>
    <row r="147" spans="1:6" x14ac:dyDescent="0.2">
      <c r="A147" s="3" t="s">
        <v>122</v>
      </c>
      <c r="B147" s="3" t="s">
        <v>140</v>
      </c>
      <c r="C147" s="4">
        <v>-52320.33</v>
      </c>
      <c r="D147" s="4">
        <v>-72931.350000000006</v>
      </c>
      <c r="E147" s="4">
        <v>20611.02</v>
      </c>
      <c r="F147" s="3" t="e">
        <f>VLOOKUP(B147,'Profit &amp; Loss'!$B$3:$C$390,2,0)</f>
        <v>#N/A</v>
      </c>
    </row>
    <row r="148" spans="1:6" x14ac:dyDescent="0.2">
      <c r="A148" s="3" t="s">
        <v>122</v>
      </c>
      <c r="B148" s="3" t="s">
        <v>141</v>
      </c>
      <c r="C148" s="4">
        <v>53628.75</v>
      </c>
      <c r="D148" s="4">
        <v>74239.77</v>
      </c>
      <c r="E148" s="4">
        <v>-20611.02</v>
      </c>
      <c r="F148" s="3" t="e">
        <f>VLOOKUP(B148,'Profit &amp; Loss'!$B$3:$C$390,2,0)</f>
        <v>#N/A</v>
      </c>
    </row>
    <row r="149" spans="1:6" x14ac:dyDescent="0.2">
      <c r="A149" s="3" t="s">
        <v>122</v>
      </c>
      <c r="B149" s="3" t="s">
        <v>142</v>
      </c>
      <c r="C149" s="4">
        <v>-44585.919999999998</v>
      </c>
      <c r="D149" s="4">
        <v>-386146.28</v>
      </c>
      <c r="E149" s="4">
        <v>341560.36</v>
      </c>
      <c r="F149" s="3" t="e">
        <f>VLOOKUP(B149,'Profit &amp; Loss'!$B$3:$C$390,2,0)</f>
        <v>#N/A</v>
      </c>
    </row>
    <row r="150" spans="1:6" x14ac:dyDescent="0.2">
      <c r="A150" s="3" t="s">
        <v>122</v>
      </c>
      <c r="B150" s="3" t="s">
        <v>143</v>
      </c>
      <c r="C150" s="4">
        <v>44585.919999999998</v>
      </c>
      <c r="D150" s="4">
        <v>389524.3</v>
      </c>
      <c r="E150" s="4">
        <v>-344938.38</v>
      </c>
      <c r="F150" s="3" t="e">
        <f>VLOOKUP(B150,'Profit &amp; Loss'!$B$3:$C$390,2,0)</f>
        <v>#N/A</v>
      </c>
    </row>
    <row r="151" spans="1:6" x14ac:dyDescent="0.2">
      <c r="A151" s="3" t="s">
        <v>122</v>
      </c>
      <c r="B151" s="3" t="s">
        <v>144</v>
      </c>
      <c r="C151" s="4">
        <v>176731.45</v>
      </c>
      <c r="D151" s="4">
        <v>176731.45</v>
      </c>
      <c r="E151" s="4">
        <v>0</v>
      </c>
      <c r="F151" s="3" t="e">
        <f>VLOOKUP(B151,'Profit &amp; Loss'!$B$3:$C$390,2,0)</f>
        <v>#N/A</v>
      </c>
    </row>
    <row r="152" spans="1:6" x14ac:dyDescent="0.2">
      <c r="A152" s="3" t="s">
        <v>122</v>
      </c>
      <c r="B152" s="3" t="s">
        <v>145</v>
      </c>
      <c r="C152" s="4">
        <v>-0.48</v>
      </c>
      <c r="D152" s="4">
        <v>-0.48</v>
      </c>
      <c r="E152" s="4">
        <v>0</v>
      </c>
      <c r="F152" s="3" t="e">
        <f>VLOOKUP(B152,'Profit &amp; Loss'!$B$3:$C$390,2,0)</f>
        <v>#N/A</v>
      </c>
    </row>
    <row r="153" spans="1:6" x14ac:dyDescent="0.2">
      <c r="A153" s="3" t="s">
        <v>122</v>
      </c>
      <c r="B153" s="3" t="s">
        <v>146</v>
      </c>
      <c r="C153" s="4">
        <v>0.48</v>
      </c>
      <c r="D153" s="4">
        <v>0.48</v>
      </c>
      <c r="E153" s="4">
        <v>0</v>
      </c>
      <c r="F153" s="3" t="e">
        <f>VLOOKUP(B153,'Profit &amp; Loss'!$B$3:$C$390,2,0)</f>
        <v>#N/A</v>
      </c>
    </row>
    <row r="154" spans="1:6" x14ac:dyDescent="0.2">
      <c r="A154" s="3" t="s">
        <v>122</v>
      </c>
      <c r="B154" s="3" t="s">
        <v>147</v>
      </c>
      <c r="C154" s="4">
        <v>-2758848.33</v>
      </c>
      <c r="D154" s="4">
        <v>-2817260.21</v>
      </c>
      <c r="E154" s="4">
        <v>58411.88</v>
      </c>
      <c r="F154" s="3" t="e">
        <f>VLOOKUP(B154,'Profit &amp; Loss'!$B$3:$C$390,2,0)</f>
        <v>#N/A</v>
      </c>
    </row>
    <row r="155" spans="1:6" x14ac:dyDescent="0.2">
      <c r="A155" s="3" t="s">
        <v>122</v>
      </c>
      <c r="B155" s="3" t="s">
        <v>2</v>
      </c>
      <c r="C155" s="4">
        <v>-3284028.59</v>
      </c>
      <c r="D155" s="4">
        <v>-2800453.67</v>
      </c>
      <c r="E155" s="4">
        <v>-483574.92</v>
      </c>
      <c r="F155" s="3" t="e">
        <f>VLOOKUP(B155,'Profit &amp; Loss'!$B$3:$C$390,2,0)</f>
        <v>#N/A</v>
      </c>
    </row>
    <row r="156" spans="1:6" x14ac:dyDescent="0.2">
      <c r="A156" s="3" t="s">
        <v>148</v>
      </c>
      <c r="B156" s="3" t="s">
        <v>2</v>
      </c>
      <c r="C156" s="4">
        <v>-3284028.59</v>
      </c>
      <c r="D156" s="4">
        <v>-2800453.67</v>
      </c>
      <c r="E156" s="4">
        <v>-483574.92</v>
      </c>
      <c r="F156" s="3" t="e">
        <f>VLOOKUP(B156,'Profit &amp; Loss'!$B$3:$C$390,2,0)</f>
        <v>#N/A</v>
      </c>
    </row>
    <row r="157" spans="1:6" x14ac:dyDescent="0.2">
      <c r="A157" s="3" t="s">
        <v>149</v>
      </c>
      <c r="B157" s="3" t="s">
        <v>150</v>
      </c>
      <c r="C157" s="4">
        <v>108.76</v>
      </c>
      <c r="D157" s="4">
        <v>108.76</v>
      </c>
      <c r="E157" s="4">
        <v>0</v>
      </c>
      <c r="F157" s="3" t="e">
        <f>VLOOKUP(B157,'Profit &amp; Loss'!$B$3:$C$390,2,0)</f>
        <v>#N/A</v>
      </c>
    </row>
    <row r="158" spans="1:6" x14ac:dyDescent="0.2">
      <c r="A158" s="3" t="s">
        <v>149</v>
      </c>
      <c r="B158" s="3" t="s">
        <v>151</v>
      </c>
      <c r="C158" s="4">
        <v>-11.31</v>
      </c>
      <c r="D158" s="4">
        <v>-4.45</v>
      </c>
      <c r="E158" s="4">
        <v>-6.86</v>
      </c>
      <c r="F158" s="3" t="e">
        <f>VLOOKUP(B158,'Profit &amp; Loss'!$B$3:$C$390,2,0)</f>
        <v>#N/A</v>
      </c>
    </row>
    <row r="159" spans="1:6" x14ac:dyDescent="0.2">
      <c r="A159" s="3" t="s">
        <v>149</v>
      </c>
      <c r="B159" s="3" t="s">
        <v>152</v>
      </c>
      <c r="C159" s="4">
        <v>4855.91</v>
      </c>
      <c r="D159" s="4">
        <v>4855.91</v>
      </c>
      <c r="E159" s="4">
        <v>0</v>
      </c>
      <c r="F159" s="3" t="e">
        <f>VLOOKUP(B159,'Profit &amp; Loss'!$B$3:$C$390,2,0)</f>
        <v>#N/A</v>
      </c>
    </row>
    <row r="160" spans="1:6" x14ac:dyDescent="0.2">
      <c r="A160" s="3" t="s">
        <v>149</v>
      </c>
      <c r="B160" s="3" t="s">
        <v>153</v>
      </c>
      <c r="C160" s="4">
        <v>-248.8</v>
      </c>
      <c r="D160" s="4">
        <v>-248.8</v>
      </c>
      <c r="E160" s="4">
        <v>0</v>
      </c>
      <c r="F160" s="3" t="e">
        <f>VLOOKUP(B160,'Profit &amp; Loss'!$B$3:$C$390,2,0)</f>
        <v>#N/A</v>
      </c>
    </row>
    <row r="161" spans="1:6" x14ac:dyDescent="0.2">
      <c r="A161" s="3" t="s">
        <v>149</v>
      </c>
      <c r="B161" s="3" t="s">
        <v>154</v>
      </c>
      <c r="C161" s="4">
        <v>-9501.7000000000007</v>
      </c>
      <c r="D161" s="4">
        <v>-3218.55</v>
      </c>
      <c r="E161" s="4">
        <v>-6283.15</v>
      </c>
      <c r="F161" s="3" t="e">
        <f>VLOOKUP(B161,'Profit &amp; Loss'!$B$3:$C$390,2,0)</f>
        <v>#N/A</v>
      </c>
    </row>
    <row r="162" spans="1:6" x14ac:dyDescent="0.2">
      <c r="A162" s="3" t="s">
        <v>149</v>
      </c>
      <c r="B162" s="3" t="s">
        <v>2</v>
      </c>
      <c r="C162" s="4">
        <v>-4797.1400000000003</v>
      </c>
      <c r="D162" s="4">
        <v>1492.87</v>
      </c>
      <c r="E162" s="4">
        <v>-6290.01</v>
      </c>
      <c r="F162" s="3" t="e">
        <f>VLOOKUP(B162,'Profit &amp; Loss'!$B$3:$C$390,2,0)</f>
        <v>#N/A</v>
      </c>
    </row>
    <row r="163" spans="1:6" x14ac:dyDescent="0.2">
      <c r="A163" s="3" t="s">
        <v>155</v>
      </c>
      <c r="B163" s="3" t="s">
        <v>2</v>
      </c>
      <c r="C163" s="4">
        <v>-4797.1400000000003</v>
      </c>
      <c r="D163" s="4">
        <v>1492.87</v>
      </c>
      <c r="E163" s="4">
        <v>-6290.01</v>
      </c>
      <c r="F163" s="3" t="e">
        <f>VLOOKUP(B163,'Profit &amp; Loss'!$B$3:$C$390,2,0)</f>
        <v>#N/A</v>
      </c>
    </row>
    <row r="164" spans="1:6" x14ac:dyDescent="0.2">
      <c r="A164" s="3" t="s">
        <v>156</v>
      </c>
      <c r="B164" s="3" t="s">
        <v>157</v>
      </c>
      <c r="C164" s="4">
        <v>-1534.99</v>
      </c>
      <c r="D164" s="4">
        <v>-1534.99</v>
      </c>
      <c r="E164" s="4">
        <v>0</v>
      </c>
      <c r="F164" s="3" t="e">
        <f>VLOOKUP(B164,'Profit &amp; Loss'!$B$3:$C$390,2,0)</f>
        <v>#N/A</v>
      </c>
    </row>
    <row r="165" spans="1:6" x14ac:dyDescent="0.2">
      <c r="A165" s="3" t="s">
        <v>156</v>
      </c>
      <c r="B165" s="3" t="s">
        <v>158</v>
      </c>
      <c r="C165" s="4">
        <v>1168.55</v>
      </c>
      <c r="D165" s="4">
        <v>1168.55</v>
      </c>
      <c r="E165" s="4">
        <v>0</v>
      </c>
      <c r="F165" s="3" t="e">
        <f>VLOOKUP(B165,'Profit &amp; Loss'!$B$3:$C$390,2,0)</f>
        <v>#N/A</v>
      </c>
    </row>
    <row r="166" spans="1:6" x14ac:dyDescent="0.2">
      <c r="A166" s="3" t="s">
        <v>156</v>
      </c>
      <c r="B166" s="3" t="s">
        <v>160</v>
      </c>
      <c r="C166" s="4">
        <v>-556.95000000000005</v>
      </c>
      <c r="D166" s="4">
        <v>-556.95000000000005</v>
      </c>
      <c r="E166" s="4">
        <v>0</v>
      </c>
      <c r="F166" s="3" t="e">
        <f>VLOOKUP(B166,'Profit &amp; Loss'!$B$3:$C$390,2,0)</f>
        <v>#N/A</v>
      </c>
    </row>
    <row r="167" spans="1:6" x14ac:dyDescent="0.2">
      <c r="A167" s="3" t="s">
        <v>156</v>
      </c>
      <c r="B167" s="3" t="s">
        <v>161</v>
      </c>
      <c r="C167" s="4">
        <v>3339.85</v>
      </c>
      <c r="D167" s="4">
        <v>-482.8</v>
      </c>
      <c r="E167" s="4">
        <v>3822.65</v>
      </c>
      <c r="F167" s="3" t="e">
        <f>VLOOKUP(B167,'Profit &amp; Loss'!$B$3:$C$390,2,0)</f>
        <v>#N/A</v>
      </c>
    </row>
    <row r="168" spans="1:6" x14ac:dyDescent="0.2">
      <c r="A168" s="3" t="s">
        <v>156</v>
      </c>
      <c r="B168" s="3" t="s">
        <v>2</v>
      </c>
      <c r="C168" s="4">
        <v>2416.46</v>
      </c>
      <c r="D168" s="4">
        <v>-1406.19</v>
      </c>
      <c r="E168" s="4">
        <v>3822.65</v>
      </c>
      <c r="F168" s="3" t="e">
        <f>VLOOKUP(B168,'Profit &amp; Loss'!$B$3:$C$390,2,0)</f>
        <v>#N/A</v>
      </c>
    </row>
    <row r="169" spans="1:6" x14ac:dyDescent="0.2">
      <c r="A169" s="3" t="s">
        <v>162</v>
      </c>
      <c r="B169" s="3" t="s">
        <v>163</v>
      </c>
      <c r="C169" s="4">
        <v>-68234.289999999994</v>
      </c>
      <c r="D169" s="4">
        <v>-68234.289999999994</v>
      </c>
      <c r="E169" s="4">
        <v>0</v>
      </c>
      <c r="F169" s="3" t="e">
        <f>VLOOKUP(B169,'Profit &amp; Loss'!$B$3:$C$390,2,0)</f>
        <v>#N/A</v>
      </c>
    </row>
    <row r="170" spans="1:6" x14ac:dyDescent="0.2">
      <c r="A170" s="3" t="s">
        <v>162</v>
      </c>
      <c r="B170" s="3" t="s">
        <v>164</v>
      </c>
      <c r="C170" s="4">
        <v>-316096.03999999998</v>
      </c>
      <c r="D170" s="4">
        <v>-322222.13</v>
      </c>
      <c r="E170" s="4">
        <v>6126.09</v>
      </c>
      <c r="F170" s="3" t="e">
        <f>VLOOKUP(B170,'Profit &amp; Loss'!$B$3:$C$390,2,0)</f>
        <v>#N/A</v>
      </c>
    </row>
    <row r="171" spans="1:6" x14ac:dyDescent="0.2">
      <c r="A171" s="3" t="s">
        <v>162</v>
      </c>
      <c r="B171" s="3" t="s">
        <v>165</v>
      </c>
      <c r="C171" s="4">
        <v>-262894.59999999998</v>
      </c>
      <c r="D171" s="4">
        <v>-261856.44</v>
      </c>
      <c r="E171" s="4">
        <v>-1038.1600000000001</v>
      </c>
      <c r="F171" s="3" t="e">
        <f>VLOOKUP(B171,'Profit &amp; Loss'!$B$3:$C$390,2,0)</f>
        <v>#N/A</v>
      </c>
    </row>
    <row r="172" spans="1:6" x14ac:dyDescent="0.2">
      <c r="A172" s="3" t="s">
        <v>162</v>
      </c>
      <c r="B172" s="3" t="s">
        <v>166</v>
      </c>
      <c r="C172" s="4">
        <v>-1131.83</v>
      </c>
      <c r="D172" s="4">
        <v>9707.39</v>
      </c>
      <c r="E172" s="4">
        <v>-10839.22</v>
      </c>
      <c r="F172" s="3" t="e">
        <f>VLOOKUP(B172,'Profit &amp; Loss'!$B$3:$C$390,2,0)</f>
        <v>#N/A</v>
      </c>
    </row>
    <row r="173" spans="1:6" x14ac:dyDescent="0.2">
      <c r="A173" s="3" t="s">
        <v>162</v>
      </c>
      <c r="B173" s="3" t="s">
        <v>167</v>
      </c>
      <c r="C173" s="4">
        <v>-506672.25</v>
      </c>
      <c r="D173" s="4">
        <v>-514550.2</v>
      </c>
      <c r="E173" s="4">
        <v>7877.95</v>
      </c>
      <c r="F173" s="3" t="e">
        <f>VLOOKUP(B173,'Profit &amp; Loss'!$B$3:$C$390,2,0)</f>
        <v>#N/A</v>
      </c>
    </row>
    <row r="174" spans="1:6" x14ac:dyDescent="0.2">
      <c r="A174" s="3" t="s">
        <v>162</v>
      </c>
      <c r="B174" s="3" t="s">
        <v>168</v>
      </c>
      <c r="C174" s="4">
        <v>-52111.53</v>
      </c>
      <c r="D174" s="4">
        <v>-53192.57</v>
      </c>
      <c r="E174" s="4">
        <v>1081.04</v>
      </c>
      <c r="F174" s="3" t="e">
        <f>VLOOKUP(B174,'Profit &amp; Loss'!$B$3:$C$390,2,0)</f>
        <v>#N/A</v>
      </c>
    </row>
    <row r="175" spans="1:6" x14ac:dyDescent="0.2">
      <c r="A175" s="3" t="s">
        <v>162</v>
      </c>
      <c r="B175" s="3" t="s">
        <v>169</v>
      </c>
      <c r="C175" s="4">
        <v>-463.03</v>
      </c>
      <c r="D175" s="4">
        <v>-912.79</v>
      </c>
      <c r="E175" s="4">
        <v>449.76</v>
      </c>
      <c r="F175" s="3" t="e">
        <f>VLOOKUP(B175,'Profit &amp; Loss'!$B$3:$C$390,2,0)</f>
        <v>#N/A</v>
      </c>
    </row>
    <row r="176" spans="1:6" x14ac:dyDescent="0.2">
      <c r="A176" s="3" t="s">
        <v>162</v>
      </c>
      <c r="B176" s="3" t="s">
        <v>170</v>
      </c>
      <c r="C176" s="4">
        <v>-299200.59999999998</v>
      </c>
      <c r="D176" s="4">
        <v>-305036</v>
      </c>
      <c r="E176" s="4">
        <v>5835.4</v>
      </c>
      <c r="F176" s="3" t="e">
        <f>VLOOKUP(B176,'Profit &amp; Loss'!$B$3:$C$390,2,0)</f>
        <v>#N/A</v>
      </c>
    </row>
    <row r="177" spans="1:6" x14ac:dyDescent="0.2">
      <c r="A177" s="3" t="s">
        <v>162</v>
      </c>
      <c r="B177" s="3" t="s">
        <v>171</v>
      </c>
      <c r="C177" s="4">
        <v>-251136.42</v>
      </c>
      <c r="D177" s="4">
        <v>-256014.36</v>
      </c>
      <c r="E177" s="4">
        <v>4877.9399999999996</v>
      </c>
      <c r="F177" s="3" t="e">
        <f>VLOOKUP(B177,'Profit &amp; Loss'!$B$3:$C$390,2,0)</f>
        <v>#N/A</v>
      </c>
    </row>
    <row r="178" spans="1:6" x14ac:dyDescent="0.2">
      <c r="A178" s="3" t="s">
        <v>162</v>
      </c>
      <c r="B178" s="3" t="s">
        <v>2</v>
      </c>
      <c r="C178" s="4">
        <v>-1757940.59</v>
      </c>
      <c r="D178" s="4">
        <v>-1772311.39</v>
      </c>
      <c r="E178" s="4">
        <v>14370.8</v>
      </c>
      <c r="F178" s="3" t="e">
        <f>VLOOKUP(B178,'Profit &amp; Loss'!$B$3:$C$390,2,0)</f>
        <v>#N/A</v>
      </c>
    </row>
    <row r="179" spans="1:6" x14ac:dyDescent="0.2">
      <c r="A179" s="3" t="s">
        <v>172</v>
      </c>
      <c r="B179" s="3" t="s">
        <v>173</v>
      </c>
      <c r="C179" s="4">
        <v>-1027.9000000000001</v>
      </c>
      <c r="D179" s="4">
        <v>-1139.6199999999999</v>
      </c>
      <c r="E179" s="4">
        <v>111.72</v>
      </c>
      <c r="F179" s="3" t="e">
        <f>VLOOKUP(B179,'Profit &amp; Loss'!$B$3:$C$390,2,0)</f>
        <v>#N/A</v>
      </c>
    </row>
    <row r="180" spans="1:6" x14ac:dyDescent="0.2">
      <c r="A180" s="3" t="s">
        <v>172</v>
      </c>
      <c r="B180" s="3" t="s">
        <v>2</v>
      </c>
      <c r="C180" s="4">
        <v>-1027.9000000000001</v>
      </c>
      <c r="D180" s="4">
        <v>-1139.6199999999999</v>
      </c>
      <c r="E180" s="4">
        <v>111.72</v>
      </c>
      <c r="F180" s="3" t="e">
        <f>VLOOKUP(B180,'Profit &amp; Loss'!$B$3:$C$390,2,0)</f>
        <v>#N/A</v>
      </c>
    </row>
    <row r="181" spans="1:6" x14ac:dyDescent="0.2">
      <c r="A181" s="3" t="s">
        <v>174</v>
      </c>
      <c r="B181" s="3" t="s">
        <v>175</v>
      </c>
      <c r="C181" s="4">
        <v>3962.6</v>
      </c>
      <c r="D181" s="4">
        <v>2875.48</v>
      </c>
      <c r="E181" s="4">
        <v>1087.1199999999999</v>
      </c>
      <c r="F181" s="3" t="e">
        <f>VLOOKUP(B181,'Profit &amp; Loss'!$B$3:$C$390,2,0)</f>
        <v>#N/A</v>
      </c>
    </row>
    <row r="182" spans="1:6" x14ac:dyDescent="0.2">
      <c r="A182" s="3" t="s">
        <v>174</v>
      </c>
      <c r="B182" s="3" t="s">
        <v>176</v>
      </c>
      <c r="C182" s="4">
        <v>-635320.46</v>
      </c>
      <c r="D182" s="4">
        <v>-644672.77</v>
      </c>
      <c r="E182" s="4">
        <v>9352.31</v>
      </c>
      <c r="F182" s="3" t="e">
        <f>VLOOKUP(B182,'Profit &amp; Loss'!$B$3:$C$390,2,0)</f>
        <v>#N/A</v>
      </c>
    </row>
    <row r="183" spans="1:6" x14ac:dyDescent="0.2">
      <c r="A183" s="3" t="s">
        <v>174</v>
      </c>
      <c r="B183" s="3" t="s">
        <v>177</v>
      </c>
      <c r="C183" s="4">
        <v>-61471.14</v>
      </c>
      <c r="D183" s="4">
        <v>-63055.4</v>
      </c>
      <c r="E183" s="4">
        <v>1584.26</v>
      </c>
      <c r="F183" s="3" t="e">
        <f>VLOOKUP(B183,'Profit &amp; Loss'!$B$3:$C$390,2,0)</f>
        <v>#N/A</v>
      </c>
    </row>
    <row r="184" spans="1:6" x14ac:dyDescent="0.2">
      <c r="A184" s="3" t="s">
        <v>174</v>
      </c>
      <c r="B184" s="3" t="s">
        <v>2</v>
      </c>
      <c r="C184" s="4">
        <v>-692829</v>
      </c>
      <c r="D184" s="4">
        <v>-704852.69</v>
      </c>
      <c r="E184" s="4">
        <v>12023.69</v>
      </c>
      <c r="F184" s="3" t="e">
        <f>VLOOKUP(B184,'Profit &amp; Loss'!$B$3:$C$390,2,0)</f>
        <v>#N/A</v>
      </c>
    </row>
    <row r="185" spans="1:6" x14ac:dyDescent="0.2">
      <c r="A185" s="3" t="s">
        <v>178</v>
      </c>
      <c r="B185" s="3" t="s">
        <v>179</v>
      </c>
      <c r="C185" s="4">
        <v>-214320.5</v>
      </c>
      <c r="D185" s="4">
        <v>44373</v>
      </c>
      <c r="E185" s="4">
        <v>-258693.5</v>
      </c>
      <c r="F185" s="3" t="e">
        <f>VLOOKUP(B185,'Profit &amp; Loss'!$B$3:$C$390,2,0)</f>
        <v>#N/A</v>
      </c>
    </row>
    <row r="186" spans="1:6" x14ac:dyDescent="0.2">
      <c r="A186" s="3" t="s">
        <v>178</v>
      </c>
      <c r="B186" s="3" t="s">
        <v>180</v>
      </c>
      <c r="C186" s="4">
        <v>-184.64</v>
      </c>
      <c r="D186" s="4">
        <v>-184.64</v>
      </c>
      <c r="E186" s="4">
        <v>0</v>
      </c>
      <c r="F186" s="3" t="e">
        <f>VLOOKUP(B186,'Profit &amp; Loss'!$B$3:$C$390,2,0)</f>
        <v>#N/A</v>
      </c>
    </row>
    <row r="187" spans="1:6" x14ac:dyDescent="0.2">
      <c r="A187" s="3" t="s">
        <v>178</v>
      </c>
      <c r="B187" s="3" t="s">
        <v>181</v>
      </c>
      <c r="C187" s="4">
        <v>899.58</v>
      </c>
      <c r="D187" s="4">
        <v>899.58</v>
      </c>
      <c r="E187" s="4">
        <v>0</v>
      </c>
      <c r="F187" s="3" t="e">
        <f>VLOOKUP(B187,'Profit &amp; Loss'!$B$3:$C$390,2,0)</f>
        <v>#N/A</v>
      </c>
    </row>
    <row r="188" spans="1:6" x14ac:dyDescent="0.2">
      <c r="A188" s="3" t="s">
        <v>178</v>
      </c>
      <c r="B188" s="3" t="s">
        <v>182</v>
      </c>
      <c r="C188" s="4">
        <v>-597.94000000000005</v>
      </c>
      <c r="D188" s="4">
        <v>-597.94000000000005</v>
      </c>
      <c r="E188" s="4">
        <v>0</v>
      </c>
      <c r="F188" s="3" t="e">
        <f>VLOOKUP(B188,'Profit &amp; Loss'!$B$3:$C$390,2,0)</f>
        <v>#N/A</v>
      </c>
    </row>
    <row r="189" spans="1:6" x14ac:dyDescent="0.2">
      <c r="A189" s="3" t="s">
        <v>178</v>
      </c>
      <c r="B189" s="3" t="s">
        <v>184</v>
      </c>
      <c r="C189" s="4">
        <v>-3972.7</v>
      </c>
      <c r="D189" s="4">
        <v>-1002</v>
      </c>
      <c r="E189" s="4">
        <v>-2970.7</v>
      </c>
      <c r="F189" s="3" t="e">
        <f>VLOOKUP(B189,'Profit &amp; Loss'!$B$3:$C$390,2,0)</f>
        <v>#N/A</v>
      </c>
    </row>
    <row r="190" spans="1:6" x14ac:dyDescent="0.2">
      <c r="A190" s="3" t="s">
        <v>178</v>
      </c>
      <c r="B190" s="3" t="s">
        <v>186</v>
      </c>
      <c r="C190" s="4">
        <v>-800</v>
      </c>
      <c r="D190" s="4">
        <v>-200</v>
      </c>
      <c r="E190" s="4">
        <v>-600</v>
      </c>
      <c r="F190" s="3" t="e">
        <f>VLOOKUP(B190,'Profit &amp; Loss'!$B$3:$C$390,2,0)</f>
        <v>#N/A</v>
      </c>
    </row>
    <row r="191" spans="1:6" x14ac:dyDescent="0.2">
      <c r="A191" s="3" t="s">
        <v>178</v>
      </c>
      <c r="B191" s="3" t="s">
        <v>187</v>
      </c>
      <c r="C191" s="4">
        <v>277.31</v>
      </c>
      <c r="D191" s="4">
        <v>207.92</v>
      </c>
      <c r="E191" s="4">
        <v>69.39</v>
      </c>
      <c r="F191" s="3" t="e">
        <f>VLOOKUP(B191,'Profit &amp; Loss'!$B$3:$C$390,2,0)</f>
        <v>#N/A</v>
      </c>
    </row>
    <row r="192" spans="1:6" x14ac:dyDescent="0.2">
      <c r="A192" s="3" t="s">
        <v>178</v>
      </c>
      <c r="B192" s="3" t="s">
        <v>188</v>
      </c>
      <c r="C192" s="4">
        <v>-1653.27</v>
      </c>
      <c r="D192" s="4">
        <v>-1455.24</v>
      </c>
      <c r="E192" s="4">
        <v>-198.03</v>
      </c>
      <c r="F192" s="3" t="e">
        <f>VLOOKUP(B192,'Profit &amp; Loss'!$B$3:$C$390,2,0)</f>
        <v>#N/A</v>
      </c>
    </row>
    <row r="193" spans="1:6" x14ac:dyDescent="0.2">
      <c r="A193" s="3" t="s">
        <v>178</v>
      </c>
      <c r="B193" s="3" t="s">
        <v>189</v>
      </c>
      <c r="C193" s="4">
        <v>61.22</v>
      </c>
      <c r="D193" s="4">
        <v>47.93</v>
      </c>
      <c r="E193" s="4">
        <v>13.29</v>
      </c>
      <c r="F193" s="3" t="e">
        <f>VLOOKUP(B193,'Profit &amp; Loss'!$B$3:$C$390,2,0)</f>
        <v>#N/A</v>
      </c>
    </row>
    <row r="194" spans="1:6" x14ac:dyDescent="0.2">
      <c r="A194" s="3" t="s">
        <v>178</v>
      </c>
      <c r="B194" s="3" t="s">
        <v>190</v>
      </c>
      <c r="C194" s="4">
        <v>140.44</v>
      </c>
      <c r="D194" s="4">
        <v>140.44</v>
      </c>
      <c r="E194" s="4">
        <v>0</v>
      </c>
      <c r="F194" s="3" t="e">
        <f>VLOOKUP(B194,'Profit &amp; Loss'!$B$3:$C$390,2,0)</f>
        <v>#N/A</v>
      </c>
    </row>
    <row r="195" spans="1:6" x14ac:dyDescent="0.2">
      <c r="A195" s="3" t="s">
        <v>178</v>
      </c>
      <c r="B195" s="3" t="s">
        <v>191</v>
      </c>
      <c r="C195" s="4">
        <v>-91.97</v>
      </c>
      <c r="D195" s="4">
        <v>-70.59</v>
      </c>
      <c r="E195" s="4">
        <v>-21.38</v>
      </c>
      <c r="F195" s="3" t="e">
        <f>VLOOKUP(B195,'Profit &amp; Loss'!$B$3:$C$390,2,0)</f>
        <v>#N/A</v>
      </c>
    </row>
    <row r="196" spans="1:6" x14ac:dyDescent="0.2">
      <c r="A196" s="3" t="s">
        <v>178</v>
      </c>
      <c r="B196" s="3" t="s">
        <v>192</v>
      </c>
      <c r="C196" s="4">
        <v>11668.41</v>
      </c>
      <c r="D196" s="4">
        <v>8035.92</v>
      </c>
      <c r="E196" s="4">
        <v>3632.49</v>
      </c>
      <c r="F196" s="3" t="e">
        <f>VLOOKUP(B196,'Profit &amp; Loss'!$B$3:$C$390,2,0)</f>
        <v>#N/A</v>
      </c>
    </row>
    <row r="197" spans="1:6" x14ac:dyDescent="0.2">
      <c r="A197" s="3" t="s">
        <v>178</v>
      </c>
      <c r="B197" s="3" t="s">
        <v>193</v>
      </c>
      <c r="C197" s="4">
        <v>1077.68</v>
      </c>
      <c r="D197" s="4">
        <v>203.95</v>
      </c>
      <c r="E197" s="4">
        <v>873.73</v>
      </c>
      <c r="F197" s="3" t="e">
        <f>VLOOKUP(B197,'Profit &amp; Loss'!$B$3:$C$390,2,0)</f>
        <v>#N/A</v>
      </c>
    </row>
    <row r="198" spans="1:6" x14ac:dyDescent="0.2">
      <c r="A198" s="3" t="s">
        <v>178</v>
      </c>
      <c r="B198" s="3" t="s">
        <v>194</v>
      </c>
      <c r="C198" s="4">
        <v>-23655.87</v>
      </c>
      <c r="D198" s="4">
        <v>-23655.87</v>
      </c>
      <c r="E198" s="4">
        <v>0</v>
      </c>
      <c r="F198" s="3" t="e">
        <f>VLOOKUP(B198,'Profit &amp; Loss'!$B$3:$C$390,2,0)</f>
        <v>#N/A</v>
      </c>
    </row>
    <row r="199" spans="1:6" x14ac:dyDescent="0.2">
      <c r="A199" s="3" t="s">
        <v>178</v>
      </c>
      <c r="B199" s="3" t="s">
        <v>195</v>
      </c>
      <c r="C199" s="4">
        <v>-37316.6</v>
      </c>
      <c r="D199" s="4">
        <v>-38097.839999999997</v>
      </c>
      <c r="E199" s="4">
        <v>781.24</v>
      </c>
      <c r="F199" s="3" t="e">
        <f>VLOOKUP(B199,'Profit &amp; Loss'!$B$3:$C$390,2,0)</f>
        <v>#N/A</v>
      </c>
    </row>
    <row r="200" spans="1:6" x14ac:dyDescent="0.2">
      <c r="A200" s="3" t="s">
        <v>178</v>
      </c>
      <c r="B200" s="3" t="s">
        <v>196</v>
      </c>
      <c r="C200" s="4">
        <v>-24096.09</v>
      </c>
      <c r="D200" s="4">
        <v>-34457.39</v>
      </c>
      <c r="E200" s="4">
        <v>10361.299999999999</v>
      </c>
      <c r="F200" s="3" t="e">
        <f>VLOOKUP(B200,'Profit &amp; Loss'!$B$3:$C$390,2,0)</f>
        <v>#N/A</v>
      </c>
    </row>
    <row r="201" spans="1:6" x14ac:dyDescent="0.2">
      <c r="A201" s="3" t="s">
        <v>178</v>
      </c>
      <c r="B201" s="3" t="s">
        <v>2</v>
      </c>
      <c r="C201" s="4">
        <v>-292564.94</v>
      </c>
      <c r="D201" s="4">
        <v>-45812.77</v>
      </c>
      <c r="E201" s="4">
        <v>-246752.17</v>
      </c>
      <c r="F201" s="3" t="e">
        <f>VLOOKUP(B201,'Profit &amp; Loss'!$B$3:$C$390,2,0)</f>
        <v>#N/A</v>
      </c>
    </row>
    <row r="202" spans="1:6" x14ac:dyDescent="0.2">
      <c r="A202" s="3" t="s">
        <v>197</v>
      </c>
      <c r="B202" s="3" t="s">
        <v>2</v>
      </c>
      <c r="C202" s="4">
        <v>-2741945.97</v>
      </c>
      <c r="D202" s="4">
        <v>-2525522.66</v>
      </c>
      <c r="E202" s="4">
        <v>-216423.31</v>
      </c>
      <c r="F202" s="3" t="e">
        <f>VLOOKUP(B202,'Profit &amp; Loss'!$B$3:$C$390,2,0)</f>
        <v>#N/A</v>
      </c>
    </row>
    <row r="203" spans="1:6" x14ac:dyDescent="0.2">
      <c r="A203" s="3" t="s">
        <v>198</v>
      </c>
      <c r="B203" s="3" t="s">
        <v>199</v>
      </c>
      <c r="C203" s="4">
        <v>456660.03</v>
      </c>
      <c r="D203" s="4">
        <v>379483.04</v>
      </c>
      <c r="E203" s="4">
        <v>77176.990000000005</v>
      </c>
      <c r="F203" s="3" t="e">
        <f>VLOOKUP(B203,'Profit &amp; Loss'!$B$3:$C$390,2,0)</f>
        <v>#N/A</v>
      </c>
    </row>
    <row r="204" spans="1:6" x14ac:dyDescent="0.2">
      <c r="A204" s="3" t="s">
        <v>198</v>
      </c>
      <c r="B204" s="3" t="s">
        <v>2</v>
      </c>
      <c r="C204" s="4">
        <v>456660.03</v>
      </c>
      <c r="D204" s="4">
        <v>379483.04</v>
      </c>
      <c r="E204" s="4">
        <v>77176.990000000005</v>
      </c>
      <c r="F204" s="3" t="e">
        <f>VLOOKUP(B204,'Profit &amp; Loss'!$B$3:$C$390,2,0)</f>
        <v>#N/A</v>
      </c>
    </row>
    <row r="205" spans="1:6" x14ac:dyDescent="0.2">
      <c r="A205" s="3" t="s">
        <v>200</v>
      </c>
      <c r="B205" s="3" t="s">
        <v>201</v>
      </c>
      <c r="C205" s="4">
        <v>-5252.67</v>
      </c>
      <c r="D205" s="4">
        <v>-5252.67</v>
      </c>
      <c r="E205" s="4">
        <v>0</v>
      </c>
      <c r="F205" s="3" t="e">
        <f>VLOOKUP(B205,'Profit &amp; Loss'!$B$3:$C$390,2,0)</f>
        <v>#N/A</v>
      </c>
    </row>
    <row r="206" spans="1:6" x14ac:dyDescent="0.2">
      <c r="A206" s="3" t="s">
        <v>200</v>
      </c>
      <c r="B206" s="3" t="s">
        <v>203</v>
      </c>
      <c r="C206" s="4">
        <v>-10671.57</v>
      </c>
      <c r="D206" s="4">
        <v>-10671.57</v>
      </c>
      <c r="E206" s="4">
        <v>0</v>
      </c>
      <c r="F206" s="3" t="e">
        <f>VLOOKUP(B206,'Profit &amp; Loss'!$B$3:$C$390,2,0)</f>
        <v>#N/A</v>
      </c>
    </row>
    <row r="207" spans="1:6" x14ac:dyDescent="0.2">
      <c r="A207" s="3" t="s">
        <v>200</v>
      </c>
      <c r="B207" s="3" t="s">
        <v>204</v>
      </c>
      <c r="C207" s="4">
        <v>-20871.29</v>
      </c>
      <c r="D207" s="4">
        <v>-20871.29</v>
      </c>
      <c r="E207" s="4">
        <v>0</v>
      </c>
      <c r="F207" s="3" t="e">
        <f>VLOOKUP(B207,'Profit &amp; Loss'!$B$3:$C$390,2,0)</f>
        <v>#N/A</v>
      </c>
    </row>
    <row r="208" spans="1:6" x14ac:dyDescent="0.2">
      <c r="A208" s="3" t="s">
        <v>200</v>
      </c>
      <c r="B208" s="3" t="s">
        <v>205</v>
      </c>
      <c r="C208" s="4">
        <v>-5.01</v>
      </c>
      <c r="D208" s="4">
        <v>-5.01</v>
      </c>
      <c r="E208" s="4">
        <v>0</v>
      </c>
      <c r="F208" s="3" t="e">
        <f>VLOOKUP(B208,'Profit &amp; Loss'!$B$3:$C$390,2,0)</f>
        <v>#N/A</v>
      </c>
    </row>
    <row r="209" spans="1:6" x14ac:dyDescent="0.2">
      <c r="A209" s="3" t="s">
        <v>200</v>
      </c>
      <c r="B209" s="3" t="s">
        <v>209</v>
      </c>
      <c r="C209" s="4">
        <v>-0.03</v>
      </c>
      <c r="D209" s="4">
        <v>-0.03</v>
      </c>
      <c r="E209" s="4">
        <v>0</v>
      </c>
      <c r="F209" s="3" t="e">
        <f>VLOOKUP(B209,'Profit &amp; Loss'!$B$3:$C$390,2,0)</f>
        <v>#N/A</v>
      </c>
    </row>
    <row r="210" spans="1:6" x14ac:dyDescent="0.2">
      <c r="A210" s="3" t="s">
        <v>200</v>
      </c>
      <c r="B210" s="3" t="s">
        <v>2</v>
      </c>
      <c r="C210" s="4">
        <v>-36800.57</v>
      </c>
      <c r="D210" s="4">
        <v>-36800.57</v>
      </c>
      <c r="E210" s="4">
        <v>0</v>
      </c>
      <c r="F210" s="3" t="e">
        <f>VLOOKUP(B210,'Profit &amp; Loss'!$B$3:$C$390,2,0)</f>
        <v>#N/A</v>
      </c>
    </row>
    <row r="211" spans="1:6" x14ac:dyDescent="0.2">
      <c r="A211" s="3" t="s">
        <v>210</v>
      </c>
      <c r="B211" s="3" t="s">
        <v>2</v>
      </c>
      <c r="C211" s="4">
        <v>419859.46</v>
      </c>
      <c r="D211" s="4">
        <v>342682.47</v>
      </c>
      <c r="E211" s="4">
        <v>77176.990000000005</v>
      </c>
      <c r="F211" s="3" t="e">
        <f>VLOOKUP(B211,'Profit &amp; Loss'!$B$3:$C$390,2,0)</f>
        <v>#N/A</v>
      </c>
    </row>
    <row r="212" spans="1:6" x14ac:dyDescent="0.2">
      <c r="A212" s="3" t="s">
        <v>211</v>
      </c>
      <c r="B212" s="3" t="s">
        <v>212</v>
      </c>
      <c r="C212" s="4">
        <v>-473262.13</v>
      </c>
      <c r="D212" s="4">
        <v>-598218.41</v>
      </c>
      <c r="E212" s="4">
        <v>124956.28</v>
      </c>
      <c r="F212" s="3" t="e">
        <f>VLOOKUP(B212,'Profit &amp; Loss'!$B$3:$C$390,2,0)</f>
        <v>#N/A</v>
      </c>
    </row>
    <row r="213" spans="1:6" x14ac:dyDescent="0.2">
      <c r="A213" s="3" t="s">
        <v>211</v>
      </c>
      <c r="B213" s="3" t="s">
        <v>213</v>
      </c>
      <c r="C213" s="4">
        <v>-121531.83</v>
      </c>
      <c r="D213" s="4">
        <v>-123916.43</v>
      </c>
      <c r="E213" s="4">
        <v>2384.6</v>
      </c>
      <c r="F213" s="3" t="e">
        <f>VLOOKUP(B213,'Profit &amp; Loss'!$B$3:$C$390,2,0)</f>
        <v>#N/A</v>
      </c>
    </row>
    <row r="214" spans="1:6" x14ac:dyDescent="0.2">
      <c r="A214" s="3" t="s">
        <v>211</v>
      </c>
      <c r="B214" s="3" t="s">
        <v>214</v>
      </c>
      <c r="C214" s="4">
        <v>-72409.679999999993</v>
      </c>
      <c r="D214" s="4">
        <v>-72761.119999999995</v>
      </c>
      <c r="E214" s="4">
        <v>351.44</v>
      </c>
      <c r="F214" s="3" t="e">
        <f>VLOOKUP(B214,'Profit &amp; Loss'!$B$3:$C$390,2,0)</f>
        <v>#N/A</v>
      </c>
    </row>
    <row r="215" spans="1:6" x14ac:dyDescent="0.2">
      <c r="A215" s="3" t="s">
        <v>211</v>
      </c>
      <c r="B215" s="3" t="s">
        <v>215</v>
      </c>
      <c r="C215" s="4">
        <v>-76334.720000000001</v>
      </c>
      <c r="D215" s="4">
        <v>-74730.39</v>
      </c>
      <c r="E215" s="4">
        <v>-1604.33</v>
      </c>
      <c r="F215" s="3" t="e">
        <f>VLOOKUP(B215,'Profit &amp; Loss'!$B$3:$C$390,2,0)</f>
        <v>#N/A</v>
      </c>
    </row>
    <row r="216" spans="1:6" x14ac:dyDescent="0.2">
      <c r="A216" s="3" t="s">
        <v>211</v>
      </c>
      <c r="B216" s="3" t="s">
        <v>216</v>
      </c>
      <c r="C216" s="4">
        <v>-43320.1</v>
      </c>
      <c r="D216" s="4">
        <v>-51369.2</v>
      </c>
      <c r="E216" s="4">
        <v>8049.1</v>
      </c>
      <c r="F216" s="3" t="e">
        <f>VLOOKUP(B216,'Profit &amp; Loss'!$B$3:$C$390,2,0)</f>
        <v>#N/A</v>
      </c>
    </row>
    <row r="217" spans="1:6" x14ac:dyDescent="0.2">
      <c r="A217" s="3" t="s">
        <v>211</v>
      </c>
      <c r="B217" s="3" t="s">
        <v>217</v>
      </c>
      <c r="C217" s="4">
        <v>-238861.88</v>
      </c>
      <c r="D217" s="4">
        <v>-236680.67</v>
      </c>
      <c r="E217" s="4">
        <v>-2181.21</v>
      </c>
      <c r="F217" s="3" t="e">
        <f>VLOOKUP(B217,'Profit &amp; Loss'!$B$3:$C$390,2,0)</f>
        <v>#N/A</v>
      </c>
    </row>
    <row r="218" spans="1:6" x14ac:dyDescent="0.2">
      <c r="A218" s="3" t="s">
        <v>211</v>
      </c>
      <c r="B218" s="3" t="s">
        <v>2</v>
      </c>
      <c r="C218" s="4">
        <v>-1025720.34</v>
      </c>
      <c r="D218" s="4">
        <v>-1157676.22</v>
      </c>
      <c r="E218" s="4">
        <v>131955.88</v>
      </c>
      <c r="F218" s="3" t="e">
        <f>VLOOKUP(B218,'Profit &amp; Loss'!$B$3:$C$390,2,0)</f>
        <v>#N/A</v>
      </c>
    </row>
    <row r="219" spans="1:6" x14ac:dyDescent="0.2">
      <c r="A219" s="3" t="s">
        <v>218</v>
      </c>
      <c r="B219" s="3" t="s">
        <v>2</v>
      </c>
      <c r="C219" s="4">
        <v>-1025720.34</v>
      </c>
      <c r="D219" s="4">
        <v>-1157676.22</v>
      </c>
      <c r="E219" s="4">
        <v>131955.88</v>
      </c>
      <c r="F219" s="3" t="e">
        <f>VLOOKUP(B219,'Profit &amp; Loss'!$B$3:$C$390,2,0)</f>
        <v>#N/A</v>
      </c>
    </row>
    <row r="220" spans="1:6" x14ac:dyDescent="0.2">
      <c r="A220" s="3" t="s">
        <v>219</v>
      </c>
      <c r="B220" s="3" t="s">
        <v>220</v>
      </c>
      <c r="C220" s="4">
        <v>120.57</v>
      </c>
      <c r="D220" s="4">
        <v>120.57</v>
      </c>
      <c r="E220" s="4">
        <v>0</v>
      </c>
      <c r="F220" s="3" t="e">
        <f>VLOOKUP(B220,'Profit &amp; Loss'!$B$3:$C$390,2,0)</f>
        <v>#N/A</v>
      </c>
    </row>
    <row r="221" spans="1:6" x14ac:dyDescent="0.2">
      <c r="A221" s="3" t="s">
        <v>219</v>
      </c>
      <c r="B221" s="3" t="s">
        <v>221</v>
      </c>
      <c r="C221" s="4">
        <v>596.78</v>
      </c>
      <c r="D221" s="4">
        <v>596.78</v>
      </c>
      <c r="E221" s="4">
        <v>0</v>
      </c>
      <c r="F221" s="3" t="e">
        <f>VLOOKUP(B221,'Profit &amp; Loss'!$B$3:$C$390,2,0)</f>
        <v>#N/A</v>
      </c>
    </row>
    <row r="222" spans="1:6" x14ac:dyDescent="0.2">
      <c r="A222" s="3" t="s">
        <v>219</v>
      </c>
      <c r="B222" s="3" t="s">
        <v>222</v>
      </c>
      <c r="C222" s="4">
        <v>49081330.979999997</v>
      </c>
      <c r="D222" s="4">
        <v>48847713.219999999</v>
      </c>
      <c r="E222" s="4">
        <v>233617.76</v>
      </c>
      <c r="F222" s="3" t="e">
        <f>VLOOKUP(B222,'Profit &amp; Loss'!$B$3:$C$390,2,0)</f>
        <v>#N/A</v>
      </c>
    </row>
    <row r="223" spans="1:6" x14ac:dyDescent="0.2">
      <c r="A223" s="3" t="s">
        <v>219</v>
      </c>
      <c r="B223" s="3" t="s">
        <v>2</v>
      </c>
      <c r="C223" s="4">
        <v>49082048.329999998</v>
      </c>
      <c r="D223" s="4">
        <v>48848430.57</v>
      </c>
      <c r="E223" s="4">
        <v>233617.76</v>
      </c>
      <c r="F223" s="3" t="e">
        <f>VLOOKUP(B223,'Profit &amp; Loss'!$B$3:$C$390,2,0)</f>
        <v>#N/A</v>
      </c>
    </row>
    <row r="224" spans="1:6" x14ac:dyDescent="0.2">
      <c r="A224" s="3" t="s">
        <v>223</v>
      </c>
      <c r="B224" s="3" t="s">
        <v>2</v>
      </c>
      <c r="C224" s="4">
        <v>49082048.329999998</v>
      </c>
      <c r="D224" s="4">
        <v>48848430.57</v>
      </c>
      <c r="E224" s="4">
        <v>233617.76</v>
      </c>
      <c r="F224" s="3" t="e">
        <f>VLOOKUP(B224,'Profit &amp; Loss'!$B$3:$C$390,2,0)</f>
        <v>#N/A</v>
      </c>
    </row>
    <row r="225" spans="1:6" x14ac:dyDescent="0.2">
      <c r="A225" s="3" t="s">
        <v>224</v>
      </c>
      <c r="B225" s="3" t="s">
        <v>2</v>
      </c>
      <c r="C225" s="4">
        <v>42385061.270000003</v>
      </c>
      <c r="D225" s="4">
        <v>42555906.640000001</v>
      </c>
      <c r="E225" s="4">
        <v>-170845.37</v>
      </c>
      <c r="F225" s="3" t="e">
        <f>VLOOKUP(B225,'Profit &amp; Loss'!$B$3:$C$390,2,0)</f>
        <v>#N/A</v>
      </c>
    </row>
    <row r="226" spans="1:6" x14ac:dyDescent="0.2">
      <c r="A226" s="3" t="s">
        <v>225</v>
      </c>
      <c r="B226" s="3" t="s">
        <v>226</v>
      </c>
      <c r="C226" s="4">
        <v>-85746371.450000003</v>
      </c>
      <c r="D226" s="4">
        <v>-85746371.450000003</v>
      </c>
      <c r="E226" s="4">
        <v>0</v>
      </c>
      <c r="F226" s="3" t="e">
        <f>VLOOKUP(B226,'Profit &amp; Loss'!$B$3:$C$390,2,0)</f>
        <v>#N/A</v>
      </c>
    </row>
    <row r="227" spans="1:6" x14ac:dyDescent="0.2">
      <c r="A227" s="3" t="s">
        <v>225</v>
      </c>
      <c r="B227" s="3" t="s">
        <v>2</v>
      </c>
      <c r="C227" s="4">
        <v>-85746371.450000003</v>
      </c>
      <c r="D227" s="4">
        <v>-85746371.450000003</v>
      </c>
      <c r="E227" s="4">
        <v>0</v>
      </c>
      <c r="F227" s="3" t="e">
        <f>VLOOKUP(B227,'Profit &amp; Loss'!$B$3:$C$390,2,0)</f>
        <v>#N/A</v>
      </c>
    </row>
    <row r="228" spans="1:6" x14ac:dyDescent="0.2">
      <c r="A228" s="3" t="s">
        <v>227</v>
      </c>
      <c r="B228" s="3" t="s">
        <v>2</v>
      </c>
      <c r="C228" s="4">
        <v>-85746371.450000003</v>
      </c>
      <c r="D228" s="4">
        <v>-85746371.450000003</v>
      </c>
      <c r="E228" s="4">
        <v>0</v>
      </c>
      <c r="F228" s="3" t="e">
        <f>VLOOKUP(B228,'Profit &amp; Loss'!$B$3:$C$390,2,0)</f>
        <v>#N/A</v>
      </c>
    </row>
    <row r="229" spans="1:6" x14ac:dyDescent="0.2">
      <c r="A229" s="3" t="s">
        <v>228</v>
      </c>
      <c r="B229" s="3" t="s">
        <v>2</v>
      </c>
      <c r="C229" s="4">
        <v>-85746371.450000003</v>
      </c>
      <c r="D229" s="4">
        <v>-85746371.450000003</v>
      </c>
      <c r="E229" s="4">
        <v>0</v>
      </c>
      <c r="F229" s="3" t="e">
        <f>VLOOKUP(B229,'Profit &amp; Loss'!$B$3:$C$390,2,0)</f>
        <v>#N/A</v>
      </c>
    </row>
    <row r="230" spans="1:6" x14ac:dyDescent="0.2">
      <c r="A230" s="3" t="s">
        <v>229</v>
      </c>
      <c r="B230" s="3" t="s">
        <v>230</v>
      </c>
      <c r="C230" s="4">
        <v>0</v>
      </c>
      <c r="D230" s="4">
        <v>0</v>
      </c>
      <c r="E230" s="4">
        <v>0</v>
      </c>
      <c r="F230" s="3" t="e">
        <f>VLOOKUP(B230,'Profit &amp; Loss'!$B$3:$C$390,2,0)</f>
        <v>#N/A</v>
      </c>
    </row>
    <row r="231" spans="1:6" x14ac:dyDescent="0.2">
      <c r="A231" s="3" t="s">
        <v>229</v>
      </c>
      <c r="B231" s="5" t="s">
        <v>231</v>
      </c>
      <c r="C231" s="4">
        <v>0</v>
      </c>
      <c r="D231" s="4">
        <v>0</v>
      </c>
      <c r="E231" s="4">
        <v>0</v>
      </c>
      <c r="F231" s="3" t="e">
        <f>VLOOKUP(B231,'Profit &amp; Loss'!$B$3:$C$390,2,0)</f>
        <v>#N/A</v>
      </c>
    </row>
    <row r="232" spans="1:6" x14ac:dyDescent="0.2">
      <c r="A232" s="3" t="s">
        <v>232</v>
      </c>
      <c r="B232" s="3" t="s">
        <v>2</v>
      </c>
      <c r="C232" s="4">
        <v>-10913090.35</v>
      </c>
      <c r="D232" s="4">
        <v>-8508987.4299999997</v>
      </c>
      <c r="E232" s="4">
        <v>-2404102.92</v>
      </c>
      <c r="F232" s="3" t="e">
        <f>VLOOKUP(B232,'Profit &amp; Loss'!$B$3:$C$390,2,0)</f>
        <v>#N/A</v>
      </c>
    </row>
    <row r="233" spans="1:6" x14ac:dyDescent="0.2">
      <c r="A233" s="3" t="s">
        <v>229</v>
      </c>
      <c r="B233" s="3" t="s">
        <v>233</v>
      </c>
      <c r="C233" s="4">
        <v>-10913090.35</v>
      </c>
      <c r="D233" s="4">
        <v>-8508987.4299999997</v>
      </c>
      <c r="E233" s="4">
        <v>-2404102.92</v>
      </c>
      <c r="F233" s="3" t="e">
        <f>VLOOKUP(B233,'Profit &amp; Loss'!$B$3:$C$390,2,0)</f>
        <v>#N/A</v>
      </c>
    </row>
    <row r="234" spans="1:6" x14ac:dyDescent="0.2">
      <c r="A234" s="3" t="s">
        <v>229</v>
      </c>
      <c r="B234" s="5" t="s">
        <v>234</v>
      </c>
      <c r="C234" s="4">
        <v>0</v>
      </c>
      <c r="D234" s="4">
        <v>0</v>
      </c>
      <c r="E234" s="4">
        <v>0</v>
      </c>
      <c r="F234" s="3" t="e">
        <f>VLOOKUP(B234,'Profit &amp; Loss'!$B$3:$C$390,2,0)</f>
        <v>#N/A</v>
      </c>
    </row>
    <row r="235" spans="1:6" x14ac:dyDescent="0.2">
      <c r="A235" s="3" t="s">
        <v>115</v>
      </c>
      <c r="B235" s="3" t="s">
        <v>235</v>
      </c>
      <c r="C235" s="4">
        <v>-54274400.530000001</v>
      </c>
      <c r="D235" s="4">
        <v>-51699452.240000002</v>
      </c>
      <c r="E235" s="4">
        <v>-2574948.29</v>
      </c>
      <c r="F235" s="3" t="e">
        <f>VLOOKUP(B235,'Profit &amp; Loss'!$B$3:$C$390,2,0)</f>
        <v>#N/A</v>
      </c>
    </row>
    <row r="236" spans="1:6" x14ac:dyDescent="0.2">
      <c r="A236" s="3" t="s">
        <v>115</v>
      </c>
      <c r="B236" s="5" t="s">
        <v>236</v>
      </c>
      <c r="C236" s="4">
        <v>0</v>
      </c>
      <c r="D236" s="4">
        <v>0</v>
      </c>
      <c r="E236" s="4">
        <v>0</v>
      </c>
      <c r="F236" s="3" t="e">
        <f>VLOOKUP(B236,'Profit &amp; Loss'!$B$3:$C$390,2,0)</f>
        <v>#N/A</v>
      </c>
    </row>
    <row r="237" spans="1:6" x14ac:dyDescent="0.2">
      <c r="A237" s="3" t="s">
        <v>237</v>
      </c>
      <c r="B237" s="3" t="s">
        <v>238</v>
      </c>
      <c r="C237" s="4">
        <v>0</v>
      </c>
      <c r="D237" s="4">
        <v>0</v>
      </c>
      <c r="E237" s="4">
        <v>0</v>
      </c>
      <c r="F237" s="3">
        <f>VLOOKUP(B237,'Profit &amp; Loss'!$B$3:$C$390,2,0)</f>
        <v>0</v>
      </c>
    </row>
    <row r="238" spans="1:6" x14ac:dyDescent="0.2">
      <c r="A238" s="3" t="s">
        <v>237</v>
      </c>
      <c r="B238" s="5" t="s">
        <v>239</v>
      </c>
      <c r="C238" s="4">
        <v>0</v>
      </c>
      <c r="D238" s="4">
        <v>0</v>
      </c>
      <c r="E238" s="4">
        <v>0</v>
      </c>
      <c r="F238" s="3" t="e">
        <f>VLOOKUP(B238,'Profit &amp; Loss'!$B$3:$C$390,2,0)</f>
        <v>#N/A</v>
      </c>
    </row>
    <row r="239" spans="1:6" x14ac:dyDescent="0.2">
      <c r="A239" s="3" t="s">
        <v>240</v>
      </c>
      <c r="B239" s="3" t="s">
        <v>241</v>
      </c>
      <c r="C239" s="4">
        <v>-58033.760000000002</v>
      </c>
      <c r="D239" s="4">
        <v>-58033.760000000002</v>
      </c>
      <c r="E239" s="4">
        <v>0</v>
      </c>
      <c r="F239" s="3">
        <f>VLOOKUP(B239,'Profit &amp; Loss'!$B$3:$C$390,2,0)</f>
        <v>-58033.760000000002</v>
      </c>
    </row>
    <row r="240" spans="1:6" x14ac:dyDescent="0.2">
      <c r="A240" s="3" t="s">
        <v>240</v>
      </c>
      <c r="B240" s="3" t="s">
        <v>824</v>
      </c>
      <c r="C240" s="4">
        <v>3837.96</v>
      </c>
      <c r="D240" s="4">
        <v>3837.96</v>
      </c>
      <c r="E240" s="4">
        <v>0</v>
      </c>
      <c r="F240" s="3">
        <f>VLOOKUP(B240,'Profit &amp; Loss'!$B$3:$C$390,2,0)</f>
        <v>3837.96</v>
      </c>
    </row>
    <row r="241" spans="1:6" x14ac:dyDescent="0.2">
      <c r="A241" s="3" t="s">
        <v>240</v>
      </c>
      <c r="B241" s="3" t="s">
        <v>2</v>
      </c>
      <c r="C241" s="4">
        <v>-54195.8</v>
      </c>
      <c r="D241" s="4">
        <v>-54195.8</v>
      </c>
      <c r="E241" s="4">
        <v>0</v>
      </c>
      <c r="F241" s="3" t="e">
        <f>VLOOKUP(B241,'Profit &amp; Loss'!$B$3:$C$390,2,0)</f>
        <v>#N/A</v>
      </c>
    </row>
    <row r="242" spans="1:6" x14ac:dyDescent="0.2">
      <c r="A242" s="3" t="s">
        <v>244</v>
      </c>
      <c r="B242" s="3" t="s">
        <v>245</v>
      </c>
      <c r="C242" s="4">
        <v>-31284560.219999999</v>
      </c>
      <c r="D242" s="4">
        <v>-24902355.489999998</v>
      </c>
      <c r="E242" s="4">
        <v>-6382204.7300000004</v>
      </c>
      <c r="F242" s="3">
        <f>VLOOKUP(B242,'Profit &amp; Loss'!$B$3:$C$390,2,0)</f>
        <v>-4673022.7699999996</v>
      </c>
    </row>
    <row r="243" spans="1:6" x14ac:dyDescent="0.2">
      <c r="A243" s="3" t="s">
        <v>244</v>
      </c>
      <c r="B243" s="3" t="s">
        <v>536</v>
      </c>
      <c r="C243" s="4">
        <v>-918509.21</v>
      </c>
      <c r="D243" s="4">
        <v>-120117.74</v>
      </c>
      <c r="E243" s="4">
        <v>-798391.47</v>
      </c>
      <c r="F243" s="3">
        <f>VLOOKUP(B243,'Profit &amp; Loss'!$B$3:$C$390,2,0)</f>
        <v>-9457.2900000000009</v>
      </c>
    </row>
    <row r="244" spans="1:6" x14ac:dyDescent="0.2">
      <c r="A244" s="3" t="s">
        <v>244</v>
      </c>
      <c r="B244" s="3" t="s">
        <v>537</v>
      </c>
      <c r="C244" s="4">
        <v>57097.45</v>
      </c>
      <c r="D244" s="4">
        <v>24059.03</v>
      </c>
      <c r="E244" s="4">
        <v>33038.42</v>
      </c>
      <c r="F244" s="3">
        <f>VLOOKUP(B244,'Profit &amp; Loss'!$B$3:$C$390,2,0)</f>
        <v>0.01</v>
      </c>
    </row>
    <row r="245" spans="1:6" x14ac:dyDescent="0.2">
      <c r="A245" s="3" t="s">
        <v>244</v>
      </c>
      <c r="B245" s="3" t="s">
        <v>246</v>
      </c>
      <c r="C245" s="4">
        <v>-622669.87</v>
      </c>
      <c r="D245" s="4">
        <v>-577569.99</v>
      </c>
      <c r="E245" s="4">
        <v>-45099.88</v>
      </c>
      <c r="F245" s="3">
        <f>VLOOKUP(B245,'Profit &amp; Loss'!$B$3:$C$390,2,0)</f>
        <v>-49623.57</v>
      </c>
    </row>
    <row r="246" spans="1:6" x14ac:dyDescent="0.2">
      <c r="A246" s="3" t="s">
        <v>244</v>
      </c>
      <c r="B246" s="3" t="s">
        <v>247</v>
      </c>
      <c r="C246" s="4">
        <v>-171.26</v>
      </c>
      <c r="D246" s="4">
        <v>-138.57</v>
      </c>
      <c r="E246" s="4">
        <v>-32.69</v>
      </c>
      <c r="F246" s="3">
        <f>VLOOKUP(B246,'Profit &amp; Loss'!$B$3:$C$390,2,0)</f>
        <v>-27.12</v>
      </c>
    </row>
    <row r="247" spans="1:6" x14ac:dyDescent="0.2">
      <c r="A247" s="3" t="s">
        <v>244</v>
      </c>
      <c r="B247" s="3" t="s">
        <v>949</v>
      </c>
      <c r="C247" s="4">
        <v>-231712.84</v>
      </c>
      <c r="D247" s="4">
        <v>-149983.57999999999</v>
      </c>
      <c r="E247" s="4">
        <v>-81729.259999999995</v>
      </c>
      <c r="F247" s="3">
        <f>VLOOKUP(B247,'Profit &amp; Loss'!$B$3:$C$390,2,0)</f>
        <v>-133950.59</v>
      </c>
    </row>
    <row r="248" spans="1:6" x14ac:dyDescent="0.2">
      <c r="A248" s="3" t="s">
        <v>244</v>
      </c>
      <c r="B248" s="3" t="s">
        <v>248</v>
      </c>
      <c r="C248" s="4">
        <v>-376531.95</v>
      </c>
      <c r="D248" s="4">
        <v>-307133.55</v>
      </c>
      <c r="E248" s="4">
        <v>-69398.399999999994</v>
      </c>
      <c r="F248" s="3">
        <f>VLOOKUP(B248,'Profit &amp; Loss'!$B$3:$C$390,2,0)</f>
        <v>0</v>
      </c>
    </row>
    <row r="249" spans="1:6" x14ac:dyDescent="0.2">
      <c r="A249" s="3" t="s">
        <v>244</v>
      </c>
      <c r="B249" s="3" t="s">
        <v>249</v>
      </c>
      <c r="C249" s="4">
        <v>-449854.16</v>
      </c>
      <c r="D249" s="4">
        <v>-224149.19</v>
      </c>
      <c r="E249" s="4">
        <v>-225704.97</v>
      </c>
      <c r="F249" s="3">
        <f>VLOOKUP(B249,'Profit &amp; Loss'!$B$3:$C$390,2,0)</f>
        <v>0</v>
      </c>
    </row>
    <row r="250" spans="1:6" x14ac:dyDescent="0.2">
      <c r="A250" s="3" t="s">
        <v>244</v>
      </c>
      <c r="B250" s="3" t="s">
        <v>250</v>
      </c>
      <c r="C250" s="4">
        <v>-14683.19</v>
      </c>
      <c r="D250" s="4">
        <v>-9665.61</v>
      </c>
      <c r="E250" s="4">
        <v>-5017.58</v>
      </c>
      <c r="F250" s="3">
        <f>VLOOKUP(B250,'Profit &amp; Loss'!$B$3:$C$390,2,0)</f>
        <v>-1606.18</v>
      </c>
    </row>
    <row r="251" spans="1:6" x14ac:dyDescent="0.2">
      <c r="A251" s="3" t="s">
        <v>244</v>
      </c>
      <c r="B251" s="3" t="s">
        <v>251</v>
      </c>
      <c r="C251" s="4">
        <v>81494.05</v>
      </c>
      <c r="D251" s="4">
        <v>67372.98</v>
      </c>
      <c r="E251" s="4">
        <v>14121.07</v>
      </c>
      <c r="F251" s="3">
        <f>VLOOKUP(B251,'Profit &amp; Loss'!$B$3:$C$390,2,0)</f>
        <v>12361.59</v>
      </c>
    </row>
    <row r="252" spans="1:6" x14ac:dyDescent="0.2">
      <c r="A252" s="3" t="s">
        <v>244</v>
      </c>
      <c r="B252" s="3" t="s">
        <v>252</v>
      </c>
      <c r="C252" s="4">
        <v>-24769.45</v>
      </c>
      <c r="D252" s="4">
        <v>-18423.14</v>
      </c>
      <c r="E252" s="4">
        <v>-6346.31</v>
      </c>
      <c r="F252" s="3">
        <f>VLOOKUP(B252,'Profit &amp; Loss'!$B$3:$C$390,2,0)</f>
        <v>0</v>
      </c>
    </row>
    <row r="253" spans="1:6" x14ac:dyDescent="0.2">
      <c r="A253" s="3" t="s">
        <v>244</v>
      </c>
      <c r="B253" s="3" t="s">
        <v>2</v>
      </c>
      <c r="C253" s="4">
        <v>-33784870.649999999</v>
      </c>
      <c r="D253" s="4">
        <v>-26218104.850000001</v>
      </c>
      <c r="E253" s="4">
        <v>-7566765.7999999998</v>
      </c>
      <c r="F253" s="3" t="e">
        <f>VLOOKUP(B253,'Profit &amp; Loss'!$B$3:$C$390,2,0)</f>
        <v>#N/A</v>
      </c>
    </row>
    <row r="254" spans="1:6" x14ac:dyDescent="0.2">
      <c r="A254" s="3" t="s">
        <v>253</v>
      </c>
      <c r="B254" s="3" t="s">
        <v>254</v>
      </c>
      <c r="C254" s="4">
        <v>269628.76</v>
      </c>
      <c r="D254" s="4">
        <v>226463.81</v>
      </c>
      <c r="E254" s="4">
        <v>43164.95</v>
      </c>
      <c r="F254" s="3">
        <f>VLOOKUP(B254,'Profit &amp; Loss'!$B$3:$C$390,2,0)</f>
        <v>31846.94</v>
      </c>
    </row>
    <row r="255" spans="1:6" x14ac:dyDescent="0.2">
      <c r="A255" s="3" t="s">
        <v>253</v>
      </c>
      <c r="B255" s="3" t="s">
        <v>255</v>
      </c>
      <c r="C255" s="4">
        <v>-173380.44</v>
      </c>
      <c r="D255" s="4">
        <v>-141221.35999999999</v>
      </c>
      <c r="E255" s="4">
        <v>-32159.08</v>
      </c>
      <c r="F255" s="3">
        <f>VLOOKUP(B255,'Profit &amp; Loss'!$B$3:$C$390,2,0)</f>
        <v>-31894.21</v>
      </c>
    </row>
    <row r="256" spans="1:6" x14ac:dyDescent="0.2">
      <c r="A256" s="3" t="s">
        <v>253</v>
      </c>
      <c r="B256" s="3" t="s">
        <v>256</v>
      </c>
      <c r="C256" s="4">
        <v>-91811.68</v>
      </c>
      <c r="D256" s="4">
        <v>-76192.08</v>
      </c>
      <c r="E256" s="4">
        <v>-15619.6</v>
      </c>
      <c r="F256" s="3">
        <f>VLOOKUP(B256,'Profit &amp; Loss'!$B$3:$C$390,2,0)</f>
        <v>-17785.87</v>
      </c>
    </row>
    <row r="257" spans="1:6" x14ac:dyDescent="0.2">
      <c r="A257" s="3" t="s">
        <v>253</v>
      </c>
      <c r="B257" s="3" t="s">
        <v>257</v>
      </c>
      <c r="C257" s="4">
        <v>-1851338.36</v>
      </c>
      <c r="D257" s="4">
        <v>-1479379.39</v>
      </c>
      <c r="E257" s="4">
        <v>-371958.97</v>
      </c>
      <c r="F257" s="3">
        <f>VLOOKUP(B257,'Profit &amp; Loss'!$B$3:$C$390,2,0)</f>
        <v>-222549.26</v>
      </c>
    </row>
    <row r="258" spans="1:6" x14ac:dyDescent="0.2">
      <c r="A258" s="3" t="s">
        <v>253</v>
      </c>
      <c r="B258" s="3" t="s">
        <v>258</v>
      </c>
      <c r="C258" s="4">
        <v>20942.39</v>
      </c>
      <c r="D258" s="4">
        <v>22182.09</v>
      </c>
      <c r="E258" s="4">
        <v>-1239.7</v>
      </c>
      <c r="F258" s="3">
        <f>VLOOKUP(B258,'Profit &amp; Loss'!$B$3:$C$390,2,0)</f>
        <v>4.93</v>
      </c>
    </row>
    <row r="259" spans="1:6" x14ac:dyDescent="0.2">
      <c r="A259" s="3" t="s">
        <v>253</v>
      </c>
      <c r="B259" s="3" t="s">
        <v>259</v>
      </c>
      <c r="C259" s="4">
        <v>-363.4</v>
      </c>
      <c r="D259" s="4">
        <v>-251.57</v>
      </c>
      <c r="E259" s="4">
        <v>-111.83</v>
      </c>
      <c r="F259" s="3">
        <f>VLOOKUP(B259,'Profit &amp; Loss'!$B$3:$C$390,2,0)</f>
        <v>0</v>
      </c>
    </row>
    <row r="260" spans="1:6" x14ac:dyDescent="0.2">
      <c r="A260" s="3" t="s">
        <v>253</v>
      </c>
      <c r="B260" s="3" t="s">
        <v>1227</v>
      </c>
      <c r="C260" s="4">
        <v>-142.18</v>
      </c>
      <c r="D260" s="4">
        <v>-142.18</v>
      </c>
      <c r="E260" s="4">
        <v>0</v>
      </c>
      <c r="F260" s="3">
        <f>VLOOKUP(B260,'Profit &amp; Loss'!$B$3:$C$390,2,0)</f>
        <v>0</v>
      </c>
    </row>
    <row r="261" spans="1:6" x14ac:dyDescent="0.2">
      <c r="A261" s="3" t="s">
        <v>253</v>
      </c>
      <c r="B261" s="3" t="s">
        <v>989</v>
      </c>
      <c r="C261" s="4">
        <v>5.01</v>
      </c>
      <c r="D261" s="4">
        <v>5.01</v>
      </c>
      <c r="E261" s="4">
        <v>0</v>
      </c>
      <c r="F261" s="3">
        <f>VLOOKUP(B261,'Profit &amp; Loss'!$B$3:$C$390,2,0)</f>
        <v>5.01</v>
      </c>
    </row>
    <row r="262" spans="1:6" x14ac:dyDescent="0.2">
      <c r="A262" s="3" t="s">
        <v>253</v>
      </c>
      <c r="B262" s="3" t="s">
        <v>2</v>
      </c>
      <c r="C262" s="4">
        <v>-1826459.9</v>
      </c>
      <c r="D262" s="4">
        <v>-1448535.67</v>
      </c>
      <c r="E262" s="4">
        <v>-377924.23</v>
      </c>
      <c r="F262" s="3" t="e">
        <f>VLOOKUP(B262,'Profit &amp; Loss'!$B$3:$C$390,2,0)</f>
        <v>#N/A</v>
      </c>
    </row>
    <row r="263" spans="1:6" x14ac:dyDescent="0.2">
      <c r="A263" s="3" t="s">
        <v>260</v>
      </c>
      <c r="B263" s="3" t="s">
        <v>261</v>
      </c>
      <c r="C263" s="4">
        <v>-3556580.56</v>
      </c>
      <c r="D263" s="4">
        <v>-2899108.17</v>
      </c>
      <c r="E263" s="4">
        <v>-657472.39</v>
      </c>
      <c r="F263" s="3">
        <f>VLOOKUP(B263,'Profit &amp; Loss'!$B$3:$C$390,2,0)</f>
        <v>-646517.02</v>
      </c>
    </row>
    <row r="264" spans="1:6" x14ac:dyDescent="0.2">
      <c r="A264" s="3" t="s">
        <v>260</v>
      </c>
      <c r="B264" s="3" t="s">
        <v>2</v>
      </c>
      <c r="C264" s="4">
        <v>-3556580.56</v>
      </c>
      <c r="D264" s="4">
        <v>-2899108.17</v>
      </c>
      <c r="E264" s="4">
        <v>-657472.39</v>
      </c>
      <c r="F264" s="3" t="e">
        <f>VLOOKUP(B264,'Profit &amp; Loss'!$B$3:$C$390,2,0)</f>
        <v>#N/A</v>
      </c>
    </row>
    <row r="265" spans="1:6" x14ac:dyDescent="0.2">
      <c r="A265" s="3" t="s">
        <v>263</v>
      </c>
      <c r="B265" s="3" t="s">
        <v>264</v>
      </c>
      <c r="C265" s="4">
        <v>-456660.03</v>
      </c>
      <c r="D265" s="4">
        <v>-379483.04</v>
      </c>
      <c r="E265" s="4">
        <v>-77176.990000000005</v>
      </c>
      <c r="F265" s="3">
        <f>VLOOKUP(B265,'Profit &amp; Loss'!$B$3:$C$390,2,0)</f>
        <v>-52009.78</v>
      </c>
    </row>
    <row r="266" spans="1:6" x14ac:dyDescent="0.2">
      <c r="A266" s="3" t="s">
        <v>263</v>
      </c>
      <c r="B266" s="3" t="s">
        <v>2</v>
      </c>
      <c r="C266" s="4">
        <v>-456660.03</v>
      </c>
      <c r="D266" s="4">
        <v>-379483.04</v>
      </c>
      <c r="E266" s="4">
        <v>-77176.990000000005</v>
      </c>
      <c r="F266" s="3" t="e">
        <f>VLOOKUP(B266,'Profit &amp; Loss'!$B$3:$C$390,2,0)</f>
        <v>#N/A</v>
      </c>
    </row>
    <row r="267" spans="1:6" x14ac:dyDescent="0.2">
      <c r="A267" s="3" t="s">
        <v>265</v>
      </c>
      <c r="B267" s="3" t="s">
        <v>2</v>
      </c>
      <c r="C267" s="4">
        <v>-39678766.939999998</v>
      </c>
      <c r="D267" s="4">
        <v>-30999427.530000001</v>
      </c>
      <c r="E267" s="4">
        <v>-8679339.4100000001</v>
      </c>
      <c r="F267" s="3" t="e">
        <f>VLOOKUP(B267,'Profit &amp; Loss'!$B$3:$C$390,2,0)</f>
        <v>#N/A</v>
      </c>
    </row>
    <row r="268" spans="1:6" x14ac:dyDescent="0.2">
      <c r="A268" s="3" t="s">
        <v>266</v>
      </c>
      <c r="B268" s="3" t="s">
        <v>267</v>
      </c>
      <c r="C268" s="4">
        <v>36345.19</v>
      </c>
      <c r="D268" s="4">
        <v>36345.19</v>
      </c>
      <c r="E268" s="4">
        <v>0</v>
      </c>
      <c r="F268" s="3">
        <f>VLOOKUP(B268,'Profit &amp; Loss'!$B$3:$C$390,2,0)</f>
        <v>35994.629999999997</v>
      </c>
    </row>
    <row r="269" spans="1:6" x14ac:dyDescent="0.2">
      <c r="A269" s="3" t="s">
        <v>266</v>
      </c>
      <c r="B269" s="3" t="s">
        <v>542</v>
      </c>
      <c r="C269" s="4">
        <v>70.900000000000006</v>
      </c>
      <c r="D269" s="4">
        <v>70.900000000000006</v>
      </c>
      <c r="E269" s="4">
        <v>0</v>
      </c>
      <c r="F269" s="3">
        <f>VLOOKUP(B269,'Profit &amp; Loss'!$B$3:$C$390,2,0)</f>
        <v>0</v>
      </c>
    </row>
    <row r="270" spans="1:6" x14ac:dyDescent="0.2">
      <c r="A270" s="3" t="s">
        <v>266</v>
      </c>
      <c r="B270" s="3" t="s">
        <v>270</v>
      </c>
      <c r="C270" s="4">
        <v>1700</v>
      </c>
      <c r="D270" s="4">
        <v>1700</v>
      </c>
      <c r="E270" s="4">
        <v>0</v>
      </c>
      <c r="F270" s="3">
        <f>VLOOKUP(B270,'Profit &amp; Loss'!$B$3:$C$390,2,0)</f>
        <v>1700</v>
      </c>
    </row>
    <row r="271" spans="1:6" x14ac:dyDescent="0.2">
      <c r="A271" s="3" t="s">
        <v>266</v>
      </c>
      <c r="B271" s="3" t="s">
        <v>271</v>
      </c>
      <c r="C271" s="4">
        <v>1259.51</v>
      </c>
      <c r="D271" s="4">
        <v>1259.51</v>
      </c>
      <c r="E271" s="4">
        <v>0</v>
      </c>
      <c r="F271" s="3">
        <f>VLOOKUP(B271,'Profit &amp; Loss'!$B$3:$C$390,2,0)</f>
        <v>687.98</v>
      </c>
    </row>
    <row r="272" spans="1:6" x14ac:dyDescent="0.2">
      <c r="A272" s="3" t="s">
        <v>266</v>
      </c>
      <c r="B272" s="3" t="s">
        <v>272</v>
      </c>
      <c r="C272" s="4">
        <v>3744.15</v>
      </c>
      <c r="D272" s="4">
        <v>3744.15</v>
      </c>
      <c r="E272" s="4">
        <v>0</v>
      </c>
      <c r="F272" s="3">
        <f>VLOOKUP(B272,'Profit &amp; Loss'!$B$3:$C$390,2,0)</f>
        <v>3744.15</v>
      </c>
    </row>
    <row r="273" spans="1:6" x14ac:dyDescent="0.2">
      <c r="A273" s="3" t="s">
        <v>266</v>
      </c>
      <c r="B273" s="3" t="s">
        <v>273</v>
      </c>
      <c r="C273" s="4">
        <v>160.72</v>
      </c>
      <c r="D273" s="4">
        <v>160.72</v>
      </c>
      <c r="E273" s="4">
        <v>0</v>
      </c>
      <c r="F273" s="3">
        <f>VLOOKUP(B273,'Profit &amp; Loss'!$B$3:$C$390,2,0)</f>
        <v>0</v>
      </c>
    </row>
    <row r="274" spans="1:6" x14ac:dyDescent="0.2">
      <c r="A274" s="3" t="s">
        <v>266</v>
      </c>
      <c r="B274" s="3" t="s">
        <v>274</v>
      </c>
      <c r="C274" s="4">
        <v>54.02</v>
      </c>
      <c r="D274" s="4">
        <v>54.02</v>
      </c>
      <c r="E274" s="4">
        <v>0</v>
      </c>
      <c r="F274" s="3">
        <f>VLOOKUP(B274,'Profit &amp; Loss'!$B$3:$C$390,2,0)</f>
        <v>54.02</v>
      </c>
    </row>
    <row r="275" spans="1:6" x14ac:dyDescent="0.2">
      <c r="A275" s="3" t="s">
        <v>266</v>
      </c>
      <c r="B275" s="3" t="s">
        <v>641</v>
      </c>
      <c r="C275" s="4">
        <v>706.62</v>
      </c>
      <c r="D275" s="4">
        <v>706.62</v>
      </c>
      <c r="E275" s="4">
        <v>0</v>
      </c>
      <c r="F275" s="3">
        <f>VLOOKUP(B275,'Profit &amp; Loss'!$B$3:$C$390,2,0)</f>
        <v>0</v>
      </c>
    </row>
    <row r="276" spans="1:6" x14ac:dyDescent="0.2">
      <c r="A276" s="3" t="s">
        <v>266</v>
      </c>
      <c r="B276" s="3" t="s">
        <v>275</v>
      </c>
      <c r="C276" s="4">
        <v>-1115.95</v>
      </c>
      <c r="D276" s="4">
        <v>-1089.48</v>
      </c>
      <c r="E276" s="4">
        <v>-26.47</v>
      </c>
      <c r="F276" s="3">
        <f>VLOOKUP(B276,'Profit &amp; Loss'!$B$3:$C$390,2,0)</f>
        <v>270.11</v>
      </c>
    </row>
    <row r="277" spans="1:6" x14ac:dyDescent="0.2">
      <c r="A277" s="3" t="s">
        <v>266</v>
      </c>
      <c r="B277" s="3" t="s">
        <v>276</v>
      </c>
      <c r="C277" s="4">
        <v>1857.54</v>
      </c>
      <c r="D277" s="4">
        <v>1857.54</v>
      </c>
      <c r="E277" s="4">
        <v>0</v>
      </c>
      <c r="F277" s="3">
        <f>VLOOKUP(B277,'Profit &amp; Loss'!$B$3:$C$390,2,0)</f>
        <v>1027.45</v>
      </c>
    </row>
    <row r="278" spans="1:6" x14ac:dyDescent="0.2">
      <c r="A278" s="3" t="s">
        <v>266</v>
      </c>
      <c r="B278" s="3" t="s">
        <v>279</v>
      </c>
      <c r="C278" s="4">
        <v>-1344.92</v>
      </c>
      <c r="D278" s="4">
        <v>-1344.92</v>
      </c>
      <c r="E278" s="4">
        <v>0</v>
      </c>
      <c r="F278" s="3">
        <f>VLOOKUP(B278,'Profit &amp; Loss'!$B$3:$C$390,2,0)</f>
        <v>611.70000000000005</v>
      </c>
    </row>
    <row r="279" spans="1:6" x14ac:dyDescent="0.2">
      <c r="A279" s="3" t="s">
        <v>266</v>
      </c>
      <c r="B279" s="3" t="s">
        <v>280</v>
      </c>
      <c r="C279" s="4">
        <v>-1974.34</v>
      </c>
      <c r="D279" s="4">
        <v>-1974.34</v>
      </c>
      <c r="E279" s="4">
        <v>0</v>
      </c>
      <c r="F279" s="3">
        <f>VLOOKUP(B279,'Profit &amp; Loss'!$B$3:$C$390,2,0)</f>
        <v>0</v>
      </c>
    </row>
    <row r="280" spans="1:6" x14ac:dyDescent="0.2">
      <c r="A280" s="3" t="s">
        <v>266</v>
      </c>
      <c r="B280" s="3" t="s">
        <v>281</v>
      </c>
      <c r="C280" s="4">
        <v>-1251.47</v>
      </c>
      <c r="D280" s="4">
        <v>-1251.47</v>
      </c>
      <c r="E280" s="4">
        <v>0</v>
      </c>
      <c r="F280" s="3">
        <f>VLOOKUP(B280,'Profit &amp; Loss'!$B$3:$C$390,2,0)</f>
        <v>-195.89</v>
      </c>
    </row>
    <row r="281" spans="1:6" x14ac:dyDescent="0.2">
      <c r="A281" s="3" t="s">
        <v>266</v>
      </c>
      <c r="B281" s="3" t="s">
        <v>282</v>
      </c>
      <c r="C281" s="4">
        <v>-60.88</v>
      </c>
      <c r="D281" s="4">
        <v>-60.88</v>
      </c>
      <c r="E281" s="4">
        <v>0</v>
      </c>
      <c r="F281" s="3">
        <f>VLOOKUP(B281,'Profit &amp; Loss'!$B$3:$C$390,2,0)</f>
        <v>0</v>
      </c>
    </row>
    <row r="282" spans="1:6" x14ac:dyDescent="0.2">
      <c r="A282" s="3" t="s">
        <v>266</v>
      </c>
      <c r="B282" s="3" t="s">
        <v>829</v>
      </c>
      <c r="C282" s="4">
        <v>-476.2</v>
      </c>
      <c r="D282" s="4">
        <v>-476.2</v>
      </c>
      <c r="E282" s="4">
        <v>0</v>
      </c>
      <c r="F282" s="3">
        <f>VLOOKUP(B282,'Profit &amp; Loss'!$B$3:$C$390,2,0)</f>
        <v>199.48</v>
      </c>
    </row>
    <row r="283" spans="1:6" x14ac:dyDescent="0.2">
      <c r="A283" s="3" t="s">
        <v>266</v>
      </c>
      <c r="B283" s="3" t="s">
        <v>283</v>
      </c>
      <c r="C283" s="4">
        <v>1015.61</v>
      </c>
      <c r="D283" s="4">
        <v>-1955.09</v>
      </c>
      <c r="E283" s="4">
        <v>2970.7</v>
      </c>
      <c r="F283" s="3">
        <f>VLOOKUP(B283,'Profit &amp; Loss'!$B$3:$C$390,2,0)</f>
        <v>1000</v>
      </c>
    </row>
    <row r="284" spans="1:6" x14ac:dyDescent="0.2">
      <c r="A284" s="3" t="s">
        <v>266</v>
      </c>
      <c r="B284" s="3" t="s">
        <v>284</v>
      </c>
      <c r="C284" s="4">
        <v>-455.7</v>
      </c>
      <c r="D284" s="4">
        <v>-455.7</v>
      </c>
      <c r="E284" s="4">
        <v>0</v>
      </c>
      <c r="F284" s="3">
        <f>VLOOKUP(B284,'Profit &amp; Loss'!$B$3:$C$390,2,0)</f>
        <v>536.67999999999995</v>
      </c>
    </row>
    <row r="285" spans="1:6" x14ac:dyDescent="0.2">
      <c r="A285" s="3" t="s">
        <v>266</v>
      </c>
      <c r="B285" s="3" t="s">
        <v>285</v>
      </c>
      <c r="C285" s="4">
        <v>200</v>
      </c>
      <c r="D285" s="4">
        <v>-400</v>
      </c>
      <c r="E285" s="4">
        <v>600</v>
      </c>
      <c r="F285" s="3">
        <f>VLOOKUP(B285,'Profit &amp; Loss'!$B$3:$C$390,2,0)</f>
        <v>200</v>
      </c>
    </row>
    <row r="286" spans="1:6" x14ac:dyDescent="0.2">
      <c r="A286" s="3" t="s">
        <v>266</v>
      </c>
      <c r="B286" s="3" t="s">
        <v>2</v>
      </c>
      <c r="C286" s="4">
        <v>40434.800000000003</v>
      </c>
      <c r="D286" s="4">
        <v>36890.57</v>
      </c>
      <c r="E286" s="4">
        <v>3544.23</v>
      </c>
      <c r="F286" s="3" t="e">
        <f>VLOOKUP(B286,'Profit &amp; Loss'!$B$3:$C$390,2,0)</f>
        <v>#N/A</v>
      </c>
    </row>
    <row r="287" spans="1:6" x14ac:dyDescent="0.2">
      <c r="A287" s="3" t="s">
        <v>286</v>
      </c>
      <c r="B287" s="3" t="s">
        <v>287</v>
      </c>
      <c r="C287" s="4">
        <v>21765737.350000001</v>
      </c>
      <c r="D287" s="4">
        <v>16870166.140000001</v>
      </c>
      <c r="E287" s="4">
        <v>4895571.21</v>
      </c>
      <c r="F287" s="3">
        <f>VLOOKUP(B287,'Profit &amp; Loss'!$B$3:$C$390,2,0)</f>
        <v>3184835.62</v>
      </c>
    </row>
    <row r="288" spans="1:6" x14ac:dyDescent="0.2">
      <c r="A288" s="3" t="s">
        <v>286</v>
      </c>
      <c r="B288" s="3" t="s">
        <v>548</v>
      </c>
      <c r="C288" s="4">
        <v>779684.44</v>
      </c>
      <c r="D288" s="4">
        <v>58182.54</v>
      </c>
      <c r="E288" s="4">
        <v>721501.9</v>
      </c>
      <c r="F288" s="3">
        <f>VLOOKUP(B288,'Profit &amp; Loss'!$B$3:$C$390,2,0)</f>
        <v>7169.99</v>
      </c>
    </row>
    <row r="289" spans="1:6" x14ac:dyDescent="0.2">
      <c r="A289" s="3" t="s">
        <v>286</v>
      </c>
      <c r="B289" s="3" t="s">
        <v>288</v>
      </c>
      <c r="C289" s="4">
        <v>487504.1</v>
      </c>
      <c r="D289" s="4">
        <v>435303.65</v>
      </c>
      <c r="E289" s="4">
        <v>52200.45</v>
      </c>
      <c r="F289" s="3">
        <f>VLOOKUP(B289,'Profit &amp; Loss'!$B$3:$C$390,2,0)</f>
        <v>28211.14</v>
      </c>
    </row>
    <row r="290" spans="1:6" x14ac:dyDescent="0.2">
      <c r="A290" s="3" t="s">
        <v>286</v>
      </c>
      <c r="B290" s="3" t="s">
        <v>289</v>
      </c>
      <c r="C290" s="4">
        <v>114.15</v>
      </c>
      <c r="D290" s="4">
        <v>92.43</v>
      </c>
      <c r="E290" s="4">
        <v>21.72</v>
      </c>
      <c r="F290" s="3">
        <f>VLOOKUP(B290,'Profit &amp; Loss'!$B$3:$C$390,2,0)</f>
        <v>18.079999999999998</v>
      </c>
    </row>
    <row r="291" spans="1:6" x14ac:dyDescent="0.2">
      <c r="A291" s="3" t="s">
        <v>286</v>
      </c>
      <c r="B291" s="3" t="s">
        <v>952</v>
      </c>
      <c r="C291" s="4">
        <v>12953.86</v>
      </c>
      <c r="D291" s="4">
        <v>9771.2099999999991</v>
      </c>
      <c r="E291" s="4">
        <v>3182.65</v>
      </c>
      <c r="F291" s="3">
        <f>VLOOKUP(B291,'Profit &amp; Loss'!$B$3:$C$390,2,0)</f>
        <v>8746</v>
      </c>
    </row>
    <row r="292" spans="1:6" x14ac:dyDescent="0.2">
      <c r="A292" s="3" t="s">
        <v>286</v>
      </c>
      <c r="B292" s="3" t="s">
        <v>290</v>
      </c>
      <c r="C292" s="4">
        <v>-207070.3</v>
      </c>
      <c r="D292" s="4">
        <v>-162707.09</v>
      </c>
      <c r="E292" s="4">
        <v>-44363.21</v>
      </c>
      <c r="F292" s="3">
        <f>VLOOKUP(B292,'Profit &amp; Loss'!$B$3:$C$390,2,0)</f>
        <v>-21923.22</v>
      </c>
    </row>
    <row r="293" spans="1:6" x14ac:dyDescent="0.2">
      <c r="A293" s="3" t="s">
        <v>286</v>
      </c>
      <c r="B293" s="3" t="s">
        <v>291</v>
      </c>
      <c r="C293" s="4">
        <v>-1175063.69</v>
      </c>
      <c r="D293" s="4">
        <v>-387063.91</v>
      </c>
      <c r="E293" s="4">
        <v>-787999.78</v>
      </c>
      <c r="F293" s="3">
        <f>VLOOKUP(B293,'Profit &amp; Loss'!$B$3:$C$390,2,0)</f>
        <v>-107667</v>
      </c>
    </row>
    <row r="294" spans="1:6" x14ac:dyDescent="0.2">
      <c r="A294" s="3" t="s">
        <v>286</v>
      </c>
      <c r="B294" s="3" t="s">
        <v>292</v>
      </c>
      <c r="C294" s="4">
        <v>404501.73</v>
      </c>
      <c r="D294" s="4">
        <v>184885.26</v>
      </c>
      <c r="E294" s="4">
        <v>219616.47</v>
      </c>
      <c r="F294" s="3">
        <f>VLOOKUP(B294,'Profit &amp; Loss'!$B$3:$C$390,2,0)</f>
        <v>0</v>
      </c>
    </row>
    <row r="295" spans="1:6" x14ac:dyDescent="0.2">
      <c r="A295" s="3" t="s">
        <v>286</v>
      </c>
      <c r="B295" s="3" t="s">
        <v>293</v>
      </c>
      <c r="C295" s="4">
        <v>242258.91</v>
      </c>
      <c r="D295" s="4">
        <v>189600.03</v>
      </c>
      <c r="E295" s="4">
        <v>52658.879999999997</v>
      </c>
      <c r="F295" s="3">
        <f>VLOOKUP(B295,'Profit &amp; Loss'!$B$3:$C$390,2,0)</f>
        <v>0</v>
      </c>
    </row>
    <row r="296" spans="1:6" x14ac:dyDescent="0.2">
      <c r="A296" s="3" t="s">
        <v>286</v>
      </c>
      <c r="B296" s="3" t="s">
        <v>294</v>
      </c>
      <c r="C296" s="4">
        <v>3361.17</v>
      </c>
      <c r="D296" s="4">
        <v>1754.61</v>
      </c>
      <c r="E296" s="4">
        <v>1606.56</v>
      </c>
      <c r="F296" s="3">
        <f>VLOOKUP(B296,'Profit &amp; Loss'!$B$3:$C$390,2,0)</f>
        <v>0</v>
      </c>
    </row>
    <row r="297" spans="1:6" x14ac:dyDescent="0.2">
      <c r="A297" s="3" t="s">
        <v>286</v>
      </c>
      <c r="B297" s="3" t="s">
        <v>296</v>
      </c>
      <c r="C297" s="4">
        <v>-899.7</v>
      </c>
      <c r="D297" s="4">
        <v>-945.45</v>
      </c>
      <c r="E297" s="4">
        <v>45.75</v>
      </c>
      <c r="F297" s="3">
        <f>VLOOKUP(B297,'Profit &amp; Loss'!$B$3:$C$390,2,0)</f>
        <v>-1015.33</v>
      </c>
    </row>
    <row r="298" spans="1:6" x14ac:dyDescent="0.2">
      <c r="A298" s="3" t="s">
        <v>286</v>
      </c>
      <c r="B298" s="3" t="s">
        <v>2</v>
      </c>
      <c r="C298" s="4">
        <v>22313082.02</v>
      </c>
      <c r="D298" s="4">
        <v>17199039.420000002</v>
      </c>
      <c r="E298" s="4">
        <v>5114042.5999999996</v>
      </c>
      <c r="F298" s="3" t="e">
        <f>VLOOKUP(B298,'Profit &amp; Loss'!$B$3:$C$390,2,0)</f>
        <v>#N/A</v>
      </c>
    </row>
    <row r="299" spans="1:6" x14ac:dyDescent="0.2">
      <c r="A299" s="3" t="s">
        <v>297</v>
      </c>
      <c r="B299" s="3" t="s">
        <v>298</v>
      </c>
      <c r="C299" s="4">
        <v>156994.34</v>
      </c>
      <c r="D299" s="4">
        <v>129193.03</v>
      </c>
      <c r="E299" s="4">
        <v>27801.31</v>
      </c>
      <c r="F299" s="3">
        <f>VLOOKUP(B299,'Profit &amp; Loss'!$B$3:$C$390,2,0)</f>
        <v>28187.67</v>
      </c>
    </row>
    <row r="300" spans="1:6" x14ac:dyDescent="0.2">
      <c r="A300" s="3" t="s">
        <v>297</v>
      </c>
      <c r="B300" s="3" t="s">
        <v>299</v>
      </c>
      <c r="C300" s="4">
        <v>920776.1</v>
      </c>
      <c r="D300" s="4">
        <v>732998.81</v>
      </c>
      <c r="E300" s="4">
        <v>187777.29</v>
      </c>
      <c r="F300" s="3">
        <f>VLOOKUP(B300,'Profit &amp; Loss'!$B$3:$C$390,2,0)</f>
        <v>111346.46</v>
      </c>
    </row>
    <row r="301" spans="1:6" x14ac:dyDescent="0.2">
      <c r="A301" s="3" t="s">
        <v>297</v>
      </c>
      <c r="B301" s="3" t="s">
        <v>300</v>
      </c>
      <c r="C301" s="4">
        <v>385.23</v>
      </c>
      <c r="D301" s="4">
        <v>302.95</v>
      </c>
      <c r="E301" s="4">
        <v>82.28</v>
      </c>
      <c r="F301" s="3">
        <f>VLOOKUP(B301,'Profit &amp; Loss'!$B$3:$C$390,2,0)</f>
        <v>0</v>
      </c>
    </row>
    <row r="302" spans="1:6" x14ac:dyDescent="0.2">
      <c r="A302" s="3" t="s">
        <v>297</v>
      </c>
      <c r="B302" s="3" t="s">
        <v>2</v>
      </c>
      <c r="C302" s="4">
        <v>1078155.67</v>
      </c>
      <c r="D302" s="4">
        <v>862494.79</v>
      </c>
      <c r="E302" s="4">
        <v>215660.88</v>
      </c>
      <c r="F302" s="3" t="e">
        <f>VLOOKUP(B302,'Profit &amp; Loss'!$B$3:$C$390,2,0)</f>
        <v>#N/A</v>
      </c>
    </row>
    <row r="303" spans="1:6" s="18" customFormat="1" x14ac:dyDescent="0.2">
      <c r="A303" s="18" t="s">
        <v>301</v>
      </c>
      <c r="B303" s="18" t="s">
        <v>554</v>
      </c>
      <c r="C303" s="19">
        <v>-5075.83</v>
      </c>
      <c r="D303" s="19">
        <v>0</v>
      </c>
      <c r="E303" s="19">
        <v>-5075.83</v>
      </c>
      <c r="F303" s="18">
        <f>VLOOKUP(B303,'Profit &amp; Loss'!$B$3:$C$390,2,0)</f>
        <v>0</v>
      </c>
    </row>
    <row r="304" spans="1:6" x14ac:dyDescent="0.2">
      <c r="A304" s="3" t="s">
        <v>301</v>
      </c>
      <c r="B304" s="3" t="s">
        <v>1426</v>
      </c>
      <c r="C304" s="4">
        <v>10283.11</v>
      </c>
      <c r="D304" s="4">
        <v>10283.11</v>
      </c>
      <c r="E304" s="4">
        <v>0</v>
      </c>
      <c r="F304" s="3">
        <f>VLOOKUP(B304,'Profit &amp; Loss'!$B$3:$C$390,2,0)</f>
        <v>0</v>
      </c>
    </row>
    <row r="305" spans="1:6" x14ac:dyDescent="0.2">
      <c r="A305" s="3" t="s">
        <v>301</v>
      </c>
      <c r="B305" s="3" t="s">
        <v>302</v>
      </c>
      <c r="C305" s="4">
        <v>42840.9</v>
      </c>
      <c r="D305" s="4">
        <v>35333.9</v>
      </c>
      <c r="E305" s="4">
        <v>7507</v>
      </c>
      <c r="F305" s="3">
        <f>VLOOKUP(B305,'Profit &amp; Loss'!$B$3:$C$390,2,0)</f>
        <v>5793.22</v>
      </c>
    </row>
    <row r="306" spans="1:6" x14ac:dyDescent="0.2">
      <c r="A306" s="3" t="s">
        <v>301</v>
      </c>
      <c r="B306" s="3" t="s">
        <v>647</v>
      </c>
      <c r="C306" s="4">
        <v>14755.96</v>
      </c>
      <c r="D306" s="4">
        <v>8266.08</v>
      </c>
      <c r="E306" s="4">
        <v>6489.88</v>
      </c>
      <c r="F306" s="3">
        <f>VLOOKUP(B306,'Profit &amp; Loss'!$B$3:$C$390,2,0)</f>
        <v>0</v>
      </c>
    </row>
    <row r="307" spans="1:6" x14ac:dyDescent="0.2">
      <c r="A307" s="3" t="s">
        <v>301</v>
      </c>
      <c r="B307" s="3" t="s">
        <v>303</v>
      </c>
      <c r="C307" s="4">
        <v>48999.45</v>
      </c>
      <c r="D307" s="4">
        <v>49022.92</v>
      </c>
      <c r="E307" s="4">
        <v>-23.47</v>
      </c>
      <c r="F307" s="3">
        <f>VLOOKUP(B307,'Profit &amp; Loss'!$B$3:$C$390,2,0)</f>
        <v>2303.9899999999998</v>
      </c>
    </row>
    <row r="308" spans="1:6" x14ac:dyDescent="0.2">
      <c r="A308" s="3" t="s">
        <v>301</v>
      </c>
      <c r="B308" s="3" t="s">
        <v>305</v>
      </c>
      <c r="C308" s="4">
        <v>37998.28</v>
      </c>
      <c r="D308" s="4">
        <v>-8070.03</v>
      </c>
      <c r="E308" s="4">
        <v>46068.31</v>
      </c>
      <c r="F308" s="3">
        <f>VLOOKUP(B308,'Profit &amp; Loss'!$B$3:$C$390,2,0)</f>
        <v>9337.1200000000008</v>
      </c>
    </row>
    <row r="309" spans="1:6" x14ac:dyDescent="0.2">
      <c r="A309" s="3" t="s">
        <v>301</v>
      </c>
      <c r="B309" s="3" t="s">
        <v>306</v>
      </c>
      <c r="C309" s="4">
        <v>766100.14</v>
      </c>
      <c r="D309" s="4">
        <v>568259.74</v>
      </c>
      <c r="E309" s="4">
        <v>197840.4</v>
      </c>
      <c r="F309" s="3">
        <f>VLOOKUP(B309,'Profit &amp; Loss'!$B$3:$C$390,2,0)</f>
        <v>86638.62</v>
      </c>
    </row>
    <row r="310" spans="1:6" x14ac:dyDescent="0.2">
      <c r="A310" s="3" t="s">
        <v>301</v>
      </c>
      <c r="B310" s="3" t="s">
        <v>838</v>
      </c>
      <c r="C310" s="4">
        <v>-31</v>
      </c>
      <c r="D310" s="4">
        <v>-31</v>
      </c>
      <c r="E310" s="4">
        <v>0</v>
      </c>
      <c r="F310" s="3">
        <f>VLOOKUP(B310,'Profit &amp; Loss'!$B$3:$C$390,2,0)</f>
        <v>0</v>
      </c>
    </row>
    <row r="311" spans="1:6" x14ac:dyDescent="0.2">
      <c r="A311" s="3" t="s">
        <v>301</v>
      </c>
      <c r="B311" s="3" t="s">
        <v>307</v>
      </c>
      <c r="C311" s="4">
        <v>1203296.47</v>
      </c>
      <c r="D311" s="4">
        <v>990482.66</v>
      </c>
      <c r="E311" s="4">
        <v>212813.81</v>
      </c>
      <c r="F311" s="3">
        <f>VLOOKUP(B311,'Profit &amp; Loss'!$B$3:$C$390,2,0)</f>
        <v>155566</v>
      </c>
    </row>
    <row r="312" spans="1:6" x14ac:dyDescent="0.2">
      <c r="A312" s="3" t="s">
        <v>301</v>
      </c>
      <c r="B312" s="3" t="s">
        <v>308</v>
      </c>
      <c r="C312" s="4">
        <v>8403.0400000000009</v>
      </c>
      <c r="D312" s="4">
        <v>14957.34</v>
      </c>
      <c r="E312" s="4">
        <v>-6554.3</v>
      </c>
      <c r="F312" s="3">
        <f>VLOOKUP(B312,'Profit &amp; Loss'!$B$3:$C$390,2,0)</f>
        <v>5356.12</v>
      </c>
    </row>
    <row r="313" spans="1:6" x14ac:dyDescent="0.2">
      <c r="A313" s="3" t="s">
        <v>301</v>
      </c>
      <c r="B313" s="3" t="s">
        <v>2</v>
      </c>
      <c r="C313" s="4">
        <v>2127570.52</v>
      </c>
      <c r="D313" s="4">
        <v>1668504.72</v>
      </c>
      <c r="E313" s="4">
        <v>459065.8</v>
      </c>
      <c r="F313" s="3" t="e">
        <f>VLOOKUP(B313,'Profit &amp; Loss'!$B$3:$C$390,2,0)</f>
        <v>#N/A</v>
      </c>
    </row>
    <row r="314" spans="1:6" x14ac:dyDescent="0.2">
      <c r="A314" s="3" t="s">
        <v>310</v>
      </c>
      <c r="B314" s="3" t="s">
        <v>311</v>
      </c>
      <c r="C314" s="4">
        <v>313261.61</v>
      </c>
      <c r="D314" s="4">
        <v>262717.5</v>
      </c>
      <c r="E314" s="4">
        <v>50544.11</v>
      </c>
      <c r="F314" s="3">
        <f>VLOOKUP(B314,'Profit &amp; Loss'!$B$3:$C$390,2,0)</f>
        <v>32947.410000000003</v>
      </c>
    </row>
    <row r="315" spans="1:6" x14ac:dyDescent="0.2">
      <c r="A315" s="3" t="s">
        <v>310</v>
      </c>
      <c r="B315" s="3" t="s">
        <v>2</v>
      </c>
      <c r="C315" s="4">
        <v>313261.61</v>
      </c>
      <c r="D315" s="4">
        <v>262717.5</v>
      </c>
      <c r="E315" s="4">
        <v>50544.11</v>
      </c>
      <c r="F315" s="3" t="e">
        <f>VLOOKUP(B315,'Profit &amp; Loss'!$B$3:$C$390,2,0)</f>
        <v>#N/A</v>
      </c>
    </row>
    <row r="316" spans="1:6" x14ac:dyDescent="0.2">
      <c r="A316" s="3" t="s">
        <v>312</v>
      </c>
      <c r="B316" s="3" t="s">
        <v>2</v>
      </c>
      <c r="C316" s="4">
        <v>25872504.620000001</v>
      </c>
      <c r="D316" s="4">
        <v>20029647</v>
      </c>
      <c r="E316" s="4">
        <v>5842857.6200000001</v>
      </c>
      <c r="F316" s="3" t="e">
        <f>VLOOKUP(B316,'Profit &amp; Loss'!$B$3:$C$390,2,0)</f>
        <v>#N/A</v>
      </c>
    </row>
    <row r="317" spans="1:6" x14ac:dyDescent="0.2">
      <c r="A317" s="3" t="s">
        <v>313</v>
      </c>
      <c r="B317" s="3" t="s">
        <v>314</v>
      </c>
      <c r="C317" s="4">
        <v>345906.49</v>
      </c>
      <c r="D317" s="4">
        <v>286199.15999999997</v>
      </c>
      <c r="E317" s="4">
        <v>59707.33</v>
      </c>
      <c r="F317" s="3">
        <f>VLOOKUP(B317,'Profit &amp; Loss'!$B$3:$C$390,2,0)</f>
        <v>47720.12</v>
      </c>
    </row>
    <row r="318" spans="1:6" x14ac:dyDescent="0.2">
      <c r="A318" s="3" t="s">
        <v>313</v>
      </c>
      <c r="B318" s="3" t="s">
        <v>315</v>
      </c>
      <c r="C318" s="4">
        <v>16723.740000000002</v>
      </c>
      <c r="D318" s="4">
        <v>12890.32</v>
      </c>
      <c r="E318" s="4">
        <v>3833.42</v>
      </c>
      <c r="F318" s="3">
        <f>VLOOKUP(B318,'Profit &amp; Loss'!$B$3:$C$390,2,0)</f>
        <v>3030.51</v>
      </c>
    </row>
    <row r="319" spans="1:6" x14ac:dyDescent="0.2">
      <c r="A319" s="3" t="s">
        <v>313</v>
      </c>
      <c r="B319" s="3" t="s">
        <v>558</v>
      </c>
      <c r="C319" s="4">
        <v>51303</v>
      </c>
      <c r="D319" s="4">
        <v>51303</v>
      </c>
      <c r="E319" s="4">
        <v>0</v>
      </c>
      <c r="F319" s="3">
        <f>VLOOKUP(B319,'Profit &amp; Loss'!$B$3:$C$390,2,0)</f>
        <v>0</v>
      </c>
    </row>
    <row r="320" spans="1:6" x14ac:dyDescent="0.2">
      <c r="A320" s="3" t="s">
        <v>313</v>
      </c>
      <c r="B320" s="3" t="s">
        <v>559</v>
      </c>
      <c r="C320" s="4">
        <v>5295.43</v>
      </c>
      <c r="D320" s="4">
        <v>4408.71</v>
      </c>
      <c r="E320" s="4">
        <v>886.72</v>
      </c>
      <c r="F320" s="3">
        <f>VLOOKUP(B320,'Profit &amp; Loss'!$B$3:$C$390,2,0)</f>
        <v>3030.51</v>
      </c>
    </row>
    <row r="321" spans="1:6" x14ac:dyDescent="0.2">
      <c r="A321" s="3" t="s">
        <v>313</v>
      </c>
      <c r="B321" s="3" t="s">
        <v>316</v>
      </c>
      <c r="C321" s="4">
        <v>81209.55</v>
      </c>
      <c r="D321" s="4">
        <v>66963.740000000005</v>
      </c>
      <c r="E321" s="4">
        <v>14245.81</v>
      </c>
      <c r="F321" s="3">
        <f>VLOOKUP(B321,'Profit &amp; Loss'!$B$3:$C$390,2,0)</f>
        <v>21674.33</v>
      </c>
    </row>
    <row r="322" spans="1:6" x14ac:dyDescent="0.2">
      <c r="A322" s="3" t="s">
        <v>313</v>
      </c>
      <c r="B322" s="3" t="s">
        <v>317</v>
      </c>
      <c r="C322" s="4">
        <v>1335.25</v>
      </c>
      <c r="D322" s="4">
        <v>1107.27</v>
      </c>
      <c r="E322" s="4">
        <v>227.98</v>
      </c>
      <c r="F322" s="3">
        <f>VLOOKUP(B322,'Profit &amp; Loss'!$B$3:$C$390,2,0)</f>
        <v>423.23</v>
      </c>
    </row>
    <row r="323" spans="1:6" x14ac:dyDescent="0.2">
      <c r="A323" s="3" t="s">
        <v>313</v>
      </c>
      <c r="B323" s="3" t="s">
        <v>318</v>
      </c>
      <c r="C323" s="4">
        <v>77764.3</v>
      </c>
      <c r="D323" s="4">
        <v>69567.8</v>
      </c>
      <c r="E323" s="4">
        <v>8196.5</v>
      </c>
      <c r="F323" s="3">
        <f>VLOOKUP(B323,'Profit &amp; Loss'!$B$3:$C$390,2,0)</f>
        <v>12048.91</v>
      </c>
    </row>
    <row r="324" spans="1:6" x14ac:dyDescent="0.2">
      <c r="A324" s="3" t="s">
        <v>313</v>
      </c>
      <c r="B324" s="3" t="s">
        <v>319</v>
      </c>
      <c r="C324" s="4">
        <v>262448.64000000001</v>
      </c>
      <c r="D324" s="4">
        <v>208348.58</v>
      </c>
      <c r="E324" s="4">
        <v>54100.06</v>
      </c>
      <c r="F324" s="3">
        <f>VLOOKUP(B324,'Profit &amp; Loss'!$B$3:$C$390,2,0)</f>
        <v>40731.18</v>
      </c>
    </row>
    <row r="325" spans="1:6" x14ac:dyDescent="0.2">
      <c r="A325" s="3" t="s">
        <v>313</v>
      </c>
      <c r="B325" s="3" t="s">
        <v>320</v>
      </c>
      <c r="C325" s="4">
        <v>-22310.63</v>
      </c>
      <c r="D325" s="4">
        <v>-27294.37</v>
      </c>
      <c r="E325" s="4">
        <v>4983.74</v>
      </c>
      <c r="F325" s="3">
        <f>VLOOKUP(B325,'Profit &amp; Loss'!$B$3:$C$390,2,0)</f>
        <v>4675.82</v>
      </c>
    </row>
    <row r="326" spans="1:6" x14ac:dyDescent="0.2">
      <c r="A326" s="3" t="s">
        <v>313</v>
      </c>
      <c r="B326" s="3" t="s">
        <v>321</v>
      </c>
      <c r="C326" s="4">
        <v>-766820.28</v>
      </c>
      <c r="D326" s="4">
        <v>-660845.79</v>
      </c>
      <c r="E326" s="4">
        <v>-105974.49</v>
      </c>
      <c r="F326" s="3">
        <f>VLOOKUP(B326,'Profit &amp; Loss'!$B$3:$C$390,2,0)</f>
        <v>-127447.83</v>
      </c>
    </row>
    <row r="327" spans="1:6" x14ac:dyDescent="0.2">
      <c r="A327" s="3" t="s">
        <v>313</v>
      </c>
      <c r="B327" s="3" t="s">
        <v>841</v>
      </c>
      <c r="C327" s="4">
        <v>60741.5</v>
      </c>
      <c r="D327" s="4">
        <v>60741.5</v>
      </c>
      <c r="E327" s="4">
        <v>0</v>
      </c>
      <c r="F327" s="3">
        <f>VLOOKUP(B327,'Profit &amp; Loss'!$B$3:$C$390,2,0)</f>
        <v>-27313.17</v>
      </c>
    </row>
    <row r="328" spans="1:6" x14ac:dyDescent="0.2">
      <c r="A328" s="3" t="s">
        <v>313</v>
      </c>
      <c r="B328" s="3" t="s">
        <v>560</v>
      </c>
      <c r="C328" s="4">
        <v>17191.05</v>
      </c>
      <c r="D328" s="4">
        <v>17191.05</v>
      </c>
      <c r="E328" s="4">
        <v>0</v>
      </c>
      <c r="F328" s="3">
        <f>VLOOKUP(B328,'Profit &amp; Loss'!$B$3:$C$390,2,0)</f>
        <v>1760.34</v>
      </c>
    </row>
    <row r="329" spans="1:6" x14ac:dyDescent="0.2">
      <c r="A329" s="3" t="s">
        <v>313</v>
      </c>
      <c r="B329" s="3" t="s">
        <v>1085</v>
      </c>
      <c r="C329" s="4">
        <v>575.25</v>
      </c>
      <c r="D329" s="4">
        <v>575.25</v>
      </c>
      <c r="E329" s="4">
        <v>0</v>
      </c>
      <c r="F329" s="3">
        <f>VLOOKUP(B329,'Profit &amp; Loss'!$B$3:$C$390,2,0)</f>
        <v>0</v>
      </c>
    </row>
    <row r="330" spans="1:6" x14ac:dyDescent="0.2">
      <c r="A330" s="3" t="s">
        <v>313</v>
      </c>
      <c r="B330" s="3" t="s">
        <v>990</v>
      </c>
      <c r="C330" s="4">
        <v>-160.66</v>
      </c>
      <c r="D330" s="4">
        <v>-160.66</v>
      </c>
      <c r="E330" s="4">
        <v>0</v>
      </c>
      <c r="F330" s="3">
        <f>VLOOKUP(B330,'Profit &amp; Loss'!$B$3:$C$390,2,0)</f>
        <v>-40.28</v>
      </c>
    </row>
    <row r="331" spans="1:6" x14ac:dyDescent="0.2">
      <c r="A331" s="3" t="s">
        <v>313</v>
      </c>
      <c r="B331" s="3" t="s">
        <v>322</v>
      </c>
      <c r="C331" s="4">
        <v>652.29</v>
      </c>
      <c r="D331" s="4">
        <v>201.45</v>
      </c>
      <c r="E331" s="4">
        <v>450.84</v>
      </c>
      <c r="F331" s="3">
        <f>VLOOKUP(B331,'Profit &amp; Loss'!$B$3:$C$390,2,0)</f>
        <v>2.09</v>
      </c>
    </row>
    <row r="332" spans="1:6" x14ac:dyDescent="0.2">
      <c r="A332" s="3" t="s">
        <v>313</v>
      </c>
      <c r="B332" s="3" t="s">
        <v>652</v>
      </c>
      <c r="C332" s="4">
        <v>142.13</v>
      </c>
      <c r="D332" s="4">
        <v>118.05</v>
      </c>
      <c r="E332" s="4">
        <v>24.08</v>
      </c>
      <c r="F332" s="3">
        <f>VLOOKUP(B332,'Profit &amp; Loss'!$B$3:$C$390,2,0)</f>
        <v>35.14</v>
      </c>
    </row>
    <row r="333" spans="1:6" x14ac:dyDescent="0.2">
      <c r="A333" s="3" t="s">
        <v>313</v>
      </c>
      <c r="B333" s="3" t="s">
        <v>323</v>
      </c>
      <c r="C333" s="4">
        <v>10770.13</v>
      </c>
      <c r="D333" s="4">
        <v>9391.14</v>
      </c>
      <c r="E333" s="4">
        <v>1378.99</v>
      </c>
      <c r="F333" s="3">
        <f>VLOOKUP(B333,'Profit &amp; Loss'!$B$3:$C$390,2,0)</f>
        <v>3243.68</v>
      </c>
    </row>
    <row r="334" spans="1:6" x14ac:dyDescent="0.2">
      <c r="A334" s="3" t="s">
        <v>313</v>
      </c>
      <c r="B334" s="3" t="s">
        <v>324</v>
      </c>
      <c r="C334" s="4">
        <v>206714.93</v>
      </c>
      <c r="D334" s="4">
        <v>145160.17000000001</v>
      </c>
      <c r="E334" s="4">
        <v>61554.76</v>
      </c>
      <c r="F334" s="3">
        <f>VLOOKUP(B334,'Profit &amp; Loss'!$B$3:$C$390,2,0)</f>
        <v>33298</v>
      </c>
    </row>
    <row r="335" spans="1:6" x14ac:dyDescent="0.2">
      <c r="A335" s="3" t="s">
        <v>313</v>
      </c>
      <c r="B335" s="3" t="s">
        <v>913</v>
      </c>
      <c r="C335" s="4">
        <v>118.21</v>
      </c>
      <c r="D335" s="4">
        <v>118.21</v>
      </c>
      <c r="E335" s="4">
        <v>0</v>
      </c>
      <c r="F335" s="3">
        <f>VLOOKUP(B335,'Profit &amp; Loss'!$B$3:$C$390,2,0)</f>
        <v>0</v>
      </c>
    </row>
    <row r="336" spans="1:6" x14ac:dyDescent="0.2">
      <c r="A336" s="3" t="s">
        <v>313</v>
      </c>
      <c r="B336" s="3" t="s">
        <v>561</v>
      </c>
      <c r="C336" s="4">
        <v>787.7</v>
      </c>
      <c r="D336" s="4">
        <v>599.34</v>
      </c>
      <c r="E336" s="4">
        <v>188.36</v>
      </c>
      <c r="F336" s="3">
        <f>VLOOKUP(B336,'Profit &amp; Loss'!$B$3:$C$390,2,0)</f>
        <v>0</v>
      </c>
    </row>
    <row r="337" spans="1:6" x14ac:dyDescent="0.2">
      <c r="A337" s="3" t="s">
        <v>313</v>
      </c>
      <c r="B337" s="3" t="s">
        <v>654</v>
      </c>
      <c r="C337" s="4">
        <v>1086.76</v>
      </c>
      <c r="D337" s="4">
        <v>1086.76</v>
      </c>
      <c r="E337" s="4">
        <v>0</v>
      </c>
      <c r="F337" s="3">
        <f>VLOOKUP(B337,'Profit &amp; Loss'!$B$3:$C$390,2,0)</f>
        <v>36.44</v>
      </c>
    </row>
    <row r="338" spans="1:6" x14ac:dyDescent="0.2">
      <c r="A338" s="3" t="s">
        <v>313</v>
      </c>
      <c r="B338" s="3" t="s">
        <v>991</v>
      </c>
      <c r="C338" s="4">
        <v>469.21</v>
      </c>
      <c r="D338" s="4">
        <v>82780.5</v>
      </c>
      <c r="E338" s="4">
        <v>-82311.289999999994</v>
      </c>
      <c r="F338" s="3">
        <f>VLOOKUP(B338,'Profit &amp; Loss'!$B$3:$C$390,2,0)</f>
        <v>-28825.55</v>
      </c>
    </row>
    <row r="339" spans="1:6" x14ac:dyDescent="0.2">
      <c r="A339" s="3" t="s">
        <v>313</v>
      </c>
      <c r="B339" s="3" t="s">
        <v>326</v>
      </c>
      <c r="C339" s="4">
        <v>56627.76</v>
      </c>
      <c r="D339" s="4">
        <v>15176</v>
      </c>
      <c r="E339" s="4">
        <v>41451.760000000002</v>
      </c>
      <c r="F339" s="3">
        <f>VLOOKUP(B339,'Profit &amp; Loss'!$B$3:$C$390,2,0)</f>
        <v>-435.68</v>
      </c>
    </row>
    <row r="340" spans="1:6" x14ac:dyDescent="0.2">
      <c r="A340" s="3" t="s">
        <v>313</v>
      </c>
      <c r="B340" s="3" t="s">
        <v>1254</v>
      </c>
      <c r="C340" s="4">
        <v>124.19</v>
      </c>
      <c r="D340" s="4">
        <v>124.19</v>
      </c>
      <c r="E340" s="4">
        <v>0</v>
      </c>
      <c r="F340" s="3">
        <f>VLOOKUP(B340,'Profit &amp; Loss'!$B$3:$C$390,2,0)</f>
        <v>0</v>
      </c>
    </row>
    <row r="341" spans="1:6" x14ac:dyDescent="0.2">
      <c r="A341" s="3" t="s">
        <v>313</v>
      </c>
      <c r="B341" s="3" t="s">
        <v>327</v>
      </c>
      <c r="C341" s="4">
        <v>429.3</v>
      </c>
      <c r="D341" s="4">
        <v>429.3</v>
      </c>
      <c r="E341" s="4">
        <v>0</v>
      </c>
      <c r="F341" s="3">
        <f>VLOOKUP(B341,'Profit &amp; Loss'!$B$3:$C$390,2,0)</f>
        <v>286.14</v>
      </c>
    </row>
    <row r="342" spans="1:6" x14ac:dyDescent="0.2">
      <c r="A342" s="3" t="s">
        <v>313</v>
      </c>
      <c r="B342" s="3" t="s">
        <v>328</v>
      </c>
      <c r="C342" s="4">
        <v>-1746.42</v>
      </c>
      <c r="D342" s="4">
        <v>-1662.77</v>
      </c>
      <c r="E342" s="4">
        <v>-83.65</v>
      </c>
      <c r="F342" s="3">
        <f>VLOOKUP(B342,'Profit &amp; Loss'!$B$3:$C$390,2,0)</f>
        <v>-756.63</v>
      </c>
    </row>
    <row r="343" spans="1:6" s="18" customFormat="1" x14ac:dyDescent="0.2">
      <c r="A343" s="18" t="s">
        <v>313</v>
      </c>
      <c r="B343" s="18" t="s">
        <v>1433</v>
      </c>
      <c r="C343" s="19">
        <v>388.35</v>
      </c>
      <c r="D343" s="19">
        <v>0</v>
      </c>
      <c r="E343" s="19">
        <v>388.35</v>
      </c>
      <c r="F343" s="18">
        <f>VLOOKUP(B343,'Profit &amp; Loss'!$B$3:$C$390,2,0)</f>
        <v>0</v>
      </c>
    </row>
    <row r="344" spans="1:6" x14ac:dyDescent="0.2">
      <c r="A344" s="3" t="s">
        <v>313</v>
      </c>
      <c r="B344" s="3" t="s">
        <v>656</v>
      </c>
      <c r="C344" s="4">
        <v>31069.64</v>
      </c>
      <c r="D344" s="4">
        <v>26382.560000000001</v>
      </c>
      <c r="E344" s="4">
        <v>4687.08</v>
      </c>
      <c r="F344" s="3">
        <f>VLOOKUP(B344,'Profit &amp; Loss'!$B$3:$C$390,2,0)</f>
        <v>0</v>
      </c>
    </row>
    <row r="345" spans="1:6" x14ac:dyDescent="0.2">
      <c r="A345" s="3" t="s">
        <v>313</v>
      </c>
      <c r="B345" s="3" t="s">
        <v>329</v>
      </c>
      <c r="C345" s="4">
        <v>31578</v>
      </c>
      <c r="D345" s="4">
        <v>26734.26</v>
      </c>
      <c r="E345" s="4">
        <v>4843.74</v>
      </c>
      <c r="F345" s="3">
        <f>VLOOKUP(B345,'Profit &amp; Loss'!$B$3:$C$390,2,0)</f>
        <v>6174.84</v>
      </c>
    </row>
    <row r="346" spans="1:6" x14ac:dyDescent="0.2">
      <c r="A346" s="3" t="s">
        <v>313</v>
      </c>
      <c r="B346" s="3" t="s">
        <v>330</v>
      </c>
      <c r="C346" s="4">
        <v>5699.21</v>
      </c>
      <c r="D346" s="4">
        <v>5479.33</v>
      </c>
      <c r="E346" s="4">
        <v>219.88</v>
      </c>
      <c r="F346" s="3">
        <f>VLOOKUP(B346,'Profit &amp; Loss'!$B$3:$C$390,2,0)</f>
        <v>890.78</v>
      </c>
    </row>
    <row r="347" spans="1:6" x14ac:dyDescent="0.2">
      <c r="A347" s="3" t="s">
        <v>313</v>
      </c>
      <c r="B347" s="3" t="s">
        <v>331</v>
      </c>
      <c r="C347" s="4">
        <v>45530.400000000001</v>
      </c>
      <c r="D347" s="4">
        <v>32865.83</v>
      </c>
      <c r="E347" s="4">
        <v>12664.57</v>
      </c>
      <c r="F347" s="3">
        <f>VLOOKUP(B347,'Profit &amp; Loss'!$B$3:$C$390,2,0)</f>
        <v>-3008.88</v>
      </c>
    </row>
    <row r="348" spans="1:6" x14ac:dyDescent="0.2">
      <c r="A348" s="3" t="s">
        <v>313</v>
      </c>
      <c r="B348" s="3" t="s">
        <v>332</v>
      </c>
      <c r="C348" s="4">
        <v>246.34</v>
      </c>
      <c r="D348" s="4">
        <v>210.22</v>
      </c>
      <c r="E348" s="4">
        <v>36.119999999999997</v>
      </c>
      <c r="F348" s="3">
        <f>VLOOKUP(B348,'Profit &amp; Loss'!$B$3:$C$390,2,0)</f>
        <v>24.68</v>
      </c>
    </row>
    <row r="349" spans="1:6" x14ac:dyDescent="0.2">
      <c r="A349" s="3" t="s">
        <v>313</v>
      </c>
      <c r="B349" s="3" t="s">
        <v>657</v>
      </c>
      <c r="C349" s="4">
        <v>532.29999999999995</v>
      </c>
      <c r="D349" s="4">
        <v>276876.15999999997</v>
      </c>
      <c r="E349" s="4">
        <v>-276343.86</v>
      </c>
      <c r="F349" s="3">
        <f>VLOOKUP(B349,'Profit &amp; Loss'!$B$3:$C$390,2,0)</f>
        <v>0</v>
      </c>
    </row>
    <row r="350" spans="1:6" x14ac:dyDescent="0.2">
      <c r="A350" s="3" t="s">
        <v>313</v>
      </c>
      <c r="B350" s="3" t="s">
        <v>333</v>
      </c>
      <c r="C350" s="4">
        <v>14264.92</v>
      </c>
      <c r="D350" s="4">
        <v>10947.04</v>
      </c>
      <c r="E350" s="4">
        <v>3317.88</v>
      </c>
      <c r="F350" s="3">
        <f>VLOOKUP(B350,'Profit &amp; Loss'!$B$3:$C$390,2,0)</f>
        <v>3308.5</v>
      </c>
    </row>
    <row r="351" spans="1:6" s="18" customFormat="1" x14ac:dyDescent="0.2">
      <c r="A351" s="18" t="s">
        <v>313</v>
      </c>
      <c r="B351" s="18" t="s">
        <v>1434</v>
      </c>
      <c r="C351" s="19">
        <v>111.08</v>
      </c>
      <c r="D351" s="19">
        <v>0</v>
      </c>
      <c r="E351" s="19">
        <v>111.08</v>
      </c>
      <c r="F351" s="18">
        <f>VLOOKUP(B351,'Profit &amp; Loss'!$B$3:$C$390,2,0)</f>
        <v>0</v>
      </c>
    </row>
    <row r="352" spans="1:6" x14ac:dyDescent="0.2">
      <c r="A352" s="3" t="s">
        <v>313</v>
      </c>
      <c r="B352" s="3" t="s">
        <v>2</v>
      </c>
      <c r="C352" s="4">
        <v>536799.06000000006</v>
      </c>
      <c r="D352" s="4">
        <v>724013.3</v>
      </c>
      <c r="E352" s="4">
        <v>-187214.24</v>
      </c>
      <c r="F352" s="3" t="e">
        <f>VLOOKUP(B352,'Profit &amp; Loss'!$B$3:$C$390,2,0)</f>
        <v>#N/A</v>
      </c>
    </row>
    <row r="353" spans="1:6" x14ac:dyDescent="0.2">
      <c r="A353" s="3" t="s">
        <v>334</v>
      </c>
      <c r="B353" s="3" t="s">
        <v>335</v>
      </c>
      <c r="C353" s="4">
        <v>443912.65</v>
      </c>
      <c r="D353" s="4">
        <v>371642.15</v>
      </c>
      <c r="E353" s="4">
        <v>72270.5</v>
      </c>
      <c r="F353" s="3">
        <f>VLOOKUP(B353,'Profit &amp; Loss'!$B$3:$C$390,2,0)</f>
        <v>55035.39</v>
      </c>
    </row>
    <row r="354" spans="1:6" x14ac:dyDescent="0.2">
      <c r="A354" s="3" t="s">
        <v>334</v>
      </c>
      <c r="B354" s="3" t="s">
        <v>562</v>
      </c>
      <c r="C354" s="4">
        <v>66390.5</v>
      </c>
      <c r="D354" s="4">
        <v>66390.5</v>
      </c>
      <c r="E354" s="4">
        <v>0</v>
      </c>
      <c r="F354" s="3">
        <f>VLOOKUP(B354,'Profit &amp; Loss'!$B$3:$C$390,2,0)</f>
        <v>0</v>
      </c>
    </row>
    <row r="355" spans="1:6" x14ac:dyDescent="0.2">
      <c r="A355" s="3" t="s">
        <v>334</v>
      </c>
      <c r="B355" s="3" t="s">
        <v>336</v>
      </c>
      <c r="C355" s="4">
        <v>-29385.18</v>
      </c>
      <c r="D355" s="4">
        <v>-35407.72</v>
      </c>
      <c r="E355" s="4">
        <v>6022.54</v>
      </c>
      <c r="F355" s="3">
        <f>VLOOKUP(B355,'Profit &amp; Loss'!$B$3:$C$390,2,0)</f>
        <v>5279.69</v>
      </c>
    </row>
    <row r="356" spans="1:6" x14ac:dyDescent="0.2">
      <c r="A356" s="3" t="s">
        <v>334</v>
      </c>
      <c r="B356" s="3" t="s">
        <v>337</v>
      </c>
      <c r="C356" s="4">
        <v>21212.84</v>
      </c>
      <c r="D356" s="4">
        <v>15045.27</v>
      </c>
      <c r="E356" s="4">
        <v>6167.57</v>
      </c>
      <c r="F356" s="3">
        <f>VLOOKUP(B356,'Profit &amp; Loss'!$B$3:$C$390,2,0)</f>
        <v>2800.93</v>
      </c>
    </row>
    <row r="357" spans="1:6" x14ac:dyDescent="0.2">
      <c r="A357" s="3" t="s">
        <v>334</v>
      </c>
      <c r="B357" s="3" t="s">
        <v>338</v>
      </c>
      <c r="C357" s="4">
        <v>149731.17000000001</v>
      </c>
      <c r="D357" s="4">
        <v>96348.65</v>
      </c>
      <c r="E357" s="4">
        <v>53382.52</v>
      </c>
      <c r="F357" s="3">
        <f>VLOOKUP(B357,'Profit &amp; Loss'!$B$3:$C$390,2,0)</f>
        <v>17648.05</v>
      </c>
    </row>
    <row r="358" spans="1:6" x14ac:dyDescent="0.2">
      <c r="A358" s="3" t="s">
        <v>334</v>
      </c>
      <c r="B358" s="3" t="s">
        <v>563</v>
      </c>
      <c r="C358" s="4">
        <v>165.75</v>
      </c>
      <c r="D358" s="4">
        <v>165.75</v>
      </c>
      <c r="E358" s="4">
        <v>0</v>
      </c>
      <c r="F358" s="3">
        <f>VLOOKUP(B358,'Profit &amp; Loss'!$B$3:$C$390,2,0)</f>
        <v>0</v>
      </c>
    </row>
    <row r="359" spans="1:6" x14ac:dyDescent="0.2">
      <c r="A359" s="3" t="s">
        <v>334</v>
      </c>
      <c r="B359" s="3" t="s">
        <v>339</v>
      </c>
      <c r="C359" s="4">
        <v>17876.45</v>
      </c>
      <c r="D359" s="4">
        <v>14684.74</v>
      </c>
      <c r="E359" s="4">
        <v>3191.71</v>
      </c>
      <c r="F359" s="3">
        <f>VLOOKUP(B359,'Profit &amp; Loss'!$B$3:$C$390,2,0)</f>
        <v>4180.01</v>
      </c>
    </row>
    <row r="360" spans="1:6" x14ac:dyDescent="0.2">
      <c r="A360" s="3" t="s">
        <v>334</v>
      </c>
      <c r="B360" s="3" t="s">
        <v>768</v>
      </c>
      <c r="C360" s="4">
        <v>96267.16</v>
      </c>
      <c r="D360" s="4">
        <v>96267.16</v>
      </c>
      <c r="E360" s="4">
        <v>0</v>
      </c>
      <c r="F360" s="3">
        <f>VLOOKUP(B360,'Profit &amp; Loss'!$B$3:$C$390,2,0)</f>
        <v>0</v>
      </c>
    </row>
    <row r="361" spans="1:6" x14ac:dyDescent="0.2">
      <c r="A361" s="3" t="s">
        <v>334</v>
      </c>
      <c r="B361" s="3" t="s">
        <v>340</v>
      </c>
      <c r="C361" s="4">
        <v>-22256.46</v>
      </c>
      <c r="D361" s="4">
        <v>-34301.53</v>
      </c>
      <c r="E361" s="4">
        <v>12045.07</v>
      </c>
      <c r="F361" s="3">
        <f>VLOOKUP(B361,'Profit &amp; Loss'!$B$3:$C$390,2,0)</f>
        <v>10559.39</v>
      </c>
    </row>
    <row r="362" spans="1:6" x14ac:dyDescent="0.2">
      <c r="A362" s="3" t="s">
        <v>334</v>
      </c>
      <c r="B362" s="3" t="s">
        <v>341</v>
      </c>
      <c r="C362" s="4">
        <v>111187.58</v>
      </c>
      <c r="D362" s="4">
        <v>83546.94</v>
      </c>
      <c r="E362" s="4">
        <v>27640.639999999999</v>
      </c>
      <c r="F362" s="3">
        <f>VLOOKUP(B362,'Profit &amp; Loss'!$B$3:$C$390,2,0)</f>
        <v>18487.189999999999</v>
      </c>
    </row>
    <row r="363" spans="1:6" x14ac:dyDescent="0.2">
      <c r="A363" s="3" t="s">
        <v>334</v>
      </c>
      <c r="B363" s="3" t="s">
        <v>342</v>
      </c>
      <c r="C363" s="4">
        <v>4945.62</v>
      </c>
      <c r="D363" s="4">
        <v>3822.27</v>
      </c>
      <c r="E363" s="4">
        <v>1123.3499999999999</v>
      </c>
      <c r="F363" s="3">
        <f>VLOOKUP(B363,'Profit &amp; Loss'!$B$3:$C$390,2,0)</f>
        <v>2577.34</v>
      </c>
    </row>
    <row r="364" spans="1:6" x14ac:dyDescent="0.2">
      <c r="A364" s="3" t="s">
        <v>334</v>
      </c>
      <c r="B364" s="3" t="s">
        <v>566</v>
      </c>
      <c r="C364" s="4">
        <v>939.81</v>
      </c>
      <c r="D364" s="4">
        <v>939.81</v>
      </c>
      <c r="E364" s="4">
        <v>0</v>
      </c>
      <c r="F364" s="3">
        <f>VLOOKUP(B364,'Profit &amp; Loss'!$B$3:$C$390,2,0)</f>
        <v>0</v>
      </c>
    </row>
    <row r="365" spans="1:6" x14ac:dyDescent="0.2">
      <c r="A365" s="3" t="s">
        <v>334</v>
      </c>
      <c r="B365" s="3" t="s">
        <v>343</v>
      </c>
      <c r="C365" s="4">
        <v>15444.04</v>
      </c>
      <c r="D365" s="4">
        <v>11666.17</v>
      </c>
      <c r="E365" s="4">
        <v>3777.87</v>
      </c>
      <c r="F365" s="3">
        <f>VLOOKUP(B365,'Profit &amp; Loss'!$B$3:$C$390,2,0)</f>
        <v>-203.37</v>
      </c>
    </row>
    <row r="366" spans="1:6" x14ac:dyDescent="0.2">
      <c r="A366" s="3" t="s">
        <v>334</v>
      </c>
      <c r="B366" s="3" t="s">
        <v>992</v>
      </c>
      <c r="C366" s="4">
        <v>733.43</v>
      </c>
      <c r="D366" s="4">
        <v>733.43</v>
      </c>
      <c r="E366" s="4">
        <v>0</v>
      </c>
      <c r="F366" s="3">
        <f>VLOOKUP(B366,'Profit &amp; Loss'!$B$3:$C$390,2,0)</f>
        <v>733.43</v>
      </c>
    </row>
    <row r="367" spans="1:6" x14ac:dyDescent="0.2">
      <c r="A367" s="3" t="s">
        <v>334</v>
      </c>
      <c r="B367" s="3" t="s">
        <v>345</v>
      </c>
      <c r="C367" s="4">
        <v>81423.070000000007</v>
      </c>
      <c r="D367" s="4">
        <v>66455.649999999994</v>
      </c>
      <c r="E367" s="4">
        <v>14967.42</v>
      </c>
      <c r="F367" s="3">
        <f>VLOOKUP(B367,'Profit &amp; Loss'!$B$3:$C$390,2,0)</f>
        <v>11989.03</v>
      </c>
    </row>
    <row r="368" spans="1:6" x14ac:dyDescent="0.2">
      <c r="A368" s="3" t="s">
        <v>334</v>
      </c>
      <c r="B368" s="3" t="s">
        <v>346</v>
      </c>
      <c r="C368" s="4">
        <v>29302.98</v>
      </c>
      <c r="D368" s="4">
        <v>24416.2</v>
      </c>
      <c r="E368" s="4">
        <v>4886.78</v>
      </c>
      <c r="F368" s="3">
        <f>VLOOKUP(B368,'Profit &amp; Loss'!$B$3:$C$390,2,0)</f>
        <v>4420.24</v>
      </c>
    </row>
    <row r="369" spans="1:6" x14ac:dyDescent="0.2">
      <c r="A369" s="3" t="s">
        <v>334</v>
      </c>
      <c r="B369" s="3" t="s">
        <v>347</v>
      </c>
      <c r="C369" s="4">
        <v>14217.41</v>
      </c>
      <c r="D369" s="4">
        <v>11833.38</v>
      </c>
      <c r="E369" s="4">
        <v>2384.0300000000002</v>
      </c>
      <c r="F369" s="3">
        <f>VLOOKUP(B369,'Profit &amp; Loss'!$B$3:$C$390,2,0)</f>
        <v>2182.88</v>
      </c>
    </row>
    <row r="370" spans="1:6" x14ac:dyDescent="0.2">
      <c r="A370" s="3" t="s">
        <v>334</v>
      </c>
      <c r="B370" s="3" t="s">
        <v>348</v>
      </c>
      <c r="C370" s="4">
        <v>39613.83</v>
      </c>
      <c r="D370" s="4">
        <v>33148.559999999998</v>
      </c>
      <c r="E370" s="4">
        <v>6465.27</v>
      </c>
      <c r="F370" s="3">
        <f>VLOOKUP(B370,'Profit &amp; Loss'!$B$3:$C$390,2,0)</f>
        <v>5823.94</v>
      </c>
    </row>
    <row r="371" spans="1:6" x14ac:dyDescent="0.2">
      <c r="A371" s="3" t="s">
        <v>334</v>
      </c>
      <c r="B371" s="3" t="s">
        <v>349</v>
      </c>
      <c r="C371" s="4">
        <v>28456.07</v>
      </c>
      <c r="D371" s="4">
        <v>23834.86</v>
      </c>
      <c r="E371" s="4">
        <v>4621.21</v>
      </c>
      <c r="F371" s="3">
        <f>VLOOKUP(B371,'Profit &amp; Loss'!$B$3:$C$390,2,0)</f>
        <v>3750.29</v>
      </c>
    </row>
    <row r="372" spans="1:6" x14ac:dyDescent="0.2">
      <c r="A372" s="3" t="s">
        <v>334</v>
      </c>
      <c r="B372" s="3" t="s">
        <v>350</v>
      </c>
      <c r="C372" s="4">
        <v>22596.720000000001</v>
      </c>
      <c r="D372" s="4">
        <v>18777.78</v>
      </c>
      <c r="E372" s="4">
        <v>3818.94</v>
      </c>
      <c r="F372" s="3">
        <f>VLOOKUP(B372,'Profit &amp; Loss'!$B$3:$C$390,2,0)</f>
        <v>5549.93</v>
      </c>
    </row>
    <row r="373" spans="1:6" x14ac:dyDescent="0.2">
      <c r="A373" s="3" t="s">
        <v>334</v>
      </c>
      <c r="B373" s="3" t="s">
        <v>351</v>
      </c>
      <c r="C373" s="4">
        <v>44747.88</v>
      </c>
      <c r="D373" s="4">
        <v>31654.080000000002</v>
      </c>
      <c r="E373" s="4">
        <v>13093.8</v>
      </c>
      <c r="F373" s="3">
        <f>VLOOKUP(B373,'Profit &amp; Loss'!$B$3:$C$390,2,0)</f>
        <v>4678.2299999999996</v>
      </c>
    </row>
    <row r="374" spans="1:6" x14ac:dyDescent="0.2">
      <c r="A374" s="3" t="s">
        <v>334</v>
      </c>
      <c r="B374" s="3" t="s">
        <v>352</v>
      </c>
      <c r="C374" s="4">
        <v>3615.6</v>
      </c>
      <c r="D374" s="4">
        <v>2343.84</v>
      </c>
      <c r="E374" s="4">
        <v>1271.76</v>
      </c>
      <c r="F374" s="3">
        <f>VLOOKUP(B374,'Profit &amp; Loss'!$B$3:$C$390,2,0)</f>
        <v>1184.21</v>
      </c>
    </row>
    <row r="375" spans="1:6" x14ac:dyDescent="0.2">
      <c r="A375" s="3" t="s">
        <v>334</v>
      </c>
      <c r="B375" s="3" t="s">
        <v>569</v>
      </c>
      <c r="C375" s="4">
        <v>1610.04</v>
      </c>
      <c r="D375" s="4">
        <v>1610.04</v>
      </c>
      <c r="E375" s="4">
        <v>0</v>
      </c>
      <c r="F375" s="3">
        <f>VLOOKUP(B375,'Profit &amp; Loss'!$B$3:$C$390,2,0)</f>
        <v>1388.56</v>
      </c>
    </row>
    <row r="376" spans="1:6" x14ac:dyDescent="0.2">
      <c r="A376" s="3" t="s">
        <v>334</v>
      </c>
      <c r="B376" s="3" t="s">
        <v>667</v>
      </c>
      <c r="C376" s="4">
        <v>1650.22</v>
      </c>
      <c r="D376" s="4">
        <v>1088.68</v>
      </c>
      <c r="E376" s="4">
        <v>561.54</v>
      </c>
      <c r="F376" s="3">
        <f>VLOOKUP(B376,'Profit &amp; Loss'!$B$3:$C$390,2,0)</f>
        <v>0</v>
      </c>
    </row>
    <row r="377" spans="1:6" x14ac:dyDescent="0.2">
      <c r="A377" s="3" t="s">
        <v>334</v>
      </c>
      <c r="B377" s="3" t="s">
        <v>353</v>
      </c>
      <c r="C377" s="4">
        <v>10328.73</v>
      </c>
      <c r="D377" s="4">
        <v>9027.49</v>
      </c>
      <c r="E377" s="4">
        <v>1301.24</v>
      </c>
      <c r="F377" s="3">
        <f>VLOOKUP(B377,'Profit &amp; Loss'!$B$3:$C$390,2,0)</f>
        <v>1304.8699999999999</v>
      </c>
    </row>
    <row r="378" spans="1:6" x14ac:dyDescent="0.2">
      <c r="A378" s="3" t="s">
        <v>334</v>
      </c>
      <c r="B378" s="3" t="s">
        <v>772</v>
      </c>
      <c r="C378" s="4">
        <v>873.21</v>
      </c>
      <c r="D378" s="4">
        <v>727.72</v>
      </c>
      <c r="E378" s="4">
        <v>145.49</v>
      </c>
      <c r="F378" s="3">
        <f>VLOOKUP(B378,'Profit &amp; Loss'!$B$3:$C$390,2,0)</f>
        <v>0</v>
      </c>
    </row>
    <row r="379" spans="1:6" x14ac:dyDescent="0.2">
      <c r="A379" s="3" t="s">
        <v>334</v>
      </c>
      <c r="B379" s="3" t="s">
        <v>354</v>
      </c>
      <c r="C379" s="4">
        <v>4276.66</v>
      </c>
      <c r="D379" s="4">
        <v>3563.44</v>
      </c>
      <c r="E379" s="4">
        <v>713.22</v>
      </c>
      <c r="F379" s="3">
        <f>VLOOKUP(B379,'Profit &amp; Loss'!$B$3:$C$390,2,0)</f>
        <v>645.12</v>
      </c>
    </row>
    <row r="380" spans="1:6" x14ac:dyDescent="0.2">
      <c r="A380" s="3" t="s">
        <v>334</v>
      </c>
      <c r="B380" s="3" t="s">
        <v>355</v>
      </c>
      <c r="C380" s="4">
        <v>29536.21</v>
      </c>
      <c r="D380" s="4">
        <v>24441.14</v>
      </c>
      <c r="E380" s="4">
        <v>5095.07</v>
      </c>
      <c r="F380" s="3">
        <f>VLOOKUP(B380,'Profit &amp; Loss'!$B$3:$C$390,2,0)</f>
        <v>4654.41</v>
      </c>
    </row>
    <row r="381" spans="1:6" x14ac:dyDescent="0.2">
      <c r="A381" s="3" t="s">
        <v>334</v>
      </c>
      <c r="B381" s="3" t="s">
        <v>356</v>
      </c>
      <c r="C381" s="4">
        <v>0</v>
      </c>
      <c r="D381" s="4">
        <v>169.68</v>
      </c>
      <c r="E381" s="4">
        <v>-169.68</v>
      </c>
      <c r="F381" s="3">
        <f>VLOOKUP(B381,'Profit &amp; Loss'!$B$3:$C$390,2,0)</f>
        <v>164.53</v>
      </c>
    </row>
    <row r="382" spans="1:6" x14ac:dyDescent="0.2">
      <c r="A382" s="3" t="s">
        <v>334</v>
      </c>
      <c r="B382" s="3" t="s">
        <v>357</v>
      </c>
      <c r="C382" s="4">
        <v>12590.24</v>
      </c>
      <c r="D382" s="4">
        <v>9641.77</v>
      </c>
      <c r="E382" s="4">
        <v>2948.47</v>
      </c>
      <c r="F382" s="3">
        <f>VLOOKUP(B382,'Profit &amp; Loss'!$B$3:$C$390,2,0)</f>
        <v>1147.27</v>
      </c>
    </row>
    <row r="383" spans="1:6" x14ac:dyDescent="0.2">
      <c r="A383" s="3" t="s">
        <v>334</v>
      </c>
      <c r="B383" s="3" t="s">
        <v>920</v>
      </c>
      <c r="C383" s="4">
        <v>6178.53</v>
      </c>
      <c r="D383" s="4">
        <v>6178.53</v>
      </c>
      <c r="E383" s="4">
        <v>0</v>
      </c>
      <c r="F383" s="3">
        <f>VLOOKUP(B383,'Profit &amp; Loss'!$B$3:$C$390,2,0)</f>
        <v>0</v>
      </c>
    </row>
    <row r="384" spans="1:6" x14ac:dyDescent="0.2">
      <c r="A384" s="3" t="s">
        <v>334</v>
      </c>
      <c r="B384" s="3" t="s">
        <v>358</v>
      </c>
      <c r="C384" s="4">
        <v>7416.76</v>
      </c>
      <c r="D384" s="4">
        <v>6729.2</v>
      </c>
      <c r="E384" s="4">
        <v>687.56</v>
      </c>
      <c r="F384" s="3">
        <f>VLOOKUP(B384,'Profit &amp; Loss'!$B$3:$C$390,2,0)</f>
        <v>3993.12</v>
      </c>
    </row>
    <row r="385" spans="1:6" x14ac:dyDescent="0.2">
      <c r="A385" s="3" t="s">
        <v>334</v>
      </c>
      <c r="B385" s="3" t="s">
        <v>359</v>
      </c>
      <c r="C385" s="4">
        <v>1270.6400000000001</v>
      </c>
      <c r="D385" s="4">
        <v>1270.6400000000001</v>
      </c>
      <c r="E385" s="4">
        <v>0</v>
      </c>
      <c r="F385" s="3">
        <f>VLOOKUP(B385,'Profit &amp; Loss'!$B$3:$C$390,2,0)</f>
        <v>1270.6400000000001</v>
      </c>
    </row>
    <row r="386" spans="1:6" x14ac:dyDescent="0.2">
      <c r="A386" s="3" t="s">
        <v>334</v>
      </c>
      <c r="B386" s="3" t="s">
        <v>360</v>
      </c>
      <c r="C386" s="4">
        <v>107888.13</v>
      </c>
      <c r="D386" s="4">
        <v>89626.16</v>
      </c>
      <c r="E386" s="4">
        <v>18261.97</v>
      </c>
      <c r="F386" s="3">
        <f>VLOOKUP(B386,'Profit &amp; Loss'!$B$3:$C$390,2,0)</f>
        <v>16594.689999999999</v>
      </c>
    </row>
    <row r="387" spans="1:6" x14ac:dyDescent="0.2">
      <c r="A387" s="3" t="s">
        <v>334</v>
      </c>
      <c r="B387" s="3" t="s">
        <v>571</v>
      </c>
      <c r="C387" s="4">
        <v>10916.21</v>
      </c>
      <c r="D387" s="4">
        <v>10916.21</v>
      </c>
      <c r="E387" s="4">
        <v>0</v>
      </c>
      <c r="F387" s="3">
        <f>VLOOKUP(B387,'Profit &amp; Loss'!$B$3:$C$390,2,0)</f>
        <v>7423.55</v>
      </c>
    </row>
    <row r="388" spans="1:6" x14ac:dyDescent="0.2">
      <c r="A388" s="3" t="s">
        <v>334</v>
      </c>
      <c r="B388" s="3" t="s">
        <v>1427</v>
      </c>
      <c r="C388" s="4">
        <v>34.090000000000003</v>
      </c>
      <c r="D388" s="4">
        <v>34.090000000000003</v>
      </c>
      <c r="E388" s="4">
        <v>0</v>
      </c>
      <c r="F388" s="3">
        <f>VLOOKUP(B388,'Profit &amp; Loss'!$B$3:$C$390,2,0)</f>
        <v>0</v>
      </c>
    </row>
    <row r="389" spans="1:6" x14ac:dyDescent="0.2">
      <c r="A389" s="3" t="s">
        <v>334</v>
      </c>
      <c r="B389" s="3" t="s">
        <v>921</v>
      </c>
      <c r="C389" s="4">
        <v>62</v>
      </c>
      <c r="D389" s="4">
        <v>62</v>
      </c>
      <c r="E389" s="4">
        <v>0</v>
      </c>
      <c r="F389" s="3">
        <f>VLOOKUP(B389,'Profit &amp; Loss'!$B$3:$C$390,2,0)</f>
        <v>0</v>
      </c>
    </row>
    <row r="390" spans="1:6" x14ac:dyDescent="0.2">
      <c r="A390" s="3" t="s">
        <v>334</v>
      </c>
      <c r="B390" s="3" t="s">
        <v>852</v>
      </c>
      <c r="C390" s="4">
        <v>1297.71</v>
      </c>
      <c r="D390" s="4">
        <v>1297.71</v>
      </c>
      <c r="E390" s="4">
        <v>0</v>
      </c>
      <c r="F390" s="3">
        <f>VLOOKUP(B390,'Profit &amp; Loss'!$B$3:$C$390,2,0)</f>
        <v>0</v>
      </c>
    </row>
    <row r="391" spans="1:6" x14ac:dyDescent="0.2">
      <c r="A391" s="3" t="s">
        <v>334</v>
      </c>
      <c r="B391" s="3" t="s">
        <v>363</v>
      </c>
      <c r="C391" s="4">
        <v>11248.62</v>
      </c>
      <c r="D391" s="4">
        <v>10361.74</v>
      </c>
      <c r="E391" s="4">
        <v>886.88</v>
      </c>
      <c r="F391" s="3">
        <f>VLOOKUP(B391,'Profit &amp; Loss'!$B$3:$C$390,2,0)</f>
        <v>1958.16</v>
      </c>
    </row>
    <row r="392" spans="1:6" x14ac:dyDescent="0.2">
      <c r="A392" s="3" t="s">
        <v>334</v>
      </c>
      <c r="B392" s="3" t="s">
        <v>2</v>
      </c>
      <c r="C392" s="4">
        <v>1348316.92</v>
      </c>
      <c r="D392" s="4">
        <v>1080754.18</v>
      </c>
      <c r="E392" s="4">
        <v>267562.74</v>
      </c>
      <c r="F392" s="3" t="e">
        <f>VLOOKUP(B392,'Profit &amp; Loss'!$B$3:$C$390,2,0)</f>
        <v>#N/A</v>
      </c>
    </row>
    <row r="393" spans="1:6" x14ac:dyDescent="0.2">
      <c r="A393" s="3" t="s">
        <v>364</v>
      </c>
      <c r="B393" s="3" t="s">
        <v>366</v>
      </c>
      <c r="C393" s="4">
        <v>12558.52</v>
      </c>
      <c r="D393" s="4">
        <v>8374.39</v>
      </c>
      <c r="E393" s="4">
        <v>4184.13</v>
      </c>
      <c r="F393" s="3">
        <f>VLOOKUP(B393,'Profit &amp; Loss'!$B$3:$C$390,2,0)</f>
        <v>223.34</v>
      </c>
    </row>
    <row r="394" spans="1:6" x14ac:dyDescent="0.2">
      <c r="A394" s="3" t="s">
        <v>364</v>
      </c>
      <c r="B394" s="3" t="s">
        <v>367</v>
      </c>
      <c r="C394" s="4">
        <v>1893.49</v>
      </c>
      <c r="D394" s="4">
        <v>1033.68</v>
      </c>
      <c r="E394" s="4">
        <v>859.81</v>
      </c>
      <c r="F394" s="3">
        <f>VLOOKUP(B394,'Profit &amp; Loss'!$B$3:$C$390,2,0)</f>
        <v>462.09</v>
      </c>
    </row>
    <row r="395" spans="1:6" x14ac:dyDescent="0.2">
      <c r="A395" s="3" t="s">
        <v>364</v>
      </c>
      <c r="B395" s="3" t="s">
        <v>368</v>
      </c>
      <c r="C395" s="4">
        <v>541.63</v>
      </c>
      <c r="D395" s="4">
        <v>288.72000000000003</v>
      </c>
      <c r="E395" s="4">
        <v>252.91</v>
      </c>
      <c r="F395" s="3">
        <f>VLOOKUP(B395,'Profit &amp; Loss'!$B$3:$C$390,2,0)</f>
        <v>120.24</v>
      </c>
    </row>
    <row r="396" spans="1:6" x14ac:dyDescent="0.2">
      <c r="A396" s="3" t="s">
        <v>364</v>
      </c>
      <c r="B396" s="3" t="s">
        <v>369</v>
      </c>
      <c r="C396" s="4">
        <v>207.23</v>
      </c>
      <c r="D396" s="4">
        <v>102.78</v>
      </c>
      <c r="E396" s="4">
        <v>104.45</v>
      </c>
      <c r="F396" s="3">
        <f>VLOOKUP(B396,'Profit &amp; Loss'!$B$3:$C$390,2,0)</f>
        <v>11.91</v>
      </c>
    </row>
    <row r="397" spans="1:6" x14ac:dyDescent="0.2">
      <c r="A397" s="3" t="s">
        <v>364</v>
      </c>
      <c r="B397" s="3" t="s">
        <v>372</v>
      </c>
      <c r="C397" s="4">
        <v>2095.1999999999998</v>
      </c>
      <c r="D397" s="4">
        <v>1695.63</v>
      </c>
      <c r="E397" s="4">
        <v>399.57</v>
      </c>
      <c r="F397" s="3">
        <f>VLOOKUP(B397,'Profit &amp; Loss'!$B$3:$C$390,2,0)</f>
        <v>247.77</v>
      </c>
    </row>
    <row r="398" spans="1:6" x14ac:dyDescent="0.2">
      <c r="A398" s="3" t="s">
        <v>364</v>
      </c>
      <c r="B398" s="3" t="s">
        <v>572</v>
      </c>
      <c r="C398" s="4">
        <v>855.03</v>
      </c>
      <c r="D398" s="4">
        <v>800.14</v>
      </c>
      <c r="E398" s="4">
        <v>54.89</v>
      </c>
      <c r="F398" s="3">
        <f>VLOOKUP(B398,'Profit &amp; Loss'!$B$3:$C$390,2,0)</f>
        <v>0</v>
      </c>
    </row>
    <row r="399" spans="1:6" x14ac:dyDescent="0.2">
      <c r="A399" s="3" t="s">
        <v>364</v>
      </c>
      <c r="B399" s="3" t="s">
        <v>2</v>
      </c>
      <c r="C399" s="4">
        <v>18151.099999999999</v>
      </c>
      <c r="D399" s="4">
        <v>12295.34</v>
      </c>
      <c r="E399" s="4">
        <v>5855.76</v>
      </c>
      <c r="F399" s="3" t="e">
        <f>VLOOKUP(B399,'Profit &amp; Loss'!$B$3:$C$390,2,0)</f>
        <v>#N/A</v>
      </c>
    </row>
    <row r="400" spans="1:6" x14ac:dyDescent="0.2">
      <c r="A400" s="3" t="s">
        <v>373</v>
      </c>
      <c r="B400" s="3" t="s">
        <v>673</v>
      </c>
      <c r="C400" s="4">
        <v>5827.83</v>
      </c>
      <c r="D400" s="4">
        <v>3537.33</v>
      </c>
      <c r="E400" s="4">
        <v>2290.5</v>
      </c>
      <c r="F400" s="3">
        <f>VLOOKUP(B400,'Profit &amp; Loss'!$B$3:$C$390,2,0)</f>
        <v>0</v>
      </c>
    </row>
    <row r="401" spans="1:6" x14ac:dyDescent="0.2">
      <c r="A401" s="3" t="s">
        <v>373</v>
      </c>
      <c r="B401" s="3" t="s">
        <v>374</v>
      </c>
      <c r="C401" s="4">
        <v>1042.18</v>
      </c>
      <c r="D401" s="4">
        <v>434.46</v>
      </c>
      <c r="E401" s="4">
        <v>607.72</v>
      </c>
      <c r="F401" s="3">
        <f>VLOOKUP(B401,'Profit &amp; Loss'!$B$3:$C$390,2,0)</f>
        <v>2.44</v>
      </c>
    </row>
    <row r="402" spans="1:6" x14ac:dyDescent="0.2">
      <c r="A402" s="3" t="s">
        <v>373</v>
      </c>
      <c r="B402" s="3" t="s">
        <v>375</v>
      </c>
      <c r="C402" s="4">
        <v>6794.62</v>
      </c>
      <c r="D402" s="4">
        <v>5022.6499999999996</v>
      </c>
      <c r="E402" s="4">
        <v>1771.97</v>
      </c>
      <c r="F402" s="3">
        <f>VLOOKUP(B402,'Profit &amp; Loss'!$B$3:$C$390,2,0)</f>
        <v>-429.67</v>
      </c>
    </row>
    <row r="403" spans="1:6" x14ac:dyDescent="0.2">
      <c r="A403" s="3" t="s">
        <v>373</v>
      </c>
      <c r="B403" s="3" t="s">
        <v>573</v>
      </c>
      <c r="C403" s="4">
        <v>2026.53</v>
      </c>
      <c r="D403" s="4">
        <v>1208.25</v>
      </c>
      <c r="E403" s="4">
        <v>818.28</v>
      </c>
      <c r="F403" s="3">
        <f>VLOOKUP(B403,'Profit &amp; Loss'!$B$3:$C$390,2,0)</f>
        <v>939.64</v>
      </c>
    </row>
    <row r="404" spans="1:6" x14ac:dyDescent="0.2">
      <c r="A404" s="3" t="s">
        <v>373</v>
      </c>
      <c r="B404" s="3" t="s">
        <v>574</v>
      </c>
      <c r="C404" s="4">
        <v>540.29</v>
      </c>
      <c r="D404" s="4">
        <v>540.29</v>
      </c>
      <c r="E404" s="4">
        <v>0</v>
      </c>
      <c r="F404" s="3">
        <f>VLOOKUP(B404,'Profit &amp; Loss'!$B$3:$C$390,2,0)</f>
        <v>0</v>
      </c>
    </row>
    <row r="405" spans="1:6" x14ac:dyDescent="0.2">
      <c r="A405" s="3" t="s">
        <v>373</v>
      </c>
      <c r="B405" s="3" t="s">
        <v>376</v>
      </c>
      <c r="C405" s="4">
        <v>4002.53</v>
      </c>
      <c r="D405" s="4">
        <v>2117.64</v>
      </c>
      <c r="E405" s="4">
        <v>1884.89</v>
      </c>
      <c r="F405" s="3">
        <f>VLOOKUP(B405,'Profit &amp; Loss'!$B$3:$C$390,2,0)</f>
        <v>654.64</v>
      </c>
    </row>
    <row r="406" spans="1:6" x14ac:dyDescent="0.2">
      <c r="A406" s="3" t="s">
        <v>373</v>
      </c>
      <c r="B406" s="3" t="s">
        <v>377</v>
      </c>
      <c r="C406" s="4">
        <v>6190.63</v>
      </c>
      <c r="D406" s="4">
        <v>4974.74</v>
      </c>
      <c r="E406" s="4">
        <v>1215.8900000000001</v>
      </c>
      <c r="F406" s="3">
        <f>VLOOKUP(B406,'Profit &amp; Loss'!$B$3:$C$390,2,0)</f>
        <v>0</v>
      </c>
    </row>
    <row r="407" spans="1:6" x14ac:dyDescent="0.2">
      <c r="A407" s="3" t="s">
        <v>373</v>
      </c>
      <c r="B407" s="3" t="s">
        <v>857</v>
      </c>
      <c r="C407" s="4">
        <v>43246.76</v>
      </c>
      <c r="D407" s="4">
        <v>36586.15</v>
      </c>
      <c r="E407" s="4">
        <v>6660.61</v>
      </c>
      <c r="F407" s="3">
        <f>VLOOKUP(B407,'Profit &amp; Loss'!$B$3:$C$390,2,0)</f>
        <v>0</v>
      </c>
    </row>
    <row r="408" spans="1:6" x14ac:dyDescent="0.2">
      <c r="A408" s="3" t="s">
        <v>373</v>
      </c>
      <c r="B408" s="3" t="s">
        <v>378</v>
      </c>
      <c r="C408" s="4">
        <v>34831.22</v>
      </c>
      <c r="D408" s="4">
        <v>27795.79</v>
      </c>
      <c r="E408" s="4">
        <v>7035.43</v>
      </c>
      <c r="F408" s="3">
        <f>VLOOKUP(B408,'Profit &amp; Loss'!$B$3:$C$390,2,0)</f>
        <v>679.62</v>
      </c>
    </row>
    <row r="409" spans="1:6" x14ac:dyDescent="0.2">
      <c r="A409" s="3" t="s">
        <v>373</v>
      </c>
      <c r="B409" s="3" t="s">
        <v>2</v>
      </c>
      <c r="C409" s="4">
        <v>104502.59</v>
      </c>
      <c r="D409" s="4">
        <v>82217.3</v>
      </c>
      <c r="E409" s="4">
        <v>22285.29</v>
      </c>
      <c r="F409" s="3" t="e">
        <f>VLOOKUP(B409,'Profit &amp; Loss'!$B$3:$C$390,2,0)</f>
        <v>#N/A</v>
      </c>
    </row>
    <row r="410" spans="1:6" x14ac:dyDescent="0.2">
      <c r="A410" s="3" t="s">
        <v>379</v>
      </c>
      <c r="B410" s="3" t="s">
        <v>380</v>
      </c>
      <c r="C410" s="4">
        <v>1735.68</v>
      </c>
      <c r="D410" s="4">
        <v>953.57</v>
      </c>
      <c r="E410" s="4">
        <v>782.11</v>
      </c>
      <c r="F410" s="3">
        <f>VLOOKUP(B410,'Profit &amp; Loss'!$B$3:$C$390,2,0)</f>
        <v>94.24</v>
      </c>
    </row>
    <row r="411" spans="1:6" x14ac:dyDescent="0.2">
      <c r="A411" s="3" t="s">
        <v>379</v>
      </c>
      <c r="B411" s="3" t="s">
        <v>381</v>
      </c>
      <c r="C411" s="4">
        <v>14902.89</v>
      </c>
      <c r="D411" s="4">
        <v>9790.82</v>
      </c>
      <c r="E411" s="4">
        <v>5112.07</v>
      </c>
      <c r="F411" s="3">
        <f>VLOOKUP(B411,'Profit &amp; Loss'!$B$3:$C$390,2,0)</f>
        <v>-870.15</v>
      </c>
    </row>
    <row r="412" spans="1:6" x14ac:dyDescent="0.2">
      <c r="A412" s="3" t="s">
        <v>379</v>
      </c>
      <c r="B412" s="3" t="s">
        <v>382</v>
      </c>
      <c r="C412" s="4">
        <v>5203.01</v>
      </c>
      <c r="D412" s="4">
        <v>1720.86</v>
      </c>
      <c r="E412" s="4">
        <v>3482.15</v>
      </c>
      <c r="F412" s="3">
        <f>VLOOKUP(B412,'Profit &amp; Loss'!$B$3:$C$390,2,0)</f>
        <v>-237.73</v>
      </c>
    </row>
    <row r="413" spans="1:6" x14ac:dyDescent="0.2">
      <c r="A413" s="3" t="s">
        <v>379</v>
      </c>
      <c r="B413" s="3" t="s">
        <v>2</v>
      </c>
      <c r="C413" s="4">
        <v>21841.58</v>
      </c>
      <c r="D413" s="4">
        <v>12465.25</v>
      </c>
      <c r="E413" s="4">
        <v>9376.33</v>
      </c>
      <c r="F413" s="3" t="e">
        <f>VLOOKUP(B413,'Profit &amp; Loss'!$B$3:$C$390,2,0)</f>
        <v>#N/A</v>
      </c>
    </row>
    <row r="414" spans="1:6" x14ac:dyDescent="0.2">
      <c r="A414" s="3" t="s">
        <v>383</v>
      </c>
      <c r="B414" s="3" t="s">
        <v>384</v>
      </c>
      <c r="C414" s="4">
        <v>1105.8</v>
      </c>
      <c r="D414" s="4">
        <v>1099.83</v>
      </c>
      <c r="E414" s="4">
        <v>5.97</v>
      </c>
      <c r="F414" s="3">
        <f>VLOOKUP(B414,'Profit &amp; Loss'!$B$3:$C$390,2,0)</f>
        <v>152.97999999999999</v>
      </c>
    </row>
    <row r="415" spans="1:6" x14ac:dyDescent="0.2">
      <c r="A415" s="3" t="s">
        <v>383</v>
      </c>
      <c r="B415" s="3" t="s">
        <v>993</v>
      </c>
      <c r="C415" s="4">
        <v>-130594.91</v>
      </c>
      <c r="D415" s="4">
        <v>-130594.91</v>
      </c>
      <c r="E415" s="4">
        <v>0</v>
      </c>
      <c r="F415" s="3">
        <f>VLOOKUP(B415,'Profit &amp; Loss'!$B$3:$C$390,2,0)</f>
        <v>-130594.91</v>
      </c>
    </row>
    <row r="416" spans="1:6" x14ac:dyDescent="0.2">
      <c r="A416" s="3" t="s">
        <v>383</v>
      </c>
      <c r="B416" s="3" t="s">
        <v>385</v>
      </c>
      <c r="C416" s="4">
        <v>119953.62</v>
      </c>
      <c r="D416" s="4">
        <v>23032.42</v>
      </c>
      <c r="E416" s="4">
        <v>96921.2</v>
      </c>
      <c r="F416" s="3">
        <f>VLOOKUP(B416,'Profit &amp; Loss'!$B$3:$C$390,2,0)</f>
        <v>3245.65</v>
      </c>
    </row>
    <row r="417" spans="1:6" x14ac:dyDescent="0.2">
      <c r="A417" s="3" t="s">
        <v>383</v>
      </c>
      <c r="B417" s="3" t="s">
        <v>386</v>
      </c>
      <c r="C417" s="4">
        <v>28291.52</v>
      </c>
      <c r="D417" s="4">
        <v>23760.63</v>
      </c>
      <c r="E417" s="4">
        <v>4530.8900000000003</v>
      </c>
      <c r="F417" s="3">
        <f>VLOOKUP(B417,'Profit &amp; Loss'!$B$3:$C$390,2,0)</f>
        <v>4774.8</v>
      </c>
    </row>
    <row r="418" spans="1:6" x14ac:dyDescent="0.2">
      <c r="A418" s="3" t="s">
        <v>383</v>
      </c>
      <c r="B418" s="3" t="s">
        <v>387</v>
      </c>
      <c r="C418" s="4">
        <v>35159.730000000003</v>
      </c>
      <c r="D418" s="4">
        <v>29581.45</v>
      </c>
      <c r="E418" s="4">
        <v>5578.28</v>
      </c>
      <c r="F418" s="3">
        <f>VLOOKUP(B418,'Profit &amp; Loss'!$B$3:$C$390,2,0)</f>
        <v>5944.89</v>
      </c>
    </row>
    <row r="419" spans="1:6" x14ac:dyDescent="0.2">
      <c r="A419" s="3" t="s">
        <v>383</v>
      </c>
      <c r="B419" s="3" t="s">
        <v>2</v>
      </c>
      <c r="C419" s="4">
        <v>53915.76</v>
      </c>
      <c r="D419" s="4">
        <v>-53120.58</v>
      </c>
      <c r="E419" s="4">
        <v>107036.34</v>
      </c>
      <c r="F419" s="3" t="e">
        <f>VLOOKUP(B419,'Profit &amp; Loss'!$B$3:$C$390,2,0)</f>
        <v>#N/A</v>
      </c>
    </row>
    <row r="420" spans="1:6" x14ac:dyDescent="0.2">
      <c r="A420" s="3" t="s">
        <v>678</v>
      </c>
      <c r="B420" s="3" t="s">
        <v>994</v>
      </c>
      <c r="C420" s="4">
        <v>249.17</v>
      </c>
      <c r="D420" s="4">
        <v>249.17</v>
      </c>
      <c r="E420" s="4">
        <v>0</v>
      </c>
      <c r="F420" s="3">
        <f>VLOOKUP(B420,'Profit &amp; Loss'!$B$3:$C$390,2,0)</f>
        <v>1302.99</v>
      </c>
    </row>
    <row r="421" spans="1:6" x14ac:dyDescent="0.2">
      <c r="A421" s="3" t="s">
        <v>678</v>
      </c>
      <c r="B421" s="3" t="s">
        <v>679</v>
      </c>
      <c r="C421" s="4">
        <v>1741.22</v>
      </c>
      <c r="D421" s="4">
        <v>1741.22</v>
      </c>
      <c r="E421" s="4">
        <v>0</v>
      </c>
      <c r="F421" s="3" t="e">
        <f>VLOOKUP(B421,'Profit &amp; Loss'!$B$3:$C$390,2,0)</f>
        <v>#N/A</v>
      </c>
    </row>
    <row r="422" spans="1:6" x14ac:dyDescent="0.2">
      <c r="A422" s="3" t="s">
        <v>678</v>
      </c>
      <c r="B422" s="3" t="s">
        <v>2</v>
      </c>
      <c r="C422" s="4">
        <v>1990.39</v>
      </c>
      <c r="D422" s="4">
        <v>1990.39</v>
      </c>
      <c r="E422" s="4">
        <v>0</v>
      </c>
      <c r="F422" s="3" t="e">
        <f>VLOOKUP(B422,'Profit &amp; Loss'!$B$3:$C$390,2,0)</f>
        <v>#N/A</v>
      </c>
    </row>
    <row r="423" spans="1:6" x14ac:dyDescent="0.2">
      <c r="A423" s="3" t="s">
        <v>388</v>
      </c>
      <c r="B423" s="3" t="s">
        <v>390</v>
      </c>
      <c r="C423" s="4">
        <v>5124.95</v>
      </c>
      <c r="D423" s="4">
        <v>3535.66</v>
      </c>
      <c r="E423" s="4">
        <v>1589.29</v>
      </c>
      <c r="F423" s="3" t="e">
        <f>VLOOKUP(B423,'Profit &amp; Loss'!$B$3:$C$390,2,0)</f>
        <v>#N/A</v>
      </c>
    </row>
    <row r="424" spans="1:6" x14ac:dyDescent="0.2">
      <c r="A424" s="3" t="s">
        <v>388</v>
      </c>
      <c r="B424" s="3" t="s">
        <v>2</v>
      </c>
      <c r="C424" s="4">
        <v>5124.95</v>
      </c>
      <c r="D424" s="4">
        <v>3535.66</v>
      </c>
      <c r="E424" s="4">
        <v>1589.29</v>
      </c>
      <c r="F424" s="3" t="e">
        <f>VLOOKUP(B424,'Profit &amp; Loss'!$B$3:$C$390,2,0)</f>
        <v>#N/A</v>
      </c>
    </row>
    <row r="425" spans="1:6" x14ac:dyDescent="0.2">
      <c r="A425" s="3" t="s">
        <v>391</v>
      </c>
      <c r="B425" s="3" t="s">
        <v>579</v>
      </c>
      <c r="C425" s="4">
        <v>1036.8699999999999</v>
      </c>
      <c r="D425" s="4">
        <v>1001.07</v>
      </c>
      <c r="E425" s="4">
        <v>35.799999999999997</v>
      </c>
      <c r="F425" s="3">
        <f>VLOOKUP(B425,'Profit &amp; Loss'!$B$3:$C$390,2,0)</f>
        <v>2.69</v>
      </c>
    </row>
    <row r="426" spans="1:6" x14ac:dyDescent="0.2">
      <c r="A426" s="3" t="s">
        <v>391</v>
      </c>
      <c r="B426" s="3" t="s">
        <v>392</v>
      </c>
      <c r="C426" s="4">
        <v>16573.96</v>
      </c>
      <c r="D426" s="4">
        <v>11520.52</v>
      </c>
      <c r="E426" s="4">
        <v>5053.4399999999996</v>
      </c>
      <c r="F426" s="3">
        <f>VLOOKUP(B426,'Profit &amp; Loss'!$B$3:$C$390,2,0)</f>
        <v>904.52</v>
      </c>
    </row>
    <row r="427" spans="1:6" s="18" customFormat="1" x14ac:dyDescent="0.2">
      <c r="A427" s="18" t="s">
        <v>391</v>
      </c>
      <c r="B427" s="18" t="s">
        <v>967</v>
      </c>
      <c r="C427" s="19">
        <v>3778.68</v>
      </c>
      <c r="D427" s="19">
        <v>0</v>
      </c>
      <c r="E427" s="19">
        <v>3778.68</v>
      </c>
      <c r="F427" s="18">
        <f>VLOOKUP(B427,'Profit &amp; Loss'!$B$3:$C$390,2,0)</f>
        <v>0</v>
      </c>
    </row>
    <row r="428" spans="1:6" s="18" customFormat="1" x14ac:dyDescent="0.2">
      <c r="A428" s="18" t="s">
        <v>391</v>
      </c>
      <c r="B428" s="18" t="s">
        <v>1435</v>
      </c>
      <c r="C428" s="19">
        <v>6489</v>
      </c>
      <c r="D428" s="19">
        <v>0</v>
      </c>
      <c r="E428" s="19">
        <v>6489</v>
      </c>
      <c r="F428" s="18">
        <f>VLOOKUP(B428,'Profit &amp; Loss'!$B$3:$C$390,2,0)</f>
        <v>0</v>
      </c>
    </row>
    <row r="429" spans="1:6" x14ac:dyDescent="0.2">
      <c r="A429" s="3" t="s">
        <v>391</v>
      </c>
      <c r="B429" s="3" t="s">
        <v>2</v>
      </c>
      <c r="C429" s="4">
        <v>27878.51</v>
      </c>
      <c r="D429" s="4">
        <v>12521.59</v>
      </c>
      <c r="E429" s="4">
        <v>15356.92</v>
      </c>
      <c r="F429" s="3" t="e">
        <f>VLOOKUP(B429,'Profit &amp; Loss'!$B$3:$C$390,2,0)</f>
        <v>#N/A</v>
      </c>
    </row>
    <row r="430" spans="1:6" x14ac:dyDescent="0.2">
      <c r="A430" s="3" t="s">
        <v>393</v>
      </c>
      <c r="B430" s="3" t="s">
        <v>394</v>
      </c>
      <c r="C430" s="4">
        <v>12981.69</v>
      </c>
      <c r="D430" s="4">
        <v>8663.65</v>
      </c>
      <c r="E430" s="4">
        <v>4318.04</v>
      </c>
      <c r="F430" s="3">
        <f>VLOOKUP(B430,'Profit &amp; Loss'!$B$3:$C$390,2,0)</f>
        <v>1534.08</v>
      </c>
    </row>
    <row r="431" spans="1:6" x14ac:dyDescent="0.2">
      <c r="A431" s="3" t="s">
        <v>393</v>
      </c>
      <c r="B431" s="3" t="s">
        <v>395</v>
      </c>
      <c r="C431" s="4">
        <v>12060.65</v>
      </c>
      <c r="D431" s="4">
        <v>8629.58</v>
      </c>
      <c r="E431" s="4">
        <v>3431.07</v>
      </c>
      <c r="F431" s="3">
        <f>VLOOKUP(B431,'Profit &amp; Loss'!$B$3:$C$390,2,0)</f>
        <v>2034.12</v>
      </c>
    </row>
    <row r="432" spans="1:6" x14ac:dyDescent="0.2">
      <c r="A432" s="3" t="s">
        <v>393</v>
      </c>
      <c r="B432" s="3" t="s">
        <v>2</v>
      </c>
      <c r="C432" s="4">
        <v>25042.34</v>
      </c>
      <c r="D432" s="4">
        <v>17293.23</v>
      </c>
      <c r="E432" s="4">
        <v>7749.11</v>
      </c>
      <c r="F432" s="3" t="e">
        <f>VLOOKUP(B432,'Profit &amp; Loss'!$B$3:$C$390,2,0)</f>
        <v>#N/A</v>
      </c>
    </row>
    <row r="433" spans="1:6" x14ac:dyDescent="0.2">
      <c r="A433" s="3" t="s">
        <v>582</v>
      </c>
      <c r="B433" s="3" t="s">
        <v>583</v>
      </c>
      <c r="C433" s="4">
        <v>57627.63</v>
      </c>
      <c r="D433" s="4">
        <v>35659.21</v>
      </c>
      <c r="E433" s="4">
        <v>21968.42</v>
      </c>
      <c r="F433" s="3">
        <f>VLOOKUP(B433,'Profit &amp; Loss'!$B$3:$C$390,2,0)</f>
        <v>-54602.16</v>
      </c>
    </row>
    <row r="434" spans="1:6" x14ac:dyDescent="0.2">
      <c r="A434" s="3" t="s">
        <v>582</v>
      </c>
      <c r="B434" s="3" t="s">
        <v>584</v>
      </c>
      <c r="C434" s="4">
        <v>66449.710000000006</v>
      </c>
      <c r="D434" s="4">
        <v>57867.82</v>
      </c>
      <c r="E434" s="4">
        <v>8581.89</v>
      </c>
      <c r="F434" s="3">
        <f>VLOOKUP(B434,'Profit &amp; Loss'!$B$3:$C$390,2,0)</f>
        <v>-28044.34</v>
      </c>
    </row>
    <row r="435" spans="1:6" x14ac:dyDescent="0.2">
      <c r="A435" s="3" t="s">
        <v>582</v>
      </c>
      <c r="B435" s="3" t="s">
        <v>684</v>
      </c>
      <c r="C435" s="4">
        <v>54740.92</v>
      </c>
      <c r="D435" s="4">
        <v>43840.66</v>
      </c>
      <c r="E435" s="4">
        <v>10900.26</v>
      </c>
      <c r="F435" s="3">
        <f>VLOOKUP(B435,'Profit &amp; Loss'!$B$3:$C$390,2,0)</f>
        <v>-37.07</v>
      </c>
    </row>
    <row r="436" spans="1:6" x14ac:dyDescent="0.2">
      <c r="A436" s="3" t="s">
        <v>582</v>
      </c>
      <c r="B436" s="3" t="s">
        <v>2</v>
      </c>
      <c r="C436" s="4">
        <v>178818.26</v>
      </c>
      <c r="D436" s="4">
        <v>137367.69</v>
      </c>
      <c r="E436" s="4">
        <v>41450.57</v>
      </c>
      <c r="F436" s="3" t="e">
        <f>VLOOKUP(B436,'Profit &amp; Loss'!$B$3:$C$390,2,0)</f>
        <v>#N/A</v>
      </c>
    </row>
    <row r="437" spans="1:6" x14ac:dyDescent="0.2">
      <c r="A437" s="3" t="s">
        <v>396</v>
      </c>
      <c r="B437" s="3" t="s">
        <v>1403</v>
      </c>
      <c r="C437" s="4">
        <v>162.94</v>
      </c>
      <c r="D437" s="4">
        <v>162.94</v>
      </c>
      <c r="E437" s="4">
        <v>0</v>
      </c>
      <c r="F437" s="3">
        <f>VLOOKUP(B437,'Profit &amp; Loss'!$B$3:$C$390,2,0)</f>
        <v>0</v>
      </c>
    </row>
    <row r="438" spans="1:6" x14ac:dyDescent="0.2">
      <c r="A438" s="3" t="s">
        <v>396</v>
      </c>
      <c r="B438" s="3" t="s">
        <v>397</v>
      </c>
      <c r="C438" s="4">
        <v>12519.18</v>
      </c>
      <c r="D438" s="4">
        <v>9956.4599999999991</v>
      </c>
      <c r="E438" s="4">
        <v>2562.7199999999998</v>
      </c>
      <c r="F438" s="3">
        <f>VLOOKUP(B438,'Profit &amp; Loss'!$B$3:$C$390,2,0)</f>
        <v>4528.21</v>
      </c>
    </row>
    <row r="439" spans="1:6" x14ac:dyDescent="0.2">
      <c r="A439" s="3" t="s">
        <v>396</v>
      </c>
      <c r="B439" s="3" t="s">
        <v>2</v>
      </c>
      <c r="C439" s="4">
        <v>12682.12</v>
      </c>
      <c r="D439" s="4">
        <v>10119.4</v>
      </c>
      <c r="E439" s="4">
        <v>2562.7199999999998</v>
      </c>
      <c r="F439" s="3" t="e">
        <f>VLOOKUP(B439,'Profit &amp; Loss'!$B$3:$C$390,2,0)</f>
        <v>#N/A</v>
      </c>
    </row>
    <row r="440" spans="1:6" x14ac:dyDescent="0.2">
      <c r="A440" s="3" t="s">
        <v>398</v>
      </c>
      <c r="B440" s="3" t="s">
        <v>399</v>
      </c>
      <c r="C440" s="4">
        <v>16005.95</v>
      </c>
      <c r="D440" s="4">
        <v>13410.16</v>
      </c>
      <c r="E440" s="4">
        <v>2595.79</v>
      </c>
      <c r="F440" s="3">
        <f>VLOOKUP(B440,'Profit &amp; Loss'!$B$3:$C$390,2,0)</f>
        <v>6517.4</v>
      </c>
    </row>
    <row r="441" spans="1:6" x14ac:dyDescent="0.2">
      <c r="A441" s="3" t="s">
        <v>398</v>
      </c>
      <c r="B441" s="3" t="s">
        <v>400</v>
      </c>
      <c r="C441" s="4">
        <v>17547.2</v>
      </c>
      <c r="D441" s="4">
        <v>17547.2</v>
      </c>
      <c r="E441" s="4">
        <v>0</v>
      </c>
      <c r="F441" s="3">
        <f>VLOOKUP(B441,'Profit &amp; Loss'!$B$3:$C$390,2,0)</f>
        <v>0</v>
      </c>
    </row>
    <row r="442" spans="1:6" x14ac:dyDescent="0.2">
      <c r="A442" s="3" t="s">
        <v>398</v>
      </c>
      <c r="B442" s="3" t="s">
        <v>2</v>
      </c>
      <c r="C442" s="4">
        <v>33553.15</v>
      </c>
      <c r="D442" s="4">
        <v>30957.360000000001</v>
      </c>
      <c r="E442" s="4">
        <v>2595.79</v>
      </c>
      <c r="F442" s="3" t="e">
        <f>VLOOKUP(B442,'Profit &amp; Loss'!$B$3:$C$390,2,0)</f>
        <v>#N/A</v>
      </c>
    </row>
    <row r="443" spans="1:6" x14ac:dyDescent="0.2">
      <c r="A443" s="3" t="s">
        <v>401</v>
      </c>
      <c r="B443" s="3" t="s">
        <v>402</v>
      </c>
      <c r="C443" s="4">
        <v>379.99</v>
      </c>
      <c r="D443" s="4">
        <v>139.75</v>
      </c>
      <c r="E443" s="4">
        <v>240.24</v>
      </c>
      <c r="F443" s="3">
        <f>VLOOKUP(B443,'Profit &amp; Loss'!$B$3:$C$390,2,0)</f>
        <v>139.75</v>
      </c>
    </row>
    <row r="444" spans="1:6" x14ac:dyDescent="0.2">
      <c r="A444" s="3" t="s">
        <v>401</v>
      </c>
      <c r="B444" s="3" t="s">
        <v>2</v>
      </c>
      <c r="C444" s="4">
        <v>379.99</v>
      </c>
      <c r="D444" s="4">
        <v>139.75</v>
      </c>
      <c r="E444" s="4">
        <v>240.24</v>
      </c>
      <c r="F444" s="3" t="e">
        <f>VLOOKUP(B444,'Profit &amp; Loss'!$B$3:$C$390,2,0)</f>
        <v>#N/A</v>
      </c>
    </row>
    <row r="445" spans="1:6" x14ac:dyDescent="0.2">
      <c r="A445" s="3" t="s">
        <v>403</v>
      </c>
      <c r="B445" s="3" t="s">
        <v>404</v>
      </c>
      <c r="C445" s="4">
        <v>8766.2900000000009</v>
      </c>
      <c r="D445" s="4">
        <v>6693.66</v>
      </c>
      <c r="E445" s="4">
        <v>2072.63</v>
      </c>
      <c r="F445" s="3">
        <f>VLOOKUP(B445,'Profit &amp; Loss'!$B$3:$C$390,2,0)</f>
        <v>1539.76</v>
      </c>
    </row>
    <row r="446" spans="1:6" x14ac:dyDescent="0.2">
      <c r="A446" s="3" t="s">
        <v>403</v>
      </c>
      <c r="B446" s="3" t="s">
        <v>405</v>
      </c>
      <c r="C446" s="4">
        <v>109382.3</v>
      </c>
      <c r="D446" s="4">
        <v>75075.199999999997</v>
      </c>
      <c r="E446" s="4">
        <v>34307.1</v>
      </c>
      <c r="F446" s="3">
        <f>VLOOKUP(B446,'Profit &amp; Loss'!$B$3:$C$390,2,0)</f>
        <v>2743.74</v>
      </c>
    </row>
    <row r="447" spans="1:6" x14ac:dyDescent="0.2">
      <c r="A447" s="3" t="s">
        <v>403</v>
      </c>
      <c r="B447" s="3" t="s">
        <v>406</v>
      </c>
      <c r="C447" s="4">
        <v>72</v>
      </c>
      <c r="D447" s="4">
        <v>63.95</v>
      </c>
      <c r="E447" s="4">
        <v>8.0500000000000007</v>
      </c>
      <c r="F447" s="3">
        <f>VLOOKUP(B447,'Profit &amp; Loss'!$B$3:$C$390,2,0)</f>
        <v>28.84</v>
      </c>
    </row>
    <row r="448" spans="1:6" x14ac:dyDescent="0.2">
      <c r="A448" s="3" t="s">
        <v>403</v>
      </c>
      <c r="B448" s="3" t="s">
        <v>407</v>
      </c>
      <c r="C448" s="4">
        <v>174.21</v>
      </c>
      <c r="D448" s="4">
        <v>174.21</v>
      </c>
      <c r="E448" s="4">
        <v>0</v>
      </c>
      <c r="F448" s="3">
        <f>VLOOKUP(B448,'Profit &amp; Loss'!$B$3:$C$390,2,0)</f>
        <v>0</v>
      </c>
    </row>
    <row r="449" spans="1:6" x14ac:dyDescent="0.2">
      <c r="A449" s="3" t="s">
        <v>403</v>
      </c>
      <c r="B449" s="3" t="s">
        <v>686</v>
      </c>
      <c r="C449" s="4">
        <v>564.88</v>
      </c>
      <c r="D449" s="4">
        <v>564.88</v>
      </c>
      <c r="E449" s="4">
        <v>0</v>
      </c>
      <c r="F449" s="3">
        <f>VLOOKUP(B449,'Profit &amp; Loss'!$B$3:$C$390,2,0)</f>
        <v>494.67</v>
      </c>
    </row>
    <row r="450" spans="1:6" x14ac:dyDescent="0.2">
      <c r="A450" s="3" t="s">
        <v>403</v>
      </c>
      <c r="B450" s="3" t="s">
        <v>2</v>
      </c>
      <c r="C450" s="4">
        <v>118959.67999999999</v>
      </c>
      <c r="D450" s="4">
        <v>82571.899999999994</v>
      </c>
      <c r="E450" s="4">
        <v>36387.78</v>
      </c>
      <c r="F450" s="3" t="e">
        <f>VLOOKUP(B450,'Profit &amp; Loss'!$B$3:$C$390,2,0)</f>
        <v>#N/A</v>
      </c>
    </row>
    <row r="451" spans="1:6" x14ac:dyDescent="0.2">
      <c r="A451" s="3" t="s">
        <v>408</v>
      </c>
      <c r="B451" s="3" t="s">
        <v>409</v>
      </c>
      <c r="C451" s="4">
        <v>30278.35</v>
      </c>
      <c r="D451" s="4">
        <v>24466.799999999999</v>
      </c>
      <c r="E451" s="4">
        <v>5811.55</v>
      </c>
      <c r="F451" s="3">
        <f>VLOOKUP(B451,'Profit &amp; Loss'!$B$3:$C$390,2,0)</f>
        <v>3504.81</v>
      </c>
    </row>
    <row r="452" spans="1:6" x14ac:dyDescent="0.2">
      <c r="A452" s="3" t="s">
        <v>408</v>
      </c>
      <c r="B452" s="3" t="s">
        <v>995</v>
      </c>
      <c r="C452" s="4">
        <v>33.01</v>
      </c>
      <c r="D452" s="4">
        <v>33.01</v>
      </c>
      <c r="E452" s="4">
        <v>0</v>
      </c>
      <c r="F452" s="3">
        <f>VLOOKUP(B452,'Profit &amp; Loss'!$B$3:$C$390,2,0)</f>
        <v>8.25</v>
      </c>
    </row>
    <row r="453" spans="1:6" x14ac:dyDescent="0.2">
      <c r="A453" s="3" t="s">
        <v>408</v>
      </c>
      <c r="B453" s="3" t="s">
        <v>410</v>
      </c>
      <c r="C453" s="4">
        <v>395.78</v>
      </c>
      <c r="D453" s="4">
        <v>323.63</v>
      </c>
      <c r="E453" s="4">
        <v>72.150000000000006</v>
      </c>
      <c r="F453" s="3">
        <f>VLOOKUP(B453,'Profit &amp; Loss'!$B$3:$C$390,2,0)</f>
        <v>34.97</v>
      </c>
    </row>
    <row r="454" spans="1:6" x14ac:dyDescent="0.2">
      <c r="A454" s="3" t="s">
        <v>408</v>
      </c>
      <c r="B454" s="3" t="s">
        <v>411</v>
      </c>
      <c r="C454" s="4">
        <v>13258.51</v>
      </c>
      <c r="D454" s="4">
        <v>11006.45</v>
      </c>
      <c r="E454" s="4">
        <v>2252.06</v>
      </c>
      <c r="F454" s="3">
        <f>VLOOKUP(B454,'Profit &amp; Loss'!$B$3:$C$390,2,0)</f>
        <v>2065.9299999999998</v>
      </c>
    </row>
    <row r="455" spans="1:6" x14ac:dyDescent="0.2">
      <c r="A455" s="3" t="s">
        <v>408</v>
      </c>
      <c r="B455" s="3" t="s">
        <v>412</v>
      </c>
      <c r="C455" s="4">
        <v>1781.97</v>
      </c>
      <c r="D455" s="4">
        <v>1507.4</v>
      </c>
      <c r="E455" s="4">
        <v>274.57</v>
      </c>
      <c r="F455" s="3">
        <f>VLOOKUP(B455,'Profit &amp; Loss'!$B$3:$C$390,2,0)</f>
        <v>409.3</v>
      </c>
    </row>
    <row r="456" spans="1:6" x14ac:dyDescent="0.2">
      <c r="A456" s="3" t="s">
        <v>408</v>
      </c>
      <c r="B456" s="3" t="s">
        <v>413</v>
      </c>
      <c r="C456" s="4">
        <v>11230.09</v>
      </c>
      <c r="D456" s="4">
        <v>9042.93</v>
      </c>
      <c r="E456" s="4">
        <v>2187.16</v>
      </c>
      <c r="F456" s="3">
        <f>VLOOKUP(B456,'Profit &amp; Loss'!$B$3:$C$390,2,0)</f>
        <v>1687.53</v>
      </c>
    </row>
    <row r="457" spans="1:6" x14ac:dyDescent="0.2">
      <c r="A457" s="3" t="s">
        <v>408</v>
      </c>
      <c r="B457" s="3" t="s">
        <v>414</v>
      </c>
      <c r="C457" s="4">
        <v>6688.62</v>
      </c>
      <c r="D457" s="4">
        <v>5573.87</v>
      </c>
      <c r="E457" s="4">
        <v>1114.75</v>
      </c>
      <c r="F457" s="3">
        <f>VLOOKUP(B457,'Profit &amp; Loss'!$B$3:$C$390,2,0)</f>
        <v>1114.78</v>
      </c>
    </row>
    <row r="458" spans="1:6" x14ac:dyDescent="0.2">
      <c r="A458" s="3" t="s">
        <v>408</v>
      </c>
      <c r="B458" s="3" t="s">
        <v>415</v>
      </c>
      <c r="C458" s="4">
        <v>333.5</v>
      </c>
      <c r="D458" s="4">
        <v>277.92</v>
      </c>
      <c r="E458" s="4">
        <v>55.58</v>
      </c>
      <c r="F458" s="3">
        <f>VLOOKUP(B458,'Profit &amp; Loss'!$B$3:$C$390,2,0)</f>
        <v>55.58</v>
      </c>
    </row>
    <row r="459" spans="1:6" x14ac:dyDescent="0.2">
      <c r="A459" s="3" t="s">
        <v>408</v>
      </c>
      <c r="B459" s="3" t="s">
        <v>416</v>
      </c>
      <c r="C459" s="4">
        <v>14667.2</v>
      </c>
      <c r="D459" s="4">
        <v>12966.26</v>
      </c>
      <c r="E459" s="4">
        <v>1700.94</v>
      </c>
      <c r="F459" s="3">
        <f>VLOOKUP(B459,'Profit &amp; Loss'!$B$3:$C$390,2,0)</f>
        <v>5433.31</v>
      </c>
    </row>
    <row r="460" spans="1:6" x14ac:dyDescent="0.2">
      <c r="A460" s="3" t="s">
        <v>408</v>
      </c>
      <c r="B460" s="3" t="s">
        <v>417</v>
      </c>
      <c r="C460" s="4">
        <v>17017.919999999998</v>
      </c>
      <c r="D460" s="4">
        <v>14582.2</v>
      </c>
      <c r="E460" s="4">
        <v>2435.7199999999998</v>
      </c>
      <c r="F460" s="3">
        <f>VLOOKUP(B460,'Profit &amp; Loss'!$B$3:$C$390,2,0)</f>
        <v>2916.44</v>
      </c>
    </row>
    <row r="461" spans="1:6" x14ac:dyDescent="0.2">
      <c r="A461" s="3" t="s">
        <v>408</v>
      </c>
      <c r="B461" s="3" t="s">
        <v>689</v>
      </c>
      <c r="C461" s="4">
        <v>33811.69</v>
      </c>
      <c r="D461" s="4">
        <v>373898.41</v>
      </c>
      <c r="E461" s="4">
        <v>-340086.72</v>
      </c>
      <c r="F461" s="3">
        <f>VLOOKUP(B461,'Profit &amp; Loss'!$B$3:$C$390,2,0)</f>
        <v>60617.71</v>
      </c>
    </row>
    <row r="462" spans="1:6" x14ac:dyDescent="0.2">
      <c r="A462" s="3" t="s">
        <v>408</v>
      </c>
      <c r="B462" s="3" t="s">
        <v>418</v>
      </c>
      <c r="C462" s="4">
        <v>65115.519999999997</v>
      </c>
      <c r="D462" s="4">
        <v>54259.57</v>
      </c>
      <c r="E462" s="4">
        <v>10855.95</v>
      </c>
      <c r="F462" s="3">
        <f>VLOOKUP(B462,'Profit &amp; Loss'!$B$3:$C$390,2,0)</f>
        <v>10835.77</v>
      </c>
    </row>
    <row r="463" spans="1:6" x14ac:dyDescent="0.2">
      <c r="A463" s="3" t="s">
        <v>408</v>
      </c>
      <c r="B463" s="3" t="s">
        <v>419</v>
      </c>
      <c r="C463" s="4">
        <v>33294.89</v>
      </c>
      <c r="D463" s="4">
        <v>27471.25</v>
      </c>
      <c r="E463" s="4">
        <v>5823.64</v>
      </c>
      <c r="F463" s="3">
        <f>VLOOKUP(B463,'Profit &amp; Loss'!$B$3:$C$390,2,0)</f>
        <v>5356.49</v>
      </c>
    </row>
    <row r="464" spans="1:6" x14ac:dyDescent="0.2">
      <c r="A464" s="3" t="s">
        <v>408</v>
      </c>
      <c r="B464" s="3" t="s">
        <v>2</v>
      </c>
      <c r="C464" s="4">
        <v>227907.05</v>
      </c>
      <c r="D464" s="4">
        <v>535409.69999999995</v>
      </c>
      <c r="E464" s="4">
        <v>-307502.65000000002</v>
      </c>
      <c r="F464" s="3" t="e">
        <f>VLOOKUP(B464,'Profit &amp; Loss'!$B$3:$C$390,2,0)</f>
        <v>#N/A</v>
      </c>
    </row>
    <row r="465" spans="1:6" x14ac:dyDescent="0.2">
      <c r="A465" s="3" t="s">
        <v>420</v>
      </c>
      <c r="B465" s="3" t="s">
        <v>421</v>
      </c>
      <c r="C465" s="4">
        <v>48673.35</v>
      </c>
      <c r="D465" s="4">
        <v>56416.37</v>
      </c>
      <c r="E465" s="4">
        <v>-7743.02</v>
      </c>
      <c r="F465" s="3">
        <f>VLOOKUP(B465,'Profit &amp; Loss'!$B$3:$C$390,2,0)</f>
        <v>9127.73</v>
      </c>
    </row>
    <row r="466" spans="1:6" x14ac:dyDescent="0.2">
      <c r="A466" s="3" t="s">
        <v>420</v>
      </c>
      <c r="B466" s="3" t="s">
        <v>422</v>
      </c>
      <c r="C466" s="4">
        <v>25752.67</v>
      </c>
      <c r="D466" s="4">
        <v>15536.52</v>
      </c>
      <c r="E466" s="4">
        <v>10216.15</v>
      </c>
      <c r="F466" s="3">
        <f>VLOOKUP(B466,'Profit &amp; Loss'!$B$3:$C$390,2,0)</f>
        <v>4172.96</v>
      </c>
    </row>
    <row r="467" spans="1:6" x14ac:dyDescent="0.2">
      <c r="A467" s="3" t="s">
        <v>420</v>
      </c>
      <c r="B467" s="3" t="s">
        <v>423</v>
      </c>
      <c r="C467" s="4">
        <v>21529.75</v>
      </c>
      <c r="D467" s="4">
        <v>18505.46</v>
      </c>
      <c r="E467" s="4">
        <v>3024.29</v>
      </c>
      <c r="F467" s="3">
        <f>VLOOKUP(B467,'Profit &amp; Loss'!$B$3:$C$390,2,0)</f>
        <v>6431.37</v>
      </c>
    </row>
    <row r="468" spans="1:6" x14ac:dyDescent="0.2">
      <c r="A468" s="3" t="s">
        <v>420</v>
      </c>
      <c r="B468" s="3" t="s">
        <v>424</v>
      </c>
      <c r="C468" s="4">
        <v>16688.28</v>
      </c>
      <c r="D468" s="4">
        <v>13795.2</v>
      </c>
      <c r="E468" s="4">
        <v>2893.08</v>
      </c>
      <c r="F468" s="3">
        <f>VLOOKUP(B468,'Profit &amp; Loss'!$B$3:$C$390,2,0)</f>
        <v>2832.61</v>
      </c>
    </row>
    <row r="469" spans="1:6" s="18" customFormat="1" x14ac:dyDescent="0.2">
      <c r="A469" s="18" t="s">
        <v>420</v>
      </c>
      <c r="B469" s="18" t="s">
        <v>1437</v>
      </c>
      <c r="C469" s="19">
        <v>27.4</v>
      </c>
      <c r="D469" s="19">
        <v>0</v>
      </c>
      <c r="E469" s="19">
        <v>27.4</v>
      </c>
      <c r="F469" s="18">
        <f>VLOOKUP(B469,'Profit &amp; Loss'!$B$3:$C$390,2,0)</f>
        <v>0</v>
      </c>
    </row>
    <row r="470" spans="1:6" x14ac:dyDescent="0.2">
      <c r="A470" s="3" t="s">
        <v>420</v>
      </c>
      <c r="B470" s="3" t="s">
        <v>588</v>
      </c>
      <c r="C470" s="4">
        <v>318.81</v>
      </c>
      <c r="D470" s="4">
        <v>149.44999999999999</v>
      </c>
      <c r="E470" s="4">
        <v>169.36</v>
      </c>
      <c r="F470" s="3">
        <f>VLOOKUP(B470,'Profit &amp; Loss'!$B$3:$C$390,2,0)</f>
        <v>104.5</v>
      </c>
    </row>
    <row r="471" spans="1:6" x14ac:dyDescent="0.2">
      <c r="A471" s="3" t="s">
        <v>420</v>
      </c>
      <c r="B471" s="3" t="s">
        <v>425</v>
      </c>
      <c r="C471" s="4">
        <v>3198.43</v>
      </c>
      <c r="D471" s="4">
        <v>3198.43</v>
      </c>
      <c r="E471" s="4">
        <v>0</v>
      </c>
      <c r="F471" s="3">
        <f>VLOOKUP(B471,'Profit &amp; Loss'!$B$3:$C$390,2,0)</f>
        <v>330.94</v>
      </c>
    </row>
    <row r="472" spans="1:6" x14ac:dyDescent="0.2">
      <c r="A472" s="3" t="s">
        <v>420</v>
      </c>
      <c r="B472" s="3" t="s">
        <v>795</v>
      </c>
      <c r="C472" s="4">
        <v>37086.629999999997</v>
      </c>
      <c r="D472" s="4">
        <v>42007.83</v>
      </c>
      <c r="E472" s="4">
        <v>-4921.2</v>
      </c>
      <c r="F472" s="3">
        <f>VLOOKUP(B472,'Profit &amp; Loss'!$B$3:$C$390,2,0)</f>
        <v>-7152.42</v>
      </c>
    </row>
    <row r="473" spans="1:6" x14ac:dyDescent="0.2">
      <c r="A473" s="3" t="s">
        <v>420</v>
      </c>
      <c r="B473" s="3" t="s">
        <v>2</v>
      </c>
      <c r="C473" s="4">
        <v>153275.32</v>
      </c>
      <c r="D473" s="4">
        <v>149609.26</v>
      </c>
      <c r="E473" s="4">
        <v>3666.06</v>
      </c>
      <c r="F473" s="3" t="e">
        <f>VLOOKUP(B473,'Profit &amp; Loss'!$B$3:$C$390,2,0)</f>
        <v>#N/A</v>
      </c>
    </row>
    <row r="474" spans="1:6" x14ac:dyDescent="0.2">
      <c r="A474" s="3" t="s">
        <v>426</v>
      </c>
      <c r="B474" s="3" t="s">
        <v>427</v>
      </c>
      <c r="C474" s="4">
        <v>190.9</v>
      </c>
      <c r="D474" s="4">
        <v>190.9</v>
      </c>
      <c r="E474" s="4">
        <v>0</v>
      </c>
      <c r="F474" s="3">
        <f>VLOOKUP(B474,'Profit &amp; Loss'!$B$3:$C$390,2,0)</f>
        <v>0</v>
      </c>
    </row>
    <row r="475" spans="1:6" x14ac:dyDescent="0.2">
      <c r="A475" s="3" t="s">
        <v>426</v>
      </c>
      <c r="B475" s="3" t="s">
        <v>428</v>
      </c>
      <c r="C475" s="4">
        <v>2638.72</v>
      </c>
      <c r="D475" s="4">
        <v>2638.72</v>
      </c>
      <c r="E475" s="4">
        <v>0</v>
      </c>
      <c r="F475" s="3">
        <f>VLOOKUP(B475,'Profit &amp; Loss'!$B$3:$C$390,2,0)</f>
        <v>-347.23</v>
      </c>
    </row>
    <row r="476" spans="1:6" x14ac:dyDescent="0.2">
      <c r="A476" s="3" t="s">
        <v>426</v>
      </c>
      <c r="B476" s="3" t="s">
        <v>429</v>
      </c>
      <c r="C476" s="4">
        <v>44027.35</v>
      </c>
      <c r="D476" s="4">
        <v>32470.080000000002</v>
      </c>
      <c r="E476" s="4">
        <v>11557.27</v>
      </c>
      <c r="F476" s="3">
        <f>VLOOKUP(B476,'Profit &amp; Loss'!$B$3:$C$390,2,0)</f>
        <v>7237.53</v>
      </c>
    </row>
    <row r="477" spans="1:6" x14ac:dyDescent="0.2">
      <c r="A477" s="3" t="s">
        <v>426</v>
      </c>
      <c r="B477" s="3" t="s">
        <v>430</v>
      </c>
      <c r="C477" s="4">
        <v>7425.76</v>
      </c>
      <c r="D477" s="4">
        <v>7051.5</v>
      </c>
      <c r="E477" s="4">
        <v>374.26</v>
      </c>
      <c r="F477" s="3">
        <f>VLOOKUP(B477,'Profit &amp; Loss'!$B$3:$C$390,2,0)</f>
        <v>378.03</v>
      </c>
    </row>
    <row r="478" spans="1:6" x14ac:dyDescent="0.2">
      <c r="A478" s="3" t="s">
        <v>426</v>
      </c>
      <c r="B478" s="3" t="s">
        <v>2</v>
      </c>
      <c r="C478" s="4">
        <v>54282.73</v>
      </c>
      <c r="D478" s="4">
        <v>42351.199999999997</v>
      </c>
      <c r="E478" s="4">
        <v>11931.53</v>
      </c>
      <c r="F478" s="3" t="e">
        <f>VLOOKUP(B478,'Profit &amp; Loss'!$B$3:$C$390,2,0)</f>
        <v>#N/A</v>
      </c>
    </row>
    <row r="479" spans="1:6" x14ac:dyDescent="0.2">
      <c r="A479" s="3" t="s">
        <v>431</v>
      </c>
      <c r="B479" s="3" t="s">
        <v>432</v>
      </c>
      <c r="C479" s="4">
        <v>-627387.46</v>
      </c>
      <c r="D479" s="4">
        <v>-540686.43000000005</v>
      </c>
      <c r="E479" s="4">
        <v>-86701.03</v>
      </c>
      <c r="F479" s="3">
        <f>VLOOKUP(B479,'Profit &amp; Loss'!$B$3:$C$390,2,0)</f>
        <v>-104275.76</v>
      </c>
    </row>
    <row r="480" spans="1:6" x14ac:dyDescent="0.2">
      <c r="A480" s="3" t="s">
        <v>431</v>
      </c>
      <c r="B480" s="3" t="s">
        <v>2</v>
      </c>
      <c r="C480" s="4">
        <v>-627387.46</v>
      </c>
      <c r="D480" s="4">
        <v>-540686.43000000005</v>
      </c>
      <c r="E480" s="4">
        <v>-86701.03</v>
      </c>
      <c r="F480" s="3" t="e">
        <f>VLOOKUP(B480,'Profit &amp; Loss'!$B$3:$C$390,2,0)</f>
        <v>#N/A</v>
      </c>
    </row>
    <row r="481" spans="1:6" x14ac:dyDescent="0.2">
      <c r="A481" s="3" t="s">
        <v>433</v>
      </c>
      <c r="B481" s="3" t="s">
        <v>2</v>
      </c>
      <c r="C481" s="4">
        <v>1759234.98</v>
      </c>
      <c r="D481" s="4">
        <v>1617792.19</v>
      </c>
      <c r="E481" s="4">
        <v>141442.79</v>
      </c>
      <c r="F481" s="3" t="e">
        <f>VLOOKUP(B481,'Profit &amp; Loss'!$B$3:$C$390,2,0)</f>
        <v>#N/A</v>
      </c>
    </row>
    <row r="482" spans="1:6" x14ac:dyDescent="0.2">
      <c r="A482" s="3" t="s">
        <v>434</v>
      </c>
      <c r="B482" s="3" t="s">
        <v>796</v>
      </c>
      <c r="C482" s="4">
        <v>-39432.78</v>
      </c>
      <c r="D482" s="4">
        <v>-33834.46</v>
      </c>
      <c r="E482" s="4">
        <v>-5598.32</v>
      </c>
      <c r="F482" s="3">
        <f>VLOOKUP(B482,'Profit &amp; Loss'!$B$3:$C$390,2,0)</f>
        <v>0</v>
      </c>
    </row>
    <row r="483" spans="1:6" x14ac:dyDescent="0.2">
      <c r="A483" s="3" t="s">
        <v>434</v>
      </c>
      <c r="B483" s="3" t="s">
        <v>870</v>
      </c>
      <c r="C483" s="4">
        <v>13140.94</v>
      </c>
      <c r="D483" s="4">
        <v>13131.86</v>
      </c>
      <c r="E483" s="4">
        <v>9.08</v>
      </c>
      <c r="F483" s="3">
        <f>VLOOKUP(B483,'Profit &amp; Loss'!$B$3:$C$390,2,0)</f>
        <v>0</v>
      </c>
    </row>
    <row r="484" spans="1:6" x14ac:dyDescent="0.2">
      <c r="A484" s="3" t="s">
        <v>434</v>
      </c>
      <c r="B484" s="3" t="s">
        <v>590</v>
      </c>
      <c r="C484" s="4">
        <v>-4920.34</v>
      </c>
      <c r="D484" s="4">
        <v>-4920.34</v>
      </c>
      <c r="E484" s="4">
        <v>0</v>
      </c>
      <c r="F484" s="3">
        <f>VLOOKUP(B484,'Profit &amp; Loss'!$B$3:$C$390,2,0)</f>
        <v>-98.26</v>
      </c>
    </row>
    <row r="485" spans="1:6" x14ac:dyDescent="0.2">
      <c r="A485" s="3" t="s">
        <v>434</v>
      </c>
      <c r="B485" s="3" t="s">
        <v>1310</v>
      </c>
      <c r="C485" s="4">
        <v>5598.32</v>
      </c>
      <c r="D485" s="4">
        <v>0</v>
      </c>
      <c r="E485" s="4">
        <v>5598.32</v>
      </c>
      <c r="F485" s="3">
        <f>VLOOKUP(B485,'Profit &amp; Loss'!$B$3:$C$390,2,0)</f>
        <v>0</v>
      </c>
    </row>
    <row r="486" spans="1:6" x14ac:dyDescent="0.2">
      <c r="A486" s="3" t="s">
        <v>434</v>
      </c>
      <c r="B486" s="3" t="s">
        <v>436</v>
      </c>
      <c r="C486" s="4">
        <v>238901.05</v>
      </c>
      <c r="D486" s="4">
        <v>216577.59</v>
      </c>
      <c r="E486" s="4">
        <v>22323.46</v>
      </c>
      <c r="F486" s="3">
        <f>VLOOKUP(B486,'Profit &amp; Loss'!$B$3:$C$390,2,0)</f>
        <v>26750</v>
      </c>
    </row>
    <row r="487" spans="1:6" x14ac:dyDescent="0.2">
      <c r="A487" s="3" t="s">
        <v>434</v>
      </c>
      <c r="B487" s="3" t="s">
        <v>2</v>
      </c>
      <c r="C487" s="4">
        <v>213287.19</v>
      </c>
      <c r="D487" s="4">
        <v>190954.65</v>
      </c>
      <c r="E487" s="4">
        <v>22332.54</v>
      </c>
      <c r="F487" s="3" t="e">
        <f>VLOOKUP(B487,'Profit &amp; Loss'!$B$3:$C$390,2,0)</f>
        <v>#N/A</v>
      </c>
    </row>
    <row r="488" spans="1:6" x14ac:dyDescent="0.2">
      <c r="A488" s="3" t="s">
        <v>437</v>
      </c>
      <c r="B488" s="3" t="s">
        <v>592</v>
      </c>
      <c r="C488" s="4">
        <v>2977.82</v>
      </c>
      <c r="D488" s="4">
        <v>2294.09</v>
      </c>
      <c r="E488" s="4">
        <v>683.73</v>
      </c>
      <c r="F488" s="3">
        <f>VLOOKUP(B488,'Profit &amp; Loss'!$B$3:$C$390,2,0)</f>
        <v>0</v>
      </c>
    </row>
    <row r="489" spans="1:6" s="18" customFormat="1" x14ac:dyDescent="0.2">
      <c r="A489" s="18" t="s">
        <v>437</v>
      </c>
      <c r="B489" s="18" t="s">
        <v>1438</v>
      </c>
      <c r="C489" s="19">
        <v>8.1</v>
      </c>
      <c r="D489" s="19">
        <v>0</v>
      </c>
      <c r="E489" s="19">
        <v>8.1</v>
      </c>
      <c r="F489" s="18">
        <f>VLOOKUP(B489,'Profit &amp; Loss'!$B$3:$C$390,2,0)</f>
        <v>0</v>
      </c>
    </row>
    <row r="490" spans="1:6" x14ac:dyDescent="0.2">
      <c r="A490" s="3" t="s">
        <v>437</v>
      </c>
      <c r="B490" s="3" t="s">
        <v>1311</v>
      </c>
      <c r="C490" s="4">
        <v>1673.69</v>
      </c>
      <c r="D490" s="4">
        <v>1673.69</v>
      </c>
      <c r="E490" s="4">
        <v>0</v>
      </c>
      <c r="F490" s="3">
        <f>VLOOKUP(B490,'Profit &amp; Loss'!$B$3:$C$390,2,0)</f>
        <v>0</v>
      </c>
    </row>
    <row r="491" spans="1:6" x14ac:dyDescent="0.2">
      <c r="A491" s="3" t="s">
        <v>437</v>
      </c>
      <c r="B491" s="3" t="s">
        <v>438</v>
      </c>
      <c r="C491" s="4">
        <v>148301.99</v>
      </c>
      <c r="D491" s="4">
        <v>131956.78</v>
      </c>
      <c r="E491" s="4">
        <v>16345.21</v>
      </c>
      <c r="F491" s="3">
        <f>VLOOKUP(B491,'Profit &amp; Loss'!$B$3:$C$390,2,0)</f>
        <v>9806.14</v>
      </c>
    </row>
    <row r="492" spans="1:6" x14ac:dyDescent="0.2">
      <c r="A492" s="3" t="s">
        <v>437</v>
      </c>
      <c r="B492" s="3" t="s">
        <v>439</v>
      </c>
      <c r="C492" s="4">
        <v>9644.34</v>
      </c>
      <c r="D492" s="4">
        <v>7431.39</v>
      </c>
      <c r="E492" s="4">
        <v>2212.9499999999998</v>
      </c>
      <c r="F492" s="3">
        <f>VLOOKUP(B492,'Profit &amp; Loss'!$B$3:$C$390,2,0)</f>
        <v>1430.38</v>
      </c>
    </row>
    <row r="493" spans="1:6" x14ac:dyDescent="0.2">
      <c r="A493" s="3" t="s">
        <v>437</v>
      </c>
      <c r="B493" s="3" t="s">
        <v>440</v>
      </c>
      <c r="C493" s="4">
        <v>46349.02</v>
      </c>
      <c r="D493" s="4">
        <v>48997.99</v>
      </c>
      <c r="E493" s="4">
        <v>-2648.97</v>
      </c>
      <c r="F493" s="3">
        <f>VLOOKUP(B493,'Profit &amp; Loss'!$B$3:$C$390,2,0)</f>
        <v>7785.86</v>
      </c>
    </row>
    <row r="494" spans="1:6" x14ac:dyDescent="0.2">
      <c r="A494" s="3" t="s">
        <v>437</v>
      </c>
      <c r="B494" s="3" t="s">
        <v>2</v>
      </c>
      <c r="C494" s="4">
        <v>208954.96</v>
      </c>
      <c r="D494" s="4">
        <v>192353.94</v>
      </c>
      <c r="E494" s="4">
        <v>16601.02</v>
      </c>
      <c r="F494" s="3" t="e">
        <f>VLOOKUP(B494,'Profit &amp; Loss'!$B$3:$C$390,2,0)</f>
        <v>#N/A</v>
      </c>
    </row>
    <row r="495" spans="1:6" x14ac:dyDescent="0.2">
      <c r="A495" s="3" t="s">
        <v>441</v>
      </c>
      <c r="B495" s="3" t="s">
        <v>2</v>
      </c>
      <c r="C495" s="4">
        <v>422242.15</v>
      </c>
      <c r="D495" s="4">
        <v>383308.59</v>
      </c>
      <c r="E495" s="4">
        <v>38933.56</v>
      </c>
      <c r="F495" s="3" t="e">
        <f>VLOOKUP(B495,'Profit &amp; Loss'!$B$3:$C$390,2,0)</f>
        <v>#N/A</v>
      </c>
    </row>
    <row r="496" spans="1:6" x14ac:dyDescent="0.2">
      <c r="A496" s="3" t="s">
        <v>442</v>
      </c>
      <c r="B496" s="3" t="s">
        <v>443</v>
      </c>
      <c r="C496" s="4">
        <v>-8.5</v>
      </c>
      <c r="D496" s="4">
        <v>-8.2200000000000006</v>
      </c>
      <c r="E496" s="4">
        <v>-0.28000000000000003</v>
      </c>
      <c r="F496" s="3">
        <f>VLOOKUP(B496,'Profit &amp; Loss'!$B$3:$C$390,2,0)</f>
        <v>-0.33</v>
      </c>
    </row>
    <row r="497" spans="1:6" x14ac:dyDescent="0.2">
      <c r="A497" s="3" t="s">
        <v>442</v>
      </c>
      <c r="B497" s="3" t="s">
        <v>2</v>
      </c>
      <c r="C497" s="4">
        <v>-8.5</v>
      </c>
      <c r="D497" s="4">
        <v>-8.2200000000000006</v>
      </c>
      <c r="E497" s="4">
        <v>-0.28000000000000003</v>
      </c>
      <c r="F497" s="3" t="e">
        <f>VLOOKUP(B497,'Profit &amp; Loss'!$B$3:$C$390,2,0)</f>
        <v>#N/A</v>
      </c>
    </row>
    <row r="498" spans="1:6" x14ac:dyDescent="0.2">
      <c r="A498" s="3" t="s">
        <v>444</v>
      </c>
      <c r="B498" s="3" t="s">
        <v>2</v>
      </c>
      <c r="C498" s="4">
        <v>-8.5</v>
      </c>
      <c r="D498" s="4">
        <v>-8.2200000000000006</v>
      </c>
      <c r="E498" s="4">
        <v>-0.28000000000000003</v>
      </c>
      <c r="F498" s="3" t="e">
        <f>VLOOKUP(B498,'Profit &amp; Loss'!$B$3:$C$390,2,0)</f>
        <v>#N/A</v>
      </c>
    </row>
    <row r="499" spans="1:6" x14ac:dyDescent="0.2">
      <c r="A499" s="3" t="s">
        <v>445</v>
      </c>
      <c r="B499" s="3" t="s">
        <v>692</v>
      </c>
      <c r="C499" s="4">
        <v>223.16</v>
      </c>
      <c r="D499" s="4">
        <v>223.16</v>
      </c>
      <c r="E499" s="4">
        <v>0</v>
      </c>
      <c r="F499" s="3">
        <f>VLOOKUP(B499,'Profit &amp; Loss'!$B$3:$C$390,2,0)</f>
        <v>69.52</v>
      </c>
    </row>
    <row r="500" spans="1:6" x14ac:dyDescent="0.2">
      <c r="A500" s="3" t="s">
        <v>445</v>
      </c>
      <c r="B500" s="3" t="s">
        <v>1161</v>
      </c>
      <c r="C500" s="4">
        <v>3.48</v>
      </c>
      <c r="D500" s="4">
        <v>3.48</v>
      </c>
      <c r="E500" s="4">
        <v>0</v>
      </c>
      <c r="F500" s="3">
        <f>VLOOKUP(B500,'Profit &amp; Loss'!$B$3:$C$390,2,0)</f>
        <v>0</v>
      </c>
    </row>
    <row r="501" spans="1:6" x14ac:dyDescent="0.2">
      <c r="A501" s="3" t="s">
        <v>445</v>
      </c>
      <c r="B501" s="3" t="s">
        <v>446</v>
      </c>
      <c r="C501" s="4">
        <v>43481.15</v>
      </c>
      <c r="D501" s="4">
        <v>40672</v>
      </c>
      <c r="E501" s="4">
        <v>2809.15</v>
      </c>
      <c r="F501" s="3">
        <f>VLOOKUP(B501,'Profit &amp; Loss'!$B$3:$C$390,2,0)</f>
        <v>2583.69</v>
      </c>
    </row>
    <row r="502" spans="1:6" x14ac:dyDescent="0.2">
      <c r="A502" s="3" t="s">
        <v>445</v>
      </c>
      <c r="B502" s="3" t="s">
        <v>996</v>
      </c>
      <c r="C502" s="4">
        <v>-4183</v>
      </c>
      <c r="D502" s="4">
        <v>-4183</v>
      </c>
      <c r="E502" s="4">
        <v>0</v>
      </c>
      <c r="F502" s="3">
        <f>VLOOKUP(B502,'Profit &amp; Loss'!$B$3:$C$390,2,0)</f>
        <v>-2863.58</v>
      </c>
    </row>
    <row r="503" spans="1:6" x14ac:dyDescent="0.2">
      <c r="A503" s="3" t="s">
        <v>445</v>
      </c>
      <c r="B503" s="3" t="s">
        <v>2</v>
      </c>
      <c r="C503" s="4">
        <v>39524.79</v>
      </c>
      <c r="D503" s="4">
        <v>36715.64</v>
      </c>
      <c r="E503" s="4">
        <v>2809.15</v>
      </c>
      <c r="F503" s="3" t="e">
        <f>VLOOKUP(B503,'Profit &amp; Loss'!$B$3:$C$390,2,0)</f>
        <v>#N/A</v>
      </c>
    </row>
    <row r="504" spans="1:6" x14ac:dyDescent="0.2">
      <c r="A504" s="3" t="s">
        <v>447</v>
      </c>
      <c r="B504" s="3" t="s">
        <v>2</v>
      </c>
      <c r="C504" s="4">
        <v>39524.79</v>
      </c>
      <c r="D504" s="4">
        <v>36715.64</v>
      </c>
      <c r="E504" s="4">
        <v>2809.15</v>
      </c>
      <c r="F504" s="3" t="e">
        <f>VLOOKUP(B504,'Profit &amp; Loss'!$B$3:$C$390,2,0)</f>
        <v>#N/A</v>
      </c>
    </row>
    <row r="505" spans="1:6" x14ac:dyDescent="0.2">
      <c r="A505" s="3" t="s">
        <v>237</v>
      </c>
      <c r="B505" s="3" t="s">
        <v>448</v>
      </c>
      <c r="C505" s="4">
        <v>-11048469.84</v>
      </c>
      <c r="D505" s="4">
        <v>-8207959.0300000003</v>
      </c>
      <c r="E505" s="4">
        <v>-2840510.81</v>
      </c>
      <c r="F505" s="3">
        <f>VLOOKUP(B505,'Profit &amp; Loss'!$B$3:$C$390,2,0)</f>
        <v>-2188985.1399999992</v>
      </c>
    </row>
    <row r="506" spans="1:6" x14ac:dyDescent="0.2">
      <c r="A506" s="3" t="s">
        <v>237</v>
      </c>
      <c r="B506" s="5" t="s">
        <v>449</v>
      </c>
      <c r="C506" s="4">
        <v>0</v>
      </c>
      <c r="D506" s="4">
        <v>0</v>
      </c>
      <c r="E506" s="4">
        <v>0</v>
      </c>
      <c r="F506" s="3" t="e">
        <f>VLOOKUP(B506,'Profit &amp; Loss'!$B$3:$C$390,2,0)</f>
        <v>#N/A</v>
      </c>
    </row>
    <row r="507" spans="1:6" x14ac:dyDescent="0.2">
      <c r="A507" s="3" t="s">
        <v>450</v>
      </c>
      <c r="B507" s="3" t="s">
        <v>451</v>
      </c>
      <c r="C507" s="4">
        <v>0</v>
      </c>
      <c r="D507" s="4">
        <v>0</v>
      </c>
      <c r="E507" s="4">
        <v>0</v>
      </c>
      <c r="F507" s="3" t="e">
        <f>VLOOKUP(B507,'Profit &amp; Loss'!$B$3:$C$390,2,0)</f>
        <v>#N/A</v>
      </c>
    </row>
    <row r="508" spans="1:6" x14ac:dyDescent="0.2">
      <c r="A508" s="3" t="s">
        <v>450</v>
      </c>
      <c r="B508" s="5" t="s">
        <v>234</v>
      </c>
      <c r="C508" s="4">
        <v>0</v>
      </c>
      <c r="D508" s="4">
        <v>0</v>
      </c>
      <c r="E508" s="4">
        <v>0</v>
      </c>
      <c r="F508" s="3" t="e">
        <f>VLOOKUP(B508,'Profit &amp; Loss'!$B$3:$C$390,2,0)</f>
        <v>#N/A</v>
      </c>
    </row>
    <row r="509" spans="1:6" x14ac:dyDescent="0.2">
      <c r="A509" s="3" t="s">
        <v>452</v>
      </c>
      <c r="B509" s="3" t="s">
        <v>453</v>
      </c>
      <c r="C509" s="4">
        <v>0</v>
      </c>
      <c r="D509" s="4">
        <v>0</v>
      </c>
      <c r="E509" s="4">
        <v>0</v>
      </c>
      <c r="F509" s="3" t="e">
        <f>VLOOKUP(B509,'Profit &amp; Loss'!$B$3:$C$390,2,0)</f>
        <v>#N/A</v>
      </c>
    </row>
    <row r="510" spans="1:6" x14ac:dyDescent="0.2">
      <c r="A510" s="3" t="s">
        <v>452</v>
      </c>
      <c r="B510" s="3" t="s">
        <v>2</v>
      </c>
      <c r="C510" s="4">
        <v>11048469.84</v>
      </c>
      <c r="D510" s="4">
        <v>8207959.0300000003</v>
      </c>
      <c r="E510" s="4">
        <v>2840510.81</v>
      </c>
      <c r="F510" s="3" t="e">
        <f>VLOOKUP(B510,'Profit &amp; Loss'!$B$3:$C$390,2,0)</f>
        <v>#N/A</v>
      </c>
    </row>
    <row r="511" spans="1:6" x14ac:dyDescent="0.2">
      <c r="A511" s="3" t="s">
        <v>450</v>
      </c>
      <c r="B511" s="3" t="s">
        <v>2</v>
      </c>
      <c r="C511" s="4">
        <v>11048469.84</v>
      </c>
      <c r="D511" s="4">
        <v>8207959.0300000003</v>
      </c>
      <c r="E511" s="4">
        <v>2840510.81</v>
      </c>
      <c r="F511" s="3" t="e">
        <f>VLOOKUP(B511,'Profit &amp; Loss'!$B$3:$C$390,2,0)</f>
        <v>#N/A</v>
      </c>
    </row>
    <row r="512" spans="1:6" x14ac:dyDescent="0.2">
      <c r="A512" s="3" t="s">
        <v>454</v>
      </c>
      <c r="B512" s="3" t="s">
        <v>455</v>
      </c>
      <c r="C512" s="4">
        <v>0</v>
      </c>
      <c r="D512" s="4">
        <v>0</v>
      </c>
      <c r="E512" s="4">
        <v>0</v>
      </c>
      <c r="F512" s="3" t="e">
        <f>VLOOKUP(B512,'Profit &amp; Loss'!$B$3:$C$390,2,0)</f>
        <v>#N/A</v>
      </c>
    </row>
    <row r="513" spans="1:6" x14ac:dyDescent="0.2">
      <c r="A513" s="3" t="s">
        <v>454</v>
      </c>
      <c r="B513" s="5" t="s">
        <v>456</v>
      </c>
      <c r="C513" s="4">
        <v>0</v>
      </c>
      <c r="D513" s="4">
        <v>0</v>
      </c>
      <c r="E513" s="4">
        <v>0</v>
      </c>
      <c r="F513" s="3" t="e">
        <f>VLOOKUP(B513,'Profit &amp; Loss'!$B$3:$C$390,2,0)</f>
        <v>#N/A</v>
      </c>
    </row>
    <row r="514" spans="1:6" x14ac:dyDescent="0.2">
      <c r="A514" s="3" t="s">
        <v>454</v>
      </c>
      <c r="B514" s="3" t="s">
        <v>457</v>
      </c>
      <c r="C514" s="4">
        <v>-60707.35</v>
      </c>
      <c r="D514" s="4">
        <v>-67161.06</v>
      </c>
      <c r="E514" s="4">
        <v>6453.71</v>
      </c>
      <c r="F514" s="3" t="e">
        <f>VLOOKUP(B514,'Profit &amp; Loss'!$B$3:$C$390,2,0)</f>
        <v>#N/A</v>
      </c>
    </row>
    <row r="515" spans="1:6" x14ac:dyDescent="0.2">
      <c r="A515" s="3" t="s">
        <v>454</v>
      </c>
      <c r="B515" s="3" t="s">
        <v>458</v>
      </c>
      <c r="C515" s="4">
        <v>-44210.73</v>
      </c>
      <c r="D515" s="4">
        <v>-388359.78</v>
      </c>
      <c r="E515" s="4">
        <v>344149.05</v>
      </c>
      <c r="F515" s="3" t="e">
        <f>VLOOKUP(B515,'Profit &amp; Loss'!$B$3:$C$390,2,0)</f>
        <v>#N/A</v>
      </c>
    </row>
    <row r="516" spans="1:6" x14ac:dyDescent="0.2">
      <c r="A516" s="3" t="s">
        <v>454</v>
      </c>
      <c r="B516" s="3" t="s">
        <v>694</v>
      </c>
      <c r="C516" s="4">
        <v>-198.55</v>
      </c>
      <c r="D516" s="4">
        <v>-1755.71</v>
      </c>
      <c r="E516" s="4">
        <v>1557.16</v>
      </c>
      <c r="F516" s="3" t="e">
        <f>VLOOKUP(B516,'Profit &amp; Loss'!$B$3:$C$390,2,0)</f>
        <v>#N/A</v>
      </c>
    </row>
    <row r="517" spans="1:6" x14ac:dyDescent="0.2">
      <c r="A517" s="3" t="s">
        <v>454</v>
      </c>
      <c r="B517" s="3" t="s">
        <v>459</v>
      </c>
      <c r="C517" s="4">
        <v>27063.56</v>
      </c>
      <c r="D517" s="4">
        <v>29717.3</v>
      </c>
      <c r="E517" s="4">
        <v>-2653.74</v>
      </c>
      <c r="F517" s="3" t="e">
        <f>VLOOKUP(B517,'Profit &amp; Loss'!$B$3:$C$390,2,0)</f>
        <v>#N/A</v>
      </c>
    </row>
    <row r="518" spans="1:6" x14ac:dyDescent="0.2">
      <c r="A518" s="3" t="s">
        <v>454</v>
      </c>
      <c r="B518" s="3" t="s">
        <v>460</v>
      </c>
      <c r="C518" s="4">
        <v>-40507.79</v>
      </c>
      <c r="D518" s="4">
        <v>-40507.79</v>
      </c>
      <c r="E518" s="4">
        <v>0</v>
      </c>
      <c r="F518" s="3" t="e">
        <f>VLOOKUP(B518,'Profit &amp; Loss'!$B$3:$C$390,2,0)</f>
        <v>#N/A</v>
      </c>
    </row>
    <row r="519" spans="1:6" x14ac:dyDescent="0.2">
      <c r="A519" s="3" t="s">
        <v>454</v>
      </c>
      <c r="B519" s="3" t="s">
        <v>1439</v>
      </c>
      <c r="C519" s="4">
        <v>4899.8100000000004</v>
      </c>
      <c r="D519" s="4">
        <v>0</v>
      </c>
      <c r="E519" s="4">
        <v>4899.8100000000004</v>
      </c>
      <c r="F519" s="3">
        <f>VLOOKUP(B519,'Profit &amp; Loss'!$B$3:$C$390,2,0)</f>
        <v>0</v>
      </c>
    </row>
    <row r="520" spans="1:6" x14ac:dyDescent="0.2">
      <c r="A520" s="3" t="s">
        <v>454</v>
      </c>
      <c r="B520" s="3" t="s">
        <v>874</v>
      </c>
      <c r="C520" s="4">
        <v>104671.08</v>
      </c>
      <c r="D520" s="4">
        <v>22669.18</v>
      </c>
      <c r="E520" s="4">
        <v>82001.899999999994</v>
      </c>
      <c r="F520" s="3">
        <f>VLOOKUP(B520,'Profit &amp; Loss'!$B$3:$C$390,2,0)</f>
        <v>0</v>
      </c>
    </row>
    <row r="521" spans="1:6" x14ac:dyDescent="0.2">
      <c r="A521" s="3" t="s">
        <v>454</v>
      </c>
      <c r="B521" s="3" t="s">
        <v>461</v>
      </c>
      <c r="C521" s="4">
        <v>-8989.9699999999993</v>
      </c>
      <c r="D521" s="4">
        <v>-445397.86</v>
      </c>
      <c r="E521" s="4">
        <v>436407.89</v>
      </c>
      <c r="F521" s="3" t="e">
        <f>VLOOKUP(B521,'Profit &amp; Loss'!$B$3:$C$390,2,0)</f>
        <v>#N/A</v>
      </c>
    </row>
    <row r="522" spans="1:6" x14ac:dyDescent="0.2">
      <c r="A522" s="3" t="s">
        <v>454</v>
      </c>
      <c r="B522" s="5" t="s">
        <v>462</v>
      </c>
      <c r="C522" s="4">
        <v>0</v>
      </c>
      <c r="D522" s="4">
        <v>0</v>
      </c>
      <c r="E522" s="4">
        <v>0</v>
      </c>
      <c r="F522" s="3" t="e">
        <f>VLOOKUP(B522,'Profit &amp; Loss'!$B$3:$C$390,2,0)</f>
        <v>#N/A</v>
      </c>
    </row>
  </sheetData>
  <autoFilter ref="A1:F522" xr:uid="{5697BCA9-432B-4530-9D81-8002FA37817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EDFF-EFF5-4E64-AE6E-C27A5B0B8DC3}">
  <dimension ref="A1:F528"/>
  <sheetViews>
    <sheetView topLeftCell="A478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VLOOKUP(B2,'Profit &amp; Loss'!$B$3:$C$390,2,0)</f>
        <v>#N/A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VLOOKUP(B3,'Profit &amp; Loss'!$B$3:$C$390,2,0)</f>
        <v>#N/A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VLOOKUP(B4,'Profit &amp; Loss'!$B$3:$C$390,2,0)</f>
        <v>#N/A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VLOOKUP(B5,'Profit &amp; Loss'!$B$3:$C$390,2,0)</f>
        <v>#N/A</v>
      </c>
    </row>
    <row r="6" spans="1:6" x14ac:dyDescent="0.2">
      <c r="A6" s="3" t="s">
        <v>4</v>
      </c>
      <c r="B6" s="3" t="s">
        <v>8</v>
      </c>
      <c r="C6" s="4">
        <v>23570.12</v>
      </c>
      <c r="D6" s="4">
        <v>27333.65</v>
      </c>
      <c r="E6" s="4">
        <v>-3763.53</v>
      </c>
      <c r="F6" s="3" t="e">
        <f>VLOOKUP(B6,'Profit &amp; Loss'!$B$3:$C$390,2,0)</f>
        <v>#N/A</v>
      </c>
    </row>
    <row r="7" spans="1:6" x14ac:dyDescent="0.2">
      <c r="A7" s="3" t="s">
        <v>4</v>
      </c>
      <c r="B7" s="3" t="s">
        <v>9</v>
      </c>
      <c r="C7" s="4">
        <v>-23497.99</v>
      </c>
      <c r="D7" s="4">
        <v>-23475.58</v>
      </c>
      <c r="E7" s="4">
        <v>-22.41</v>
      </c>
      <c r="F7" s="3" t="e">
        <f>VLOOKUP(B7,'Profit &amp; Loss'!$B$3:$C$390,2,0)</f>
        <v>#N/A</v>
      </c>
    </row>
    <row r="8" spans="1:6" x14ac:dyDescent="0.2">
      <c r="A8" s="3" t="s">
        <v>4</v>
      </c>
      <c r="B8" s="3" t="s">
        <v>10</v>
      </c>
      <c r="C8" s="4">
        <v>68.67</v>
      </c>
      <c r="D8" s="4">
        <v>68.650000000000006</v>
      </c>
      <c r="E8" s="4">
        <v>0.02</v>
      </c>
      <c r="F8" s="3" t="e">
        <f>VLOOKUP(B8,'Profit &amp; Loss'!$B$3:$C$390,2,0)</f>
        <v>#N/A</v>
      </c>
    </row>
    <row r="9" spans="1:6" x14ac:dyDescent="0.2">
      <c r="A9" s="3" t="s">
        <v>4</v>
      </c>
      <c r="B9" s="3" t="s">
        <v>11</v>
      </c>
      <c r="C9" s="4">
        <v>-0.15</v>
      </c>
      <c r="D9" s="4">
        <v>0.38</v>
      </c>
      <c r="E9" s="4">
        <v>-0.53</v>
      </c>
      <c r="F9" s="3" t="e">
        <f>VLOOKUP(B9,'Profit &amp; Loss'!$B$3:$C$390,2,0)</f>
        <v>#N/A</v>
      </c>
    </row>
    <row r="10" spans="1:6" x14ac:dyDescent="0.2">
      <c r="A10" s="3" t="s">
        <v>4</v>
      </c>
      <c r="B10" s="3" t="s">
        <v>2</v>
      </c>
      <c r="C10" s="4">
        <v>1080.17</v>
      </c>
      <c r="D10" s="4">
        <v>4866.62</v>
      </c>
      <c r="E10" s="4">
        <v>-3786.45</v>
      </c>
      <c r="F10" s="3" t="e">
        <f>VLOOKUP(B10,'Profit &amp; Loss'!$B$3:$C$390,2,0)</f>
        <v>#N/A</v>
      </c>
    </row>
    <row r="11" spans="1:6" x14ac:dyDescent="0.2">
      <c r="A11" s="3" t="s">
        <v>12</v>
      </c>
      <c r="B11" s="3" t="s">
        <v>2</v>
      </c>
      <c r="C11" s="4">
        <v>1080.17</v>
      </c>
      <c r="D11" s="4">
        <v>4866.62</v>
      </c>
      <c r="E11" s="4">
        <v>-3786.45</v>
      </c>
      <c r="F11" s="3" t="e">
        <f>VLOOKUP(B11,'Profit &amp; Loss'!$B$3:$C$390,2,0)</f>
        <v>#N/A</v>
      </c>
    </row>
    <row r="12" spans="1:6" x14ac:dyDescent="0.2">
      <c r="A12" s="3" t="s">
        <v>13</v>
      </c>
      <c r="B12" s="3" t="s">
        <v>14</v>
      </c>
      <c r="C12" s="4">
        <v>17667531.219999999</v>
      </c>
      <c r="D12" s="4">
        <v>17993761.309999999</v>
      </c>
      <c r="E12" s="4">
        <v>-326230.09000000003</v>
      </c>
      <c r="F12" s="3" t="e">
        <f>VLOOKUP(B12,'Profit &amp; Loss'!$B$3:$C$390,2,0)</f>
        <v>#N/A</v>
      </c>
    </row>
    <row r="13" spans="1:6" x14ac:dyDescent="0.2">
      <c r="A13" s="3" t="s">
        <v>13</v>
      </c>
      <c r="B13" s="3" t="s">
        <v>15</v>
      </c>
      <c r="C13" s="4">
        <v>-132641.85</v>
      </c>
      <c r="D13" s="4">
        <v>-210470.35</v>
      </c>
      <c r="E13" s="4">
        <v>77828.5</v>
      </c>
      <c r="F13" s="3" t="e">
        <f>VLOOKUP(B13,'Profit &amp; Loss'!$B$3:$C$390,2,0)</f>
        <v>#N/A</v>
      </c>
    </row>
    <row r="14" spans="1:6" x14ac:dyDescent="0.2">
      <c r="A14" s="3" t="s">
        <v>13</v>
      </c>
      <c r="B14" s="3" t="s">
        <v>16</v>
      </c>
      <c r="C14" s="4">
        <v>1601815.61</v>
      </c>
      <c r="D14" s="4">
        <v>1601815.61</v>
      </c>
      <c r="E14" s="4">
        <v>0</v>
      </c>
      <c r="F14" s="3" t="e">
        <f>VLOOKUP(B14,'Profit &amp; Loss'!$B$3:$C$390,2,0)</f>
        <v>#N/A</v>
      </c>
    </row>
    <row r="15" spans="1:6" x14ac:dyDescent="0.2">
      <c r="A15" s="3" t="s">
        <v>13</v>
      </c>
      <c r="B15" s="3" t="s">
        <v>17</v>
      </c>
      <c r="C15" s="4">
        <v>-158658.29</v>
      </c>
      <c r="D15" s="4">
        <v>-147864.41</v>
      </c>
      <c r="E15" s="4">
        <v>-10793.88</v>
      </c>
      <c r="F15" s="3" t="e">
        <f>VLOOKUP(B15,'Profit &amp; Loss'!$B$3:$C$390,2,0)</f>
        <v>#N/A</v>
      </c>
    </row>
    <row r="16" spans="1:6" x14ac:dyDescent="0.2">
      <c r="A16" s="3" t="s">
        <v>13</v>
      </c>
      <c r="B16" s="3" t="s">
        <v>2</v>
      </c>
      <c r="C16" s="4">
        <v>18978046.690000001</v>
      </c>
      <c r="D16" s="4">
        <v>19237242.16</v>
      </c>
      <c r="E16" s="4">
        <v>-259195.47</v>
      </c>
      <c r="F16" s="3" t="e">
        <f>VLOOKUP(B16,'Profit &amp; Loss'!$B$3:$C$390,2,0)</f>
        <v>#N/A</v>
      </c>
    </row>
    <row r="17" spans="1:6" x14ac:dyDescent="0.2">
      <c r="A17" s="3" t="s">
        <v>18</v>
      </c>
      <c r="B17" s="3" t="s">
        <v>19</v>
      </c>
      <c r="C17" s="4">
        <v>-45397.71</v>
      </c>
      <c r="D17" s="4">
        <v>-46603.57</v>
      </c>
      <c r="E17" s="4">
        <v>1205.8599999999999</v>
      </c>
      <c r="F17" s="3" t="e">
        <f>VLOOKUP(B17,'Profit &amp; Loss'!$B$3:$C$390,2,0)</f>
        <v>#N/A</v>
      </c>
    </row>
    <row r="18" spans="1:6" x14ac:dyDescent="0.2">
      <c r="A18" s="3" t="s">
        <v>18</v>
      </c>
      <c r="B18" s="3" t="s">
        <v>2</v>
      </c>
      <c r="C18" s="4">
        <v>-45397.71</v>
      </c>
      <c r="D18" s="4">
        <v>-46603.57</v>
      </c>
      <c r="E18" s="4">
        <v>1205.8599999999999</v>
      </c>
      <c r="F18" s="3" t="e">
        <f>VLOOKUP(B18,'Profit &amp; Loss'!$B$3:$C$390,2,0)</f>
        <v>#N/A</v>
      </c>
    </row>
    <row r="19" spans="1:6" x14ac:dyDescent="0.2">
      <c r="A19" s="3" t="s">
        <v>20</v>
      </c>
      <c r="B19" s="3" t="s">
        <v>2</v>
      </c>
      <c r="C19" s="4">
        <v>18932648.98</v>
      </c>
      <c r="D19" s="4">
        <v>19190638.59</v>
      </c>
      <c r="E19" s="4">
        <v>-257989.61</v>
      </c>
      <c r="F19" s="3" t="e">
        <f>VLOOKUP(B19,'Profit &amp; Loss'!$B$3:$C$390,2,0)</f>
        <v>#N/A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VLOOKUP(B20,'Profit &amp; Loss'!$B$3:$C$390,2,0)</f>
        <v>#N/A</v>
      </c>
    </row>
    <row r="21" spans="1:6" x14ac:dyDescent="0.2">
      <c r="A21" s="3" t="s">
        <v>21</v>
      </c>
      <c r="B21" s="3" t="s">
        <v>23</v>
      </c>
      <c r="C21" s="4">
        <v>4240.6899999999996</v>
      </c>
      <c r="D21" s="4">
        <v>4240.6899999999996</v>
      </c>
      <c r="E21" s="4">
        <v>0</v>
      </c>
      <c r="F21" s="3" t="e">
        <f>VLOOKUP(B21,'Profit &amp; Loss'!$B$3:$C$390,2,0)</f>
        <v>#N/A</v>
      </c>
    </row>
    <row r="22" spans="1:6" x14ac:dyDescent="0.2">
      <c r="A22" s="3" t="s">
        <v>21</v>
      </c>
      <c r="B22" s="3" t="s">
        <v>25</v>
      </c>
      <c r="C22" s="4">
        <v>65165.56</v>
      </c>
      <c r="D22" s="4">
        <v>64966.35</v>
      </c>
      <c r="E22" s="4">
        <v>199.21</v>
      </c>
      <c r="F22" s="3" t="e">
        <f>VLOOKUP(B22,'Profit &amp; Loss'!$B$3:$C$390,2,0)</f>
        <v>#N/A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VLOOKUP(B23,'Profit &amp; Loss'!$B$3:$C$390,2,0)</f>
        <v>#N/A</v>
      </c>
    </row>
    <row r="24" spans="1:6" x14ac:dyDescent="0.2">
      <c r="A24" s="3" t="s">
        <v>21</v>
      </c>
      <c r="B24" s="3" t="s">
        <v>27</v>
      </c>
      <c r="C24" s="4">
        <v>78877.119999999995</v>
      </c>
      <c r="D24" s="4">
        <v>28368.560000000001</v>
      </c>
      <c r="E24" s="4">
        <v>50508.56</v>
      </c>
      <c r="F24" s="3" t="e">
        <f>VLOOKUP(B24,'Profit &amp; Loss'!$B$3:$C$390,2,0)</f>
        <v>#N/A</v>
      </c>
    </row>
    <row r="25" spans="1:6" x14ac:dyDescent="0.2">
      <c r="A25" s="3" t="s">
        <v>21</v>
      </c>
      <c r="B25" s="3" t="s">
        <v>28</v>
      </c>
      <c r="C25" s="4">
        <v>12137.87</v>
      </c>
      <c r="D25" s="4">
        <v>57645.23</v>
      </c>
      <c r="E25" s="4">
        <v>-45507.360000000001</v>
      </c>
      <c r="F25" s="3" t="e">
        <f>VLOOKUP(B25,'Profit &amp; Loss'!$B$3:$C$390,2,0)</f>
        <v>#N/A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VLOOKUP(B26,'Profit &amp; Loss'!$B$3:$C$390,2,0)</f>
        <v>#N/A</v>
      </c>
    </row>
    <row r="27" spans="1:6" x14ac:dyDescent="0.2">
      <c r="A27" s="3" t="s">
        <v>21</v>
      </c>
      <c r="B27" s="3" t="s">
        <v>2</v>
      </c>
      <c r="C27" s="4">
        <v>160440.60999999999</v>
      </c>
      <c r="D27" s="4">
        <v>155240.20000000001</v>
      </c>
      <c r="E27" s="4">
        <v>5200.41</v>
      </c>
      <c r="F27" s="3" t="e">
        <f>VLOOKUP(B27,'Profit &amp; Loss'!$B$3:$C$390,2,0)</f>
        <v>#N/A</v>
      </c>
    </row>
    <row r="28" spans="1:6" x14ac:dyDescent="0.2">
      <c r="A28" s="3" t="s">
        <v>30</v>
      </c>
      <c r="B28" s="3" t="s">
        <v>31</v>
      </c>
      <c r="C28" s="4">
        <v>119174.5</v>
      </c>
      <c r="D28" s="4">
        <v>130819.01</v>
      </c>
      <c r="E28" s="4">
        <v>-11644.51</v>
      </c>
      <c r="F28" s="3" t="e">
        <f>VLOOKUP(B28,'Profit &amp; Loss'!$B$3:$C$390,2,0)</f>
        <v>#N/A</v>
      </c>
    </row>
    <row r="29" spans="1:6" x14ac:dyDescent="0.2">
      <c r="A29" s="3" t="s">
        <v>30</v>
      </c>
      <c r="B29" s="3" t="s">
        <v>2</v>
      </c>
      <c r="C29" s="4">
        <v>119174.5</v>
      </c>
      <c r="D29" s="4">
        <v>130819.01</v>
      </c>
      <c r="E29" s="4">
        <v>-11644.51</v>
      </c>
      <c r="F29" s="3" t="e">
        <f>VLOOKUP(B29,'Profit &amp; Loss'!$B$3:$C$390,2,0)</f>
        <v>#N/A</v>
      </c>
    </row>
    <row r="30" spans="1:6" x14ac:dyDescent="0.2">
      <c r="A30" s="3" t="s">
        <v>32</v>
      </c>
      <c r="B30" s="3" t="s">
        <v>33</v>
      </c>
      <c r="C30" s="4">
        <v>60688.53</v>
      </c>
      <c r="D30" s="4">
        <v>56103.77</v>
      </c>
      <c r="E30" s="4">
        <v>4584.76</v>
      </c>
      <c r="F30" s="3" t="e">
        <f>VLOOKUP(B30,'Profit &amp; Loss'!$B$3:$C$390,2,0)</f>
        <v>#N/A</v>
      </c>
    </row>
    <row r="31" spans="1:6" x14ac:dyDescent="0.2">
      <c r="A31" s="3" t="s">
        <v>32</v>
      </c>
      <c r="B31" s="3" t="s">
        <v>34</v>
      </c>
      <c r="C31" s="4">
        <v>-181.72</v>
      </c>
      <c r="D31" s="4">
        <v>-647.28</v>
      </c>
      <c r="E31" s="4">
        <v>465.56</v>
      </c>
      <c r="F31" s="3" t="e">
        <f>VLOOKUP(B31,'Profit &amp; Loss'!$B$3:$C$390,2,0)</f>
        <v>#N/A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VLOOKUP(B32,'Profit &amp; Loss'!$B$3:$C$390,2,0)</f>
        <v>#N/A</v>
      </c>
    </row>
    <row r="33" spans="1:6" x14ac:dyDescent="0.2">
      <c r="A33" s="3" t="s">
        <v>32</v>
      </c>
      <c r="B33" s="3" t="s">
        <v>477</v>
      </c>
      <c r="C33" s="4">
        <v>0</v>
      </c>
      <c r="D33" s="4">
        <v>5352.52</v>
      </c>
      <c r="E33" s="4">
        <v>-5352.52</v>
      </c>
      <c r="F33" s="3" t="e">
        <f>VLOOKUP(B33,'Profit &amp; Loss'!$B$3:$C$390,2,0)</f>
        <v>#N/A</v>
      </c>
    </row>
    <row r="34" spans="1:6" x14ac:dyDescent="0.2">
      <c r="A34" s="3" t="s">
        <v>32</v>
      </c>
      <c r="B34" s="3" t="s">
        <v>478</v>
      </c>
      <c r="C34" s="4">
        <v>0</v>
      </c>
      <c r="D34" s="4">
        <v>-157.12</v>
      </c>
      <c r="E34" s="4">
        <v>157.12</v>
      </c>
      <c r="F34" s="3" t="e">
        <f>VLOOKUP(B34,'Profit &amp; Loss'!$B$3:$C$390,2,0)</f>
        <v>#N/A</v>
      </c>
    </row>
    <row r="35" spans="1:6" x14ac:dyDescent="0.2">
      <c r="A35" s="3" t="s">
        <v>32</v>
      </c>
      <c r="B35" s="3" t="s">
        <v>36</v>
      </c>
      <c r="C35" s="4">
        <v>851.34</v>
      </c>
      <c r="D35" s="4">
        <v>64.12</v>
      </c>
      <c r="E35" s="4">
        <v>787.22</v>
      </c>
      <c r="F35" s="3" t="e">
        <f>VLOOKUP(B35,'Profit &amp; Loss'!$B$3:$C$390,2,0)</f>
        <v>#N/A</v>
      </c>
    </row>
    <row r="36" spans="1:6" x14ac:dyDescent="0.2">
      <c r="A36" s="3" t="s">
        <v>32</v>
      </c>
      <c r="B36" s="3" t="s">
        <v>39</v>
      </c>
      <c r="C36" s="4">
        <v>18.22</v>
      </c>
      <c r="D36" s="4">
        <v>3056.82</v>
      </c>
      <c r="E36" s="4">
        <v>-3038.6</v>
      </c>
      <c r="F36" s="3" t="e">
        <f>VLOOKUP(B36,'Profit &amp; Loss'!$B$3:$C$390,2,0)</f>
        <v>#N/A</v>
      </c>
    </row>
    <row r="37" spans="1:6" x14ac:dyDescent="0.2">
      <c r="A37" s="3" t="s">
        <v>32</v>
      </c>
      <c r="B37" s="3" t="s">
        <v>42</v>
      </c>
      <c r="C37" s="4">
        <v>49.13</v>
      </c>
      <c r="D37" s="4">
        <v>47.5</v>
      </c>
      <c r="E37" s="4">
        <v>1.63</v>
      </c>
      <c r="F37" s="3" t="e">
        <f>VLOOKUP(B37,'Profit &amp; Loss'!$B$3:$C$390,2,0)</f>
        <v>#N/A</v>
      </c>
    </row>
    <row r="38" spans="1:6" x14ac:dyDescent="0.2">
      <c r="A38" s="3" t="s">
        <v>32</v>
      </c>
      <c r="B38" s="3" t="s">
        <v>2</v>
      </c>
      <c r="C38" s="4">
        <v>64023.02</v>
      </c>
      <c r="D38" s="4">
        <v>66417.850000000006</v>
      </c>
      <c r="E38" s="4">
        <v>-2394.83</v>
      </c>
      <c r="F38" s="3" t="e">
        <f>VLOOKUP(B38,'Profit &amp; Loss'!$B$3:$C$390,2,0)</f>
        <v>#N/A</v>
      </c>
    </row>
    <row r="39" spans="1:6" x14ac:dyDescent="0.2">
      <c r="A39" s="3" t="s">
        <v>43</v>
      </c>
      <c r="B39" s="3" t="s">
        <v>2</v>
      </c>
      <c r="C39" s="4">
        <v>343638.13</v>
      </c>
      <c r="D39" s="4">
        <v>352477.06</v>
      </c>
      <c r="E39" s="4">
        <v>-8838.93</v>
      </c>
      <c r="F39" s="3" t="e">
        <f>VLOOKUP(B39,'Profit &amp; Loss'!$B$3:$C$390,2,0)</f>
        <v>#N/A</v>
      </c>
    </row>
    <row r="40" spans="1:6" x14ac:dyDescent="0.2">
      <c r="A40" s="3" t="s">
        <v>44</v>
      </c>
      <c r="B40" s="3" t="s">
        <v>1440</v>
      </c>
      <c r="C40" s="4">
        <v>858469.17</v>
      </c>
      <c r="D40" s="4">
        <v>0</v>
      </c>
      <c r="E40" s="4">
        <v>858469.17</v>
      </c>
      <c r="F40" s="3" t="e">
        <f>VLOOKUP(B40,'Profit &amp; Loss'!$B$3:$C$390,2,0)</f>
        <v>#N/A</v>
      </c>
    </row>
    <row r="41" spans="1:6" x14ac:dyDescent="0.2">
      <c r="A41" s="3" t="s">
        <v>44</v>
      </c>
      <c r="B41" s="3" t="s">
        <v>973</v>
      </c>
      <c r="C41" s="4">
        <v>-0.1</v>
      </c>
      <c r="D41" s="4">
        <v>-0.1</v>
      </c>
      <c r="E41" s="4">
        <v>0</v>
      </c>
      <c r="F41" s="3" t="e">
        <f>VLOOKUP(B41,'Profit &amp; Loss'!$B$3:$C$390,2,0)</f>
        <v>#N/A</v>
      </c>
    </row>
    <row r="42" spans="1:6" x14ac:dyDescent="0.2">
      <c r="A42" s="3" t="s">
        <v>44</v>
      </c>
      <c r="B42" s="3" t="s">
        <v>46</v>
      </c>
      <c r="C42" s="4">
        <v>834.49</v>
      </c>
      <c r="D42" s="4">
        <v>-176.64</v>
      </c>
      <c r="E42" s="4">
        <v>1011.13</v>
      </c>
      <c r="F42" s="3" t="e">
        <f>VLOOKUP(B42,'Profit &amp; Loss'!$B$3:$C$390,2,0)</f>
        <v>#N/A</v>
      </c>
    </row>
    <row r="43" spans="1:6" x14ac:dyDescent="0.2">
      <c r="A43" s="3" t="s">
        <v>44</v>
      </c>
      <c r="B43" s="3" t="s">
        <v>2</v>
      </c>
      <c r="C43" s="4">
        <v>859303.56</v>
      </c>
      <c r="D43" s="4">
        <v>-176.74</v>
      </c>
      <c r="E43" s="4">
        <v>859480.3</v>
      </c>
      <c r="F43" s="3" t="e">
        <f>VLOOKUP(B43,'Profit &amp; Loss'!$B$3:$C$390,2,0)</f>
        <v>#N/A</v>
      </c>
    </row>
    <row r="44" spans="1:6" x14ac:dyDescent="0.2">
      <c r="A44" s="3" t="s">
        <v>47</v>
      </c>
      <c r="B44" s="3" t="s">
        <v>48</v>
      </c>
      <c r="C44" s="4">
        <v>14289776.4</v>
      </c>
      <c r="D44" s="4">
        <v>13391890.130000001</v>
      </c>
      <c r="E44" s="4">
        <v>897886.27</v>
      </c>
      <c r="F44" s="3" t="e">
        <f>VLOOKUP(B44,'Profit &amp; Loss'!$B$3:$C$390,2,0)</f>
        <v>#N/A</v>
      </c>
    </row>
    <row r="45" spans="1:6" x14ac:dyDescent="0.2">
      <c r="A45" s="3" t="s">
        <v>47</v>
      </c>
      <c r="B45" s="3" t="s">
        <v>1441</v>
      </c>
      <c r="C45" s="4">
        <v>-1331.92</v>
      </c>
      <c r="D45" s="4">
        <v>0</v>
      </c>
      <c r="E45" s="4">
        <v>-1331.92</v>
      </c>
      <c r="F45" s="3" t="e">
        <f>VLOOKUP(B45,'Profit &amp; Loss'!$B$3:$C$390,2,0)</f>
        <v>#N/A</v>
      </c>
    </row>
    <row r="46" spans="1:6" x14ac:dyDescent="0.2">
      <c r="A46" s="3" t="s">
        <v>47</v>
      </c>
      <c r="B46" s="3" t="s">
        <v>49</v>
      </c>
      <c r="C46" s="4">
        <v>-102116.81</v>
      </c>
      <c r="D46" s="4">
        <v>-95877.43</v>
      </c>
      <c r="E46" s="4">
        <v>-6239.38</v>
      </c>
      <c r="F46" s="3" t="e">
        <f>VLOOKUP(B46,'Profit &amp; Loss'!$B$3:$C$390,2,0)</f>
        <v>#N/A</v>
      </c>
    </row>
    <row r="47" spans="1:6" x14ac:dyDescent="0.2">
      <c r="A47" s="3" t="s">
        <v>47</v>
      </c>
      <c r="B47" s="3" t="s">
        <v>50</v>
      </c>
      <c r="C47" s="4">
        <v>2147331.52</v>
      </c>
      <c r="D47" s="4">
        <v>1689711.36</v>
      </c>
      <c r="E47" s="4">
        <v>457620.16</v>
      </c>
      <c r="F47" s="3" t="e">
        <f>VLOOKUP(B47,'Profit &amp; Loss'!$B$3:$C$390,2,0)</f>
        <v>#N/A</v>
      </c>
    </row>
    <row r="48" spans="1:6" x14ac:dyDescent="0.2">
      <c r="A48" s="3" t="s">
        <v>47</v>
      </c>
      <c r="B48" s="3" t="s">
        <v>51</v>
      </c>
      <c r="C48" s="4">
        <v>2557589.63</v>
      </c>
      <c r="D48" s="4">
        <v>2477566.8199999998</v>
      </c>
      <c r="E48" s="4">
        <v>80022.81</v>
      </c>
      <c r="F48" s="3" t="e">
        <f>VLOOKUP(B48,'Profit &amp; Loss'!$B$3:$C$390,2,0)</f>
        <v>#N/A</v>
      </c>
    </row>
    <row r="49" spans="1:6" x14ac:dyDescent="0.2">
      <c r="A49" s="3" t="s">
        <v>47</v>
      </c>
      <c r="B49" s="3" t="s">
        <v>52</v>
      </c>
      <c r="C49" s="4">
        <v>7285841.2699999996</v>
      </c>
      <c r="D49" s="4">
        <v>3969696.21</v>
      </c>
      <c r="E49" s="4">
        <v>3316145.06</v>
      </c>
      <c r="F49" s="3" t="e">
        <f>VLOOKUP(B49,'Profit &amp; Loss'!$B$3:$C$390,2,0)</f>
        <v>#N/A</v>
      </c>
    </row>
    <row r="50" spans="1:6" x14ac:dyDescent="0.2">
      <c r="A50" s="3" t="s">
        <v>47</v>
      </c>
      <c r="B50" s="3" t="s">
        <v>53</v>
      </c>
      <c r="C50" s="4">
        <v>-27.65</v>
      </c>
      <c r="D50" s="4">
        <v>0</v>
      </c>
      <c r="E50" s="4">
        <v>-27.65</v>
      </c>
      <c r="F50" s="3" t="e">
        <f>VLOOKUP(B50,'Profit &amp; Loss'!$B$3:$C$390,2,0)</f>
        <v>#N/A</v>
      </c>
    </row>
    <row r="51" spans="1:6" x14ac:dyDescent="0.2">
      <c r="A51" s="3" t="s">
        <v>47</v>
      </c>
      <c r="B51" s="3" t="s">
        <v>54</v>
      </c>
      <c r="C51" s="4">
        <v>27592.92</v>
      </c>
      <c r="D51" s="4">
        <v>25109.58</v>
      </c>
      <c r="E51" s="4">
        <v>2483.34</v>
      </c>
      <c r="F51" s="3" t="e">
        <f>VLOOKUP(B51,'Profit &amp; Loss'!$B$3:$C$390,2,0)</f>
        <v>#N/A</v>
      </c>
    </row>
    <row r="52" spans="1:6" x14ac:dyDescent="0.2">
      <c r="A52" s="3" t="s">
        <v>47</v>
      </c>
      <c r="B52" s="3" t="s">
        <v>55</v>
      </c>
      <c r="C52" s="4">
        <v>-1501458.32</v>
      </c>
      <c r="D52" s="4">
        <v>-1404046.18</v>
      </c>
      <c r="E52" s="4">
        <v>-97412.14</v>
      </c>
      <c r="F52" s="3" t="e">
        <f>VLOOKUP(B52,'Profit &amp; Loss'!$B$3:$C$390,2,0)</f>
        <v>#N/A</v>
      </c>
    </row>
    <row r="53" spans="1:6" x14ac:dyDescent="0.2">
      <c r="A53" s="3" t="s">
        <v>47</v>
      </c>
      <c r="B53" s="3" t="s">
        <v>56</v>
      </c>
      <c r="C53" s="4">
        <v>10841.26</v>
      </c>
      <c r="D53" s="4">
        <v>11380.59</v>
      </c>
      <c r="E53" s="4">
        <v>-539.33000000000004</v>
      </c>
      <c r="F53" s="3" t="e">
        <f>VLOOKUP(B53,'Profit &amp; Loss'!$B$3:$C$390,2,0)</f>
        <v>#N/A</v>
      </c>
    </row>
    <row r="54" spans="1:6" x14ac:dyDescent="0.2">
      <c r="A54" s="3" t="s">
        <v>47</v>
      </c>
      <c r="B54" s="3" t="s">
        <v>57</v>
      </c>
      <c r="C54" s="4">
        <v>-21610.98</v>
      </c>
      <c r="D54" s="4">
        <v>-19272.73</v>
      </c>
      <c r="E54" s="4">
        <v>-2338.25</v>
      </c>
      <c r="F54" s="3" t="e">
        <f>VLOOKUP(B54,'Profit &amp; Loss'!$B$3:$C$390,2,0)</f>
        <v>#N/A</v>
      </c>
    </row>
    <row r="55" spans="1:6" x14ac:dyDescent="0.2">
      <c r="A55" s="3" t="s">
        <v>47</v>
      </c>
      <c r="B55" s="3" t="s">
        <v>58</v>
      </c>
      <c r="C55" s="4">
        <v>-14272.25</v>
      </c>
      <c r="D55" s="4">
        <v>-14059.92</v>
      </c>
      <c r="E55" s="4">
        <v>-212.33</v>
      </c>
      <c r="F55" s="3" t="e">
        <f>VLOOKUP(B55,'Profit &amp; Loss'!$B$3:$C$390,2,0)</f>
        <v>#N/A</v>
      </c>
    </row>
    <row r="56" spans="1:6" x14ac:dyDescent="0.2">
      <c r="A56" s="3" t="s">
        <v>47</v>
      </c>
      <c r="B56" s="3" t="s">
        <v>2</v>
      </c>
      <c r="C56" s="4">
        <v>24678155.07</v>
      </c>
      <c r="D56" s="4">
        <v>20032098.43</v>
      </c>
      <c r="E56" s="4">
        <v>4646056.6399999997</v>
      </c>
      <c r="F56" s="3" t="e">
        <f>VLOOKUP(B56,'Profit &amp; Loss'!$B$3:$C$390,2,0)</f>
        <v>#N/A</v>
      </c>
    </row>
    <row r="57" spans="1:6" x14ac:dyDescent="0.2">
      <c r="A57" s="3" t="s">
        <v>59</v>
      </c>
      <c r="B57" s="3" t="s">
        <v>60</v>
      </c>
      <c r="C57" s="4">
        <v>247407.29</v>
      </c>
      <c r="D57" s="4">
        <v>220899.3</v>
      </c>
      <c r="E57" s="4">
        <v>26507.99</v>
      </c>
      <c r="F57" s="3" t="e">
        <f>VLOOKUP(B57,'Profit &amp; Loss'!$B$3:$C$390,2,0)</f>
        <v>#N/A</v>
      </c>
    </row>
    <row r="58" spans="1:6" x14ac:dyDescent="0.2">
      <c r="A58" s="3" t="s">
        <v>59</v>
      </c>
      <c r="B58" s="3" t="s">
        <v>975</v>
      </c>
      <c r="C58" s="4">
        <v>100.78</v>
      </c>
      <c r="D58" s="4">
        <v>100.78</v>
      </c>
      <c r="E58" s="4">
        <v>0</v>
      </c>
      <c r="F58" s="3" t="e">
        <f>VLOOKUP(B58,'Profit &amp; Loss'!$B$3:$C$390,2,0)</f>
        <v>#N/A</v>
      </c>
    </row>
    <row r="59" spans="1:6" x14ac:dyDescent="0.2">
      <c r="A59" s="3" t="s">
        <v>59</v>
      </c>
      <c r="B59" s="3" t="s">
        <v>883</v>
      </c>
      <c r="C59" s="4">
        <v>946.22</v>
      </c>
      <c r="D59" s="4">
        <v>946.22</v>
      </c>
      <c r="E59" s="4">
        <v>0</v>
      </c>
      <c r="F59" s="3" t="e">
        <f>VLOOKUP(B59,'Profit &amp; Loss'!$B$3:$C$390,2,0)</f>
        <v>#N/A</v>
      </c>
    </row>
    <row r="60" spans="1:6" x14ac:dyDescent="0.2">
      <c r="A60" s="3" t="s">
        <v>59</v>
      </c>
      <c r="B60" s="3" t="s">
        <v>61</v>
      </c>
      <c r="C60" s="4">
        <v>330.52</v>
      </c>
      <c r="D60" s="4">
        <v>388.11</v>
      </c>
      <c r="E60" s="4">
        <v>-57.59</v>
      </c>
      <c r="F60" s="3" t="e">
        <f>VLOOKUP(B60,'Profit &amp; Loss'!$B$3:$C$390,2,0)</f>
        <v>#N/A</v>
      </c>
    </row>
    <row r="61" spans="1:6" x14ac:dyDescent="0.2">
      <c r="A61" s="3" t="s">
        <v>59</v>
      </c>
      <c r="B61" s="3" t="s">
        <v>62</v>
      </c>
      <c r="C61" s="4">
        <v>211397.24</v>
      </c>
      <c r="D61" s="4">
        <v>217186.98</v>
      </c>
      <c r="E61" s="4">
        <v>-5789.74</v>
      </c>
      <c r="F61" s="3" t="e">
        <f>VLOOKUP(B61,'Profit &amp; Loss'!$B$3:$C$390,2,0)</f>
        <v>#N/A</v>
      </c>
    </row>
    <row r="62" spans="1:6" x14ac:dyDescent="0.2">
      <c r="A62" s="3" t="s">
        <v>59</v>
      </c>
      <c r="B62" s="3" t="s">
        <v>63</v>
      </c>
      <c r="C62" s="4">
        <v>45978.57</v>
      </c>
      <c r="D62" s="4">
        <v>58879.92</v>
      </c>
      <c r="E62" s="4">
        <v>-12901.35</v>
      </c>
      <c r="F62" s="3" t="e">
        <f>VLOOKUP(B62,'Profit &amp; Loss'!$B$3:$C$390,2,0)</f>
        <v>#N/A</v>
      </c>
    </row>
    <row r="63" spans="1:6" x14ac:dyDescent="0.2">
      <c r="A63" s="3" t="s">
        <v>59</v>
      </c>
      <c r="B63" s="3" t="s">
        <v>64</v>
      </c>
      <c r="C63" s="4">
        <v>361.42</v>
      </c>
      <c r="D63" s="4">
        <v>375.36</v>
      </c>
      <c r="E63" s="4">
        <v>-13.94</v>
      </c>
      <c r="F63" s="3" t="e">
        <f>VLOOKUP(B63,'Profit &amp; Loss'!$B$3:$C$390,2,0)</f>
        <v>#N/A</v>
      </c>
    </row>
    <row r="64" spans="1:6" x14ac:dyDescent="0.2">
      <c r="A64" s="3" t="s">
        <v>59</v>
      </c>
      <c r="B64" s="3" t="s">
        <v>2</v>
      </c>
      <c r="C64" s="4">
        <v>506522.04</v>
      </c>
      <c r="D64" s="4">
        <v>498776.67</v>
      </c>
      <c r="E64" s="4">
        <v>7745.37</v>
      </c>
      <c r="F64" s="3" t="e">
        <f>VLOOKUP(B64,'Profit &amp; Loss'!$B$3:$C$390,2,0)</f>
        <v>#N/A</v>
      </c>
    </row>
    <row r="65" spans="1:6" x14ac:dyDescent="0.2">
      <c r="A65" s="3" t="s">
        <v>65</v>
      </c>
      <c r="B65" s="3" t="s">
        <v>2</v>
      </c>
      <c r="C65" s="4">
        <v>26043980.670000002</v>
      </c>
      <c r="D65" s="4">
        <v>20530698.359999999</v>
      </c>
      <c r="E65" s="4">
        <v>5513282.3099999996</v>
      </c>
      <c r="F65" s="3" t="e">
        <f>VLOOKUP(B65,'Profit &amp; Loss'!$B$3:$C$390,2,0)</f>
        <v>#N/A</v>
      </c>
    </row>
    <row r="66" spans="1:6" x14ac:dyDescent="0.2">
      <c r="A66" s="3" t="s">
        <v>66</v>
      </c>
      <c r="B66" s="3" t="s">
        <v>67</v>
      </c>
      <c r="C66" s="4">
        <v>-6135.39</v>
      </c>
      <c r="D66" s="4">
        <v>-6135.39</v>
      </c>
      <c r="E66" s="4">
        <v>0</v>
      </c>
      <c r="F66" s="3" t="e">
        <f>VLOOKUP(B66,'Profit &amp; Loss'!$B$3:$C$390,2,0)</f>
        <v>#N/A</v>
      </c>
    </row>
    <row r="67" spans="1:6" x14ac:dyDescent="0.2">
      <c r="A67" s="3" t="s">
        <v>66</v>
      </c>
      <c r="B67" s="3" t="s">
        <v>68</v>
      </c>
      <c r="C67" s="4">
        <v>8024.64</v>
      </c>
      <c r="D67" s="4">
        <v>8601.35</v>
      </c>
      <c r="E67" s="4">
        <v>-576.71</v>
      </c>
      <c r="F67" s="3" t="e">
        <f>VLOOKUP(B67,'Profit &amp; Loss'!$B$3:$C$390,2,0)</f>
        <v>#N/A</v>
      </c>
    </row>
    <row r="68" spans="1:6" x14ac:dyDescent="0.2">
      <c r="A68" s="3" t="s">
        <v>66</v>
      </c>
      <c r="B68" s="3" t="s">
        <v>979</v>
      </c>
      <c r="C68" s="4">
        <v>6329.17</v>
      </c>
      <c r="D68" s="4">
        <v>6329.17</v>
      </c>
      <c r="E68" s="4">
        <v>0</v>
      </c>
      <c r="F68" s="3" t="e">
        <f>VLOOKUP(B68,'Profit &amp; Loss'!$B$3:$C$390,2,0)</f>
        <v>#N/A</v>
      </c>
    </row>
    <row r="69" spans="1:6" x14ac:dyDescent="0.2">
      <c r="A69" s="3" t="s">
        <v>66</v>
      </c>
      <c r="B69" s="3" t="s">
        <v>493</v>
      </c>
      <c r="C69" s="4">
        <v>36.159999999999997</v>
      </c>
      <c r="D69" s="4">
        <v>886.17</v>
      </c>
      <c r="E69" s="4">
        <v>-850.01</v>
      </c>
      <c r="F69" s="3" t="e">
        <f>VLOOKUP(B69,'Profit &amp; Loss'!$B$3:$C$390,2,0)</f>
        <v>#N/A</v>
      </c>
    </row>
    <row r="70" spans="1:6" x14ac:dyDescent="0.2">
      <c r="A70" s="3" t="s">
        <v>66</v>
      </c>
      <c r="B70" s="3" t="s">
        <v>494</v>
      </c>
      <c r="C70" s="4">
        <v>7.0000000000000007E-2</v>
      </c>
      <c r="D70" s="4">
        <v>-9.14</v>
      </c>
      <c r="E70" s="4">
        <v>9.2100000000000009</v>
      </c>
      <c r="F70" s="3" t="e">
        <f>VLOOKUP(B70,'Profit &amp; Loss'!$B$3:$C$390,2,0)</f>
        <v>#N/A</v>
      </c>
    </row>
    <row r="71" spans="1:6" x14ac:dyDescent="0.2">
      <c r="A71" s="3" t="s">
        <v>66</v>
      </c>
      <c r="B71" s="3" t="s">
        <v>2</v>
      </c>
      <c r="C71" s="4">
        <v>8254.65</v>
      </c>
      <c r="D71" s="4">
        <v>9672.16</v>
      </c>
      <c r="E71" s="4">
        <v>-1417.51</v>
      </c>
      <c r="F71" s="3" t="e">
        <f>VLOOKUP(B71,'Profit &amp; Loss'!$B$3:$C$390,2,0)</f>
        <v>#N/A</v>
      </c>
    </row>
    <row r="72" spans="1:6" x14ac:dyDescent="0.2">
      <c r="A72" s="3" t="s">
        <v>69</v>
      </c>
      <c r="B72" s="3" t="s">
        <v>2</v>
      </c>
      <c r="C72" s="4">
        <v>8254.65</v>
      </c>
      <c r="D72" s="4">
        <v>9672.16</v>
      </c>
      <c r="E72" s="4">
        <v>-1417.51</v>
      </c>
      <c r="F72" s="3" t="e">
        <f>VLOOKUP(B72,'Profit &amp; Loss'!$B$3:$C$390,2,0)</f>
        <v>#N/A</v>
      </c>
    </row>
    <row r="73" spans="1:6" x14ac:dyDescent="0.2">
      <c r="A73" s="3" t="s">
        <v>70</v>
      </c>
      <c r="B73" s="3" t="s">
        <v>71</v>
      </c>
      <c r="C73" s="4">
        <v>359163.46</v>
      </c>
      <c r="D73" s="4">
        <v>359163.46</v>
      </c>
      <c r="E73" s="4">
        <v>0</v>
      </c>
      <c r="F73" s="3" t="e">
        <f>VLOOKUP(B73,'Profit &amp; Loss'!$B$3:$C$390,2,0)</f>
        <v>#N/A</v>
      </c>
    </row>
    <row r="74" spans="1:6" x14ac:dyDescent="0.2">
      <c r="A74" s="3" t="s">
        <v>70</v>
      </c>
      <c r="B74" s="3" t="s">
        <v>72</v>
      </c>
      <c r="C74" s="4">
        <v>-263726.11</v>
      </c>
      <c r="D74" s="4">
        <v>-262611.32</v>
      </c>
      <c r="E74" s="4">
        <v>-1114.79</v>
      </c>
      <c r="F74" s="3" t="e">
        <f>VLOOKUP(B74,'Profit &amp; Loss'!$B$3:$C$390,2,0)</f>
        <v>#N/A</v>
      </c>
    </row>
    <row r="75" spans="1:6" x14ac:dyDescent="0.2">
      <c r="A75" s="3" t="s">
        <v>70</v>
      </c>
      <c r="B75" s="3" t="s">
        <v>2</v>
      </c>
      <c r="C75" s="4">
        <v>95437.35</v>
      </c>
      <c r="D75" s="4">
        <v>96552.14</v>
      </c>
      <c r="E75" s="4">
        <v>-1114.79</v>
      </c>
      <c r="F75" s="3" t="e">
        <f>VLOOKUP(B75,'Profit &amp; Loss'!$B$3:$C$390,2,0)</f>
        <v>#N/A</v>
      </c>
    </row>
    <row r="76" spans="1:6" x14ac:dyDescent="0.2">
      <c r="A76" s="3" t="s">
        <v>73</v>
      </c>
      <c r="B76" s="3" t="s">
        <v>74</v>
      </c>
      <c r="C76" s="4">
        <v>132848.63</v>
      </c>
      <c r="D76" s="4">
        <v>132848.63</v>
      </c>
      <c r="E76" s="4">
        <v>0</v>
      </c>
      <c r="F76" s="3" t="e">
        <f>VLOOKUP(B76,'Profit &amp; Loss'!$B$3:$C$390,2,0)</f>
        <v>#N/A</v>
      </c>
    </row>
    <row r="77" spans="1:6" x14ac:dyDescent="0.2">
      <c r="A77" s="3" t="s">
        <v>73</v>
      </c>
      <c r="B77" s="3" t="s">
        <v>75</v>
      </c>
      <c r="C77" s="4">
        <v>773272.12</v>
      </c>
      <c r="D77" s="4">
        <v>767309.11</v>
      </c>
      <c r="E77" s="4">
        <v>5963.01</v>
      </c>
      <c r="F77" s="3" t="e">
        <f>VLOOKUP(B77,'Profit &amp; Loss'!$B$3:$C$390,2,0)</f>
        <v>#N/A</v>
      </c>
    </row>
    <row r="78" spans="1:6" x14ac:dyDescent="0.2">
      <c r="A78" s="3" t="s">
        <v>73</v>
      </c>
      <c r="B78" s="3" t="s">
        <v>76</v>
      </c>
      <c r="C78" s="4">
        <v>390555.42</v>
      </c>
      <c r="D78" s="4">
        <v>380496.66</v>
      </c>
      <c r="E78" s="4">
        <v>10058.76</v>
      </c>
      <c r="F78" s="3" t="e">
        <f>VLOOKUP(B78,'Profit &amp; Loss'!$B$3:$C$390,2,0)</f>
        <v>#N/A</v>
      </c>
    </row>
    <row r="79" spans="1:6" x14ac:dyDescent="0.2">
      <c r="A79" s="3" t="s">
        <v>73</v>
      </c>
      <c r="B79" s="3" t="s">
        <v>77</v>
      </c>
      <c r="C79" s="4">
        <v>495.24</v>
      </c>
      <c r="D79" s="4">
        <v>495.24</v>
      </c>
      <c r="E79" s="4">
        <v>0</v>
      </c>
      <c r="F79" s="3" t="e">
        <f>VLOOKUP(B79,'Profit &amp; Loss'!$B$3:$C$390,2,0)</f>
        <v>#N/A</v>
      </c>
    </row>
    <row r="80" spans="1:6" x14ac:dyDescent="0.2">
      <c r="A80" s="3" t="s">
        <v>73</v>
      </c>
      <c r="B80" s="3" t="s">
        <v>78</v>
      </c>
      <c r="C80" s="4">
        <v>257728.68</v>
      </c>
      <c r="D80" s="4">
        <v>263566.81</v>
      </c>
      <c r="E80" s="4">
        <v>-5838.13</v>
      </c>
      <c r="F80" s="3" t="e">
        <f>VLOOKUP(B80,'Profit &amp; Loss'!$B$3:$C$390,2,0)</f>
        <v>#N/A</v>
      </c>
    </row>
    <row r="81" spans="1:6" x14ac:dyDescent="0.2">
      <c r="A81" s="3" t="s">
        <v>73</v>
      </c>
      <c r="B81" s="3" t="s">
        <v>79</v>
      </c>
      <c r="C81" s="4">
        <v>-126918.54</v>
      </c>
      <c r="D81" s="4">
        <v>-126644.01</v>
      </c>
      <c r="E81" s="4">
        <v>-274.52999999999997</v>
      </c>
      <c r="F81" s="3" t="e">
        <f>VLOOKUP(B81,'Profit &amp; Loss'!$B$3:$C$390,2,0)</f>
        <v>#N/A</v>
      </c>
    </row>
    <row r="82" spans="1:6" x14ac:dyDescent="0.2">
      <c r="A82" s="3" t="s">
        <v>73</v>
      </c>
      <c r="B82" s="3" t="s">
        <v>80</v>
      </c>
      <c r="C82" s="4">
        <v>-448598.02</v>
      </c>
      <c r="D82" s="4">
        <v>-442801.36</v>
      </c>
      <c r="E82" s="4">
        <v>-5796.66</v>
      </c>
      <c r="F82" s="3" t="e">
        <f>VLOOKUP(B82,'Profit &amp; Loss'!$B$3:$C$390,2,0)</f>
        <v>#N/A</v>
      </c>
    </row>
    <row r="83" spans="1:6" x14ac:dyDescent="0.2">
      <c r="A83" s="3" t="s">
        <v>73</v>
      </c>
      <c r="B83" s="3" t="s">
        <v>81</v>
      </c>
      <c r="C83" s="4">
        <v>-305017.96999999997</v>
      </c>
      <c r="D83" s="4">
        <v>-302267.12</v>
      </c>
      <c r="E83" s="4">
        <v>-2750.85</v>
      </c>
      <c r="F83" s="3" t="e">
        <f>VLOOKUP(B83,'Profit &amp; Loss'!$B$3:$C$390,2,0)</f>
        <v>#N/A</v>
      </c>
    </row>
    <row r="84" spans="1:6" x14ac:dyDescent="0.2">
      <c r="A84" s="3" t="s">
        <v>73</v>
      </c>
      <c r="B84" s="3" t="s">
        <v>82</v>
      </c>
      <c r="C84" s="4">
        <v>-495.24</v>
      </c>
      <c r="D84" s="4">
        <v>-495.24</v>
      </c>
      <c r="E84" s="4">
        <v>0</v>
      </c>
      <c r="F84" s="3" t="e">
        <f>VLOOKUP(B84,'Profit &amp; Loss'!$B$3:$C$390,2,0)</f>
        <v>#N/A</v>
      </c>
    </row>
    <row r="85" spans="1:6" x14ac:dyDescent="0.2">
      <c r="A85" s="3" t="s">
        <v>73</v>
      </c>
      <c r="B85" s="3" t="s">
        <v>83</v>
      </c>
      <c r="C85" s="4">
        <v>-207342.47</v>
      </c>
      <c r="D85" s="4">
        <v>-214623.59</v>
      </c>
      <c r="E85" s="4">
        <v>7281.12</v>
      </c>
      <c r="F85" s="3" t="e">
        <f>VLOOKUP(B85,'Profit &amp; Loss'!$B$3:$C$390,2,0)</f>
        <v>#N/A</v>
      </c>
    </row>
    <row r="86" spans="1:6" x14ac:dyDescent="0.2">
      <c r="A86" s="3" t="s">
        <v>73</v>
      </c>
      <c r="B86" s="3" t="s">
        <v>2</v>
      </c>
      <c r="C86" s="4">
        <v>466527.85</v>
      </c>
      <c r="D86" s="4">
        <v>457885.13</v>
      </c>
      <c r="E86" s="4">
        <v>8642.7199999999993</v>
      </c>
      <c r="F86" s="3" t="e">
        <f>VLOOKUP(B86,'Profit &amp; Loss'!$B$3:$C$390,2,0)</f>
        <v>#N/A</v>
      </c>
    </row>
    <row r="87" spans="1:6" x14ac:dyDescent="0.2">
      <c r="A87" s="3" t="s">
        <v>84</v>
      </c>
      <c r="B87" s="3" t="s">
        <v>85</v>
      </c>
      <c r="C87" s="4">
        <v>19105809.309999999</v>
      </c>
      <c r="D87" s="4">
        <v>18985571.629999999</v>
      </c>
      <c r="E87" s="4">
        <v>120237.68</v>
      </c>
      <c r="F87" s="3" t="e">
        <f>VLOOKUP(B87,'Profit &amp; Loss'!$B$3:$C$390,2,0)</f>
        <v>#N/A</v>
      </c>
    </row>
    <row r="88" spans="1:6" x14ac:dyDescent="0.2">
      <c r="A88" s="3" t="s">
        <v>84</v>
      </c>
      <c r="B88" s="3" t="s">
        <v>86</v>
      </c>
      <c r="C88" s="4">
        <v>-6580113.6699999999</v>
      </c>
      <c r="D88" s="4">
        <v>-6307736.2400000002</v>
      </c>
      <c r="E88" s="4">
        <v>-272377.43</v>
      </c>
      <c r="F88" s="3" t="e">
        <f>VLOOKUP(B88,'Profit &amp; Loss'!$B$3:$C$390,2,0)</f>
        <v>#N/A</v>
      </c>
    </row>
    <row r="89" spans="1:6" x14ac:dyDescent="0.2">
      <c r="A89" s="3" t="s">
        <v>84</v>
      </c>
      <c r="B89" s="3" t="s">
        <v>2</v>
      </c>
      <c r="C89" s="4">
        <v>12525695.640000001</v>
      </c>
      <c r="D89" s="4">
        <v>12677835.390000001</v>
      </c>
      <c r="E89" s="4">
        <v>-152139.75</v>
      </c>
      <c r="F89" s="3" t="e">
        <f>VLOOKUP(B89,'Profit &amp; Loss'!$B$3:$C$390,2,0)</f>
        <v>#N/A</v>
      </c>
    </row>
    <row r="90" spans="1:6" x14ac:dyDescent="0.2">
      <c r="A90" s="3" t="s">
        <v>87</v>
      </c>
      <c r="B90" s="3" t="s">
        <v>88</v>
      </c>
      <c r="C90" s="4">
        <v>103060.72</v>
      </c>
      <c r="D90" s="4">
        <v>103060.72</v>
      </c>
      <c r="E90" s="4">
        <v>0</v>
      </c>
      <c r="F90" s="3" t="e">
        <f>VLOOKUP(B90,'Profit &amp; Loss'!$B$3:$C$390,2,0)</f>
        <v>#N/A</v>
      </c>
    </row>
    <row r="91" spans="1:6" x14ac:dyDescent="0.2">
      <c r="A91" s="3" t="s">
        <v>87</v>
      </c>
      <c r="B91" s="3" t="s">
        <v>89</v>
      </c>
      <c r="C91" s="4">
        <v>655044.07999999996</v>
      </c>
      <c r="D91" s="4">
        <v>655044.07999999996</v>
      </c>
      <c r="E91" s="4">
        <v>0</v>
      </c>
      <c r="F91" s="3" t="e">
        <f>VLOOKUP(B91,'Profit &amp; Loss'!$B$3:$C$390,2,0)</f>
        <v>#N/A</v>
      </c>
    </row>
    <row r="92" spans="1:6" x14ac:dyDescent="0.2">
      <c r="A92" s="3" t="s">
        <v>87</v>
      </c>
      <c r="B92" s="3" t="s">
        <v>90</v>
      </c>
      <c r="C92" s="4">
        <v>-102115.8</v>
      </c>
      <c r="D92" s="4">
        <v>-102060.21</v>
      </c>
      <c r="E92" s="4">
        <v>-55.59</v>
      </c>
      <c r="F92" s="3" t="e">
        <f>VLOOKUP(B92,'Profit &amp; Loss'!$B$3:$C$390,2,0)</f>
        <v>#N/A</v>
      </c>
    </row>
    <row r="93" spans="1:6" x14ac:dyDescent="0.2">
      <c r="A93" s="3" t="s">
        <v>87</v>
      </c>
      <c r="B93" s="3" t="s">
        <v>91</v>
      </c>
      <c r="C93" s="4">
        <v>-676325.54</v>
      </c>
      <c r="D93" s="4">
        <v>-674624.6</v>
      </c>
      <c r="E93" s="4">
        <v>-1700.94</v>
      </c>
      <c r="F93" s="3" t="e">
        <f>VLOOKUP(B93,'Profit &amp; Loss'!$B$3:$C$390,2,0)</f>
        <v>#N/A</v>
      </c>
    </row>
    <row r="94" spans="1:6" x14ac:dyDescent="0.2">
      <c r="A94" s="3" t="s">
        <v>87</v>
      </c>
      <c r="B94" s="3" t="s">
        <v>2</v>
      </c>
      <c r="C94" s="4">
        <v>-20336.54</v>
      </c>
      <c r="D94" s="4">
        <v>-18580.009999999998</v>
      </c>
      <c r="E94" s="4">
        <v>-1756.53</v>
      </c>
      <c r="F94" s="3" t="e">
        <f>VLOOKUP(B94,'Profit &amp; Loss'!$B$3:$C$390,2,0)</f>
        <v>#N/A</v>
      </c>
    </row>
    <row r="95" spans="1:6" x14ac:dyDescent="0.2">
      <c r="A95" s="3" t="s">
        <v>92</v>
      </c>
      <c r="B95" s="3" t="s">
        <v>93</v>
      </c>
      <c r="C95" s="4">
        <v>4903.3100000000004</v>
      </c>
      <c r="D95" s="4">
        <v>4903.3100000000004</v>
      </c>
      <c r="E95" s="4">
        <v>0</v>
      </c>
      <c r="F95" s="3" t="e">
        <f>VLOOKUP(B95,'Profit &amp; Loss'!$B$3:$C$390,2,0)</f>
        <v>#N/A</v>
      </c>
    </row>
    <row r="96" spans="1:6" x14ac:dyDescent="0.2">
      <c r="A96" s="3" t="s">
        <v>92</v>
      </c>
      <c r="B96" s="3" t="s">
        <v>94</v>
      </c>
      <c r="C96" s="4">
        <v>255044.67</v>
      </c>
      <c r="D96" s="4">
        <v>255044.67</v>
      </c>
      <c r="E96" s="4">
        <v>0</v>
      </c>
      <c r="F96" s="3" t="e">
        <f>VLOOKUP(B96,'Profit &amp; Loss'!$B$3:$C$390,2,0)</f>
        <v>#N/A</v>
      </c>
    </row>
    <row r="97" spans="1:6" x14ac:dyDescent="0.2">
      <c r="A97" s="3" t="s">
        <v>92</v>
      </c>
      <c r="B97" s="3" t="s">
        <v>95</v>
      </c>
      <c r="C97" s="4">
        <v>-3640.24</v>
      </c>
      <c r="D97" s="4">
        <v>-3568.08</v>
      </c>
      <c r="E97" s="4">
        <v>-72.16</v>
      </c>
      <c r="F97" s="3" t="e">
        <f>VLOOKUP(B97,'Profit &amp; Loss'!$B$3:$C$390,2,0)</f>
        <v>#N/A</v>
      </c>
    </row>
    <row r="98" spans="1:6" x14ac:dyDescent="0.2">
      <c r="A98" s="3" t="s">
        <v>92</v>
      </c>
      <c r="B98" s="3" t="s">
        <v>96</v>
      </c>
      <c r="C98" s="4">
        <v>-177899.54</v>
      </c>
      <c r="D98" s="4">
        <v>-172634.68</v>
      </c>
      <c r="E98" s="4">
        <v>-5264.86</v>
      </c>
      <c r="F98" s="3" t="e">
        <f>VLOOKUP(B98,'Profit &amp; Loss'!$B$3:$C$390,2,0)</f>
        <v>#N/A</v>
      </c>
    </row>
    <row r="99" spans="1:6" x14ac:dyDescent="0.2">
      <c r="A99" s="3" t="s">
        <v>92</v>
      </c>
      <c r="B99" s="3" t="s">
        <v>2</v>
      </c>
      <c r="C99" s="4">
        <v>78408.2</v>
      </c>
      <c r="D99" s="4">
        <v>83745.22</v>
      </c>
      <c r="E99" s="4">
        <v>-5337.02</v>
      </c>
      <c r="F99" s="3" t="e">
        <f>VLOOKUP(B99,'Profit &amp; Loss'!$B$3:$C$390,2,0)</f>
        <v>#N/A</v>
      </c>
    </row>
    <row r="100" spans="1:6" x14ac:dyDescent="0.2">
      <c r="A100" s="3" t="s">
        <v>97</v>
      </c>
      <c r="B100" s="3" t="s">
        <v>98</v>
      </c>
      <c r="C100" s="4">
        <v>146144.09</v>
      </c>
      <c r="D100" s="4">
        <v>146144.09</v>
      </c>
      <c r="E100" s="4">
        <v>0</v>
      </c>
      <c r="F100" s="3" t="e">
        <f>VLOOKUP(B100,'Profit &amp; Loss'!$B$3:$C$390,2,0)</f>
        <v>#N/A</v>
      </c>
    </row>
    <row r="101" spans="1:6" x14ac:dyDescent="0.2">
      <c r="A101" s="3" t="s">
        <v>97</v>
      </c>
      <c r="B101" s="3" t="s">
        <v>99</v>
      </c>
      <c r="C101" s="4">
        <v>-87121.52</v>
      </c>
      <c r="D101" s="4">
        <v>-84685.78</v>
      </c>
      <c r="E101" s="4">
        <v>-2435.7399999999998</v>
      </c>
      <c r="F101" s="3" t="e">
        <f>VLOOKUP(B101,'Profit &amp; Loss'!$B$3:$C$390,2,0)</f>
        <v>#N/A</v>
      </c>
    </row>
    <row r="102" spans="1:6" x14ac:dyDescent="0.2">
      <c r="A102" s="3" t="s">
        <v>97</v>
      </c>
      <c r="B102" s="3" t="s">
        <v>2</v>
      </c>
      <c r="C102" s="4">
        <v>59022.57</v>
      </c>
      <c r="D102" s="4">
        <v>61458.31</v>
      </c>
      <c r="E102" s="4">
        <v>-2435.7399999999998</v>
      </c>
      <c r="F102" s="3" t="e">
        <f>VLOOKUP(B102,'Profit &amp; Loss'!$B$3:$C$390,2,0)</f>
        <v>#N/A</v>
      </c>
    </row>
    <row r="103" spans="1:6" x14ac:dyDescent="0.2">
      <c r="A103" s="3" t="s">
        <v>100</v>
      </c>
      <c r="B103" s="3" t="s">
        <v>101</v>
      </c>
      <c r="C103" s="4">
        <v>123543.46</v>
      </c>
      <c r="D103" s="4">
        <v>123391.7</v>
      </c>
      <c r="E103" s="4">
        <v>151.76</v>
      </c>
      <c r="F103" s="3" t="e">
        <f>VLOOKUP(B103,'Profit &amp; Loss'!$B$3:$C$390,2,0)</f>
        <v>#N/A</v>
      </c>
    </row>
    <row r="104" spans="1:6" x14ac:dyDescent="0.2">
      <c r="A104" s="3" t="s">
        <v>100</v>
      </c>
      <c r="B104" s="3" t="s">
        <v>980</v>
      </c>
      <c r="C104" s="4">
        <v>100422.54</v>
      </c>
      <c r="D104" s="4">
        <v>100422.54</v>
      </c>
      <c r="E104" s="4">
        <v>0</v>
      </c>
      <c r="F104" s="3" t="e">
        <f>VLOOKUP(B104,'Profit &amp; Loss'!$B$3:$C$390,2,0)</f>
        <v>#N/A</v>
      </c>
    </row>
    <row r="105" spans="1:6" x14ac:dyDescent="0.2">
      <c r="A105" s="3" t="s">
        <v>100</v>
      </c>
      <c r="B105" s="3" t="s">
        <v>102</v>
      </c>
      <c r="C105" s="4">
        <v>-107694.37</v>
      </c>
      <c r="D105" s="4">
        <v>-107122.31</v>
      </c>
      <c r="E105" s="4">
        <v>-572.05999999999995</v>
      </c>
      <c r="F105" s="3" t="e">
        <f>VLOOKUP(B105,'Profit &amp; Loss'!$B$3:$C$390,2,0)</f>
        <v>#N/A</v>
      </c>
    </row>
    <row r="106" spans="1:6" x14ac:dyDescent="0.2">
      <c r="A106" s="3" t="s">
        <v>100</v>
      </c>
      <c r="B106" s="3" t="s">
        <v>981</v>
      </c>
      <c r="C106" s="4">
        <v>-100422.54</v>
      </c>
      <c r="D106" s="4">
        <v>-100422.54</v>
      </c>
      <c r="E106" s="4">
        <v>0</v>
      </c>
      <c r="F106" s="3" t="e">
        <f>VLOOKUP(B106,'Profit &amp; Loss'!$B$3:$C$390,2,0)</f>
        <v>#N/A</v>
      </c>
    </row>
    <row r="107" spans="1:6" x14ac:dyDescent="0.2">
      <c r="A107" s="3" t="s">
        <v>100</v>
      </c>
      <c r="B107" s="3" t="s">
        <v>2</v>
      </c>
      <c r="C107" s="4">
        <v>15849.09</v>
      </c>
      <c r="D107" s="4">
        <v>16269.39</v>
      </c>
      <c r="E107" s="4">
        <v>-420.3</v>
      </c>
      <c r="F107" s="3" t="e">
        <f>VLOOKUP(B107,'Profit &amp; Loss'!$B$3:$C$390,2,0)</f>
        <v>#N/A</v>
      </c>
    </row>
    <row r="108" spans="1:6" x14ac:dyDescent="0.2">
      <c r="A108" s="3" t="s">
        <v>103</v>
      </c>
      <c r="B108" s="3" t="s">
        <v>2</v>
      </c>
      <c r="C108" s="4">
        <v>13220604.16</v>
      </c>
      <c r="D108" s="4">
        <v>13375165.57</v>
      </c>
      <c r="E108" s="4">
        <v>-154561.41</v>
      </c>
      <c r="F108" s="3" t="e">
        <f>VLOOKUP(B108,'Profit &amp; Loss'!$B$3:$C$390,2,0)</f>
        <v>#N/A</v>
      </c>
    </row>
    <row r="109" spans="1:6" x14ac:dyDescent="0.2">
      <c r="A109" s="3" t="s">
        <v>104</v>
      </c>
      <c r="B109" s="3" t="s">
        <v>105</v>
      </c>
      <c r="C109" s="4">
        <v>2811368.31</v>
      </c>
      <c r="D109" s="4">
        <v>2806041.73</v>
      </c>
      <c r="E109" s="4">
        <v>5326.58</v>
      </c>
      <c r="F109" s="3" t="e">
        <f>VLOOKUP(B109,'Profit &amp; Loss'!$B$3:$C$390,2,0)</f>
        <v>#N/A</v>
      </c>
    </row>
    <row r="110" spans="1:6" x14ac:dyDescent="0.2">
      <c r="A110" s="3" t="s">
        <v>104</v>
      </c>
      <c r="B110" s="3" t="s">
        <v>106</v>
      </c>
      <c r="C110" s="4">
        <v>751020.44</v>
      </c>
      <c r="D110" s="4">
        <v>751020.44</v>
      </c>
      <c r="E110" s="4">
        <v>0</v>
      </c>
      <c r="F110" s="3" t="e">
        <f>VLOOKUP(B110,'Profit &amp; Loss'!$B$3:$C$390,2,0)</f>
        <v>#N/A</v>
      </c>
    </row>
    <row r="111" spans="1:6" x14ac:dyDescent="0.2">
      <c r="A111" s="3" t="s">
        <v>104</v>
      </c>
      <c r="B111" s="3" t="s">
        <v>107</v>
      </c>
      <c r="C111" s="4">
        <v>-2520425.89</v>
      </c>
      <c r="D111" s="4">
        <v>-2462237.42</v>
      </c>
      <c r="E111" s="4">
        <v>-58188.47</v>
      </c>
      <c r="F111" s="3" t="e">
        <f>VLOOKUP(B111,'Profit &amp; Loss'!$B$3:$C$390,2,0)</f>
        <v>#N/A</v>
      </c>
    </row>
    <row r="112" spans="1:6" x14ac:dyDescent="0.2">
      <c r="A112" s="3" t="s">
        <v>104</v>
      </c>
      <c r="B112" s="3" t="s">
        <v>108</v>
      </c>
      <c r="C112" s="4">
        <v>-602454.5</v>
      </c>
      <c r="D112" s="4">
        <v>-591598.55000000005</v>
      </c>
      <c r="E112" s="4">
        <v>-10855.95</v>
      </c>
      <c r="F112" s="3" t="e">
        <f>VLOOKUP(B112,'Profit &amp; Loss'!$B$3:$C$390,2,0)</f>
        <v>#N/A</v>
      </c>
    </row>
    <row r="113" spans="1:6" x14ac:dyDescent="0.2">
      <c r="A113" s="3" t="s">
        <v>104</v>
      </c>
      <c r="B113" s="3" t="s">
        <v>109</v>
      </c>
      <c r="C113" s="4">
        <v>-80257.42</v>
      </c>
      <c r="D113" s="4">
        <v>-80257.42</v>
      </c>
      <c r="E113" s="4">
        <v>0</v>
      </c>
      <c r="F113" s="3" t="e">
        <f>VLOOKUP(B113,'Profit &amp; Loss'!$B$3:$C$390,2,0)</f>
        <v>#N/A</v>
      </c>
    </row>
    <row r="114" spans="1:6" x14ac:dyDescent="0.2">
      <c r="A114" s="3" t="s">
        <v>104</v>
      </c>
      <c r="B114" s="3" t="s">
        <v>110</v>
      </c>
      <c r="C114" s="4">
        <v>11976.55</v>
      </c>
      <c r="D114" s="4">
        <v>11976.55</v>
      </c>
      <c r="E114" s="4">
        <v>0</v>
      </c>
      <c r="F114" s="3" t="e">
        <f>VLOOKUP(B114,'Profit &amp; Loss'!$B$3:$C$390,2,0)</f>
        <v>#N/A</v>
      </c>
    </row>
    <row r="115" spans="1:6" x14ac:dyDescent="0.2">
      <c r="A115" s="3" t="s">
        <v>104</v>
      </c>
      <c r="B115" s="3" t="s">
        <v>1431</v>
      </c>
      <c r="C115" s="4">
        <v>0</v>
      </c>
      <c r="D115" s="4">
        <v>375936.84</v>
      </c>
      <c r="E115" s="4">
        <v>-375936.84</v>
      </c>
      <c r="F115" s="3" t="e">
        <f>VLOOKUP(B115,'Profit &amp; Loss'!$B$3:$C$390,2,0)</f>
        <v>#N/A</v>
      </c>
    </row>
    <row r="116" spans="1:6" x14ac:dyDescent="0.2">
      <c r="A116" s="3" t="s">
        <v>104</v>
      </c>
      <c r="B116" s="3" t="s">
        <v>2</v>
      </c>
      <c r="C116" s="4">
        <v>371227.49</v>
      </c>
      <c r="D116" s="4">
        <v>810882.17</v>
      </c>
      <c r="E116" s="4">
        <v>-439654.68</v>
      </c>
      <c r="F116" s="3" t="e">
        <f>VLOOKUP(B116,'Profit &amp; Loss'!$B$3:$C$390,2,0)</f>
        <v>#N/A</v>
      </c>
    </row>
    <row r="117" spans="1:6" x14ac:dyDescent="0.2">
      <c r="A117" s="3" t="s">
        <v>112</v>
      </c>
      <c r="B117" s="3" t="s">
        <v>2</v>
      </c>
      <c r="C117" s="4">
        <v>371227.49</v>
      </c>
      <c r="D117" s="4">
        <v>810882.17</v>
      </c>
      <c r="E117" s="4">
        <v>-439654.68</v>
      </c>
      <c r="F117" s="3" t="e">
        <f>VLOOKUP(B117,'Profit &amp; Loss'!$B$3:$C$390,2,0)</f>
        <v>#N/A</v>
      </c>
    </row>
    <row r="118" spans="1:6" x14ac:dyDescent="0.2">
      <c r="A118" s="3" t="s">
        <v>0</v>
      </c>
      <c r="B118" s="3" t="s">
        <v>113</v>
      </c>
      <c r="C118" s="4">
        <v>58921434.25</v>
      </c>
      <c r="D118" s="4">
        <v>54274400.530000001</v>
      </c>
      <c r="E118" s="4">
        <v>4647033.72</v>
      </c>
      <c r="F118" s="3" t="e">
        <f>VLOOKUP(B118,'Profit &amp; Loss'!$B$3:$C$390,2,0)</f>
        <v>#N/A</v>
      </c>
    </row>
    <row r="119" spans="1:6" x14ac:dyDescent="0.2">
      <c r="A119" s="3" t="s">
        <v>0</v>
      </c>
      <c r="B119" s="5" t="s">
        <v>114</v>
      </c>
      <c r="C119" s="4">
        <v>0</v>
      </c>
      <c r="D119" s="4">
        <v>0</v>
      </c>
      <c r="E119" s="4">
        <v>0</v>
      </c>
      <c r="F119" s="3" t="e">
        <f>VLOOKUP(B119,'Profit &amp; Loss'!$B$3:$C$390,2,0)</f>
        <v>#N/A</v>
      </c>
    </row>
    <row r="120" spans="1:6" x14ac:dyDescent="0.2">
      <c r="A120" s="3" t="s">
        <v>115</v>
      </c>
      <c r="B120" s="3" t="s">
        <v>116</v>
      </c>
      <c r="C120" s="4">
        <v>0</v>
      </c>
      <c r="D120" s="4">
        <v>0</v>
      </c>
      <c r="E120" s="4">
        <v>0</v>
      </c>
      <c r="F120" s="3" t="e">
        <f>VLOOKUP(B120,'Profit &amp; Loss'!$B$3:$C$390,2,0)</f>
        <v>#N/A</v>
      </c>
    </row>
    <row r="121" spans="1:6" x14ac:dyDescent="0.2">
      <c r="A121" s="3" t="s">
        <v>115</v>
      </c>
      <c r="B121" s="5" t="s">
        <v>117</v>
      </c>
      <c r="C121" s="4">
        <v>0</v>
      </c>
      <c r="D121" s="4">
        <v>0</v>
      </c>
      <c r="E121" s="4">
        <v>0</v>
      </c>
      <c r="F121" s="3" t="e">
        <f>VLOOKUP(B121,'Profit &amp; Loss'!$B$3:$C$390,2,0)</f>
        <v>#N/A</v>
      </c>
    </row>
    <row r="122" spans="1:6" x14ac:dyDescent="0.2">
      <c r="A122" s="3" t="s">
        <v>118</v>
      </c>
      <c r="B122" s="3" t="s">
        <v>119</v>
      </c>
      <c r="C122" s="4">
        <v>-52385.48</v>
      </c>
      <c r="D122" s="4">
        <v>-61632.639999999999</v>
      </c>
      <c r="E122" s="4">
        <v>9247.16</v>
      </c>
      <c r="F122" s="3" t="e">
        <f>VLOOKUP(B122,'Profit &amp; Loss'!$B$3:$C$390,2,0)</f>
        <v>#N/A</v>
      </c>
    </row>
    <row r="123" spans="1:6" x14ac:dyDescent="0.2">
      <c r="A123" s="3" t="s">
        <v>118</v>
      </c>
      <c r="B123" s="3" t="s">
        <v>120</v>
      </c>
      <c r="C123" s="4">
        <v>-93.88</v>
      </c>
      <c r="D123" s="4">
        <v>1278.1600000000001</v>
      </c>
      <c r="E123" s="4">
        <v>-1372.04</v>
      </c>
      <c r="F123" s="3" t="e">
        <f>VLOOKUP(B123,'Profit &amp; Loss'!$B$3:$C$390,2,0)</f>
        <v>#N/A</v>
      </c>
    </row>
    <row r="124" spans="1:6" x14ac:dyDescent="0.2">
      <c r="A124" s="3" t="s">
        <v>118</v>
      </c>
      <c r="B124" s="3" t="s">
        <v>2</v>
      </c>
      <c r="C124" s="4">
        <v>-52479.360000000001</v>
      </c>
      <c r="D124" s="4">
        <v>-60354.48</v>
      </c>
      <c r="E124" s="4">
        <v>7875.12</v>
      </c>
      <c r="F124" s="3" t="e">
        <f>VLOOKUP(B124,'Profit &amp; Loss'!$B$3:$C$390,2,0)</f>
        <v>#N/A</v>
      </c>
    </row>
    <row r="125" spans="1:6" x14ac:dyDescent="0.2">
      <c r="A125" s="3" t="s">
        <v>121</v>
      </c>
      <c r="B125" s="3" t="s">
        <v>2</v>
      </c>
      <c r="C125" s="4">
        <v>-52479.360000000001</v>
      </c>
      <c r="D125" s="4">
        <v>-60354.48</v>
      </c>
      <c r="E125" s="4">
        <v>7875.12</v>
      </c>
      <c r="F125" s="3" t="e">
        <f>VLOOKUP(B125,'Profit &amp; Loss'!$B$3:$C$390,2,0)</f>
        <v>#N/A</v>
      </c>
    </row>
    <row r="126" spans="1:6" x14ac:dyDescent="0.2">
      <c r="A126" s="3" t="s">
        <v>122</v>
      </c>
      <c r="B126" s="3" t="s">
        <v>123</v>
      </c>
      <c r="C126" s="4">
        <v>-412603.52</v>
      </c>
      <c r="D126" s="4">
        <v>-708575.65</v>
      </c>
      <c r="E126" s="4">
        <v>295972.13</v>
      </c>
      <c r="F126" s="3" t="e">
        <f>VLOOKUP(B126,'Profit &amp; Loss'!$B$3:$C$390,2,0)</f>
        <v>#N/A</v>
      </c>
    </row>
    <row r="127" spans="1:6" x14ac:dyDescent="0.2">
      <c r="A127" s="3" t="s">
        <v>122</v>
      </c>
      <c r="B127" s="3" t="s">
        <v>124</v>
      </c>
      <c r="C127" s="4">
        <v>-1113.9000000000001</v>
      </c>
      <c r="D127" s="4">
        <v>5355.52</v>
      </c>
      <c r="E127" s="4">
        <v>-6469.42</v>
      </c>
      <c r="F127" s="3" t="e">
        <f>VLOOKUP(B127,'Profit &amp; Loss'!$B$3:$C$390,2,0)</f>
        <v>#N/A</v>
      </c>
    </row>
    <row r="128" spans="1:6" x14ac:dyDescent="0.2">
      <c r="A128" s="3" t="s">
        <v>122</v>
      </c>
      <c r="B128" s="3" t="s">
        <v>126</v>
      </c>
      <c r="C128" s="4">
        <v>6976699.8499999996</v>
      </c>
      <c r="D128" s="4">
        <v>3733367.23</v>
      </c>
      <c r="E128" s="4">
        <v>3243332.62</v>
      </c>
      <c r="F128" s="3" t="e">
        <f>VLOOKUP(B128,'Profit &amp; Loss'!$B$3:$C$390,2,0)</f>
        <v>#N/A</v>
      </c>
    </row>
    <row r="129" spans="1:6" x14ac:dyDescent="0.2">
      <c r="A129" s="3" t="s">
        <v>122</v>
      </c>
      <c r="B129" s="3" t="s">
        <v>127</v>
      </c>
      <c r="C129" s="4">
        <v>7122.37</v>
      </c>
      <c r="D129" s="4">
        <v>10102.75</v>
      </c>
      <c r="E129" s="4">
        <v>-2980.38</v>
      </c>
      <c r="F129" s="3" t="e">
        <f>VLOOKUP(B129,'Profit &amp; Loss'!$B$3:$C$390,2,0)</f>
        <v>#N/A</v>
      </c>
    </row>
    <row r="130" spans="1:6" x14ac:dyDescent="0.2">
      <c r="A130" s="3" t="s">
        <v>122</v>
      </c>
      <c r="B130" s="3" t="s">
        <v>128</v>
      </c>
      <c r="C130" s="4">
        <v>85113.84</v>
      </c>
      <c r="D130" s="4">
        <v>37983.26</v>
      </c>
      <c r="E130" s="4">
        <v>47130.58</v>
      </c>
      <c r="F130" s="3" t="e">
        <f>VLOOKUP(B130,'Profit &amp; Loss'!$B$3:$C$390,2,0)</f>
        <v>#N/A</v>
      </c>
    </row>
    <row r="131" spans="1:6" x14ac:dyDescent="0.2">
      <c r="A131" s="3" t="s">
        <v>122</v>
      </c>
      <c r="B131" s="3" t="s">
        <v>129</v>
      </c>
      <c r="C131" s="4">
        <v>-6976699.8499999996</v>
      </c>
      <c r="D131" s="4">
        <v>-3733367.23</v>
      </c>
      <c r="E131" s="4">
        <v>-3243332.62</v>
      </c>
      <c r="F131" s="3" t="e">
        <f>VLOOKUP(B131,'Profit &amp; Loss'!$B$3:$C$390,2,0)</f>
        <v>#N/A</v>
      </c>
    </row>
    <row r="132" spans="1:6" x14ac:dyDescent="0.2">
      <c r="A132" s="3" t="s">
        <v>122</v>
      </c>
      <c r="B132" s="3" t="s">
        <v>130</v>
      </c>
      <c r="C132" s="4">
        <v>-7122.37</v>
      </c>
      <c r="D132" s="4">
        <v>-10102.75</v>
      </c>
      <c r="E132" s="4">
        <v>2980.38</v>
      </c>
      <c r="F132" s="3" t="e">
        <f>VLOOKUP(B132,'Profit &amp; Loss'!$B$3:$C$390,2,0)</f>
        <v>#N/A</v>
      </c>
    </row>
    <row r="133" spans="1:6" x14ac:dyDescent="0.2">
      <c r="A133" s="3" t="s">
        <v>122</v>
      </c>
      <c r="B133" s="3" t="s">
        <v>131</v>
      </c>
      <c r="C133" s="4">
        <v>-85113.84</v>
      </c>
      <c r="D133" s="4">
        <v>-37983.26</v>
      </c>
      <c r="E133" s="4">
        <v>-47130.58</v>
      </c>
      <c r="F133" s="3" t="e">
        <f>VLOOKUP(B133,'Profit &amp; Loss'!$B$3:$C$390,2,0)</f>
        <v>#N/A</v>
      </c>
    </row>
    <row r="134" spans="1:6" x14ac:dyDescent="0.2">
      <c r="A134" s="3" t="s">
        <v>122</v>
      </c>
      <c r="B134" s="3" t="s">
        <v>132</v>
      </c>
      <c r="C134" s="4">
        <v>5743.74</v>
      </c>
      <c r="D134" s="4">
        <v>6558.55</v>
      </c>
      <c r="E134" s="4">
        <v>-814.81</v>
      </c>
      <c r="F134" s="3" t="e">
        <f>VLOOKUP(B134,'Profit &amp; Loss'!$B$3:$C$390,2,0)</f>
        <v>#N/A</v>
      </c>
    </row>
    <row r="135" spans="1:6" x14ac:dyDescent="0.2">
      <c r="A135" s="3" t="s">
        <v>122</v>
      </c>
      <c r="B135" s="3" t="s">
        <v>133</v>
      </c>
      <c r="C135" s="4">
        <v>-5743.74</v>
      </c>
      <c r="D135" s="4">
        <v>-6558.55</v>
      </c>
      <c r="E135" s="4">
        <v>814.81</v>
      </c>
      <c r="F135" s="3" t="e">
        <f>VLOOKUP(B135,'Profit &amp; Loss'!$B$3:$C$390,2,0)</f>
        <v>#N/A</v>
      </c>
    </row>
    <row r="136" spans="1:6" x14ac:dyDescent="0.2">
      <c r="A136" s="3" t="s">
        <v>122</v>
      </c>
      <c r="B136" s="3" t="s">
        <v>134</v>
      </c>
      <c r="C136" s="4">
        <v>-30.46</v>
      </c>
      <c r="D136" s="4">
        <v>-4389.34</v>
      </c>
      <c r="E136" s="4">
        <v>4358.88</v>
      </c>
      <c r="F136" s="3" t="e">
        <f>VLOOKUP(B136,'Profit &amp; Loss'!$B$3:$C$390,2,0)</f>
        <v>#N/A</v>
      </c>
    </row>
    <row r="137" spans="1:6" x14ac:dyDescent="0.2">
      <c r="A137" s="3" t="s">
        <v>122</v>
      </c>
      <c r="B137" s="3" t="s">
        <v>135</v>
      </c>
      <c r="C137" s="4">
        <v>30.46</v>
      </c>
      <c r="D137" s="4">
        <v>4389.34</v>
      </c>
      <c r="E137" s="4">
        <v>-4358.88</v>
      </c>
      <c r="F137" s="3" t="e">
        <f>VLOOKUP(B137,'Profit &amp; Loss'!$B$3:$C$390,2,0)</f>
        <v>#N/A</v>
      </c>
    </row>
    <row r="138" spans="1:6" x14ac:dyDescent="0.2">
      <c r="A138" s="3" t="s">
        <v>122</v>
      </c>
      <c r="B138" s="3" t="s">
        <v>136</v>
      </c>
      <c r="C138" s="4">
        <v>-37782.78</v>
      </c>
      <c r="D138" s="4">
        <v>-22289.41</v>
      </c>
      <c r="E138" s="4">
        <v>-15493.37</v>
      </c>
      <c r="F138" s="3" t="e">
        <f>VLOOKUP(B138,'Profit &amp; Loss'!$B$3:$C$390,2,0)</f>
        <v>#N/A</v>
      </c>
    </row>
    <row r="139" spans="1:6" x14ac:dyDescent="0.2">
      <c r="A139" s="3" t="s">
        <v>122</v>
      </c>
      <c r="B139" s="3" t="s">
        <v>137</v>
      </c>
      <c r="C139" s="4">
        <v>37782.78</v>
      </c>
      <c r="D139" s="4">
        <v>22289.41</v>
      </c>
      <c r="E139" s="4">
        <v>15493.37</v>
      </c>
      <c r="F139" s="3" t="e">
        <f>VLOOKUP(B139,'Profit &amp; Loss'!$B$3:$C$390,2,0)</f>
        <v>#N/A</v>
      </c>
    </row>
    <row r="140" spans="1:6" x14ac:dyDescent="0.2">
      <c r="A140" s="3" t="s">
        <v>122</v>
      </c>
      <c r="B140" s="3" t="s">
        <v>138</v>
      </c>
      <c r="C140" s="4">
        <v>-1898.67</v>
      </c>
      <c r="D140" s="4">
        <v>-12092.69</v>
      </c>
      <c r="E140" s="4">
        <v>10194.02</v>
      </c>
      <c r="F140" s="3" t="e">
        <f>VLOOKUP(B140,'Profit &amp; Loss'!$B$3:$C$390,2,0)</f>
        <v>#N/A</v>
      </c>
    </row>
    <row r="141" spans="1:6" x14ac:dyDescent="0.2">
      <c r="A141" s="3" t="s">
        <v>122</v>
      </c>
      <c r="B141" s="3" t="s">
        <v>139</v>
      </c>
      <c r="C141" s="4">
        <v>1898.67</v>
      </c>
      <c r="D141" s="4">
        <v>12092.69</v>
      </c>
      <c r="E141" s="4">
        <v>-10194.02</v>
      </c>
      <c r="F141" s="3" t="e">
        <f>VLOOKUP(B141,'Profit &amp; Loss'!$B$3:$C$390,2,0)</f>
        <v>#N/A</v>
      </c>
    </row>
    <row r="142" spans="1:6" x14ac:dyDescent="0.2">
      <c r="A142" s="3" t="s">
        <v>122</v>
      </c>
      <c r="B142" s="3" t="s">
        <v>985</v>
      </c>
      <c r="C142" s="4">
        <v>-974.44</v>
      </c>
      <c r="D142" s="4">
        <v>-943.24</v>
      </c>
      <c r="E142" s="4">
        <v>-31.2</v>
      </c>
      <c r="F142" s="3" t="e">
        <f>VLOOKUP(B142,'Profit &amp; Loss'!$B$3:$C$390,2,0)</f>
        <v>#N/A</v>
      </c>
    </row>
    <row r="143" spans="1:6" x14ac:dyDescent="0.2">
      <c r="A143" s="3" t="s">
        <v>122</v>
      </c>
      <c r="B143" s="3" t="s">
        <v>986</v>
      </c>
      <c r="C143" s="4">
        <v>974.44</v>
      </c>
      <c r="D143" s="4">
        <v>943.24</v>
      </c>
      <c r="E143" s="4">
        <v>31.2</v>
      </c>
      <c r="F143" s="3" t="e">
        <f>VLOOKUP(B143,'Profit &amp; Loss'!$B$3:$C$390,2,0)</f>
        <v>#N/A</v>
      </c>
    </row>
    <row r="144" spans="1:6" x14ac:dyDescent="0.2">
      <c r="A144" s="3" t="s">
        <v>122</v>
      </c>
      <c r="B144" s="3" t="s">
        <v>140</v>
      </c>
      <c r="C144" s="4">
        <v>-49343.77</v>
      </c>
      <c r="D144" s="4">
        <v>-52320.33</v>
      </c>
      <c r="E144" s="4">
        <v>2976.56</v>
      </c>
      <c r="F144" s="3" t="e">
        <f>VLOOKUP(B144,'Profit &amp; Loss'!$B$3:$C$390,2,0)</f>
        <v>#N/A</v>
      </c>
    </row>
    <row r="145" spans="1:6" x14ac:dyDescent="0.2">
      <c r="A145" s="3" t="s">
        <v>122</v>
      </c>
      <c r="B145" s="3" t="s">
        <v>141</v>
      </c>
      <c r="C145" s="4">
        <v>49343.77</v>
      </c>
      <c r="D145" s="4">
        <v>53628.75</v>
      </c>
      <c r="E145" s="4">
        <v>-4284.9799999999996</v>
      </c>
      <c r="F145" s="3" t="e">
        <f>VLOOKUP(B145,'Profit &amp; Loss'!$B$3:$C$390,2,0)</f>
        <v>#N/A</v>
      </c>
    </row>
    <row r="146" spans="1:6" x14ac:dyDescent="0.2">
      <c r="A146" s="3" t="s">
        <v>122</v>
      </c>
      <c r="B146" s="3" t="s">
        <v>142</v>
      </c>
      <c r="C146" s="4">
        <v>-127728.31</v>
      </c>
      <c r="D146" s="4">
        <v>-44585.919999999998</v>
      </c>
      <c r="E146" s="4">
        <v>-83142.39</v>
      </c>
      <c r="F146" s="3" t="e">
        <f>VLOOKUP(B146,'Profit &amp; Loss'!$B$3:$C$390,2,0)</f>
        <v>#N/A</v>
      </c>
    </row>
    <row r="147" spans="1:6" x14ac:dyDescent="0.2">
      <c r="A147" s="3" t="s">
        <v>122</v>
      </c>
      <c r="B147" s="3" t="s">
        <v>143</v>
      </c>
      <c r="C147" s="4">
        <v>127728.31</v>
      </c>
      <c r="D147" s="4">
        <v>44585.919999999998</v>
      </c>
      <c r="E147" s="4">
        <v>83142.39</v>
      </c>
      <c r="F147" s="3" t="e">
        <f>VLOOKUP(B147,'Profit &amp; Loss'!$B$3:$C$390,2,0)</f>
        <v>#N/A</v>
      </c>
    </row>
    <row r="148" spans="1:6" x14ac:dyDescent="0.2">
      <c r="A148" s="3" t="s">
        <v>122</v>
      </c>
      <c r="B148" s="3" t="s">
        <v>144</v>
      </c>
      <c r="C148" s="4">
        <v>176731.45</v>
      </c>
      <c r="D148" s="4">
        <v>176731.45</v>
      </c>
      <c r="E148" s="4">
        <v>0</v>
      </c>
      <c r="F148" s="3" t="e">
        <f>VLOOKUP(B148,'Profit &amp; Loss'!$B$3:$C$390,2,0)</f>
        <v>#N/A</v>
      </c>
    </row>
    <row r="149" spans="1:6" x14ac:dyDescent="0.2">
      <c r="A149" s="3" t="s">
        <v>122</v>
      </c>
      <c r="B149" s="3" t="s">
        <v>145</v>
      </c>
      <c r="C149" s="4">
        <v>-0.48</v>
      </c>
      <c r="D149" s="4">
        <v>-0.48</v>
      </c>
      <c r="E149" s="4">
        <v>0</v>
      </c>
      <c r="F149" s="3" t="e">
        <f>VLOOKUP(B149,'Profit &amp; Loss'!$B$3:$C$390,2,0)</f>
        <v>#N/A</v>
      </c>
    </row>
    <row r="150" spans="1:6" x14ac:dyDescent="0.2">
      <c r="A150" s="3" t="s">
        <v>122</v>
      </c>
      <c r="B150" s="3" t="s">
        <v>146</v>
      </c>
      <c r="C150" s="4">
        <v>0.48</v>
      </c>
      <c r="D150" s="4">
        <v>0.48</v>
      </c>
      <c r="E150" s="4">
        <v>0</v>
      </c>
      <c r="F150" s="3" t="e">
        <f>VLOOKUP(B150,'Profit &amp; Loss'!$B$3:$C$390,2,0)</f>
        <v>#N/A</v>
      </c>
    </row>
    <row r="151" spans="1:6" x14ac:dyDescent="0.2">
      <c r="A151" s="3" t="s">
        <v>122</v>
      </c>
      <c r="B151" s="3" t="s">
        <v>147</v>
      </c>
      <c r="C151" s="4">
        <v>-2806887.33</v>
      </c>
      <c r="D151" s="4">
        <v>-2758848.33</v>
      </c>
      <c r="E151" s="4">
        <v>-48039</v>
      </c>
      <c r="F151" s="3" t="e">
        <f>VLOOKUP(B151,'Profit &amp; Loss'!$B$3:$C$390,2,0)</f>
        <v>#N/A</v>
      </c>
    </row>
    <row r="152" spans="1:6" x14ac:dyDescent="0.2">
      <c r="A152" s="3" t="s">
        <v>122</v>
      </c>
      <c r="B152" s="3" t="s">
        <v>2</v>
      </c>
      <c r="C152" s="4">
        <v>-3043873.3</v>
      </c>
      <c r="D152" s="4">
        <v>-3284028.59</v>
      </c>
      <c r="E152" s="4">
        <v>240155.29</v>
      </c>
      <c r="F152" s="3" t="e">
        <f>VLOOKUP(B152,'Profit &amp; Loss'!$B$3:$C$390,2,0)</f>
        <v>#N/A</v>
      </c>
    </row>
    <row r="153" spans="1:6" x14ac:dyDescent="0.2">
      <c r="A153" s="3" t="s">
        <v>148</v>
      </c>
      <c r="B153" s="3" t="s">
        <v>2</v>
      </c>
      <c r="C153" s="4">
        <v>-3043873.3</v>
      </c>
      <c r="D153" s="4">
        <v>-3284028.59</v>
      </c>
      <c r="E153" s="4">
        <v>240155.29</v>
      </c>
      <c r="F153" s="3" t="e">
        <f>VLOOKUP(B153,'Profit &amp; Loss'!$B$3:$C$390,2,0)</f>
        <v>#N/A</v>
      </c>
    </row>
    <row r="154" spans="1:6" x14ac:dyDescent="0.2">
      <c r="A154" s="3" t="s">
        <v>149</v>
      </c>
      <c r="B154" s="3" t="s">
        <v>150</v>
      </c>
      <c r="C154" s="4">
        <v>108.76</v>
      </c>
      <c r="D154" s="4">
        <v>108.76</v>
      </c>
      <c r="E154" s="4">
        <v>0</v>
      </c>
      <c r="F154" s="3" t="e">
        <f>VLOOKUP(B154,'Profit &amp; Loss'!$B$3:$C$390,2,0)</f>
        <v>#N/A</v>
      </c>
    </row>
    <row r="155" spans="1:6" x14ac:dyDescent="0.2">
      <c r="A155" s="3" t="s">
        <v>149</v>
      </c>
      <c r="B155" s="3" t="s">
        <v>151</v>
      </c>
      <c r="C155" s="4">
        <v>-112.26</v>
      </c>
      <c r="D155" s="4">
        <v>-11.31</v>
      </c>
      <c r="E155" s="4">
        <v>-100.95</v>
      </c>
      <c r="F155" s="3" t="e">
        <f>VLOOKUP(B155,'Profit &amp; Loss'!$B$3:$C$390,2,0)</f>
        <v>#N/A</v>
      </c>
    </row>
    <row r="156" spans="1:6" x14ac:dyDescent="0.2">
      <c r="A156" s="3" t="s">
        <v>149</v>
      </c>
      <c r="B156" s="3" t="s">
        <v>152</v>
      </c>
      <c r="C156" s="4">
        <v>4855.91</v>
      </c>
      <c r="D156" s="4">
        <v>4855.91</v>
      </c>
      <c r="E156" s="4">
        <v>0</v>
      </c>
      <c r="F156" s="3" t="e">
        <f>VLOOKUP(B156,'Profit &amp; Loss'!$B$3:$C$390,2,0)</f>
        <v>#N/A</v>
      </c>
    </row>
    <row r="157" spans="1:6" x14ac:dyDescent="0.2">
      <c r="A157" s="3" t="s">
        <v>149</v>
      </c>
      <c r="B157" s="3" t="s">
        <v>153</v>
      </c>
      <c r="C157" s="4">
        <v>-248.8</v>
      </c>
      <c r="D157" s="4">
        <v>-248.8</v>
      </c>
      <c r="E157" s="4">
        <v>0</v>
      </c>
      <c r="F157" s="3" t="e">
        <f>VLOOKUP(B157,'Profit &amp; Loss'!$B$3:$C$390,2,0)</f>
        <v>#N/A</v>
      </c>
    </row>
    <row r="158" spans="1:6" x14ac:dyDescent="0.2">
      <c r="A158" s="3" t="s">
        <v>149</v>
      </c>
      <c r="B158" s="3" t="s">
        <v>154</v>
      </c>
      <c r="C158" s="4">
        <v>-5178.87</v>
      </c>
      <c r="D158" s="4">
        <v>-9501.7000000000007</v>
      </c>
      <c r="E158" s="4">
        <v>4322.83</v>
      </c>
      <c r="F158" s="3" t="e">
        <f>VLOOKUP(B158,'Profit &amp; Loss'!$B$3:$C$390,2,0)</f>
        <v>#N/A</v>
      </c>
    </row>
    <row r="159" spans="1:6" x14ac:dyDescent="0.2">
      <c r="A159" s="3" t="s">
        <v>149</v>
      </c>
      <c r="B159" s="3" t="s">
        <v>2</v>
      </c>
      <c r="C159" s="4">
        <v>-575.26</v>
      </c>
      <c r="D159" s="4">
        <v>-4797.1400000000003</v>
      </c>
      <c r="E159" s="4">
        <v>4221.88</v>
      </c>
      <c r="F159" s="3" t="e">
        <f>VLOOKUP(B159,'Profit &amp; Loss'!$B$3:$C$390,2,0)</f>
        <v>#N/A</v>
      </c>
    </row>
    <row r="160" spans="1:6" x14ac:dyDescent="0.2">
      <c r="A160" s="3" t="s">
        <v>155</v>
      </c>
      <c r="B160" s="3" t="s">
        <v>2</v>
      </c>
      <c r="C160" s="4">
        <v>-575.26</v>
      </c>
      <c r="D160" s="4">
        <v>-4797.1400000000003</v>
      </c>
      <c r="E160" s="4">
        <v>4221.88</v>
      </c>
      <c r="F160" s="3" t="e">
        <f>VLOOKUP(B160,'Profit &amp; Loss'!$B$3:$C$390,2,0)</f>
        <v>#N/A</v>
      </c>
    </row>
    <row r="161" spans="1:6" x14ac:dyDescent="0.2">
      <c r="A161" s="3" t="s">
        <v>156</v>
      </c>
      <c r="B161" s="3" t="s">
        <v>157</v>
      </c>
      <c r="C161" s="4">
        <v>-1534.99</v>
      </c>
      <c r="D161" s="4">
        <v>-1534.99</v>
      </c>
      <c r="E161" s="4">
        <v>0</v>
      </c>
      <c r="F161" s="3" t="e">
        <f>VLOOKUP(B161,'Profit &amp; Loss'!$B$3:$C$390,2,0)</f>
        <v>#N/A</v>
      </c>
    </row>
    <row r="162" spans="1:6" x14ac:dyDescent="0.2">
      <c r="A162" s="3" t="s">
        <v>156</v>
      </c>
      <c r="B162" s="3" t="s">
        <v>158</v>
      </c>
      <c r="C162" s="4">
        <v>1168.55</v>
      </c>
      <c r="D162" s="4">
        <v>1168.55</v>
      </c>
      <c r="E162" s="4">
        <v>0</v>
      </c>
      <c r="F162" s="3" t="e">
        <f>VLOOKUP(B162,'Profit &amp; Loss'!$B$3:$C$390,2,0)</f>
        <v>#N/A</v>
      </c>
    </row>
    <row r="163" spans="1:6" x14ac:dyDescent="0.2">
      <c r="A163" s="3" t="s">
        <v>156</v>
      </c>
      <c r="B163" s="3" t="s">
        <v>160</v>
      </c>
      <c r="C163" s="4">
        <v>-556.95000000000005</v>
      </c>
      <c r="D163" s="4">
        <v>-556.95000000000005</v>
      </c>
      <c r="E163" s="4">
        <v>0</v>
      </c>
      <c r="F163" s="3" t="e">
        <f>VLOOKUP(B163,'Profit &amp; Loss'!$B$3:$C$390,2,0)</f>
        <v>#N/A</v>
      </c>
    </row>
    <row r="164" spans="1:6" x14ac:dyDescent="0.2">
      <c r="A164" s="3" t="s">
        <v>156</v>
      </c>
      <c r="B164" s="3" t="s">
        <v>161</v>
      </c>
      <c r="C164" s="4">
        <v>5347.25</v>
      </c>
      <c r="D164" s="4">
        <v>3339.85</v>
      </c>
      <c r="E164" s="4">
        <v>2007.4</v>
      </c>
      <c r="F164" s="3" t="e">
        <f>VLOOKUP(B164,'Profit &amp; Loss'!$B$3:$C$390,2,0)</f>
        <v>#N/A</v>
      </c>
    </row>
    <row r="165" spans="1:6" x14ac:dyDescent="0.2">
      <c r="A165" s="3" t="s">
        <v>156</v>
      </c>
      <c r="B165" s="3" t="s">
        <v>2</v>
      </c>
      <c r="C165" s="4">
        <v>4423.8599999999997</v>
      </c>
      <c r="D165" s="4">
        <v>2416.46</v>
      </c>
      <c r="E165" s="4">
        <v>2007.4</v>
      </c>
      <c r="F165" s="3" t="e">
        <f>VLOOKUP(B165,'Profit &amp; Loss'!$B$3:$C$390,2,0)</f>
        <v>#N/A</v>
      </c>
    </row>
    <row r="166" spans="1:6" x14ac:dyDescent="0.2">
      <c r="A166" s="3" t="s">
        <v>162</v>
      </c>
      <c r="B166" s="3" t="s">
        <v>163</v>
      </c>
      <c r="C166" s="4">
        <v>-68234.289999999994</v>
      </c>
      <c r="D166" s="4">
        <v>-68234.289999999994</v>
      </c>
      <c r="E166" s="4">
        <v>0</v>
      </c>
      <c r="F166" s="3" t="e">
        <f>VLOOKUP(B166,'Profit &amp; Loss'!$B$3:$C$390,2,0)</f>
        <v>#N/A</v>
      </c>
    </row>
    <row r="167" spans="1:6" x14ac:dyDescent="0.2">
      <c r="A167" s="3" t="s">
        <v>162</v>
      </c>
      <c r="B167" s="3" t="s">
        <v>164</v>
      </c>
      <c r="C167" s="4">
        <v>-313923.65000000002</v>
      </c>
      <c r="D167" s="4">
        <v>-316096.03999999998</v>
      </c>
      <c r="E167" s="4">
        <v>2172.39</v>
      </c>
      <c r="F167" s="3" t="e">
        <f>VLOOKUP(B167,'Profit &amp; Loss'!$B$3:$C$390,2,0)</f>
        <v>#N/A</v>
      </c>
    </row>
    <row r="168" spans="1:6" x14ac:dyDescent="0.2">
      <c r="A168" s="3" t="s">
        <v>162</v>
      </c>
      <c r="B168" s="3" t="s">
        <v>165</v>
      </c>
      <c r="C168" s="4">
        <v>-267282.21000000002</v>
      </c>
      <c r="D168" s="4">
        <v>-262894.59999999998</v>
      </c>
      <c r="E168" s="4">
        <v>-4387.6099999999997</v>
      </c>
      <c r="F168" s="3" t="e">
        <f>VLOOKUP(B168,'Profit &amp; Loss'!$B$3:$C$390,2,0)</f>
        <v>#N/A</v>
      </c>
    </row>
    <row r="169" spans="1:6" x14ac:dyDescent="0.2">
      <c r="A169" s="3" t="s">
        <v>162</v>
      </c>
      <c r="B169" s="3" t="s">
        <v>166</v>
      </c>
      <c r="C169" s="4">
        <v>-12084.13</v>
      </c>
      <c r="D169" s="4">
        <v>-1131.83</v>
      </c>
      <c r="E169" s="4">
        <v>-10952.3</v>
      </c>
      <c r="F169" s="3" t="e">
        <f>VLOOKUP(B169,'Profit &amp; Loss'!$B$3:$C$390,2,0)</f>
        <v>#N/A</v>
      </c>
    </row>
    <row r="170" spans="1:6" x14ac:dyDescent="0.2">
      <c r="A170" s="3" t="s">
        <v>162</v>
      </c>
      <c r="B170" s="3" t="s">
        <v>167</v>
      </c>
      <c r="C170" s="4">
        <v>-511794.08</v>
      </c>
      <c r="D170" s="4">
        <v>-506672.25</v>
      </c>
      <c r="E170" s="4">
        <v>-5121.83</v>
      </c>
      <c r="F170" s="3" t="e">
        <f>VLOOKUP(B170,'Profit &amp; Loss'!$B$3:$C$390,2,0)</f>
        <v>#N/A</v>
      </c>
    </row>
    <row r="171" spans="1:6" x14ac:dyDescent="0.2">
      <c r="A171" s="3" t="s">
        <v>162</v>
      </c>
      <c r="B171" s="3" t="s">
        <v>168</v>
      </c>
      <c r="C171" s="4">
        <v>-51728.19</v>
      </c>
      <c r="D171" s="4">
        <v>-52111.53</v>
      </c>
      <c r="E171" s="4">
        <v>383.34</v>
      </c>
      <c r="F171" s="3" t="e">
        <f>VLOOKUP(B171,'Profit &amp; Loss'!$B$3:$C$390,2,0)</f>
        <v>#N/A</v>
      </c>
    </row>
    <row r="172" spans="1:6" x14ac:dyDescent="0.2">
      <c r="A172" s="3" t="s">
        <v>162</v>
      </c>
      <c r="B172" s="3" t="s">
        <v>169</v>
      </c>
      <c r="C172" s="4">
        <v>-457.93</v>
      </c>
      <c r="D172" s="4">
        <v>-463.03</v>
      </c>
      <c r="E172" s="4">
        <v>5.0999999999999996</v>
      </c>
      <c r="F172" s="3" t="e">
        <f>VLOOKUP(B172,'Profit &amp; Loss'!$B$3:$C$390,2,0)</f>
        <v>#N/A</v>
      </c>
    </row>
    <row r="173" spans="1:6" x14ac:dyDescent="0.2">
      <c r="A173" s="3" t="s">
        <v>162</v>
      </c>
      <c r="B173" s="3" t="s">
        <v>170</v>
      </c>
      <c r="C173" s="4">
        <v>-297131.3</v>
      </c>
      <c r="D173" s="4">
        <v>-299200.59999999998</v>
      </c>
      <c r="E173" s="4">
        <v>2069.3000000000002</v>
      </c>
      <c r="F173" s="3" t="e">
        <f>VLOOKUP(B173,'Profit &amp; Loss'!$B$3:$C$390,2,0)</f>
        <v>#N/A</v>
      </c>
    </row>
    <row r="174" spans="1:6" x14ac:dyDescent="0.2">
      <c r="A174" s="3" t="s">
        <v>162</v>
      </c>
      <c r="B174" s="3" t="s">
        <v>171</v>
      </c>
      <c r="C174" s="4">
        <v>-249406.66</v>
      </c>
      <c r="D174" s="4">
        <v>-251136.42</v>
      </c>
      <c r="E174" s="4">
        <v>1729.76</v>
      </c>
      <c r="F174" s="3" t="e">
        <f>VLOOKUP(B174,'Profit &amp; Loss'!$B$3:$C$390,2,0)</f>
        <v>#N/A</v>
      </c>
    </row>
    <row r="175" spans="1:6" x14ac:dyDescent="0.2">
      <c r="A175" s="3" t="s">
        <v>162</v>
      </c>
      <c r="B175" s="3" t="s">
        <v>2</v>
      </c>
      <c r="C175" s="4">
        <v>-1772042.44</v>
      </c>
      <c r="D175" s="4">
        <v>-1757940.59</v>
      </c>
      <c r="E175" s="4">
        <v>-14101.85</v>
      </c>
      <c r="F175" s="3" t="e">
        <f>VLOOKUP(B175,'Profit &amp; Loss'!$B$3:$C$390,2,0)</f>
        <v>#N/A</v>
      </c>
    </row>
    <row r="176" spans="1:6" x14ac:dyDescent="0.2">
      <c r="A176" s="3" t="s">
        <v>172</v>
      </c>
      <c r="B176" s="3" t="s">
        <v>173</v>
      </c>
      <c r="C176" s="4">
        <v>-933.6</v>
      </c>
      <c r="D176" s="4">
        <v>-1027.9000000000001</v>
      </c>
      <c r="E176" s="4">
        <v>94.3</v>
      </c>
      <c r="F176" s="3" t="e">
        <f>VLOOKUP(B176,'Profit &amp; Loss'!$B$3:$C$390,2,0)</f>
        <v>#N/A</v>
      </c>
    </row>
    <row r="177" spans="1:6" x14ac:dyDescent="0.2">
      <c r="A177" s="3" t="s">
        <v>172</v>
      </c>
      <c r="B177" s="3" t="s">
        <v>2</v>
      </c>
      <c r="C177" s="4">
        <v>-933.6</v>
      </c>
      <c r="D177" s="4">
        <v>-1027.9000000000001</v>
      </c>
      <c r="E177" s="4">
        <v>94.3</v>
      </c>
      <c r="F177" s="3" t="e">
        <f>VLOOKUP(B177,'Profit &amp; Loss'!$B$3:$C$390,2,0)</f>
        <v>#N/A</v>
      </c>
    </row>
    <row r="178" spans="1:6" x14ac:dyDescent="0.2">
      <c r="A178" s="3" t="s">
        <v>174</v>
      </c>
      <c r="B178" s="3" t="s">
        <v>175</v>
      </c>
      <c r="C178" s="4">
        <v>4348.1099999999997</v>
      </c>
      <c r="D178" s="4">
        <v>3962.6</v>
      </c>
      <c r="E178" s="4">
        <v>385.51</v>
      </c>
      <c r="F178" s="3" t="e">
        <f>VLOOKUP(B178,'Profit &amp; Loss'!$B$3:$C$390,2,0)</f>
        <v>#N/A</v>
      </c>
    </row>
    <row r="179" spans="1:6" x14ac:dyDescent="0.2">
      <c r="A179" s="3" t="s">
        <v>174</v>
      </c>
      <c r="B179" s="3" t="s">
        <v>176</v>
      </c>
      <c r="C179" s="4">
        <v>-637160.71</v>
      </c>
      <c r="D179" s="4">
        <v>-635320.46</v>
      </c>
      <c r="E179" s="4">
        <v>-1840.25</v>
      </c>
      <c r="F179" s="3" t="e">
        <f>VLOOKUP(B179,'Profit &amp; Loss'!$B$3:$C$390,2,0)</f>
        <v>#N/A</v>
      </c>
    </row>
    <row r="180" spans="1:6" x14ac:dyDescent="0.2">
      <c r="A180" s="3" t="s">
        <v>174</v>
      </c>
      <c r="B180" s="3" t="s">
        <v>177</v>
      </c>
      <c r="C180" s="4">
        <v>-60909.35</v>
      </c>
      <c r="D180" s="4">
        <v>-61471.14</v>
      </c>
      <c r="E180" s="4">
        <v>561.79</v>
      </c>
      <c r="F180" s="3" t="e">
        <f>VLOOKUP(B180,'Profit &amp; Loss'!$B$3:$C$390,2,0)</f>
        <v>#N/A</v>
      </c>
    </row>
    <row r="181" spans="1:6" x14ac:dyDescent="0.2">
      <c r="A181" s="3" t="s">
        <v>174</v>
      </c>
      <c r="B181" s="3" t="s">
        <v>2</v>
      </c>
      <c r="C181" s="4">
        <v>-693721.95</v>
      </c>
      <c r="D181" s="4">
        <v>-692829</v>
      </c>
      <c r="E181" s="4">
        <v>-892.95</v>
      </c>
      <c r="F181" s="3" t="e">
        <f>VLOOKUP(B181,'Profit &amp; Loss'!$B$3:$C$390,2,0)</f>
        <v>#N/A</v>
      </c>
    </row>
    <row r="182" spans="1:6" x14ac:dyDescent="0.2">
      <c r="A182" s="3" t="s">
        <v>178</v>
      </c>
      <c r="B182" s="3" t="s">
        <v>179</v>
      </c>
      <c r="C182" s="4">
        <v>-239124.69</v>
      </c>
      <c r="D182" s="4">
        <v>-214320.5</v>
      </c>
      <c r="E182" s="4">
        <v>-24804.19</v>
      </c>
      <c r="F182" s="3" t="e">
        <f>VLOOKUP(B182,'Profit &amp; Loss'!$B$3:$C$390,2,0)</f>
        <v>#N/A</v>
      </c>
    </row>
    <row r="183" spans="1:6" x14ac:dyDescent="0.2">
      <c r="A183" s="3" t="s">
        <v>178</v>
      </c>
      <c r="B183" s="3" t="s">
        <v>180</v>
      </c>
      <c r="C183" s="4">
        <v>-184.64</v>
      </c>
      <c r="D183" s="4">
        <v>-184.64</v>
      </c>
      <c r="E183" s="4">
        <v>0</v>
      </c>
      <c r="F183" s="3" t="e">
        <f>VLOOKUP(B183,'Profit &amp; Loss'!$B$3:$C$390,2,0)</f>
        <v>#N/A</v>
      </c>
    </row>
    <row r="184" spans="1:6" x14ac:dyDescent="0.2">
      <c r="A184" s="3" t="s">
        <v>178</v>
      </c>
      <c r="B184" s="3" t="s">
        <v>181</v>
      </c>
      <c r="C184" s="4">
        <v>899.58</v>
      </c>
      <c r="D184" s="4">
        <v>899.58</v>
      </c>
      <c r="E184" s="4">
        <v>0</v>
      </c>
      <c r="F184" s="3" t="e">
        <f>VLOOKUP(B184,'Profit &amp; Loss'!$B$3:$C$390,2,0)</f>
        <v>#N/A</v>
      </c>
    </row>
    <row r="185" spans="1:6" x14ac:dyDescent="0.2">
      <c r="A185" s="3" t="s">
        <v>178</v>
      </c>
      <c r="B185" s="3" t="s">
        <v>182</v>
      </c>
      <c r="C185" s="4">
        <v>-597.94000000000005</v>
      </c>
      <c r="D185" s="4">
        <v>-597.94000000000005</v>
      </c>
      <c r="E185" s="4">
        <v>0</v>
      </c>
      <c r="F185" s="3" t="e">
        <f>VLOOKUP(B185,'Profit &amp; Loss'!$B$3:$C$390,2,0)</f>
        <v>#N/A</v>
      </c>
    </row>
    <row r="186" spans="1:6" x14ac:dyDescent="0.2">
      <c r="A186" s="3" t="s">
        <v>178</v>
      </c>
      <c r="B186" s="3" t="s">
        <v>184</v>
      </c>
      <c r="C186" s="4">
        <v>-1002</v>
      </c>
      <c r="D186" s="4">
        <v>-3972.7</v>
      </c>
      <c r="E186" s="4">
        <v>2970.7</v>
      </c>
      <c r="F186" s="3" t="e">
        <f>VLOOKUP(B186,'Profit &amp; Loss'!$B$3:$C$390,2,0)</f>
        <v>#N/A</v>
      </c>
    </row>
    <row r="187" spans="1:6" x14ac:dyDescent="0.2">
      <c r="A187" s="3" t="s">
        <v>178</v>
      </c>
      <c r="B187" s="3" t="s">
        <v>185</v>
      </c>
      <c r="C187" s="4">
        <v>-36417.919999999998</v>
      </c>
      <c r="D187" s="4">
        <v>0</v>
      </c>
      <c r="E187" s="4">
        <v>-36417.919999999998</v>
      </c>
      <c r="F187" s="3" t="e">
        <f>VLOOKUP(B187,'Profit &amp; Loss'!$B$3:$C$390,2,0)</f>
        <v>#N/A</v>
      </c>
    </row>
    <row r="188" spans="1:6" x14ac:dyDescent="0.2">
      <c r="A188" s="3" t="s">
        <v>178</v>
      </c>
      <c r="B188" s="3" t="s">
        <v>186</v>
      </c>
      <c r="C188" s="4">
        <v>-200</v>
      </c>
      <c r="D188" s="4">
        <v>-800</v>
      </c>
      <c r="E188" s="4">
        <v>600</v>
      </c>
      <c r="F188" s="3" t="e">
        <f>VLOOKUP(B188,'Profit &amp; Loss'!$B$3:$C$390,2,0)</f>
        <v>#N/A</v>
      </c>
    </row>
    <row r="189" spans="1:6" x14ac:dyDescent="0.2">
      <c r="A189" s="3" t="s">
        <v>178</v>
      </c>
      <c r="B189" s="3" t="s">
        <v>187</v>
      </c>
      <c r="C189" s="4">
        <v>213.23</v>
      </c>
      <c r="D189" s="4">
        <v>277.31</v>
      </c>
      <c r="E189" s="4">
        <v>-64.08</v>
      </c>
      <c r="F189" s="3" t="e">
        <f>VLOOKUP(B189,'Profit &amp; Loss'!$B$3:$C$390,2,0)</f>
        <v>#N/A</v>
      </c>
    </row>
    <row r="190" spans="1:6" x14ac:dyDescent="0.2">
      <c r="A190" s="3" t="s">
        <v>178</v>
      </c>
      <c r="B190" s="3" t="s">
        <v>188</v>
      </c>
      <c r="C190" s="4">
        <v>-1653.29</v>
      </c>
      <c r="D190" s="4">
        <v>-1653.27</v>
      </c>
      <c r="E190" s="4">
        <v>-0.02</v>
      </c>
      <c r="F190" s="3" t="e">
        <f>VLOOKUP(B190,'Profit &amp; Loss'!$B$3:$C$390,2,0)</f>
        <v>#N/A</v>
      </c>
    </row>
    <row r="191" spans="1:6" x14ac:dyDescent="0.2">
      <c r="A191" s="3" t="s">
        <v>178</v>
      </c>
      <c r="B191" s="3" t="s">
        <v>189</v>
      </c>
      <c r="C191" s="4">
        <v>48.07</v>
      </c>
      <c r="D191" s="4">
        <v>61.22</v>
      </c>
      <c r="E191" s="4">
        <v>-13.15</v>
      </c>
      <c r="F191" s="3" t="e">
        <f>VLOOKUP(B191,'Profit &amp; Loss'!$B$3:$C$390,2,0)</f>
        <v>#N/A</v>
      </c>
    </row>
    <row r="192" spans="1:6" x14ac:dyDescent="0.2">
      <c r="A192" s="3" t="s">
        <v>178</v>
      </c>
      <c r="B192" s="3" t="s">
        <v>190</v>
      </c>
      <c r="C192" s="4">
        <v>142.04</v>
      </c>
      <c r="D192" s="4">
        <v>140.44</v>
      </c>
      <c r="E192" s="4">
        <v>1.6</v>
      </c>
      <c r="F192" s="3" t="e">
        <f>VLOOKUP(B192,'Profit &amp; Loss'!$B$3:$C$390,2,0)</f>
        <v>#N/A</v>
      </c>
    </row>
    <row r="193" spans="1:6" x14ac:dyDescent="0.2">
      <c r="A193" s="3" t="s">
        <v>178</v>
      </c>
      <c r="B193" s="3" t="s">
        <v>191</v>
      </c>
      <c r="C193" s="4">
        <v>-104.2</v>
      </c>
      <c r="D193" s="4">
        <v>-91.97</v>
      </c>
      <c r="E193" s="4">
        <v>-12.23</v>
      </c>
      <c r="F193" s="3" t="e">
        <f>VLOOKUP(B193,'Profit &amp; Loss'!$B$3:$C$390,2,0)</f>
        <v>#N/A</v>
      </c>
    </row>
    <row r="194" spans="1:6" x14ac:dyDescent="0.2">
      <c r="A194" s="3" t="s">
        <v>178</v>
      </c>
      <c r="B194" s="3" t="s">
        <v>192</v>
      </c>
      <c r="C194" s="4">
        <v>11798.28</v>
      </c>
      <c r="D194" s="4">
        <v>11668.41</v>
      </c>
      <c r="E194" s="4">
        <v>129.87</v>
      </c>
      <c r="F194" s="3" t="e">
        <f>VLOOKUP(B194,'Profit &amp; Loss'!$B$3:$C$390,2,0)</f>
        <v>#N/A</v>
      </c>
    </row>
    <row r="195" spans="1:6" x14ac:dyDescent="0.2">
      <c r="A195" s="3" t="s">
        <v>178</v>
      </c>
      <c r="B195" s="3" t="s">
        <v>193</v>
      </c>
      <c r="C195" s="4">
        <v>983.59</v>
      </c>
      <c r="D195" s="4">
        <v>1077.68</v>
      </c>
      <c r="E195" s="4">
        <v>-94.09</v>
      </c>
      <c r="F195" s="3" t="e">
        <f>VLOOKUP(B195,'Profit &amp; Loss'!$B$3:$C$390,2,0)</f>
        <v>#N/A</v>
      </c>
    </row>
    <row r="196" spans="1:6" x14ac:dyDescent="0.2">
      <c r="A196" s="3" t="s">
        <v>178</v>
      </c>
      <c r="B196" s="3" t="s">
        <v>194</v>
      </c>
      <c r="C196" s="4">
        <v>-23329.38</v>
      </c>
      <c r="D196" s="4">
        <v>-23655.87</v>
      </c>
      <c r="E196" s="4">
        <v>326.49</v>
      </c>
      <c r="F196" s="3" t="e">
        <f>VLOOKUP(B196,'Profit &amp; Loss'!$B$3:$C$390,2,0)</f>
        <v>#N/A</v>
      </c>
    </row>
    <row r="197" spans="1:6" x14ac:dyDescent="0.2">
      <c r="A197" s="3" t="s">
        <v>178</v>
      </c>
      <c r="B197" s="3" t="s">
        <v>195</v>
      </c>
      <c r="C197" s="4">
        <v>-37039.57</v>
      </c>
      <c r="D197" s="4">
        <v>-37316.6</v>
      </c>
      <c r="E197" s="4">
        <v>277.02999999999997</v>
      </c>
      <c r="F197" s="3" t="e">
        <f>VLOOKUP(B197,'Profit &amp; Loss'!$B$3:$C$390,2,0)</f>
        <v>#N/A</v>
      </c>
    </row>
    <row r="198" spans="1:6" x14ac:dyDescent="0.2">
      <c r="A198" s="3" t="s">
        <v>178</v>
      </c>
      <c r="B198" s="3" t="s">
        <v>196</v>
      </c>
      <c r="C198" s="4">
        <v>-23561.98</v>
      </c>
      <c r="D198" s="4">
        <v>-24096.09</v>
      </c>
      <c r="E198" s="4">
        <v>534.11</v>
      </c>
      <c r="F198" s="3" t="e">
        <f>VLOOKUP(B198,'Profit &amp; Loss'!$B$3:$C$390,2,0)</f>
        <v>#N/A</v>
      </c>
    </row>
    <row r="199" spans="1:6" x14ac:dyDescent="0.2">
      <c r="A199" s="3" t="s">
        <v>178</v>
      </c>
      <c r="B199" s="3" t="s">
        <v>2</v>
      </c>
      <c r="C199" s="4">
        <v>-349130.82</v>
      </c>
      <c r="D199" s="4">
        <v>-292564.94</v>
      </c>
      <c r="E199" s="4">
        <v>-56565.88</v>
      </c>
      <c r="F199" s="3" t="e">
        <f>VLOOKUP(B199,'Profit &amp; Loss'!$B$3:$C$390,2,0)</f>
        <v>#N/A</v>
      </c>
    </row>
    <row r="200" spans="1:6" x14ac:dyDescent="0.2">
      <c r="A200" s="3" t="s">
        <v>197</v>
      </c>
      <c r="B200" s="3" t="s">
        <v>2</v>
      </c>
      <c r="C200" s="4">
        <v>-2811404.95</v>
      </c>
      <c r="D200" s="4">
        <v>-2741945.97</v>
      </c>
      <c r="E200" s="4">
        <v>-69458.98</v>
      </c>
      <c r="F200" s="3" t="e">
        <f>VLOOKUP(B200,'Profit &amp; Loss'!$B$3:$C$390,2,0)</f>
        <v>#N/A</v>
      </c>
    </row>
    <row r="201" spans="1:6" x14ac:dyDescent="0.2">
      <c r="A201" s="3" t="s">
        <v>198</v>
      </c>
      <c r="B201" s="3" t="s">
        <v>199</v>
      </c>
      <c r="C201" s="4">
        <v>506742.43</v>
      </c>
      <c r="D201" s="4">
        <v>456660.03</v>
      </c>
      <c r="E201" s="4">
        <v>50082.400000000001</v>
      </c>
      <c r="F201" s="3" t="e">
        <f>VLOOKUP(B201,'Profit &amp; Loss'!$B$3:$C$390,2,0)</f>
        <v>#N/A</v>
      </c>
    </row>
    <row r="202" spans="1:6" x14ac:dyDescent="0.2">
      <c r="A202" s="3" t="s">
        <v>198</v>
      </c>
      <c r="B202" s="3" t="s">
        <v>2</v>
      </c>
      <c r="C202" s="4">
        <v>506742.43</v>
      </c>
      <c r="D202" s="4">
        <v>456660.03</v>
      </c>
      <c r="E202" s="4">
        <v>50082.400000000001</v>
      </c>
      <c r="F202" s="3" t="e">
        <f>VLOOKUP(B202,'Profit &amp; Loss'!$B$3:$C$390,2,0)</f>
        <v>#N/A</v>
      </c>
    </row>
    <row r="203" spans="1:6" x14ac:dyDescent="0.2">
      <c r="A203" s="3" t="s">
        <v>200</v>
      </c>
      <c r="B203" s="3" t="s">
        <v>201</v>
      </c>
      <c r="C203" s="4">
        <v>-5252.67</v>
      </c>
      <c r="D203" s="4">
        <v>-5252.67</v>
      </c>
      <c r="E203" s="4">
        <v>0</v>
      </c>
      <c r="F203" s="3" t="e">
        <f>VLOOKUP(B203,'Profit &amp; Loss'!$B$3:$C$390,2,0)</f>
        <v>#N/A</v>
      </c>
    </row>
    <row r="204" spans="1:6" x14ac:dyDescent="0.2">
      <c r="A204" s="3" t="s">
        <v>200</v>
      </c>
      <c r="B204" s="3" t="s">
        <v>203</v>
      </c>
      <c r="C204" s="4">
        <v>-10671.57</v>
      </c>
      <c r="D204" s="4">
        <v>-10671.57</v>
      </c>
      <c r="E204" s="4">
        <v>0</v>
      </c>
      <c r="F204" s="3" t="e">
        <f>VLOOKUP(B204,'Profit &amp; Loss'!$B$3:$C$390,2,0)</f>
        <v>#N/A</v>
      </c>
    </row>
    <row r="205" spans="1:6" x14ac:dyDescent="0.2">
      <c r="A205" s="3" t="s">
        <v>200</v>
      </c>
      <c r="B205" s="3" t="s">
        <v>204</v>
      </c>
      <c r="C205" s="4">
        <v>-20871.29</v>
      </c>
      <c r="D205" s="4">
        <v>-20871.29</v>
      </c>
      <c r="E205" s="4">
        <v>0</v>
      </c>
      <c r="F205" s="3" t="e">
        <f>VLOOKUP(B205,'Profit &amp; Loss'!$B$3:$C$390,2,0)</f>
        <v>#N/A</v>
      </c>
    </row>
    <row r="206" spans="1:6" x14ac:dyDescent="0.2">
      <c r="A206" s="3" t="s">
        <v>200</v>
      </c>
      <c r="B206" s="3" t="s">
        <v>205</v>
      </c>
      <c r="C206" s="4">
        <v>-5.01</v>
      </c>
      <c r="D206" s="4">
        <v>-5.01</v>
      </c>
      <c r="E206" s="4">
        <v>0</v>
      </c>
      <c r="F206" s="3" t="e">
        <f>VLOOKUP(B206,'Profit &amp; Loss'!$B$3:$C$390,2,0)</f>
        <v>#N/A</v>
      </c>
    </row>
    <row r="207" spans="1:6" x14ac:dyDescent="0.2">
      <c r="A207" s="3" t="s">
        <v>200</v>
      </c>
      <c r="B207" s="3" t="s">
        <v>209</v>
      </c>
      <c r="C207" s="4">
        <v>-0.03</v>
      </c>
      <c r="D207" s="4">
        <v>-0.03</v>
      </c>
      <c r="E207" s="4">
        <v>0</v>
      </c>
      <c r="F207" s="3" t="e">
        <f>VLOOKUP(B207,'Profit &amp; Loss'!$B$3:$C$390,2,0)</f>
        <v>#N/A</v>
      </c>
    </row>
    <row r="208" spans="1:6" x14ac:dyDescent="0.2">
      <c r="A208" s="3" t="s">
        <v>200</v>
      </c>
      <c r="B208" s="3" t="s">
        <v>2</v>
      </c>
      <c r="C208" s="4">
        <v>-36800.57</v>
      </c>
      <c r="D208" s="4">
        <v>-36800.57</v>
      </c>
      <c r="E208" s="4">
        <v>0</v>
      </c>
      <c r="F208" s="3" t="e">
        <f>VLOOKUP(B208,'Profit &amp; Loss'!$B$3:$C$390,2,0)</f>
        <v>#N/A</v>
      </c>
    </row>
    <row r="209" spans="1:6" x14ac:dyDescent="0.2">
      <c r="A209" s="3" t="s">
        <v>210</v>
      </c>
      <c r="B209" s="3" t="s">
        <v>2</v>
      </c>
      <c r="C209" s="4">
        <v>469941.86</v>
      </c>
      <c r="D209" s="4">
        <v>419859.46</v>
      </c>
      <c r="E209" s="4">
        <v>50082.400000000001</v>
      </c>
      <c r="F209" s="3" t="e">
        <f>VLOOKUP(B209,'Profit &amp; Loss'!$B$3:$C$390,2,0)</f>
        <v>#N/A</v>
      </c>
    </row>
    <row r="210" spans="1:6" x14ac:dyDescent="0.2">
      <c r="A210" s="3" t="s">
        <v>211</v>
      </c>
      <c r="B210" s="3" t="s">
        <v>212</v>
      </c>
      <c r="C210" s="4">
        <v>-410987.37</v>
      </c>
      <c r="D210" s="4">
        <v>-473262.13</v>
      </c>
      <c r="E210" s="4">
        <v>62274.76</v>
      </c>
      <c r="F210" s="3" t="e">
        <f>VLOOKUP(B210,'Profit &amp; Loss'!$B$3:$C$390,2,0)</f>
        <v>#N/A</v>
      </c>
    </row>
    <row r="211" spans="1:6" x14ac:dyDescent="0.2">
      <c r="A211" s="3" t="s">
        <v>211</v>
      </c>
      <c r="B211" s="3" t="s">
        <v>213</v>
      </c>
      <c r="C211" s="4">
        <v>-119176.63</v>
      </c>
      <c r="D211" s="4">
        <v>-121531.83</v>
      </c>
      <c r="E211" s="4">
        <v>2355.1999999999998</v>
      </c>
      <c r="F211" s="3" t="e">
        <f>VLOOKUP(B211,'Profit &amp; Loss'!$B$3:$C$390,2,0)</f>
        <v>#N/A</v>
      </c>
    </row>
    <row r="212" spans="1:6" x14ac:dyDescent="0.2">
      <c r="A212" s="3" t="s">
        <v>211</v>
      </c>
      <c r="B212" s="3" t="s">
        <v>214</v>
      </c>
      <c r="C212" s="4">
        <v>-73247.899999999994</v>
      </c>
      <c r="D212" s="4">
        <v>-72409.679999999993</v>
      </c>
      <c r="E212" s="4">
        <v>-838.22</v>
      </c>
      <c r="F212" s="3" t="e">
        <f>VLOOKUP(B212,'Profit &amp; Loss'!$B$3:$C$390,2,0)</f>
        <v>#N/A</v>
      </c>
    </row>
    <row r="213" spans="1:6" x14ac:dyDescent="0.2">
      <c r="A213" s="3" t="s">
        <v>211</v>
      </c>
      <c r="B213" s="3" t="s">
        <v>215</v>
      </c>
      <c r="C213" s="4">
        <v>-81661.3</v>
      </c>
      <c r="D213" s="4">
        <v>-76334.720000000001</v>
      </c>
      <c r="E213" s="4">
        <v>-5326.58</v>
      </c>
      <c r="F213" s="3" t="e">
        <f>VLOOKUP(B213,'Profit &amp; Loss'!$B$3:$C$390,2,0)</f>
        <v>#N/A</v>
      </c>
    </row>
    <row r="214" spans="1:6" x14ac:dyDescent="0.2">
      <c r="A214" s="3" t="s">
        <v>211</v>
      </c>
      <c r="B214" s="3" t="s">
        <v>216</v>
      </c>
      <c r="C214" s="4">
        <v>-35370.400000000001</v>
      </c>
      <c r="D214" s="4">
        <v>-43320.1</v>
      </c>
      <c r="E214" s="4">
        <v>7949.7</v>
      </c>
      <c r="F214" s="3" t="e">
        <f>VLOOKUP(B214,'Profit &amp; Loss'!$B$3:$C$390,2,0)</f>
        <v>#N/A</v>
      </c>
    </row>
    <row r="215" spans="1:6" x14ac:dyDescent="0.2">
      <c r="A215" s="3" t="s">
        <v>211</v>
      </c>
      <c r="B215" s="3" t="s">
        <v>217</v>
      </c>
      <c r="C215" s="4">
        <v>-232404.39</v>
      </c>
      <c r="D215" s="4">
        <v>-238861.88</v>
      </c>
      <c r="E215" s="4">
        <v>6457.49</v>
      </c>
      <c r="F215" s="3" t="e">
        <f>VLOOKUP(B215,'Profit &amp; Loss'!$B$3:$C$390,2,0)</f>
        <v>#N/A</v>
      </c>
    </row>
    <row r="216" spans="1:6" x14ac:dyDescent="0.2">
      <c r="A216" s="3" t="s">
        <v>211</v>
      </c>
      <c r="B216" s="3" t="s">
        <v>2</v>
      </c>
      <c r="C216" s="4">
        <v>-952847.99</v>
      </c>
      <c r="D216" s="4">
        <v>-1025720.34</v>
      </c>
      <c r="E216" s="4">
        <v>72872.350000000006</v>
      </c>
      <c r="F216" s="3" t="e">
        <f>VLOOKUP(B216,'Profit &amp; Loss'!$B$3:$C$390,2,0)</f>
        <v>#N/A</v>
      </c>
    </row>
    <row r="217" spans="1:6" x14ac:dyDescent="0.2">
      <c r="A217" s="3" t="s">
        <v>218</v>
      </c>
      <c r="B217" s="3" t="s">
        <v>2</v>
      </c>
      <c r="C217" s="4">
        <v>-952847.99</v>
      </c>
      <c r="D217" s="4">
        <v>-1025720.34</v>
      </c>
      <c r="E217" s="4">
        <v>72872.350000000006</v>
      </c>
      <c r="F217" s="3" t="e">
        <f>VLOOKUP(B217,'Profit &amp; Loss'!$B$3:$C$390,2,0)</f>
        <v>#N/A</v>
      </c>
    </row>
    <row r="218" spans="1:6" x14ac:dyDescent="0.2">
      <c r="A218" s="3" t="s">
        <v>219</v>
      </c>
      <c r="B218" s="3" t="s">
        <v>220</v>
      </c>
      <c r="C218" s="4">
        <v>120.57</v>
      </c>
      <c r="D218" s="4">
        <v>120.57</v>
      </c>
      <c r="E218" s="4">
        <v>0</v>
      </c>
      <c r="F218" s="3" t="e">
        <f>VLOOKUP(B218,'Profit &amp; Loss'!$B$3:$C$390,2,0)</f>
        <v>#N/A</v>
      </c>
    </row>
    <row r="219" spans="1:6" x14ac:dyDescent="0.2">
      <c r="A219" s="3" t="s">
        <v>219</v>
      </c>
      <c r="B219" s="3" t="s">
        <v>221</v>
      </c>
      <c r="C219" s="4">
        <v>596.78</v>
      </c>
      <c r="D219" s="4">
        <v>596.78</v>
      </c>
      <c r="E219" s="4">
        <v>0</v>
      </c>
      <c r="F219" s="3" t="e">
        <f>VLOOKUP(B219,'Profit &amp; Loss'!$B$3:$C$390,2,0)</f>
        <v>#N/A</v>
      </c>
    </row>
    <row r="220" spans="1:6" x14ac:dyDescent="0.2">
      <c r="A220" s="3" t="s">
        <v>219</v>
      </c>
      <c r="B220" s="3" t="s">
        <v>222</v>
      </c>
      <c r="C220" s="4">
        <v>45277458.390000001</v>
      </c>
      <c r="D220" s="4">
        <v>49081330.979999997</v>
      </c>
      <c r="E220" s="4">
        <v>-3803872.59</v>
      </c>
      <c r="F220" s="3" t="e">
        <f>VLOOKUP(B220,'Profit &amp; Loss'!$B$3:$C$390,2,0)</f>
        <v>#N/A</v>
      </c>
    </row>
    <row r="221" spans="1:6" x14ac:dyDescent="0.2">
      <c r="A221" s="3" t="s">
        <v>219</v>
      </c>
      <c r="B221" s="3" t="s">
        <v>2</v>
      </c>
      <c r="C221" s="4">
        <v>45278175.740000002</v>
      </c>
      <c r="D221" s="4">
        <v>49082048.329999998</v>
      </c>
      <c r="E221" s="4">
        <v>-3803872.59</v>
      </c>
      <c r="F221" s="3" t="e">
        <f>VLOOKUP(B221,'Profit &amp; Loss'!$B$3:$C$390,2,0)</f>
        <v>#N/A</v>
      </c>
    </row>
    <row r="222" spans="1:6" x14ac:dyDescent="0.2">
      <c r="A222" s="3" t="s">
        <v>223</v>
      </c>
      <c r="B222" s="3" t="s">
        <v>2</v>
      </c>
      <c r="C222" s="4">
        <v>45278175.740000002</v>
      </c>
      <c r="D222" s="4">
        <v>49082048.329999998</v>
      </c>
      <c r="E222" s="4">
        <v>-3803872.59</v>
      </c>
      <c r="F222" s="3" t="e">
        <f>VLOOKUP(B222,'Profit &amp; Loss'!$B$3:$C$390,2,0)</f>
        <v>#N/A</v>
      </c>
    </row>
    <row r="223" spans="1:6" x14ac:dyDescent="0.2">
      <c r="A223" s="3" t="s">
        <v>224</v>
      </c>
      <c r="B223" s="3" t="s">
        <v>2</v>
      </c>
      <c r="C223" s="4">
        <v>38886936.740000002</v>
      </c>
      <c r="D223" s="4">
        <v>42385061.270000003</v>
      </c>
      <c r="E223" s="4">
        <v>-3498124.53</v>
      </c>
      <c r="F223" s="3" t="e">
        <f>VLOOKUP(B223,'Profit &amp; Loss'!$B$3:$C$390,2,0)</f>
        <v>#N/A</v>
      </c>
    </row>
    <row r="224" spans="1:6" x14ac:dyDescent="0.2">
      <c r="A224" s="3" t="s">
        <v>225</v>
      </c>
      <c r="B224" s="3" t="s">
        <v>226</v>
      </c>
      <c r="C224" s="4">
        <v>-85746371.450000003</v>
      </c>
      <c r="D224" s="4">
        <v>-85746371.450000003</v>
      </c>
      <c r="E224" s="4">
        <v>0</v>
      </c>
      <c r="F224" s="3" t="e">
        <f>VLOOKUP(B224,'Profit &amp; Loss'!$B$3:$C$390,2,0)</f>
        <v>#N/A</v>
      </c>
    </row>
    <row r="225" spans="1:6" x14ac:dyDescent="0.2">
      <c r="A225" s="3" t="s">
        <v>225</v>
      </c>
      <c r="B225" s="3" t="s">
        <v>2</v>
      </c>
      <c r="C225" s="4">
        <v>-85746371.450000003</v>
      </c>
      <c r="D225" s="4">
        <v>-85746371.450000003</v>
      </c>
      <c r="E225" s="4">
        <v>0</v>
      </c>
      <c r="F225" s="3" t="e">
        <f>VLOOKUP(B225,'Profit &amp; Loss'!$B$3:$C$390,2,0)</f>
        <v>#N/A</v>
      </c>
    </row>
    <row r="226" spans="1:6" x14ac:dyDescent="0.2">
      <c r="A226" s="3" t="s">
        <v>227</v>
      </c>
      <c r="B226" s="3" t="s">
        <v>2</v>
      </c>
      <c r="C226" s="4">
        <v>-85746371.450000003</v>
      </c>
      <c r="D226" s="4">
        <v>-85746371.450000003</v>
      </c>
      <c r="E226" s="4">
        <v>0</v>
      </c>
      <c r="F226" s="3" t="e">
        <f>VLOOKUP(B226,'Profit &amp; Loss'!$B$3:$C$390,2,0)</f>
        <v>#N/A</v>
      </c>
    </row>
    <row r="227" spans="1:6" x14ac:dyDescent="0.2">
      <c r="A227" s="3" t="s">
        <v>228</v>
      </c>
      <c r="B227" s="3" t="s">
        <v>2</v>
      </c>
      <c r="C227" s="4">
        <v>-85746371.450000003</v>
      </c>
      <c r="D227" s="4">
        <v>-85746371.450000003</v>
      </c>
      <c r="E227" s="4">
        <v>0</v>
      </c>
      <c r="F227" s="3" t="e">
        <f>VLOOKUP(B227,'Profit &amp; Loss'!$B$3:$C$390,2,0)</f>
        <v>#N/A</v>
      </c>
    </row>
    <row r="228" spans="1:6" x14ac:dyDescent="0.2">
      <c r="A228" s="3" t="s">
        <v>229</v>
      </c>
      <c r="B228" s="3" t="s">
        <v>230</v>
      </c>
      <c r="C228" s="4">
        <v>0</v>
      </c>
      <c r="D228" s="4">
        <v>0</v>
      </c>
      <c r="E228" s="4">
        <v>0</v>
      </c>
      <c r="F228" s="3" t="e">
        <f>VLOOKUP(B228,'Profit &amp; Loss'!$B$3:$C$390,2,0)</f>
        <v>#N/A</v>
      </c>
    </row>
    <row r="229" spans="1:6" x14ac:dyDescent="0.2">
      <c r="A229" s="3" t="s">
        <v>229</v>
      </c>
      <c r="B229" s="5" t="s">
        <v>231</v>
      </c>
      <c r="C229" s="4">
        <v>0</v>
      </c>
      <c r="D229" s="4">
        <v>0</v>
      </c>
      <c r="E229" s="4">
        <v>0</v>
      </c>
      <c r="F229" s="3" t="e">
        <f>VLOOKUP(B229,'Profit &amp; Loss'!$B$3:$C$390,2,0)</f>
        <v>#N/A</v>
      </c>
    </row>
    <row r="230" spans="1:6" x14ac:dyDescent="0.2">
      <c r="A230" s="3" t="s">
        <v>232</v>
      </c>
      <c r="B230" s="3" t="s">
        <v>2</v>
      </c>
      <c r="C230" s="4">
        <v>-12061999.539999999</v>
      </c>
      <c r="D230" s="4">
        <v>-10913090.35</v>
      </c>
      <c r="E230" s="4">
        <v>-1148909.19</v>
      </c>
      <c r="F230" s="3" t="e">
        <f>VLOOKUP(B230,'Profit &amp; Loss'!$B$3:$C$390,2,0)</f>
        <v>#N/A</v>
      </c>
    </row>
    <row r="231" spans="1:6" x14ac:dyDescent="0.2">
      <c r="A231" s="3" t="s">
        <v>229</v>
      </c>
      <c r="B231" s="3" t="s">
        <v>233</v>
      </c>
      <c r="C231" s="4">
        <v>-12061999.539999999</v>
      </c>
      <c r="D231" s="4">
        <v>-10913090.35</v>
      </c>
      <c r="E231" s="4">
        <v>-1148909.19</v>
      </c>
      <c r="F231" s="3" t="e">
        <f>VLOOKUP(B231,'Profit &amp; Loss'!$B$3:$C$390,2,0)</f>
        <v>#N/A</v>
      </c>
    </row>
    <row r="232" spans="1:6" x14ac:dyDescent="0.2">
      <c r="A232" s="3" t="s">
        <v>229</v>
      </c>
      <c r="B232" s="5" t="s">
        <v>234</v>
      </c>
      <c r="C232" s="4">
        <v>0</v>
      </c>
      <c r="D232" s="4">
        <v>0</v>
      </c>
      <c r="E232" s="4">
        <v>0</v>
      </c>
      <c r="F232" s="3" t="e">
        <f>VLOOKUP(B232,'Profit &amp; Loss'!$B$3:$C$390,2,0)</f>
        <v>#N/A</v>
      </c>
    </row>
    <row r="233" spans="1:6" x14ac:dyDescent="0.2">
      <c r="A233" s="3" t="s">
        <v>115</v>
      </c>
      <c r="B233" s="3" t="s">
        <v>235</v>
      </c>
      <c r="C233" s="4">
        <v>-58921434.25</v>
      </c>
      <c r="D233" s="4">
        <v>-54274400.530000001</v>
      </c>
      <c r="E233" s="4">
        <v>-4647033.72</v>
      </c>
      <c r="F233" s="3" t="e">
        <f>VLOOKUP(B233,'Profit &amp; Loss'!$B$3:$C$390,2,0)</f>
        <v>#N/A</v>
      </c>
    </row>
    <row r="234" spans="1:6" x14ac:dyDescent="0.2">
      <c r="A234" s="3" t="s">
        <v>115</v>
      </c>
      <c r="B234" s="5" t="s">
        <v>236</v>
      </c>
      <c r="C234" s="4">
        <v>0</v>
      </c>
      <c r="D234" s="4">
        <v>0</v>
      </c>
      <c r="E234" s="4">
        <v>0</v>
      </c>
      <c r="F234" s="3" t="e">
        <f>VLOOKUP(B234,'Profit &amp; Loss'!$B$3:$C$390,2,0)</f>
        <v>#N/A</v>
      </c>
    </row>
    <row r="235" spans="1:6" x14ac:dyDescent="0.2">
      <c r="A235" s="3" t="s">
        <v>237</v>
      </c>
      <c r="B235" s="3" t="s">
        <v>238</v>
      </c>
      <c r="C235" s="4">
        <v>0</v>
      </c>
      <c r="D235" s="4">
        <v>0</v>
      </c>
      <c r="E235" s="4">
        <v>0</v>
      </c>
      <c r="F235" s="3">
        <f>VLOOKUP(B235,'Profit &amp; Loss'!$B$3:$C$390,2,0)</f>
        <v>0</v>
      </c>
    </row>
    <row r="236" spans="1:6" x14ac:dyDescent="0.2">
      <c r="A236" s="3" t="s">
        <v>237</v>
      </c>
      <c r="B236" s="5" t="s">
        <v>239</v>
      </c>
      <c r="C236" s="4">
        <v>0</v>
      </c>
      <c r="D236" s="4">
        <v>0</v>
      </c>
      <c r="E236" s="4">
        <v>0</v>
      </c>
      <c r="F236" s="3" t="e">
        <f>VLOOKUP(B236,'Profit &amp; Loss'!$B$3:$C$390,2,0)</f>
        <v>#N/A</v>
      </c>
    </row>
    <row r="237" spans="1:6" x14ac:dyDescent="0.2">
      <c r="A237" s="3" t="s">
        <v>240</v>
      </c>
      <c r="B237" s="3" t="s">
        <v>241</v>
      </c>
      <c r="C237" s="4">
        <v>-58033.760000000002</v>
      </c>
      <c r="D237" s="4">
        <v>-58033.760000000002</v>
      </c>
      <c r="E237" s="4">
        <v>0</v>
      </c>
      <c r="F237" s="3">
        <f>VLOOKUP(B237,'Profit &amp; Loss'!$B$3:$C$390,2,0)</f>
        <v>-58033.760000000002</v>
      </c>
    </row>
    <row r="238" spans="1:6" x14ac:dyDescent="0.2">
      <c r="A238" s="3" t="s">
        <v>240</v>
      </c>
      <c r="B238" s="3" t="s">
        <v>824</v>
      </c>
      <c r="C238" s="4">
        <v>3837.96</v>
      </c>
      <c r="D238" s="4">
        <v>3837.96</v>
      </c>
      <c r="E238" s="4">
        <v>0</v>
      </c>
      <c r="F238" s="3">
        <f>VLOOKUP(B238,'Profit &amp; Loss'!$B$3:$C$390,2,0)</f>
        <v>3837.96</v>
      </c>
    </row>
    <row r="239" spans="1:6" x14ac:dyDescent="0.2">
      <c r="A239" s="3" t="s">
        <v>240</v>
      </c>
      <c r="B239" s="3" t="s">
        <v>2</v>
      </c>
      <c r="C239" s="4">
        <v>-54195.8</v>
      </c>
      <c r="D239" s="4">
        <v>-54195.8</v>
      </c>
      <c r="E239" s="4">
        <v>0</v>
      </c>
      <c r="F239" s="3" t="e">
        <f>VLOOKUP(B239,'Profit &amp; Loss'!$B$3:$C$390,2,0)</f>
        <v>#N/A</v>
      </c>
    </row>
    <row r="240" spans="1:6" x14ac:dyDescent="0.2">
      <c r="A240" s="3" t="s">
        <v>244</v>
      </c>
      <c r="B240" s="3" t="s">
        <v>245</v>
      </c>
      <c r="C240" s="4">
        <v>-36730990.950000003</v>
      </c>
      <c r="D240" s="4">
        <v>-31284560.219999999</v>
      </c>
      <c r="E240" s="4">
        <v>-5446430.7300000004</v>
      </c>
      <c r="F240" s="3">
        <f>VLOOKUP(B240,'Profit &amp; Loss'!$B$3:$C$390,2,0)</f>
        <v>-4673022.7699999996</v>
      </c>
    </row>
    <row r="241" spans="1:6" x14ac:dyDescent="0.2">
      <c r="A241" s="3" t="s">
        <v>244</v>
      </c>
      <c r="B241" s="3" t="s">
        <v>536</v>
      </c>
      <c r="C241" s="4">
        <v>-936458.26</v>
      </c>
      <c r="D241" s="4">
        <v>-918509.21</v>
      </c>
      <c r="E241" s="4">
        <v>-17949.05</v>
      </c>
      <c r="F241" s="3">
        <f>VLOOKUP(B241,'Profit &amp; Loss'!$B$3:$C$390,2,0)</f>
        <v>-9457.2900000000009</v>
      </c>
    </row>
    <row r="242" spans="1:6" x14ac:dyDescent="0.2">
      <c r="A242" s="3" t="s">
        <v>244</v>
      </c>
      <c r="B242" s="3" t="s">
        <v>537</v>
      </c>
      <c r="C242" s="4">
        <v>57230.52</v>
      </c>
      <c r="D242" s="4">
        <v>57097.45</v>
      </c>
      <c r="E242" s="4">
        <v>133.07</v>
      </c>
      <c r="F242" s="3">
        <f>VLOOKUP(B242,'Profit &amp; Loss'!$B$3:$C$390,2,0)</f>
        <v>0.01</v>
      </c>
    </row>
    <row r="243" spans="1:6" x14ac:dyDescent="0.2">
      <c r="A243" s="3" t="s">
        <v>244</v>
      </c>
      <c r="B243" s="3" t="s">
        <v>246</v>
      </c>
      <c r="C243" s="4">
        <v>-650921.66</v>
      </c>
      <c r="D243" s="4">
        <v>-622669.87</v>
      </c>
      <c r="E243" s="4">
        <v>-28251.79</v>
      </c>
      <c r="F243" s="3">
        <f>VLOOKUP(B243,'Profit &amp; Loss'!$B$3:$C$390,2,0)</f>
        <v>-49623.57</v>
      </c>
    </row>
    <row r="244" spans="1:6" x14ac:dyDescent="0.2">
      <c r="A244" s="3" t="s">
        <v>244</v>
      </c>
      <c r="B244" s="3" t="s">
        <v>247</v>
      </c>
      <c r="C244" s="4">
        <v>-216.25</v>
      </c>
      <c r="D244" s="4">
        <v>-171.26</v>
      </c>
      <c r="E244" s="4">
        <v>-44.99</v>
      </c>
      <c r="F244" s="3">
        <f>VLOOKUP(B244,'Profit &amp; Loss'!$B$3:$C$390,2,0)</f>
        <v>-27.12</v>
      </c>
    </row>
    <row r="245" spans="1:6" x14ac:dyDescent="0.2">
      <c r="A245" s="3" t="s">
        <v>244</v>
      </c>
      <c r="B245" s="3" t="s">
        <v>949</v>
      </c>
      <c r="C245" s="4">
        <v>-231712.84</v>
      </c>
      <c r="D245" s="4">
        <v>-231712.84</v>
      </c>
      <c r="E245" s="4">
        <v>0</v>
      </c>
      <c r="F245" s="3">
        <f>VLOOKUP(B245,'Profit &amp; Loss'!$B$3:$C$390,2,0)</f>
        <v>-133950.59</v>
      </c>
    </row>
    <row r="246" spans="1:6" x14ac:dyDescent="0.2">
      <c r="A246" s="3" t="s">
        <v>244</v>
      </c>
      <c r="B246" s="3" t="s">
        <v>248</v>
      </c>
      <c r="C246" s="4">
        <v>-377486.29</v>
      </c>
      <c r="D246" s="4">
        <v>-376531.95</v>
      </c>
      <c r="E246" s="4">
        <v>-954.34</v>
      </c>
      <c r="F246" s="3">
        <f>VLOOKUP(B246,'Profit &amp; Loss'!$B$3:$C$390,2,0)</f>
        <v>0</v>
      </c>
    </row>
    <row r="247" spans="1:6" x14ac:dyDescent="0.2">
      <c r="A247" s="3" t="s">
        <v>244</v>
      </c>
      <c r="B247" s="3" t="s">
        <v>249</v>
      </c>
      <c r="C247" s="4">
        <v>-454868.9</v>
      </c>
      <c r="D247" s="4">
        <v>-449854.16</v>
      </c>
      <c r="E247" s="4">
        <v>-5014.74</v>
      </c>
      <c r="F247" s="3">
        <f>VLOOKUP(B247,'Profit &amp; Loss'!$B$3:$C$390,2,0)</f>
        <v>0</v>
      </c>
    </row>
    <row r="248" spans="1:6" x14ac:dyDescent="0.2">
      <c r="A248" s="3" t="s">
        <v>244</v>
      </c>
      <c r="B248" s="3" t="s">
        <v>250</v>
      </c>
      <c r="C248" s="4">
        <v>-23492.23</v>
      </c>
      <c r="D248" s="4">
        <v>-14683.19</v>
      </c>
      <c r="E248" s="4">
        <v>-8809.0400000000009</v>
      </c>
      <c r="F248" s="3">
        <f>VLOOKUP(B248,'Profit &amp; Loss'!$B$3:$C$390,2,0)</f>
        <v>-1606.18</v>
      </c>
    </row>
    <row r="249" spans="1:6" x14ac:dyDescent="0.2">
      <c r="A249" s="3" t="s">
        <v>244</v>
      </c>
      <c r="B249" s="3" t="s">
        <v>251</v>
      </c>
      <c r="C249" s="4">
        <v>94612.64</v>
      </c>
      <c r="D249" s="4">
        <v>81494.05</v>
      </c>
      <c r="E249" s="4">
        <v>13118.59</v>
      </c>
      <c r="F249" s="3">
        <f>VLOOKUP(B249,'Profit &amp; Loss'!$B$3:$C$390,2,0)</f>
        <v>12361.59</v>
      </c>
    </row>
    <row r="250" spans="1:6" x14ac:dyDescent="0.2">
      <c r="A250" s="3" t="s">
        <v>244</v>
      </c>
      <c r="B250" s="3" t="s">
        <v>252</v>
      </c>
      <c r="C250" s="4">
        <v>-24897.82</v>
      </c>
      <c r="D250" s="4">
        <v>-24769.45</v>
      </c>
      <c r="E250" s="4">
        <v>-128.37</v>
      </c>
      <c r="F250" s="3">
        <f>VLOOKUP(B250,'Profit &amp; Loss'!$B$3:$C$390,2,0)</f>
        <v>0</v>
      </c>
    </row>
    <row r="251" spans="1:6" x14ac:dyDescent="0.2">
      <c r="A251" s="3" t="s">
        <v>244</v>
      </c>
      <c r="B251" s="3" t="s">
        <v>2</v>
      </c>
      <c r="C251" s="4">
        <v>-39279202.039999999</v>
      </c>
      <c r="D251" s="4">
        <v>-33784870.649999999</v>
      </c>
      <c r="E251" s="4">
        <v>-5494331.3899999997</v>
      </c>
      <c r="F251" s="3" t="e">
        <f>VLOOKUP(B251,'Profit &amp; Loss'!$B$3:$C$390,2,0)</f>
        <v>#N/A</v>
      </c>
    </row>
    <row r="252" spans="1:6" x14ac:dyDescent="0.2">
      <c r="A252" s="3" t="s">
        <v>253</v>
      </c>
      <c r="B252" s="3" t="s">
        <v>254</v>
      </c>
      <c r="C252" s="4">
        <v>304001.5</v>
      </c>
      <c r="D252" s="4">
        <v>269628.76</v>
      </c>
      <c r="E252" s="4">
        <v>34372.74</v>
      </c>
      <c r="F252" s="3">
        <f>VLOOKUP(B252,'Profit &amp; Loss'!$B$3:$C$390,2,0)</f>
        <v>31846.94</v>
      </c>
    </row>
    <row r="253" spans="1:6" x14ac:dyDescent="0.2">
      <c r="A253" s="3" t="s">
        <v>253</v>
      </c>
      <c r="B253" s="3" t="s">
        <v>255</v>
      </c>
      <c r="C253" s="4">
        <v>-187348.18</v>
      </c>
      <c r="D253" s="4">
        <v>-173380.44</v>
      </c>
      <c r="E253" s="4">
        <v>-13967.74</v>
      </c>
      <c r="F253" s="3">
        <f>VLOOKUP(B253,'Profit &amp; Loss'!$B$3:$C$390,2,0)</f>
        <v>-31894.21</v>
      </c>
    </row>
    <row r="254" spans="1:6" x14ac:dyDescent="0.2">
      <c r="A254" s="3" t="s">
        <v>253</v>
      </c>
      <c r="B254" s="3" t="s">
        <v>256</v>
      </c>
      <c r="C254" s="4">
        <v>-107576.11</v>
      </c>
      <c r="D254" s="4">
        <v>-91811.68</v>
      </c>
      <c r="E254" s="4">
        <v>-15764.43</v>
      </c>
      <c r="F254" s="3">
        <f>VLOOKUP(B254,'Profit &amp; Loss'!$B$3:$C$390,2,0)</f>
        <v>-17785.87</v>
      </c>
    </row>
    <row r="255" spans="1:6" x14ac:dyDescent="0.2">
      <c r="A255" s="3" t="s">
        <v>253</v>
      </c>
      <c r="B255" s="3" t="s">
        <v>257</v>
      </c>
      <c r="C255" s="4">
        <v>-2168283.27</v>
      </c>
      <c r="D255" s="4">
        <v>-1851338.36</v>
      </c>
      <c r="E255" s="4">
        <v>-316944.90999999997</v>
      </c>
      <c r="F255" s="3">
        <f>VLOOKUP(B255,'Profit &amp; Loss'!$B$3:$C$390,2,0)</f>
        <v>-222549.26</v>
      </c>
    </row>
    <row r="256" spans="1:6" x14ac:dyDescent="0.2">
      <c r="A256" s="3" t="s">
        <v>253</v>
      </c>
      <c r="B256" s="3" t="s">
        <v>258</v>
      </c>
      <c r="C256" s="4">
        <v>21505.919999999998</v>
      </c>
      <c r="D256" s="4">
        <v>20942.39</v>
      </c>
      <c r="E256" s="4">
        <v>563.53</v>
      </c>
      <c r="F256" s="3">
        <f>VLOOKUP(B256,'Profit &amp; Loss'!$B$3:$C$390,2,0)</f>
        <v>4.93</v>
      </c>
    </row>
    <row r="257" spans="1:6" x14ac:dyDescent="0.2">
      <c r="A257" s="3" t="s">
        <v>253</v>
      </c>
      <c r="B257" s="3" t="s">
        <v>259</v>
      </c>
      <c r="C257" s="4">
        <v>-552.78</v>
      </c>
      <c r="D257" s="4">
        <v>-363.4</v>
      </c>
      <c r="E257" s="4">
        <v>-189.38</v>
      </c>
      <c r="F257" s="3">
        <f>VLOOKUP(B257,'Profit &amp; Loss'!$B$3:$C$390,2,0)</f>
        <v>0</v>
      </c>
    </row>
    <row r="258" spans="1:6" x14ac:dyDescent="0.2">
      <c r="A258" s="3" t="s">
        <v>253</v>
      </c>
      <c r="B258" s="3" t="s">
        <v>1227</v>
      </c>
      <c r="C258" s="4">
        <v>-142.18</v>
      </c>
      <c r="D258" s="4">
        <v>-142.18</v>
      </c>
      <c r="E258" s="4">
        <v>0</v>
      </c>
      <c r="F258" s="3">
        <f>VLOOKUP(B258,'Profit &amp; Loss'!$B$3:$C$390,2,0)</f>
        <v>0</v>
      </c>
    </row>
    <row r="259" spans="1:6" x14ac:dyDescent="0.2">
      <c r="A259" s="3" t="s">
        <v>253</v>
      </c>
      <c r="B259" s="3" t="s">
        <v>989</v>
      </c>
      <c r="C259" s="4">
        <v>5.01</v>
      </c>
      <c r="D259" s="4">
        <v>5.01</v>
      </c>
      <c r="E259" s="4">
        <v>0</v>
      </c>
      <c r="F259" s="3">
        <f>VLOOKUP(B259,'Profit &amp; Loss'!$B$3:$C$390,2,0)</f>
        <v>5.01</v>
      </c>
    </row>
    <row r="260" spans="1:6" x14ac:dyDescent="0.2">
      <c r="A260" s="3" t="s">
        <v>253</v>
      </c>
      <c r="B260" s="3" t="s">
        <v>2</v>
      </c>
      <c r="C260" s="4">
        <v>-2138390.09</v>
      </c>
      <c r="D260" s="4">
        <v>-1826459.9</v>
      </c>
      <c r="E260" s="4">
        <v>-311930.19</v>
      </c>
      <c r="F260" s="3" t="e">
        <f>VLOOKUP(B260,'Profit &amp; Loss'!$B$3:$C$390,2,0)</f>
        <v>#N/A</v>
      </c>
    </row>
    <row r="261" spans="1:6" x14ac:dyDescent="0.2">
      <c r="A261" s="3" t="s">
        <v>260</v>
      </c>
      <c r="B261" s="3" t="s">
        <v>261</v>
      </c>
      <c r="C261" s="4">
        <v>-4357708.75</v>
      </c>
      <c r="D261" s="4">
        <v>-3556580.56</v>
      </c>
      <c r="E261" s="4">
        <v>-801128.19</v>
      </c>
      <c r="F261" s="3">
        <f>VLOOKUP(B261,'Profit &amp; Loss'!$B$3:$C$390,2,0)</f>
        <v>-646517.02</v>
      </c>
    </row>
    <row r="262" spans="1:6" x14ac:dyDescent="0.2">
      <c r="A262" s="3" t="s">
        <v>260</v>
      </c>
      <c r="B262" s="3" t="s">
        <v>2</v>
      </c>
      <c r="C262" s="4">
        <v>-4357708.75</v>
      </c>
      <c r="D262" s="4">
        <v>-3556580.56</v>
      </c>
      <c r="E262" s="4">
        <v>-801128.19</v>
      </c>
      <c r="F262" s="3" t="e">
        <f>VLOOKUP(B262,'Profit &amp; Loss'!$B$3:$C$390,2,0)</f>
        <v>#N/A</v>
      </c>
    </row>
    <row r="263" spans="1:6" x14ac:dyDescent="0.2">
      <c r="A263" s="3" t="s">
        <v>263</v>
      </c>
      <c r="B263" s="3" t="s">
        <v>264</v>
      </c>
      <c r="C263" s="4">
        <v>-506742.43</v>
      </c>
      <c r="D263" s="4">
        <v>-456660.03</v>
      </c>
      <c r="E263" s="4">
        <v>-50082.400000000001</v>
      </c>
      <c r="F263" s="3">
        <f>VLOOKUP(B263,'Profit &amp; Loss'!$B$3:$C$390,2,0)</f>
        <v>-52009.78</v>
      </c>
    </row>
    <row r="264" spans="1:6" x14ac:dyDescent="0.2">
      <c r="A264" s="3" t="s">
        <v>263</v>
      </c>
      <c r="B264" s="3" t="s">
        <v>2</v>
      </c>
      <c r="C264" s="4">
        <v>-506742.43</v>
      </c>
      <c r="D264" s="4">
        <v>-456660.03</v>
      </c>
      <c r="E264" s="4">
        <v>-50082.400000000001</v>
      </c>
      <c r="F264" s="3" t="e">
        <f>VLOOKUP(B264,'Profit &amp; Loss'!$B$3:$C$390,2,0)</f>
        <v>#N/A</v>
      </c>
    </row>
    <row r="265" spans="1:6" x14ac:dyDescent="0.2">
      <c r="A265" s="3" t="s">
        <v>265</v>
      </c>
      <c r="B265" s="3" t="s">
        <v>2</v>
      </c>
      <c r="C265" s="4">
        <v>-46336239.109999999</v>
      </c>
      <c r="D265" s="4">
        <v>-39678766.939999998</v>
      </c>
      <c r="E265" s="4">
        <v>-6657472.1699999999</v>
      </c>
      <c r="F265" s="3" t="e">
        <f>VLOOKUP(B265,'Profit &amp; Loss'!$B$3:$C$390,2,0)</f>
        <v>#N/A</v>
      </c>
    </row>
    <row r="266" spans="1:6" x14ac:dyDescent="0.2">
      <c r="A266" s="3" t="s">
        <v>266</v>
      </c>
      <c r="B266" s="3" t="s">
        <v>267</v>
      </c>
      <c r="C266" s="4">
        <v>36345.19</v>
      </c>
      <c r="D266" s="4">
        <v>36345.19</v>
      </c>
      <c r="E266" s="4">
        <v>0</v>
      </c>
      <c r="F266" s="3">
        <f>VLOOKUP(B266,'Profit &amp; Loss'!$B$3:$C$390,2,0)</f>
        <v>35994.629999999997</v>
      </c>
    </row>
    <row r="267" spans="1:6" x14ac:dyDescent="0.2">
      <c r="A267" s="3" t="s">
        <v>266</v>
      </c>
      <c r="B267" s="3" t="s">
        <v>542</v>
      </c>
      <c r="C267" s="4">
        <v>70.900000000000006</v>
      </c>
      <c r="D267" s="4">
        <v>70.900000000000006</v>
      </c>
      <c r="E267" s="4">
        <v>0</v>
      </c>
      <c r="F267" s="3">
        <f>VLOOKUP(B267,'Profit &amp; Loss'!$B$3:$C$390,2,0)</f>
        <v>0</v>
      </c>
    </row>
    <row r="268" spans="1:6" x14ac:dyDescent="0.2">
      <c r="A268" s="3" t="s">
        <v>266</v>
      </c>
      <c r="B268" s="3" t="s">
        <v>270</v>
      </c>
      <c r="C268" s="4">
        <v>1700</v>
      </c>
      <c r="D268" s="4">
        <v>1700</v>
      </c>
      <c r="E268" s="4">
        <v>0</v>
      </c>
      <c r="F268" s="3">
        <f>VLOOKUP(B268,'Profit &amp; Loss'!$B$3:$C$390,2,0)</f>
        <v>1700</v>
      </c>
    </row>
    <row r="269" spans="1:6" x14ac:dyDescent="0.2">
      <c r="A269" s="3" t="s">
        <v>266</v>
      </c>
      <c r="B269" s="3" t="s">
        <v>271</v>
      </c>
      <c r="C269" s="4">
        <v>1259.51</v>
      </c>
      <c r="D269" s="4">
        <v>1259.51</v>
      </c>
      <c r="E269" s="4">
        <v>0</v>
      </c>
      <c r="F269" s="3">
        <f>VLOOKUP(B269,'Profit &amp; Loss'!$B$3:$C$390,2,0)</f>
        <v>687.98</v>
      </c>
    </row>
    <row r="270" spans="1:6" x14ac:dyDescent="0.2">
      <c r="A270" s="3" t="s">
        <v>266</v>
      </c>
      <c r="B270" s="3" t="s">
        <v>272</v>
      </c>
      <c r="C270" s="4">
        <v>3744.15</v>
      </c>
      <c r="D270" s="4">
        <v>3744.15</v>
      </c>
      <c r="E270" s="4">
        <v>0</v>
      </c>
      <c r="F270" s="3">
        <f>VLOOKUP(B270,'Profit &amp; Loss'!$B$3:$C$390,2,0)</f>
        <v>3744.15</v>
      </c>
    </row>
    <row r="271" spans="1:6" x14ac:dyDescent="0.2">
      <c r="A271" s="3" t="s">
        <v>266</v>
      </c>
      <c r="B271" s="3" t="s">
        <v>273</v>
      </c>
      <c r="C271" s="4">
        <v>160.72</v>
      </c>
      <c r="D271" s="4">
        <v>160.72</v>
      </c>
      <c r="E271" s="4">
        <v>0</v>
      </c>
      <c r="F271" s="3">
        <f>VLOOKUP(B271,'Profit &amp; Loss'!$B$3:$C$390,2,0)</f>
        <v>0</v>
      </c>
    </row>
    <row r="272" spans="1:6" x14ac:dyDescent="0.2">
      <c r="A272" s="3" t="s">
        <v>266</v>
      </c>
      <c r="B272" s="3" t="s">
        <v>274</v>
      </c>
      <c r="C272" s="4">
        <v>54.02</v>
      </c>
      <c r="D272" s="4">
        <v>54.02</v>
      </c>
      <c r="E272" s="4">
        <v>0</v>
      </c>
      <c r="F272" s="3">
        <f>VLOOKUP(B272,'Profit &amp; Loss'!$B$3:$C$390,2,0)</f>
        <v>54.02</v>
      </c>
    </row>
    <row r="273" spans="1:6" x14ac:dyDescent="0.2">
      <c r="A273" s="3" t="s">
        <v>266</v>
      </c>
      <c r="B273" s="3" t="s">
        <v>641</v>
      </c>
      <c r="C273" s="4">
        <v>706.62</v>
      </c>
      <c r="D273" s="4">
        <v>706.62</v>
      </c>
      <c r="E273" s="4">
        <v>0</v>
      </c>
      <c r="F273" s="3">
        <f>VLOOKUP(B273,'Profit &amp; Loss'!$B$3:$C$390,2,0)</f>
        <v>0</v>
      </c>
    </row>
    <row r="274" spans="1:6" x14ac:dyDescent="0.2">
      <c r="A274" s="3" t="s">
        <v>266</v>
      </c>
      <c r="B274" s="3" t="s">
        <v>275</v>
      </c>
      <c r="C274" s="4">
        <v>-1130.9000000000001</v>
      </c>
      <c r="D274" s="4">
        <v>-1115.95</v>
      </c>
      <c r="E274" s="4">
        <v>-14.95</v>
      </c>
      <c r="F274" s="3">
        <f>VLOOKUP(B274,'Profit &amp; Loss'!$B$3:$C$390,2,0)</f>
        <v>270.11</v>
      </c>
    </row>
    <row r="275" spans="1:6" x14ac:dyDescent="0.2">
      <c r="A275" s="3" t="s">
        <v>266</v>
      </c>
      <c r="B275" s="3" t="s">
        <v>276</v>
      </c>
      <c r="C275" s="4">
        <v>1857.54</v>
      </c>
      <c r="D275" s="4">
        <v>1857.54</v>
      </c>
      <c r="E275" s="4">
        <v>0</v>
      </c>
      <c r="F275" s="3">
        <f>VLOOKUP(B275,'Profit &amp; Loss'!$B$3:$C$390,2,0)</f>
        <v>1027.45</v>
      </c>
    </row>
    <row r="276" spans="1:6" x14ac:dyDescent="0.2">
      <c r="A276" s="3" t="s">
        <v>266</v>
      </c>
      <c r="B276" s="3" t="s">
        <v>279</v>
      </c>
      <c r="C276" s="4">
        <v>-1344.92</v>
      </c>
      <c r="D276" s="4">
        <v>-1344.92</v>
      </c>
      <c r="E276" s="4">
        <v>0</v>
      </c>
      <c r="F276" s="3">
        <f>VLOOKUP(B276,'Profit &amp; Loss'!$B$3:$C$390,2,0)</f>
        <v>611.70000000000005</v>
      </c>
    </row>
    <row r="277" spans="1:6" x14ac:dyDescent="0.2">
      <c r="A277" s="3" t="s">
        <v>266</v>
      </c>
      <c r="B277" s="3" t="s">
        <v>280</v>
      </c>
      <c r="C277" s="4">
        <v>-1974.34</v>
      </c>
      <c r="D277" s="4">
        <v>-1974.34</v>
      </c>
      <c r="E277" s="4">
        <v>0</v>
      </c>
      <c r="F277" s="3">
        <f>VLOOKUP(B277,'Profit &amp; Loss'!$B$3:$C$390,2,0)</f>
        <v>0</v>
      </c>
    </row>
    <row r="278" spans="1:6" x14ac:dyDescent="0.2">
      <c r="A278" s="3" t="s">
        <v>266</v>
      </c>
      <c r="B278" s="3" t="s">
        <v>281</v>
      </c>
      <c r="C278" s="4">
        <v>-1251.47</v>
      </c>
      <c r="D278" s="4">
        <v>-1251.47</v>
      </c>
      <c r="E278" s="4">
        <v>0</v>
      </c>
      <c r="F278" s="3">
        <f>VLOOKUP(B278,'Profit &amp; Loss'!$B$3:$C$390,2,0)</f>
        <v>-195.89</v>
      </c>
    </row>
    <row r="279" spans="1:6" x14ac:dyDescent="0.2">
      <c r="A279" s="3" t="s">
        <v>266</v>
      </c>
      <c r="B279" s="3" t="s">
        <v>282</v>
      </c>
      <c r="C279" s="4">
        <v>-60.88</v>
      </c>
      <c r="D279" s="4">
        <v>-60.88</v>
      </c>
      <c r="E279" s="4">
        <v>0</v>
      </c>
      <c r="F279" s="3">
        <f>VLOOKUP(B279,'Profit &amp; Loss'!$B$3:$C$390,2,0)</f>
        <v>0</v>
      </c>
    </row>
    <row r="280" spans="1:6" x14ac:dyDescent="0.2">
      <c r="A280" s="3" t="s">
        <v>266</v>
      </c>
      <c r="B280" s="3" t="s">
        <v>829</v>
      </c>
      <c r="C280" s="4">
        <v>-476.2</v>
      </c>
      <c r="D280" s="4">
        <v>-476.2</v>
      </c>
      <c r="E280" s="4">
        <v>0</v>
      </c>
      <c r="F280" s="3">
        <f>VLOOKUP(B280,'Profit &amp; Loss'!$B$3:$C$390,2,0)</f>
        <v>199.48</v>
      </c>
    </row>
    <row r="281" spans="1:6" x14ac:dyDescent="0.2">
      <c r="A281" s="3" t="s">
        <v>266</v>
      </c>
      <c r="B281" s="3" t="s">
        <v>283</v>
      </c>
      <c r="C281" s="4">
        <v>-1955.09</v>
      </c>
      <c r="D281" s="4">
        <v>1015.61</v>
      </c>
      <c r="E281" s="4">
        <v>-2970.7</v>
      </c>
      <c r="F281" s="3">
        <f>VLOOKUP(B281,'Profit &amp; Loss'!$B$3:$C$390,2,0)</f>
        <v>1000</v>
      </c>
    </row>
    <row r="282" spans="1:6" x14ac:dyDescent="0.2">
      <c r="A282" s="3" t="s">
        <v>266</v>
      </c>
      <c r="B282" s="3" t="s">
        <v>284</v>
      </c>
      <c r="C282" s="4">
        <v>-455.7</v>
      </c>
      <c r="D282" s="4">
        <v>-455.7</v>
      </c>
      <c r="E282" s="4">
        <v>0</v>
      </c>
      <c r="F282" s="3">
        <f>VLOOKUP(B282,'Profit &amp; Loss'!$B$3:$C$390,2,0)</f>
        <v>536.67999999999995</v>
      </c>
    </row>
    <row r="283" spans="1:6" x14ac:dyDescent="0.2">
      <c r="A283" s="3" t="s">
        <v>266</v>
      </c>
      <c r="B283" s="3" t="s">
        <v>285</v>
      </c>
      <c r="C283" s="4">
        <v>-400</v>
      </c>
      <c r="D283" s="4">
        <v>200</v>
      </c>
      <c r="E283" s="4">
        <v>-600</v>
      </c>
      <c r="F283" s="3">
        <f>VLOOKUP(B283,'Profit &amp; Loss'!$B$3:$C$390,2,0)</f>
        <v>200</v>
      </c>
    </row>
    <row r="284" spans="1:6" x14ac:dyDescent="0.2">
      <c r="A284" s="3" t="s">
        <v>266</v>
      </c>
      <c r="B284" s="3" t="s">
        <v>2</v>
      </c>
      <c r="C284" s="4">
        <v>36849.15</v>
      </c>
      <c r="D284" s="4">
        <v>40434.800000000003</v>
      </c>
      <c r="E284" s="4">
        <v>-3585.65</v>
      </c>
      <c r="F284" s="3" t="e">
        <f>VLOOKUP(B284,'Profit &amp; Loss'!$B$3:$C$390,2,0)</f>
        <v>#N/A</v>
      </c>
    </row>
    <row r="285" spans="1:6" x14ac:dyDescent="0.2">
      <c r="A285" s="3" t="s">
        <v>286</v>
      </c>
      <c r="B285" s="3" t="s">
        <v>287</v>
      </c>
      <c r="C285" s="4">
        <v>25592698.809999999</v>
      </c>
      <c r="D285" s="4">
        <v>21765737.350000001</v>
      </c>
      <c r="E285" s="4">
        <v>3826961.46</v>
      </c>
      <c r="F285" s="3">
        <f>VLOOKUP(B285,'Profit &amp; Loss'!$B$3:$C$390,2,0)</f>
        <v>3184835.62</v>
      </c>
    </row>
    <row r="286" spans="1:6" x14ac:dyDescent="0.2">
      <c r="A286" s="3" t="s">
        <v>286</v>
      </c>
      <c r="B286" s="3" t="s">
        <v>548</v>
      </c>
      <c r="C286" s="4">
        <v>791131.76</v>
      </c>
      <c r="D286" s="4">
        <v>779684.44</v>
      </c>
      <c r="E286" s="4">
        <v>11447.32</v>
      </c>
      <c r="F286" s="3">
        <f>VLOOKUP(B286,'Profit &amp; Loss'!$B$3:$C$390,2,0)</f>
        <v>7169.99</v>
      </c>
    </row>
    <row r="287" spans="1:6" x14ac:dyDescent="0.2">
      <c r="A287" s="3" t="s">
        <v>286</v>
      </c>
      <c r="B287" s="3" t="s">
        <v>288</v>
      </c>
      <c r="C287" s="4">
        <v>518721.27</v>
      </c>
      <c r="D287" s="4">
        <v>487504.1</v>
      </c>
      <c r="E287" s="4">
        <v>31217.17</v>
      </c>
      <c r="F287" s="3">
        <f>VLOOKUP(B287,'Profit &amp; Loss'!$B$3:$C$390,2,0)</f>
        <v>28211.14</v>
      </c>
    </row>
    <row r="288" spans="1:6" x14ac:dyDescent="0.2">
      <c r="A288" s="3" t="s">
        <v>286</v>
      </c>
      <c r="B288" s="3" t="s">
        <v>289</v>
      </c>
      <c r="C288" s="4">
        <v>144.09</v>
      </c>
      <c r="D288" s="4">
        <v>114.15</v>
      </c>
      <c r="E288" s="4">
        <v>29.94</v>
      </c>
      <c r="F288" s="3">
        <f>VLOOKUP(B288,'Profit &amp; Loss'!$B$3:$C$390,2,0)</f>
        <v>18.079999999999998</v>
      </c>
    </row>
    <row r="289" spans="1:6" x14ac:dyDescent="0.2">
      <c r="A289" s="3" t="s">
        <v>286</v>
      </c>
      <c r="B289" s="3" t="s">
        <v>952</v>
      </c>
      <c r="C289" s="4">
        <v>12953.86</v>
      </c>
      <c r="D289" s="4">
        <v>12953.86</v>
      </c>
      <c r="E289" s="4">
        <v>0</v>
      </c>
      <c r="F289" s="3">
        <f>VLOOKUP(B289,'Profit &amp; Loss'!$B$3:$C$390,2,0)</f>
        <v>8746</v>
      </c>
    </row>
    <row r="290" spans="1:6" x14ac:dyDescent="0.2">
      <c r="A290" s="3" t="s">
        <v>286</v>
      </c>
      <c r="B290" s="3" t="s">
        <v>290</v>
      </c>
      <c r="C290" s="4">
        <v>-202403.86</v>
      </c>
      <c r="D290" s="4">
        <v>-207070.3</v>
      </c>
      <c r="E290" s="4">
        <v>4666.4399999999996</v>
      </c>
      <c r="F290" s="3">
        <f>VLOOKUP(B290,'Profit &amp; Loss'!$B$3:$C$390,2,0)</f>
        <v>-21923.22</v>
      </c>
    </row>
    <row r="291" spans="1:6" x14ac:dyDescent="0.2">
      <c r="A291" s="3" t="s">
        <v>286</v>
      </c>
      <c r="B291" s="3" t="s">
        <v>291</v>
      </c>
      <c r="C291" s="4">
        <v>-1448830.81</v>
      </c>
      <c r="D291" s="4">
        <v>-1175063.69</v>
      </c>
      <c r="E291" s="4">
        <v>-273767.12</v>
      </c>
      <c r="F291" s="3">
        <f>VLOOKUP(B291,'Profit &amp; Loss'!$B$3:$C$390,2,0)</f>
        <v>-107667</v>
      </c>
    </row>
    <row r="292" spans="1:6" x14ac:dyDescent="0.2">
      <c r="A292" s="3" t="s">
        <v>286</v>
      </c>
      <c r="B292" s="3" t="s">
        <v>292</v>
      </c>
      <c r="C292" s="4">
        <v>485012.78</v>
      </c>
      <c r="D292" s="4">
        <v>404501.73</v>
      </c>
      <c r="E292" s="4">
        <v>80511.05</v>
      </c>
      <c r="F292" s="3">
        <f>VLOOKUP(B292,'Profit &amp; Loss'!$B$3:$C$390,2,0)</f>
        <v>0</v>
      </c>
    </row>
    <row r="293" spans="1:6" x14ac:dyDescent="0.2">
      <c r="A293" s="3" t="s">
        <v>286</v>
      </c>
      <c r="B293" s="3" t="s">
        <v>293</v>
      </c>
      <c r="C293" s="4">
        <v>242964.82</v>
      </c>
      <c r="D293" s="4">
        <v>242258.91</v>
      </c>
      <c r="E293" s="4">
        <v>705.91</v>
      </c>
      <c r="F293" s="3">
        <f>VLOOKUP(B293,'Profit &amp; Loss'!$B$3:$C$390,2,0)</f>
        <v>0</v>
      </c>
    </row>
    <row r="294" spans="1:6" x14ac:dyDescent="0.2">
      <c r="A294" s="3" t="s">
        <v>286</v>
      </c>
      <c r="B294" s="3" t="s">
        <v>294</v>
      </c>
      <c r="C294" s="4">
        <v>3395.48</v>
      </c>
      <c r="D294" s="4">
        <v>3361.17</v>
      </c>
      <c r="E294" s="4">
        <v>34.31</v>
      </c>
      <c r="F294" s="3">
        <f>VLOOKUP(B294,'Profit &amp; Loss'!$B$3:$C$390,2,0)</f>
        <v>0</v>
      </c>
    </row>
    <row r="295" spans="1:6" x14ac:dyDescent="0.2">
      <c r="A295" s="3" t="s">
        <v>286</v>
      </c>
      <c r="B295" s="3" t="s">
        <v>296</v>
      </c>
      <c r="C295" s="4">
        <v>-1531.66</v>
      </c>
      <c r="D295" s="4">
        <v>-899.7</v>
      </c>
      <c r="E295" s="4">
        <v>-631.96</v>
      </c>
      <c r="F295" s="3">
        <f>VLOOKUP(B295,'Profit &amp; Loss'!$B$3:$C$390,2,0)</f>
        <v>-1015.33</v>
      </c>
    </row>
    <row r="296" spans="1:6" x14ac:dyDescent="0.2">
      <c r="A296" s="3" t="s">
        <v>286</v>
      </c>
      <c r="B296" s="3" t="s">
        <v>2</v>
      </c>
      <c r="C296" s="4">
        <v>25994256.539999999</v>
      </c>
      <c r="D296" s="4">
        <v>22313082.02</v>
      </c>
      <c r="E296" s="4">
        <v>3681174.52</v>
      </c>
      <c r="F296" s="3" t="e">
        <f>VLOOKUP(B296,'Profit &amp; Loss'!$B$3:$C$390,2,0)</f>
        <v>#N/A</v>
      </c>
    </row>
    <row r="297" spans="1:6" x14ac:dyDescent="0.2">
      <c r="A297" s="3" t="s">
        <v>297</v>
      </c>
      <c r="B297" s="3" t="s">
        <v>1443</v>
      </c>
      <c r="C297" s="4">
        <v>1308.42</v>
      </c>
      <c r="D297" s="4">
        <v>0</v>
      </c>
      <c r="E297" s="4">
        <v>1308.42</v>
      </c>
      <c r="F297" s="3">
        <f>VLOOKUP(B297,'Profit &amp; Loss'!$B$3:$C$390,2,0)</f>
        <v>0</v>
      </c>
    </row>
    <row r="298" spans="1:6" x14ac:dyDescent="0.2">
      <c r="A298" s="3" t="s">
        <v>297</v>
      </c>
      <c r="B298" s="3" t="s">
        <v>298</v>
      </c>
      <c r="C298" s="4">
        <v>175978.15</v>
      </c>
      <c r="D298" s="4">
        <v>156994.34</v>
      </c>
      <c r="E298" s="4">
        <v>18983.810000000001</v>
      </c>
      <c r="F298" s="3">
        <f>VLOOKUP(B298,'Profit &amp; Loss'!$B$3:$C$390,2,0)</f>
        <v>28187.67</v>
      </c>
    </row>
    <row r="299" spans="1:6" x14ac:dyDescent="0.2">
      <c r="A299" s="3" t="s">
        <v>297</v>
      </c>
      <c r="B299" s="3" t="s">
        <v>299</v>
      </c>
      <c r="C299" s="4">
        <v>1079725.06</v>
      </c>
      <c r="D299" s="4">
        <v>920776.1</v>
      </c>
      <c r="E299" s="4">
        <v>158948.96</v>
      </c>
      <c r="F299" s="3">
        <f>VLOOKUP(B299,'Profit &amp; Loss'!$B$3:$C$390,2,0)</f>
        <v>111346.46</v>
      </c>
    </row>
    <row r="300" spans="1:6" x14ac:dyDescent="0.2">
      <c r="A300" s="3" t="s">
        <v>297</v>
      </c>
      <c r="B300" s="3" t="s">
        <v>300</v>
      </c>
      <c r="C300" s="4">
        <v>521.98</v>
      </c>
      <c r="D300" s="4">
        <v>385.23</v>
      </c>
      <c r="E300" s="4">
        <v>136.75</v>
      </c>
      <c r="F300" s="3">
        <f>VLOOKUP(B300,'Profit &amp; Loss'!$B$3:$C$390,2,0)</f>
        <v>0</v>
      </c>
    </row>
    <row r="301" spans="1:6" x14ac:dyDescent="0.2">
      <c r="A301" s="3" t="s">
        <v>297</v>
      </c>
      <c r="B301" s="3" t="s">
        <v>2</v>
      </c>
      <c r="C301" s="4">
        <v>1257533.6100000001</v>
      </c>
      <c r="D301" s="4">
        <v>1078155.67</v>
      </c>
      <c r="E301" s="4">
        <v>179377.94</v>
      </c>
      <c r="F301" s="3" t="e">
        <f>VLOOKUP(B301,'Profit &amp; Loss'!$B$3:$C$390,2,0)</f>
        <v>#N/A</v>
      </c>
    </row>
    <row r="302" spans="1:6" x14ac:dyDescent="0.2">
      <c r="A302" s="3" t="s">
        <v>301</v>
      </c>
      <c r="B302" s="3" t="s">
        <v>554</v>
      </c>
      <c r="C302" s="4">
        <v>0</v>
      </c>
      <c r="D302" s="4">
        <v>-5075.83</v>
      </c>
      <c r="E302" s="4">
        <v>5075.83</v>
      </c>
      <c r="F302" s="3">
        <f>VLOOKUP(B302,'Profit &amp; Loss'!$B$3:$C$390,2,0)</f>
        <v>0</v>
      </c>
    </row>
    <row r="303" spans="1:6" x14ac:dyDescent="0.2">
      <c r="A303" s="3" t="s">
        <v>301</v>
      </c>
      <c r="B303" s="3" t="s">
        <v>1426</v>
      </c>
      <c r="C303" s="4">
        <v>10283.11</v>
      </c>
      <c r="D303" s="4">
        <v>10283.11</v>
      </c>
      <c r="E303" s="4">
        <v>0</v>
      </c>
      <c r="F303" s="3">
        <f>VLOOKUP(B303,'Profit &amp; Loss'!$B$3:$C$390,2,0)</f>
        <v>0</v>
      </c>
    </row>
    <row r="304" spans="1:6" x14ac:dyDescent="0.2">
      <c r="A304" s="3" t="s">
        <v>301</v>
      </c>
      <c r="B304" s="3" t="s">
        <v>302</v>
      </c>
      <c r="C304" s="4">
        <v>50707.9</v>
      </c>
      <c r="D304" s="4">
        <v>42840.9</v>
      </c>
      <c r="E304" s="4">
        <v>7867</v>
      </c>
      <c r="F304" s="3">
        <f>VLOOKUP(B304,'Profit &amp; Loss'!$B$3:$C$390,2,0)</f>
        <v>5793.22</v>
      </c>
    </row>
    <row r="305" spans="1:6" x14ac:dyDescent="0.2">
      <c r="A305" s="3" t="s">
        <v>301</v>
      </c>
      <c r="B305" s="3" t="s">
        <v>647</v>
      </c>
      <c r="C305" s="4">
        <v>14755.96</v>
      </c>
      <c r="D305" s="4">
        <v>14755.96</v>
      </c>
      <c r="E305" s="4">
        <v>0</v>
      </c>
      <c r="F305" s="3">
        <f>VLOOKUP(B305,'Profit &amp; Loss'!$B$3:$C$390,2,0)</f>
        <v>0</v>
      </c>
    </row>
    <row r="306" spans="1:6" x14ac:dyDescent="0.2">
      <c r="A306" s="3" t="s">
        <v>301</v>
      </c>
      <c r="B306" s="3" t="s">
        <v>303</v>
      </c>
      <c r="C306" s="4">
        <v>48999.45</v>
      </c>
      <c r="D306" s="4">
        <v>48999.45</v>
      </c>
      <c r="E306" s="4">
        <v>0</v>
      </c>
      <c r="F306" s="3">
        <f>VLOOKUP(B306,'Profit &amp; Loss'!$B$3:$C$390,2,0)</f>
        <v>2303.9899999999998</v>
      </c>
    </row>
    <row r="307" spans="1:6" x14ac:dyDescent="0.2">
      <c r="A307" s="3" t="s">
        <v>301</v>
      </c>
      <c r="B307" s="3" t="s">
        <v>305</v>
      </c>
      <c r="C307" s="4">
        <v>85465.9</v>
      </c>
      <c r="D307" s="4">
        <v>37998.28</v>
      </c>
      <c r="E307" s="4">
        <v>47467.62</v>
      </c>
      <c r="F307" s="3">
        <f>VLOOKUP(B307,'Profit &amp; Loss'!$B$3:$C$390,2,0)</f>
        <v>9337.1200000000008</v>
      </c>
    </row>
    <row r="308" spans="1:6" x14ac:dyDescent="0.2">
      <c r="A308" s="3" t="s">
        <v>301</v>
      </c>
      <c r="B308" s="3" t="s">
        <v>306</v>
      </c>
      <c r="C308" s="4">
        <v>970057.13</v>
      </c>
      <c r="D308" s="4">
        <v>766100.14</v>
      </c>
      <c r="E308" s="4">
        <v>203956.99</v>
      </c>
      <c r="F308" s="3">
        <f>VLOOKUP(B308,'Profit &amp; Loss'!$B$3:$C$390,2,0)</f>
        <v>86638.62</v>
      </c>
    </row>
    <row r="309" spans="1:6" x14ac:dyDescent="0.2">
      <c r="A309" s="3" t="s">
        <v>301</v>
      </c>
      <c r="B309" s="3" t="s">
        <v>838</v>
      </c>
      <c r="C309" s="4">
        <v>-31</v>
      </c>
      <c r="D309" s="4">
        <v>-31</v>
      </c>
      <c r="E309" s="4">
        <v>0</v>
      </c>
      <c r="F309" s="3">
        <f>VLOOKUP(B309,'Profit &amp; Loss'!$B$3:$C$390,2,0)</f>
        <v>0</v>
      </c>
    </row>
    <row r="310" spans="1:6" x14ac:dyDescent="0.2">
      <c r="A310" s="3" t="s">
        <v>301</v>
      </c>
      <c r="B310" s="3" t="s">
        <v>307</v>
      </c>
      <c r="C310" s="4">
        <v>1428206.28</v>
      </c>
      <c r="D310" s="4">
        <v>1203296.47</v>
      </c>
      <c r="E310" s="4">
        <v>224909.81</v>
      </c>
      <c r="F310" s="3">
        <f>VLOOKUP(B310,'Profit &amp; Loss'!$B$3:$C$390,2,0)</f>
        <v>155566</v>
      </c>
    </row>
    <row r="311" spans="1:6" x14ac:dyDescent="0.2">
      <c r="A311" s="3" t="s">
        <v>301</v>
      </c>
      <c r="B311" s="3" t="s">
        <v>308</v>
      </c>
      <c r="C311" s="4">
        <v>9218.93</v>
      </c>
      <c r="D311" s="4">
        <v>8403.0400000000009</v>
      </c>
      <c r="E311" s="4">
        <v>815.89</v>
      </c>
      <c r="F311" s="3">
        <f>VLOOKUP(B311,'Profit &amp; Loss'!$B$3:$C$390,2,0)</f>
        <v>5356.12</v>
      </c>
    </row>
    <row r="312" spans="1:6" x14ac:dyDescent="0.2">
      <c r="A312" s="3" t="s">
        <v>301</v>
      </c>
      <c r="B312" s="3" t="s">
        <v>309</v>
      </c>
      <c r="C312" s="4">
        <v>36417.919999999998</v>
      </c>
      <c r="D312" s="4">
        <v>0</v>
      </c>
      <c r="E312" s="4">
        <v>36417.919999999998</v>
      </c>
      <c r="F312" s="3">
        <f>VLOOKUP(B312,'Profit &amp; Loss'!$B$3:$C$390,2,0)</f>
        <v>0</v>
      </c>
    </row>
    <row r="313" spans="1:6" x14ac:dyDescent="0.2">
      <c r="A313" s="3" t="s">
        <v>301</v>
      </c>
      <c r="B313" s="3" t="s">
        <v>2</v>
      </c>
      <c r="C313" s="4">
        <v>2654081.58</v>
      </c>
      <c r="D313" s="4">
        <v>2127570.52</v>
      </c>
      <c r="E313" s="4">
        <v>526511.06000000006</v>
      </c>
      <c r="F313" s="3" t="e">
        <f>VLOOKUP(B313,'Profit &amp; Loss'!$B$3:$C$390,2,0)</f>
        <v>#N/A</v>
      </c>
    </row>
    <row r="314" spans="1:6" x14ac:dyDescent="0.2">
      <c r="A314" s="3" t="s">
        <v>310</v>
      </c>
      <c r="B314" s="3" t="s">
        <v>311</v>
      </c>
      <c r="C314" s="4">
        <v>377085.61</v>
      </c>
      <c r="D314" s="4">
        <v>313261.61</v>
      </c>
      <c r="E314" s="4">
        <v>63824</v>
      </c>
      <c r="F314" s="3">
        <f>VLOOKUP(B314,'Profit &amp; Loss'!$B$3:$C$390,2,0)</f>
        <v>32947.410000000003</v>
      </c>
    </row>
    <row r="315" spans="1:6" x14ac:dyDescent="0.2">
      <c r="A315" s="3" t="s">
        <v>310</v>
      </c>
      <c r="B315" s="3" t="s">
        <v>2</v>
      </c>
      <c r="C315" s="4">
        <v>377085.61</v>
      </c>
      <c r="D315" s="4">
        <v>313261.61</v>
      </c>
      <c r="E315" s="4">
        <v>63824</v>
      </c>
      <c r="F315" s="3" t="e">
        <f>VLOOKUP(B315,'Profit &amp; Loss'!$B$3:$C$390,2,0)</f>
        <v>#N/A</v>
      </c>
    </row>
    <row r="316" spans="1:6" x14ac:dyDescent="0.2">
      <c r="A316" s="3" t="s">
        <v>312</v>
      </c>
      <c r="B316" s="3" t="s">
        <v>2</v>
      </c>
      <c r="C316" s="4">
        <v>30319806.489999998</v>
      </c>
      <c r="D316" s="4">
        <v>25872504.620000001</v>
      </c>
      <c r="E316" s="4">
        <v>4447301.87</v>
      </c>
      <c r="F316" s="3" t="e">
        <f>VLOOKUP(B316,'Profit &amp; Loss'!$B$3:$C$390,2,0)</f>
        <v>#N/A</v>
      </c>
    </row>
    <row r="317" spans="1:6" x14ac:dyDescent="0.2">
      <c r="A317" s="3" t="s">
        <v>313</v>
      </c>
      <c r="B317" s="3" t="s">
        <v>314</v>
      </c>
      <c r="C317" s="4">
        <v>405205.18</v>
      </c>
      <c r="D317" s="4">
        <v>345906.49</v>
      </c>
      <c r="E317" s="4">
        <v>59298.69</v>
      </c>
      <c r="F317" s="3">
        <f>VLOOKUP(B317,'Profit &amp; Loss'!$B$3:$C$390,2,0)</f>
        <v>47720.12</v>
      </c>
    </row>
    <row r="318" spans="1:6" x14ac:dyDescent="0.2">
      <c r="A318" s="3" t="s">
        <v>313</v>
      </c>
      <c r="B318" s="3" t="s">
        <v>315</v>
      </c>
      <c r="C318" s="4">
        <v>17791.55</v>
      </c>
      <c r="D318" s="4">
        <v>16723.740000000002</v>
      </c>
      <c r="E318" s="4">
        <v>1067.81</v>
      </c>
      <c r="F318" s="3">
        <f>VLOOKUP(B318,'Profit &amp; Loss'!$B$3:$C$390,2,0)</f>
        <v>3030.51</v>
      </c>
    </row>
    <row r="319" spans="1:6" x14ac:dyDescent="0.2">
      <c r="A319" s="3" t="s">
        <v>313</v>
      </c>
      <c r="B319" s="3" t="s">
        <v>558</v>
      </c>
      <c r="C319" s="4">
        <v>51303</v>
      </c>
      <c r="D319" s="4">
        <v>51303</v>
      </c>
      <c r="E319" s="4">
        <v>0</v>
      </c>
      <c r="F319" s="3">
        <f>VLOOKUP(B319,'Profit &amp; Loss'!$B$3:$C$390,2,0)</f>
        <v>0</v>
      </c>
    </row>
    <row r="320" spans="1:6" x14ac:dyDescent="0.2">
      <c r="A320" s="3" t="s">
        <v>313</v>
      </c>
      <c r="B320" s="3" t="s">
        <v>559</v>
      </c>
      <c r="C320" s="4">
        <v>5295.43</v>
      </c>
      <c r="D320" s="4">
        <v>5295.43</v>
      </c>
      <c r="E320" s="4">
        <v>0</v>
      </c>
      <c r="F320" s="3">
        <f>VLOOKUP(B320,'Profit &amp; Loss'!$B$3:$C$390,2,0)</f>
        <v>3030.51</v>
      </c>
    </row>
    <row r="321" spans="1:6" x14ac:dyDescent="0.2">
      <c r="A321" s="3" t="s">
        <v>313</v>
      </c>
      <c r="B321" s="3" t="s">
        <v>316</v>
      </c>
      <c r="C321" s="4">
        <v>95046.64</v>
      </c>
      <c r="D321" s="4">
        <v>81209.55</v>
      </c>
      <c r="E321" s="4">
        <v>13837.09</v>
      </c>
      <c r="F321" s="3">
        <f>VLOOKUP(B321,'Profit &amp; Loss'!$B$3:$C$390,2,0)</f>
        <v>21674.33</v>
      </c>
    </row>
    <row r="322" spans="1:6" x14ac:dyDescent="0.2">
      <c r="A322" s="3" t="s">
        <v>313</v>
      </c>
      <c r="B322" s="3" t="s">
        <v>317</v>
      </c>
      <c r="C322" s="4">
        <v>1473.73</v>
      </c>
      <c r="D322" s="4">
        <v>1335.25</v>
      </c>
      <c r="E322" s="4">
        <v>138.47999999999999</v>
      </c>
      <c r="F322" s="3">
        <f>VLOOKUP(B322,'Profit &amp; Loss'!$B$3:$C$390,2,0)</f>
        <v>423.23</v>
      </c>
    </row>
    <row r="323" spans="1:6" x14ac:dyDescent="0.2">
      <c r="A323" s="3" t="s">
        <v>313</v>
      </c>
      <c r="B323" s="3" t="s">
        <v>318</v>
      </c>
      <c r="C323" s="4">
        <v>104289.09</v>
      </c>
      <c r="D323" s="4">
        <v>77764.3</v>
      </c>
      <c r="E323" s="4">
        <v>26524.79</v>
      </c>
      <c r="F323" s="3">
        <f>VLOOKUP(B323,'Profit &amp; Loss'!$B$3:$C$390,2,0)</f>
        <v>12048.91</v>
      </c>
    </row>
    <row r="324" spans="1:6" x14ac:dyDescent="0.2">
      <c r="A324" s="3" t="s">
        <v>313</v>
      </c>
      <c r="B324" s="3" t="s">
        <v>319</v>
      </c>
      <c r="C324" s="4">
        <v>309520.15999999997</v>
      </c>
      <c r="D324" s="4">
        <v>262448.64000000001</v>
      </c>
      <c r="E324" s="4">
        <v>47071.519999999997</v>
      </c>
      <c r="F324" s="3">
        <f>VLOOKUP(B324,'Profit &amp; Loss'!$B$3:$C$390,2,0)</f>
        <v>40731.18</v>
      </c>
    </row>
    <row r="325" spans="1:6" x14ac:dyDescent="0.2">
      <c r="A325" s="3" t="s">
        <v>313</v>
      </c>
      <c r="B325" s="3" t="s">
        <v>320</v>
      </c>
      <c r="C325" s="4">
        <v>-17369.07</v>
      </c>
      <c r="D325" s="4">
        <v>-22310.63</v>
      </c>
      <c r="E325" s="4">
        <v>4941.5600000000004</v>
      </c>
      <c r="F325" s="3">
        <f>VLOOKUP(B325,'Profit &amp; Loss'!$B$3:$C$390,2,0)</f>
        <v>4675.82</v>
      </c>
    </row>
    <row r="326" spans="1:6" x14ac:dyDescent="0.2">
      <c r="A326" s="3" t="s">
        <v>313</v>
      </c>
      <c r="B326" s="3" t="s">
        <v>321</v>
      </c>
      <c r="C326" s="4">
        <v>-900694.01</v>
      </c>
      <c r="D326" s="4">
        <v>-766820.28</v>
      </c>
      <c r="E326" s="4">
        <v>-133873.73000000001</v>
      </c>
      <c r="F326" s="3">
        <f>VLOOKUP(B326,'Profit &amp; Loss'!$B$3:$C$390,2,0)</f>
        <v>-127447.83</v>
      </c>
    </row>
    <row r="327" spans="1:6" x14ac:dyDescent="0.2">
      <c r="A327" s="3" t="s">
        <v>313</v>
      </c>
      <c r="B327" s="3" t="s">
        <v>841</v>
      </c>
      <c r="C327" s="4">
        <v>103105.89</v>
      </c>
      <c r="D327" s="4">
        <v>60741.5</v>
      </c>
      <c r="E327" s="4">
        <v>42364.39</v>
      </c>
      <c r="F327" s="3">
        <f>VLOOKUP(B327,'Profit &amp; Loss'!$B$3:$C$390,2,0)</f>
        <v>-27313.17</v>
      </c>
    </row>
    <row r="328" spans="1:6" x14ac:dyDescent="0.2">
      <c r="A328" s="3" t="s">
        <v>313</v>
      </c>
      <c r="B328" s="3" t="s">
        <v>560</v>
      </c>
      <c r="C328" s="4">
        <v>19799.240000000002</v>
      </c>
      <c r="D328" s="4">
        <v>17191.05</v>
      </c>
      <c r="E328" s="4">
        <v>2608.19</v>
      </c>
      <c r="F328" s="3">
        <f>VLOOKUP(B328,'Profit &amp; Loss'!$B$3:$C$390,2,0)</f>
        <v>1760.34</v>
      </c>
    </row>
    <row r="329" spans="1:6" x14ac:dyDescent="0.2">
      <c r="A329" s="3" t="s">
        <v>313</v>
      </c>
      <c r="B329" s="3" t="s">
        <v>1085</v>
      </c>
      <c r="C329" s="4">
        <v>575.25</v>
      </c>
      <c r="D329" s="4">
        <v>575.25</v>
      </c>
      <c r="E329" s="4">
        <v>0</v>
      </c>
      <c r="F329" s="3">
        <f>VLOOKUP(B329,'Profit &amp; Loss'!$B$3:$C$390,2,0)</f>
        <v>0</v>
      </c>
    </row>
    <row r="330" spans="1:6" x14ac:dyDescent="0.2">
      <c r="A330" s="3" t="s">
        <v>313</v>
      </c>
      <c r="B330" s="3" t="s">
        <v>990</v>
      </c>
      <c r="C330" s="4">
        <v>-160.66</v>
      </c>
      <c r="D330" s="4">
        <v>-160.66</v>
      </c>
      <c r="E330" s="4">
        <v>0</v>
      </c>
      <c r="F330" s="3">
        <f>VLOOKUP(B330,'Profit &amp; Loss'!$B$3:$C$390,2,0)</f>
        <v>-40.28</v>
      </c>
    </row>
    <row r="331" spans="1:6" x14ac:dyDescent="0.2">
      <c r="A331" s="3" t="s">
        <v>313</v>
      </c>
      <c r="B331" s="3" t="s">
        <v>322</v>
      </c>
      <c r="C331" s="4">
        <v>998.57</v>
      </c>
      <c r="D331" s="4">
        <v>652.29</v>
      </c>
      <c r="E331" s="4">
        <v>346.28</v>
      </c>
      <c r="F331" s="3">
        <f>VLOOKUP(B331,'Profit &amp; Loss'!$B$3:$C$390,2,0)</f>
        <v>2.09</v>
      </c>
    </row>
    <row r="332" spans="1:6" x14ac:dyDescent="0.2">
      <c r="A332" s="3" t="s">
        <v>313</v>
      </c>
      <c r="B332" s="3" t="s">
        <v>652</v>
      </c>
      <c r="C332" s="4">
        <v>148.80000000000001</v>
      </c>
      <c r="D332" s="4">
        <v>142.13</v>
      </c>
      <c r="E332" s="4">
        <v>6.67</v>
      </c>
      <c r="F332" s="3">
        <f>VLOOKUP(B332,'Profit &amp; Loss'!$B$3:$C$390,2,0)</f>
        <v>35.14</v>
      </c>
    </row>
    <row r="333" spans="1:6" x14ac:dyDescent="0.2">
      <c r="A333" s="3" t="s">
        <v>313</v>
      </c>
      <c r="B333" s="3" t="s">
        <v>323</v>
      </c>
      <c r="C333" s="4">
        <v>12171.7</v>
      </c>
      <c r="D333" s="4">
        <v>10770.13</v>
      </c>
      <c r="E333" s="4">
        <v>1401.57</v>
      </c>
      <c r="F333" s="3">
        <f>VLOOKUP(B333,'Profit &amp; Loss'!$B$3:$C$390,2,0)</f>
        <v>3243.68</v>
      </c>
    </row>
    <row r="334" spans="1:6" x14ac:dyDescent="0.2">
      <c r="A334" s="3" t="s">
        <v>313</v>
      </c>
      <c r="B334" s="3" t="s">
        <v>324</v>
      </c>
      <c r="C334" s="4">
        <v>226796.79</v>
      </c>
      <c r="D334" s="4">
        <v>206714.93</v>
      </c>
      <c r="E334" s="4">
        <v>20081.86</v>
      </c>
      <c r="F334" s="3">
        <f>VLOOKUP(B334,'Profit &amp; Loss'!$B$3:$C$390,2,0)</f>
        <v>33298</v>
      </c>
    </row>
    <row r="335" spans="1:6" x14ac:dyDescent="0.2">
      <c r="A335" s="3" t="s">
        <v>313</v>
      </c>
      <c r="B335" s="3" t="s">
        <v>913</v>
      </c>
      <c r="C335" s="4">
        <v>329.26</v>
      </c>
      <c r="D335" s="4">
        <v>118.21</v>
      </c>
      <c r="E335" s="4">
        <v>211.05</v>
      </c>
      <c r="F335" s="3">
        <f>VLOOKUP(B335,'Profit &amp; Loss'!$B$3:$C$390,2,0)</f>
        <v>0</v>
      </c>
    </row>
    <row r="336" spans="1:6" x14ac:dyDescent="0.2">
      <c r="A336" s="3" t="s">
        <v>313</v>
      </c>
      <c r="B336" s="3" t="s">
        <v>561</v>
      </c>
      <c r="C336" s="4">
        <v>955.59</v>
      </c>
      <c r="D336" s="4">
        <v>787.7</v>
      </c>
      <c r="E336" s="4">
        <v>167.89</v>
      </c>
      <c r="F336" s="3">
        <f>VLOOKUP(B336,'Profit &amp; Loss'!$B$3:$C$390,2,0)</f>
        <v>0</v>
      </c>
    </row>
    <row r="337" spans="1:6" x14ac:dyDescent="0.2">
      <c r="A337" s="3" t="s">
        <v>313</v>
      </c>
      <c r="B337" s="3" t="s">
        <v>654</v>
      </c>
      <c r="C337" s="4">
        <v>14880.21</v>
      </c>
      <c r="D337" s="4">
        <v>1086.76</v>
      </c>
      <c r="E337" s="4">
        <v>13793.45</v>
      </c>
      <c r="F337" s="3">
        <f>VLOOKUP(B337,'Profit &amp; Loss'!$B$3:$C$390,2,0)</f>
        <v>36.44</v>
      </c>
    </row>
    <row r="338" spans="1:6" x14ac:dyDescent="0.2">
      <c r="A338" s="3" t="s">
        <v>313</v>
      </c>
      <c r="B338" s="3" t="s">
        <v>991</v>
      </c>
      <c r="C338" s="4">
        <v>469.21</v>
      </c>
      <c r="D338" s="4">
        <v>469.21</v>
      </c>
      <c r="E338" s="4">
        <v>0</v>
      </c>
      <c r="F338" s="3">
        <f>VLOOKUP(B338,'Profit &amp; Loss'!$B$3:$C$390,2,0)</f>
        <v>-28825.55</v>
      </c>
    </row>
    <row r="339" spans="1:6" x14ac:dyDescent="0.2">
      <c r="A339" s="3" t="s">
        <v>313</v>
      </c>
      <c r="B339" s="3" t="s">
        <v>326</v>
      </c>
      <c r="C339" s="4">
        <v>29052.400000000001</v>
      </c>
      <c r="D339" s="4">
        <v>56627.76</v>
      </c>
      <c r="E339" s="4">
        <v>-27575.360000000001</v>
      </c>
      <c r="F339" s="3">
        <f>VLOOKUP(B339,'Profit &amp; Loss'!$B$3:$C$390,2,0)</f>
        <v>-435.68</v>
      </c>
    </row>
    <row r="340" spans="1:6" x14ac:dyDescent="0.2">
      <c r="A340" s="3" t="s">
        <v>313</v>
      </c>
      <c r="B340" s="3" t="s">
        <v>1254</v>
      </c>
      <c r="C340" s="4">
        <v>124.19</v>
      </c>
      <c r="D340" s="4">
        <v>124.19</v>
      </c>
      <c r="E340" s="4">
        <v>0</v>
      </c>
      <c r="F340" s="3">
        <f>VLOOKUP(B340,'Profit &amp; Loss'!$B$3:$C$390,2,0)</f>
        <v>0</v>
      </c>
    </row>
    <row r="341" spans="1:6" x14ac:dyDescent="0.2">
      <c r="A341" s="3" t="s">
        <v>313</v>
      </c>
      <c r="B341" s="3" t="s">
        <v>327</v>
      </c>
      <c r="C341" s="4">
        <v>429.3</v>
      </c>
      <c r="D341" s="4">
        <v>429.3</v>
      </c>
      <c r="E341" s="4">
        <v>0</v>
      </c>
      <c r="F341" s="3">
        <f>VLOOKUP(B341,'Profit &amp; Loss'!$B$3:$C$390,2,0)</f>
        <v>286.14</v>
      </c>
    </row>
    <row r="342" spans="1:6" x14ac:dyDescent="0.2">
      <c r="A342" s="3" t="s">
        <v>313</v>
      </c>
      <c r="B342" s="3" t="s">
        <v>328</v>
      </c>
      <c r="C342" s="4">
        <v>-1423.86</v>
      </c>
      <c r="D342" s="4">
        <v>-1746.42</v>
      </c>
      <c r="E342" s="4">
        <v>322.56</v>
      </c>
      <c r="F342" s="3">
        <f>VLOOKUP(B342,'Profit &amp; Loss'!$B$3:$C$390,2,0)</f>
        <v>-756.63</v>
      </c>
    </row>
    <row r="343" spans="1:6" x14ac:dyDescent="0.2">
      <c r="A343" s="3" t="s">
        <v>313</v>
      </c>
      <c r="B343" s="3" t="s">
        <v>1433</v>
      </c>
      <c r="C343" s="4">
        <v>-1294.23</v>
      </c>
      <c r="D343" s="4">
        <v>388.35</v>
      </c>
      <c r="E343" s="4">
        <v>-1682.58</v>
      </c>
      <c r="F343" s="3">
        <f>VLOOKUP(B343,'Profit &amp; Loss'!$B$3:$C$390,2,0)</f>
        <v>0</v>
      </c>
    </row>
    <row r="344" spans="1:6" x14ac:dyDescent="0.2">
      <c r="A344" s="3" t="s">
        <v>313</v>
      </c>
      <c r="B344" s="3" t="s">
        <v>656</v>
      </c>
      <c r="C344" s="4">
        <v>44857.94</v>
      </c>
      <c r="D344" s="4">
        <v>31069.64</v>
      </c>
      <c r="E344" s="4">
        <v>13788.3</v>
      </c>
      <c r="F344" s="3">
        <f>VLOOKUP(B344,'Profit &amp; Loss'!$B$3:$C$390,2,0)</f>
        <v>0</v>
      </c>
    </row>
    <row r="345" spans="1:6" x14ac:dyDescent="0.2">
      <c r="A345" s="3" t="s">
        <v>313</v>
      </c>
      <c r="B345" s="3" t="s">
        <v>329</v>
      </c>
      <c r="C345" s="4">
        <v>37647.54</v>
      </c>
      <c r="D345" s="4">
        <v>31578</v>
      </c>
      <c r="E345" s="4">
        <v>6069.54</v>
      </c>
      <c r="F345" s="3">
        <f>VLOOKUP(B345,'Profit &amp; Loss'!$B$3:$C$390,2,0)</f>
        <v>6174.84</v>
      </c>
    </row>
    <row r="346" spans="1:6" x14ac:dyDescent="0.2">
      <c r="A346" s="3" t="s">
        <v>313</v>
      </c>
      <c r="B346" s="3" t="s">
        <v>330</v>
      </c>
      <c r="C346" s="4">
        <v>6090.36</v>
      </c>
      <c r="D346" s="4">
        <v>5699.21</v>
      </c>
      <c r="E346" s="4">
        <v>391.15</v>
      </c>
      <c r="F346" s="3">
        <f>VLOOKUP(B346,'Profit &amp; Loss'!$B$3:$C$390,2,0)</f>
        <v>890.78</v>
      </c>
    </row>
    <row r="347" spans="1:6" x14ac:dyDescent="0.2">
      <c r="A347" s="3" t="s">
        <v>313</v>
      </c>
      <c r="B347" s="3" t="s">
        <v>331</v>
      </c>
      <c r="C347" s="4">
        <v>56029.27</v>
      </c>
      <c r="D347" s="4">
        <v>45530.400000000001</v>
      </c>
      <c r="E347" s="4">
        <v>10498.87</v>
      </c>
      <c r="F347" s="3">
        <f>VLOOKUP(B347,'Profit &amp; Loss'!$B$3:$C$390,2,0)</f>
        <v>-3008.88</v>
      </c>
    </row>
    <row r="348" spans="1:6" x14ac:dyDescent="0.2">
      <c r="A348" s="3" t="s">
        <v>313</v>
      </c>
      <c r="B348" s="3" t="s">
        <v>332</v>
      </c>
      <c r="C348" s="4">
        <v>291.36</v>
      </c>
      <c r="D348" s="4">
        <v>246.34</v>
      </c>
      <c r="E348" s="4">
        <v>45.02</v>
      </c>
      <c r="F348" s="3">
        <f>VLOOKUP(B348,'Profit &amp; Loss'!$B$3:$C$390,2,0)</f>
        <v>24.68</v>
      </c>
    </row>
    <row r="349" spans="1:6" x14ac:dyDescent="0.2">
      <c r="A349" s="3" t="s">
        <v>313</v>
      </c>
      <c r="B349" s="3" t="s">
        <v>657</v>
      </c>
      <c r="C349" s="4">
        <v>14978.01</v>
      </c>
      <c r="D349" s="4">
        <v>532.29999999999995</v>
      </c>
      <c r="E349" s="4">
        <v>14445.71</v>
      </c>
      <c r="F349" s="3">
        <f>VLOOKUP(B349,'Profit &amp; Loss'!$B$3:$C$390,2,0)</f>
        <v>0</v>
      </c>
    </row>
    <row r="350" spans="1:6" x14ac:dyDescent="0.2">
      <c r="A350" s="3" t="s">
        <v>313</v>
      </c>
      <c r="B350" s="3" t="s">
        <v>333</v>
      </c>
      <c r="C350" s="4">
        <v>16404.34</v>
      </c>
      <c r="D350" s="4">
        <v>14264.92</v>
      </c>
      <c r="E350" s="4">
        <v>2139.42</v>
      </c>
      <c r="F350" s="3">
        <f>VLOOKUP(B350,'Profit &amp; Loss'!$B$3:$C$390,2,0)</f>
        <v>3308.5</v>
      </c>
    </row>
    <row r="351" spans="1:6" x14ac:dyDescent="0.2">
      <c r="A351" s="3" t="s">
        <v>313</v>
      </c>
      <c r="B351" s="3" t="s">
        <v>658</v>
      </c>
      <c r="C351" s="4">
        <v>3390.97</v>
      </c>
      <c r="D351" s="4">
        <v>0</v>
      </c>
      <c r="E351" s="4">
        <v>3390.97</v>
      </c>
      <c r="F351" s="3">
        <f>VLOOKUP(B351,'Profit &amp; Loss'!$B$3:$C$390,2,0)</f>
        <v>2303.5500000000002</v>
      </c>
    </row>
    <row r="352" spans="1:6" x14ac:dyDescent="0.2">
      <c r="A352" s="3" t="s">
        <v>313</v>
      </c>
      <c r="B352" s="3" t="s">
        <v>1434</v>
      </c>
      <c r="C352" s="4">
        <v>111.08</v>
      </c>
      <c r="D352" s="4">
        <v>111.08</v>
      </c>
      <c r="E352" s="4">
        <v>0</v>
      </c>
      <c r="F352" s="3">
        <f>VLOOKUP(B352,'Profit &amp; Loss'!$B$3:$C$390,2,0)</f>
        <v>0</v>
      </c>
    </row>
    <row r="353" spans="1:6" x14ac:dyDescent="0.2">
      <c r="A353" s="3" t="s">
        <v>313</v>
      </c>
      <c r="B353" s="3" t="s">
        <v>2</v>
      </c>
      <c r="C353" s="4">
        <v>658620.22</v>
      </c>
      <c r="D353" s="4">
        <v>536799.06000000006</v>
      </c>
      <c r="E353" s="4">
        <v>121821.16</v>
      </c>
      <c r="F353" s="3" t="e">
        <f>VLOOKUP(B353,'Profit &amp; Loss'!$B$3:$C$390,2,0)</f>
        <v>#N/A</v>
      </c>
    </row>
    <row r="354" spans="1:6" x14ac:dyDescent="0.2">
      <c r="A354" s="3" t="s">
        <v>334</v>
      </c>
      <c r="B354" s="3" t="s">
        <v>335</v>
      </c>
      <c r="C354" s="4">
        <v>517368.85</v>
      </c>
      <c r="D354" s="4">
        <v>443912.65</v>
      </c>
      <c r="E354" s="4">
        <v>73456.2</v>
      </c>
      <c r="F354" s="3">
        <f>VLOOKUP(B354,'Profit &amp; Loss'!$B$3:$C$390,2,0)</f>
        <v>55035.39</v>
      </c>
    </row>
    <row r="355" spans="1:6" x14ac:dyDescent="0.2">
      <c r="A355" s="3" t="s">
        <v>334</v>
      </c>
      <c r="B355" s="3" t="s">
        <v>562</v>
      </c>
      <c r="C355" s="4">
        <v>66390.5</v>
      </c>
      <c r="D355" s="4">
        <v>66390.5</v>
      </c>
      <c r="E355" s="4">
        <v>0</v>
      </c>
      <c r="F355" s="3">
        <f>VLOOKUP(B355,'Profit &amp; Loss'!$B$3:$C$390,2,0)</f>
        <v>0</v>
      </c>
    </row>
    <row r="356" spans="1:6" x14ac:dyDescent="0.2">
      <c r="A356" s="3" t="s">
        <v>334</v>
      </c>
      <c r="B356" s="3" t="s">
        <v>336</v>
      </c>
      <c r="C356" s="4">
        <v>-23263.84</v>
      </c>
      <c r="D356" s="4">
        <v>-29385.18</v>
      </c>
      <c r="E356" s="4">
        <v>6121.34</v>
      </c>
      <c r="F356" s="3">
        <f>VLOOKUP(B356,'Profit &amp; Loss'!$B$3:$C$390,2,0)</f>
        <v>5279.69</v>
      </c>
    </row>
    <row r="357" spans="1:6" x14ac:dyDescent="0.2">
      <c r="A357" s="3" t="s">
        <v>334</v>
      </c>
      <c r="B357" s="3" t="s">
        <v>337</v>
      </c>
      <c r="C357" s="4">
        <v>23695.52</v>
      </c>
      <c r="D357" s="4">
        <v>21212.84</v>
      </c>
      <c r="E357" s="4">
        <v>2482.6799999999998</v>
      </c>
      <c r="F357" s="3">
        <f>VLOOKUP(B357,'Profit &amp; Loss'!$B$3:$C$390,2,0)</f>
        <v>2800.93</v>
      </c>
    </row>
    <row r="358" spans="1:6" x14ac:dyDescent="0.2">
      <c r="A358" s="3" t="s">
        <v>334</v>
      </c>
      <c r="B358" s="3" t="s">
        <v>338</v>
      </c>
      <c r="C358" s="4">
        <v>159986.10999999999</v>
      </c>
      <c r="D358" s="4">
        <v>149731.17000000001</v>
      </c>
      <c r="E358" s="4">
        <v>10254.94</v>
      </c>
      <c r="F358" s="3">
        <f>VLOOKUP(B358,'Profit &amp; Loss'!$B$3:$C$390,2,0)</f>
        <v>17648.05</v>
      </c>
    </row>
    <row r="359" spans="1:6" x14ac:dyDescent="0.2">
      <c r="A359" s="3" t="s">
        <v>334</v>
      </c>
      <c r="B359" s="3" t="s">
        <v>563</v>
      </c>
      <c r="C359" s="4">
        <v>165.75</v>
      </c>
      <c r="D359" s="4">
        <v>165.75</v>
      </c>
      <c r="E359" s="4">
        <v>0</v>
      </c>
      <c r="F359" s="3">
        <f>VLOOKUP(B359,'Profit &amp; Loss'!$B$3:$C$390,2,0)</f>
        <v>0</v>
      </c>
    </row>
    <row r="360" spans="1:6" x14ac:dyDescent="0.2">
      <c r="A360" s="3" t="s">
        <v>334</v>
      </c>
      <c r="B360" s="3" t="s">
        <v>339</v>
      </c>
      <c r="C360" s="4">
        <v>20145.53</v>
      </c>
      <c r="D360" s="4">
        <v>17876.45</v>
      </c>
      <c r="E360" s="4">
        <v>2269.08</v>
      </c>
      <c r="F360" s="3">
        <f>VLOOKUP(B360,'Profit &amp; Loss'!$B$3:$C$390,2,0)</f>
        <v>4180.01</v>
      </c>
    </row>
    <row r="361" spans="1:6" x14ac:dyDescent="0.2">
      <c r="A361" s="3" t="s">
        <v>334</v>
      </c>
      <c r="B361" s="3" t="s">
        <v>768</v>
      </c>
      <c r="C361" s="4">
        <v>96267.16</v>
      </c>
      <c r="D361" s="4">
        <v>96267.16</v>
      </c>
      <c r="E361" s="4">
        <v>0</v>
      </c>
      <c r="F361" s="3">
        <f>VLOOKUP(B361,'Profit &amp; Loss'!$B$3:$C$390,2,0)</f>
        <v>0</v>
      </c>
    </row>
    <row r="362" spans="1:6" x14ac:dyDescent="0.2">
      <c r="A362" s="3" t="s">
        <v>334</v>
      </c>
      <c r="B362" s="3" t="s">
        <v>340</v>
      </c>
      <c r="C362" s="4">
        <v>-10013.76</v>
      </c>
      <c r="D362" s="4">
        <v>-22256.46</v>
      </c>
      <c r="E362" s="4">
        <v>12242.7</v>
      </c>
      <c r="F362" s="3">
        <f>VLOOKUP(B362,'Profit &amp; Loss'!$B$3:$C$390,2,0)</f>
        <v>10559.39</v>
      </c>
    </row>
    <row r="363" spans="1:6" x14ac:dyDescent="0.2">
      <c r="A363" s="3" t="s">
        <v>334</v>
      </c>
      <c r="B363" s="3" t="s">
        <v>341</v>
      </c>
      <c r="C363" s="4">
        <v>136752.26</v>
      </c>
      <c r="D363" s="4">
        <v>111187.58</v>
      </c>
      <c r="E363" s="4">
        <v>25564.68</v>
      </c>
      <c r="F363" s="3">
        <f>VLOOKUP(B363,'Profit &amp; Loss'!$B$3:$C$390,2,0)</f>
        <v>18487.189999999999</v>
      </c>
    </row>
    <row r="364" spans="1:6" x14ac:dyDescent="0.2">
      <c r="A364" s="3" t="s">
        <v>334</v>
      </c>
      <c r="B364" s="3" t="s">
        <v>342</v>
      </c>
      <c r="C364" s="4">
        <v>6438.41</v>
      </c>
      <c r="D364" s="4">
        <v>4945.62</v>
      </c>
      <c r="E364" s="4">
        <v>1492.79</v>
      </c>
      <c r="F364" s="3">
        <f>VLOOKUP(B364,'Profit &amp; Loss'!$B$3:$C$390,2,0)</f>
        <v>2577.34</v>
      </c>
    </row>
    <row r="365" spans="1:6" x14ac:dyDescent="0.2">
      <c r="A365" s="3" t="s">
        <v>334</v>
      </c>
      <c r="B365" s="3" t="s">
        <v>566</v>
      </c>
      <c r="C365" s="4">
        <v>16596.78</v>
      </c>
      <c r="D365" s="4">
        <v>939.81</v>
      </c>
      <c r="E365" s="4">
        <v>15656.97</v>
      </c>
      <c r="F365" s="3">
        <f>VLOOKUP(B365,'Profit &amp; Loss'!$B$3:$C$390,2,0)</f>
        <v>0</v>
      </c>
    </row>
    <row r="366" spans="1:6" x14ac:dyDescent="0.2">
      <c r="A366" s="3" t="s">
        <v>334</v>
      </c>
      <c r="B366" s="3" t="s">
        <v>343</v>
      </c>
      <c r="C366" s="4">
        <v>18021.02</v>
      </c>
      <c r="D366" s="4">
        <v>15444.04</v>
      </c>
      <c r="E366" s="4">
        <v>2576.98</v>
      </c>
      <c r="F366" s="3">
        <f>VLOOKUP(B366,'Profit &amp; Loss'!$B$3:$C$390,2,0)</f>
        <v>-203.37</v>
      </c>
    </row>
    <row r="367" spans="1:6" x14ac:dyDescent="0.2">
      <c r="A367" s="3" t="s">
        <v>334</v>
      </c>
      <c r="B367" s="3" t="s">
        <v>992</v>
      </c>
      <c r="C367" s="4">
        <v>733.43</v>
      </c>
      <c r="D367" s="4">
        <v>733.43</v>
      </c>
      <c r="E367" s="4">
        <v>0</v>
      </c>
      <c r="F367" s="3">
        <f>VLOOKUP(B367,'Profit &amp; Loss'!$B$3:$C$390,2,0)</f>
        <v>733.43</v>
      </c>
    </row>
    <row r="368" spans="1:6" s="18" customFormat="1" x14ac:dyDescent="0.2">
      <c r="A368" s="18" t="s">
        <v>334</v>
      </c>
      <c r="B368" s="18" t="s">
        <v>344</v>
      </c>
      <c r="C368" s="19">
        <v>6.87</v>
      </c>
      <c r="D368" s="19">
        <v>0</v>
      </c>
      <c r="E368" s="19">
        <v>6.87</v>
      </c>
      <c r="F368" s="18">
        <f>VLOOKUP(B368,'Profit &amp; Loss'!$B$3:$C$390,2,0)</f>
        <v>0</v>
      </c>
    </row>
    <row r="369" spans="1:6" x14ac:dyDescent="0.2">
      <c r="A369" s="3" t="s">
        <v>334</v>
      </c>
      <c r="B369" s="3" t="s">
        <v>345</v>
      </c>
      <c r="C369" s="4">
        <v>96021.13</v>
      </c>
      <c r="D369" s="4">
        <v>81423.070000000007</v>
      </c>
      <c r="E369" s="4">
        <v>14598.06</v>
      </c>
      <c r="F369" s="3">
        <f>VLOOKUP(B369,'Profit &amp; Loss'!$B$3:$C$390,2,0)</f>
        <v>11989.03</v>
      </c>
    </row>
    <row r="370" spans="1:6" x14ac:dyDescent="0.2">
      <c r="A370" s="3" t="s">
        <v>334</v>
      </c>
      <c r="B370" s="3" t="s">
        <v>346</v>
      </c>
      <c r="C370" s="4">
        <v>34214.92</v>
      </c>
      <c r="D370" s="4">
        <v>29302.98</v>
      </c>
      <c r="E370" s="4">
        <v>4911.9399999999996</v>
      </c>
      <c r="F370" s="3">
        <f>VLOOKUP(B370,'Profit &amp; Loss'!$B$3:$C$390,2,0)</f>
        <v>4420.24</v>
      </c>
    </row>
    <row r="371" spans="1:6" x14ac:dyDescent="0.2">
      <c r="A371" s="3" t="s">
        <v>334</v>
      </c>
      <c r="B371" s="3" t="s">
        <v>347</v>
      </c>
      <c r="C371" s="4">
        <v>16596.77</v>
      </c>
      <c r="D371" s="4">
        <v>14217.41</v>
      </c>
      <c r="E371" s="4">
        <v>2379.36</v>
      </c>
      <c r="F371" s="3">
        <f>VLOOKUP(B371,'Profit &amp; Loss'!$B$3:$C$390,2,0)</f>
        <v>2182.88</v>
      </c>
    </row>
    <row r="372" spans="1:6" x14ac:dyDescent="0.2">
      <c r="A372" s="3" t="s">
        <v>334</v>
      </c>
      <c r="B372" s="3" t="s">
        <v>348</v>
      </c>
      <c r="C372" s="4">
        <v>46554.07</v>
      </c>
      <c r="D372" s="4">
        <v>39613.83</v>
      </c>
      <c r="E372" s="4">
        <v>6940.24</v>
      </c>
      <c r="F372" s="3">
        <f>VLOOKUP(B372,'Profit &amp; Loss'!$B$3:$C$390,2,0)</f>
        <v>5823.94</v>
      </c>
    </row>
    <row r="373" spans="1:6" x14ac:dyDescent="0.2">
      <c r="A373" s="3" t="s">
        <v>334</v>
      </c>
      <c r="B373" s="3" t="s">
        <v>349</v>
      </c>
      <c r="C373" s="4">
        <v>32844.21</v>
      </c>
      <c r="D373" s="4">
        <v>28456.07</v>
      </c>
      <c r="E373" s="4">
        <v>4388.1400000000003</v>
      </c>
      <c r="F373" s="3">
        <f>VLOOKUP(B373,'Profit &amp; Loss'!$B$3:$C$390,2,0)</f>
        <v>3750.29</v>
      </c>
    </row>
    <row r="374" spans="1:6" x14ac:dyDescent="0.2">
      <c r="A374" s="3" t="s">
        <v>334</v>
      </c>
      <c r="B374" s="3" t="s">
        <v>350</v>
      </c>
      <c r="C374" s="4">
        <v>26914.84</v>
      </c>
      <c r="D374" s="4">
        <v>22596.720000000001</v>
      </c>
      <c r="E374" s="4">
        <v>4318.12</v>
      </c>
      <c r="F374" s="3">
        <f>VLOOKUP(B374,'Profit &amp; Loss'!$B$3:$C$390,2,0)</f>
        <v>5549.93</v>
      </c>
    </row>
    <row r="375" spans="1:6" x14ac:dyDescent="0.2">
      <c r="A375" s="3" t="s">
        <v>334</v>
      </c>
      <c r="B375" s="3" t="s">
        <v>351</v>
      </c>
      <c r="C375" s="4">
        <v>49259.7</v>
      </c>
      <c r="D375" s="4">
        <v>44747.88</v>
      </c>
      <c r="E375" s="4">
        <v>4511.82</v>
      </c>
      <c r="F375" s="3">
        <f>VLOOKUP(B375,'Profit &amp; Loss'!$B$3:$C$390,2,0)</f>
        <v>4678.2299999999996</v>
      </c>
    </row>
    <row r="376" spans="1:6" x14ac:dyDescent="0.2">
      <c r="A376" s="3" t="s">
        <v>334</v>
      </c>
      <c r="B376" s="3" t="s">
        <v>352</v>
      </c>
      <c r="C376" s="4">
        <v>3909.25</v>
      </c>
      <c r="D376" s="4">
        <v>3615.6</v>
      </c>
      <c r="E376" s="4">
        <v>293.64999999999998</v>
      </c>
      <c r="F376" s="3">
        <f>VLOOKUP(B376,'Profit &amp; Loss'!$B$3:$C$390,2,0)</f>
        <v>1184.21</v>
      </c>
    </row>
    <row r="377" spans="1:6" x14ac:dyDescent="0.2">
      <c r="A377" s="3" t="s">
        <v>334</v>
      </c>
      <c r="B377" s="3" t="s">
        <v>569</v>
      </c>
      <c r="C377" s="4">
        <v>2143.94</v>
      </c>
      <c r="D377" s="4">
        <v>1610.04</v>
      </c>
      <c r="E377" s="4">
        <v>533.9</v>
      </c>
      <c r="F377" s="3">
        <f>VLOOKUP(B377,'Profit &amp; Loss'!$B$3:$C$390,2,0)</f>
        <v>1388.56</v>
      </c>
    </row>
    <row r="378" spans="1:6" x14ac:dyDescent="0.2">
      <c r="A378" s="3" t="s">
        <v>334</v>
      </c>
      <c r="B378" s="3" t="s">
        <v>667</v>
      </c>
      <c r="C378" s="4">
        <v>1950.26</v>
      </c>
      <c r="D378" s="4">
        <v>1650.22</v>
      </c>
      <c r="E378" s="4">
        <v>300.04000000000002</v>
      </c>
      <c r="F378" s="3">
        <f>VLOOKUP(B378,'Profit &amp; Loss'!$B$3:$C$390,2,0)</f>
        <v>0</v>
      </c>
    </row>
    <row r="379" spans="1:6" x14ac:dyDescent="0.2">
      <c r="A379" s="3" t="s">
        <v>334</v>
      </c>
      <c r="B379" s="3" t="s">
        <v>353</v>
      </c>
      <c r="C379" s="4">
        <v>11663.09</v>
      </c>
      <c r="D379" s="4">
        <v>10328.73</v>
      </c>
      <c r="E379" s="4">
        <v>1334.36</v>
      </c>
      <c r="F379" s="3">
        <f>VLOOKUP(B379,'Profit &amp; Loss'!$B$3:$C$390,2,0)</f>
        <v>1304.8699999999999</v>
      </c>
    </row>
    <row r="380" spans="1:6" x14ac:dyDescent="0.2">
      <c r="A380" s="3" t="s">
        <v>334</v>
      </c>
      <c r="B380" s="3" t="s">
        <v>772</v>
      </c>
      <c r="C380" s="4">
        <v>1018.7</v>
      </c>
      <c r="D380" s="4">
        <v>873.21</v>
      </c>
      <c r="E380" s="4">
        <v>145.49</v>
      </c>
      <c r="F380" s="3">
        <f>VLOOKUP(B380,'Profit &amp; Loss'!$B$3:$C$390,2,0)</f>
        <v>0</v>
      </c>
    </row>
    <row r="381" spans="1:6" x14ac:dyDescent="0.2">
      <c r="A381" s="3" t="s">
        <v>334</v>
      </c>
      <c r="B381" s="3" t="s">
        <v>354</v>
      </c>
      <c r="C381" s="4">
        <v>4993.54</v>
      </c>
      <c r="D381" s="4">
        <v>4276.66</v>
      </c>
      <c r="E381" s="4">
        <v>716.88</v>
      </c>
      <c r="F381" s="3">
        <f>VLOOKUP(B381,'Profit &amp; Loss'!$B$3:$C$390,2,0)</f>
        <v>645.12</v>
      </c>
    </row>
    <row r="382" spans="1:6" x14ac:dyDescent="0.2">
      <c r="A382" s="3" t="s">
        <v>334</v>
      </c>
      <c r="B382" s="3" t="s">
        <v>355</v>
      </c>
      <c r="C382" s="4">
        <v>34582.44</v>
      </c>
      <c r="D382" s="4">
        <v>29536.21</v>
      </c>
      <c r="E382" s="4">
        <v>5046.2299999999996</v>
      </c>
      <c r="F382" s="3">
        <f>VLOOKUP(B382,'Profit &amp; Loss'!$B$3:$C$390,2,0)</f>
        <v>4654.41</v>
      </c>
    </row>
    <row r="383" spans="1:6" x14ac:dyDescent="0.2">
      <c r="A383" s="3" t="s">
        <v>334</v>
      </c>
      <c r="B383" s="3" t="s">
        <v>356</v>
      </c>
      <c r="C383" s="4">
        <v>34.130000000000003</v>
      </c>
      <c r="D383" s="4">
        <v>0</v>
      </c>
      <c r="E383" s="4">
        <v>34.130000000000003</v>
      </c>
      <c r="F383" s="3">
        <f>VLOOKUP(B383,'Profit &amp; Loss'!$B$3:$C$390,2,0)</f>
        <v>164.53</v>
      </c>
    </row>
    <row r="384" spans="1:6" x14ac:dyDescent="0.2">
      <c r="A384" s="3" t="s">
        <v>334</v>
      </c>
      <c r="B384" s="3" t="s">
        <v>357</v>
      </c>
      <c r="C384" s="4">
        <v>15496.45</v>
      </c>
      <c r="D384" s="4">
        <v>12590.24</v>
      </c>
      <c r="E384" s="4">
        <v>2906.21</v>
      </c>
      <c r="F384" s="3">
        <f>VLOOKUP(B384,'Profit &amp; Loss'!$B$3:$C$390,2,0)</f>
        <v>1147.27</v>
      </c>
    </row>
    <row r="385" spans="1:6" x14ac:dyDescent="0.2">
      <c r="A385" s="3" t="s">
        <v>334</v>
      </c>
      <c r="B385" s="3" t="s">
        <v>920</v>
      </c>
      <c r="C385" s="4">
        <v>6178.53</v>
      </c>
      <c r="D385" s="4">
        <v>6178.53</v>
      </c>
      <c r="E385" s="4">
        <v>0</v>
      </c>
      <c r="F385" s="3">
        <f>VLOOKUP(B385,'Profit &amp; Loss'!$B$3:$C$390,2,0)</f>
        <v>0</v>
      </c>
    </row>
    <row r="386" spans="1:6" x14ac:dyDescent="0.2">
      <c r="A386" s="3" t="s">
        <v>334</v>
      </c>
      <c r="B386" s="3" t="s">
        <v>358</v>
      </c>
      <c r="C386" s="4">
        <v>7416.76</v>
      </c>
      <c r="D386" s="4">
        <v>7416.76</v>
      </c>
      <c r="E386" s="4">
        <v>0</v>
      </c>
      <c r="F386" s="3">
        <f>VLOOKUP(B386,'Profit &amp; Loss'!$B$3:$C$390,2,0)</f>
        <v>3993.12</v>
      </c>
    </row>
    <row r="387" spans="1:6" x14ac:dyDescent="0.2">
      <c r="A387" s="3" t="s">
        <v>334</v>
      </c>
      <c r="B387" s="3" t="s">
        <v>359</v>
      </c>
      <c r="C387" s="4">
        <v>1270.6400000000001</v>
      </c>
      <c r="D387" s="4">
        <v>1270.6400000000001</v>
      </c>
      <c r="E387" s="4">
        <v>0</v>
      </c>
      <c r="F387" s="3">
        <f>VLOOKUP(B387,'Profit &amp; Loss'!$B$3:$C$390,2,0)</f>
        <v>1270.6400000000001</v>
      </c>
    </row>
    <row r="388" spans="1:6" x14ac:dyDescent="0.2">
      <c r="A388" s="3" t="s">
        <v>334</v>
      </c>
      <c r="B388" s="3" t="s">
        <v>360</v>
      </c>
      <c r="C388" s="4">
        <v>125930.71</v>
      </c>
      <c r="D388" s="4">
        <v>107888.13</v>
      </c>
      <c r="E388" s="4">
        <v>18042.580000000002</v>
      </c>
      <c r="F388" s="3">
        <f>VLOOKUP(B388,'Profit &amp; Loss'!$B$3:$C$390,2,0)</f>
        <v>16594.689999999999</v>
      </c>
    </row>
    <row r="389" spans="1:6" x14ac:dyDescent="0.2">
      <c r="A389" s="3" t="s">
        <v>334</v>
      </c>
      <c r="B389" s="3" t="s">
        <v>571</v>
      </c>
      <c r="C389" s="4">
        <v>10916.21</v>
      </c>
      <c r="D389" s="4">
        <v>10916.21</v>
      </c>
      <c r="E389" s="4">
        <v>0</v>
      </c>
      <c r="F389" s="3">
        <f>VLOOKUP(B389,'Profit &amp; Loss'!$B$3:$C$390,2,0)</f>
        <v>7423.55</v>
      </c>
    </row>
    <row r="390" spans="1:6" s="18" customFormat="1" x14ac:dyDescent="0.2">
      <c r="A390" s="18" t="s">
        <v>334</v>
      </c>
      <c r="B390" s="18" t="s">
        <v>361</v>
      </c>
      <c r="C390" s="19">
        <v>107.69</v>
      </c>
      <c r="D390" s="19">
        <v>0</v>
      </c>
      <c r="E390" s="19">
        <v>107.69</v>
      </c>
      <c r="F390" s="18">
        <f>VLOOKUP(B390,'Profit &amp; Loss'!$B$3:$C$390,2,0)</f>
        <v>0</v>
      </c>
    </row>
    <row r="391" spans="1:6" x14ac:dyDescent="0.2">
      <c r="A391" s="3" t="s">
        <v>334</v>
      </c>
      <c r="B391" s="3" t="s">
        <v>1427</v>
      </c>
      <c r="C391" s="4">
        <v>34.090000000000003</v>
      </c>
      <c r="D391" s="4">
        <v>34.090000000000003</v>
      </c>
      <c r="E391" s="4">
        <v>0</v>
      </c>
      <c r="F391" s="3">
        <f>VLOOKUP(B391,'Profit &amp; Loss'!$B$3:$C$390,2,0)</f>
        <v>0</v>
      </c>
    </row>
    <row r="392" spans="1:6" s="18" customFormat="1" x14ac:dyDescent="0.2">
      <c r="A392" s="18" t="s">
        <v>334</v>
      </c>
      <c r="B392" s="18" t="s">
        <v>1446</v>
      </c>
      <c r="C392" s="19">
        <v>25.6</v>
      </c>
      <c r="D392" s="19">
        <v>0</v>
      </c>
      <c r="E392" s="19">
        <v>25.6</v>
      </c>
      <c r="F392" s="18">
        <f>VLOOKUP(B392,'Profit &amp; Loss'!$B$3:$C$390,2,0)</f>
        <v>0</v>
      </c>
    </row>
    <row r="393" spans="1:6" x14ac:dyDescent="0.2">
      <c r="A393" s="3" t="s">
        <v>334</v>
      </c>
      <c r="B393" s="3" t="s">
        <v>921</v>
      </c>
      <c r="C393" s="4">
        <v>62</v>
      </c>
      <c r="D393" s="4">
        <v>62</v>
      </c>
      <c r="E393" s="4">
        <v>0</v>
      </c>
      <c r="F393" s="3">
        <f>VLOOKUP(B393,'Profit &amp; Loss'!$B$3:$C$390,2,0)</f>
        <v>0</v>
      </c>
    </row>
    <row r="394" spans="1:6" x14ac:dyDescent="0.2">
      <c r="A394" s="3" t="s">
        <v>334</v>
      </c>
      <c r="B394" s="3" t="s">
        <v>852</v>
      </c>
      <c r="C394" s="4">
        <v>0</v>
      </c>
      <c r="D394" s="4">
        <v>1297.71</v>
      </c>
      <c r="E394" s="4">
        <v>-1297.71</v>
      </c>
      <c r="F394" s="3">
        <f>VLOOKUP(B394,'Profit &amp; Loss'!$B$3:$C$390,2,0)</f>
        <v>0</v>
      </c>
    </row>
    <row r="395" spans="1:6" x14ac:dyDescent="0.2">
      <c r="A395" s="3" t="s">
        <v>334</v>
      </c>
      <c r="B395" s="3" t="s">
        <v>363</v>
      </c>
      <c r="C395" s="4">
        <v>11994.01</v>
      </c>
      <c r="D395" s="4">
        <v>11248.62</v>
      </c>
      <c r="E395" s="4">
        <v>745.39</v>
      </c>
      <c r="F395" s="3">
        <f>VLOOKUP(B395,'Profit &amp; Loss'!$B$3:$C$390,2,0)</f>
        <v>1958.16</v>
      </c>
    </row>
    <row r="396" spans="1:6" x14ac:dyDescent="0.2">
      <c r="A396" s="3" t="s">
        <v>334</v>
      </c>
      <c r="B396" s="3" t="s">
        <v>2</v>
      </c>
      <c r="C396" s="4">
        <v>1571424.27</v>
      </c>
      <c r="D396" s="4">
        <v>1348316.92</v>
      </c>
      <c r="E396" s="4">
        <v>223107.35</v>
      </c>
      <c r="F396" s="3" t="e">
        <f>VLOOKUP(B396,'Profit &amp; Loss'!$B$3:$C$390,2,0)</f>
        <v>#N/A</v>
      </c>
    </row>
    <row r="397" spans="1:6" s="18" customFormat="1" x14ac:dyDescent="0.2">
      <c r="A397" s="18" t="s">
        <v>364</v>
      </c>
      <c r="B397" s="18" t="s">
        <v>365</v>
      </c>
      <c r="C397" s="19">
        <v>50.03</v>
      </c>
      <c r="D397" s="19">
        <v>0</v>
      </c>
      <c r="E397" s="19">
        <v>50.03</v>
      </c>
      <c r="F397" s="18">
        <f>VLOOKUP(B397,'Profit &amp; Loss'!$B$3:$C$390,2,0)</f>
        <v>0</v>
      </c>
    </row>
    <row r="398" spans="1:6" x14ac:dyDescent="0.2">
      <c r="A398" s="3" t="s">
        <v>364</v>
      </c>
      <c r="B398" s="3" t="s">
        <v>366</v>
      </c>
      <c r="C398" s="4">
        <v>19484.419999999998</v>
      </c>
      <c r="D398" s="4">
        <v>12558.52</v>
      </c>
      <c r="E398" s="4">
        <v>6925.9</v>
      </c>
      <c r="F398" s="3">
        <f>VLOOKUP(B398,'Profit &amp; Loss'!$B$3:$C$390,2,0)</f>
        <v>223.34</v>
      </c>
    </row>
    <row r="399" spans="1:6" x14ac:dyDescent="0.2">
      <c r="A399" s="3" t="s">
        <v>364</v>
      </c>
      <c r="B399" s="3" t="s">
        <v>367</v>
      </c>
      <c r="C399" s="4">
        <v>2443.5300000000002</v>
      </c>
      <c r="D399" s="4">
        <v>1893.49</v>
      </c>
      <c r="E399" s="4">
        <v>550.04</v>
      </c>
      <c r="F399" s="3">
        <f>VLOOKUP(B399,'Profit &amp; Loss'!$B$3:$C$390,2,0)</f>
        <v>462.09</v>
      </c>
    </row>
    <row r="400" spans="1:6" x14ac:dyDescent="0.2">
      <c r="A400" s="3" t="s">
        <v>364</v>
      </c>
      <c r="B400" s="3" t="s">
        <v>368</v>
      </c>
      <c r="C400" s="4">
        <v>920.88</v>
      </c>
      <c r="D400" s="4">
        <v>541.63</v>
      </c>
      <c r="E400" s="4">
        <v>379.25</v>
      </c>
      <c r="F400" s="3">
        <f>VLOOKUP(B400,'Profit &amp; Loss'!$B$3:$C$390,2,0)</f>
        <v>120.24</v>
      </c>
    </row>
    <row r="401" spans="1:6" x14ac:dyDescent="0.2">
      <c r="A401" s="3" t="s">
        <v>364</v>
      </c>
      <c r="B401" s="3" t="s">
        <v>369</v>
      </c>
      <c r="C401" s="4">
        <v>444.26</v>
      </c>
      <c r="D401" s="4">
        <v>207.23</v>
      </c>
      <c r="E401" s="4">
        <v>237.03</v>
      </c>
      <c r="F401" s="3">
        <f>VLOOKUP(B401,'Profit &amp; Loss'!$B$3:$C$390,2,0)</f>
        <v>11.91</v>
      </c>
    </row>
    <row r="402" spans="1:6" s="18" customFormat="1" x14ac:dyDescent="0.2">
      <c r="A402" s="18" t="s">
        <v>364</v>
      </c>
      <c r="B402" s="18" t="s">
        <v>371</v>
      </c>
      <c r="C402" s="19">
        <v>16.920000000000002</v>
      </c>
      <c r="D402" s="19">
        <v>0</v>
      </c>
      <c r="E402" s="19">
        <v>16.920000000000002</v>
      </c>
      <c r="F402" s="18">
        <f>VLOOKUP(B402,'Profit &amp; Loss'!$B$3:$C$390,2,0)</f>
        <v>0</v>
      </c>
    </row>
    <row r="403" spans="1:6" x14ac:dyDescent="0.2">
      <c r="A403" s="3" t="s">
        <v>364</v>
      </c>
      <c r="B403" s="3" t="s">
        <v>372</v>
      </c>
      <c r="C403" s="4">
        <v>2365.4899999999998</v>
      </c>
      <c r="D403" s="4">
        <v>2095.1999999999998</v>
      </c>
      <c r="E403" s="4">
        <v>270.29000000000002</v>
      </c>
      <c r="F403" s="3">
        <f>VLOOKUP(B403,'Profit &amp; Loss'!$B$3:$C$390,2,0)</f>
        <v>247.77</v>
      </c>
    </row>
    <row r="404" spans="1:6" x14ac:dyDescent="0.2">
      <c r="A404" s="3" t="s">
        <v>364</v>
      </c>
      <c r="B404" s="3" t="s">
        <v>572</v>
      </c>
      <c r="C404" s="4">
        <v>895.15</v>
      </c>
      <c r="D404" s="4">
        <v>855.03</v>
      </c>
      <c r="E404" s="4">
        <v>40.119999999999997</v>
      </c>
      <c r="F404" s="3">
        <f>VLOOKUP(B404,'Profit &amp; Loss'!$B$3:$C$390,2,0)</f>
        <v>0</v>
      </c>
    </row>
    <row r="405" spans="1:6" x14ac:dyDescent="0.2">
      <c r="A405" s="3" t="s">
        <v>364</v>
      </c>
      <c r="B405" s="3" t="s">
        <v>2</v>
      </c>
      <c r="C405" s="4">
        <v>26620.68</v>
      </c>
      <c r="D405" s="4">
        <v>18151.099999999999</v>
      </c>
      <c r="E405" s="4">
        <v>8469.58</v>
      </c>
      <c r="F405" s="3" t="e">
        <f>VLOOKUP(B405,'Profit &amp; Loss'!$B$3:$C$390,2,0)</f>
        <v>#N/A</v>
      </c>
    </row>
    <row r="406" spans="1:6" x14ac:dyDescent="0.2">
      <c r="A406" s="3" t="s">
        <v>373</v>
      </c>
      <c r="B406" s="3" t="s">
        <v>673</v>
      </c>
      <c r="C406" s="4">
        <v>11637.55</v>
      </c>
      <c r="D406" s="4">
        <v>5827.83</v>
      </c>
      <c r="E406" s="4">
        <v>5809.72</v>
      </c>
      <c r="F406" s="3">
        <f>VLOOKUP(B406,'Profit &amp; Loss'!$B$3:$C$390,2,0)</f>
        <v>0</v>
      </c>
    </row>
    <row r="407" spans="1:6" x14ac:dyDescent="0.2">
      <c r="A407" s="3" t="s">
        <v>373</v>
      </c>
      <c r="B407" s="3" t="s">
        <v>374</v>
      </c>
      <c r="C407" s="4">
        <v>938.79</v>
      </c>
      <c r="D407" s="4">
        <v>1042.18</v>
      </c>
      <c r="E407" s="4">
        <v>-103.39</v>
      </c>
      <c r="F407" s="3">
        <f>VLOOKUP(B407,'Profit &amp; Loss'!$B$3:$C$390,2,0)</f>
        <v>2.44</v>
      </c>
    </row>
    <row r="408" spans="1:6" x14ac:dyDescent="0.2">
      <c r="A408" s="3" t="s">
        <v>373</v>
      </c>
      <c r="B408" s="3" t="s">
        <v>375</v>
      </c>
      <c r="C408" s="4">
        <v>8484.98</v>
      </c>
      <c r="D408" s="4">
        <v>6794.62</v>
      </c>
      <c r="E408" s="4">
        <v>1690.36</v>
      </c>
      <c r="F408" s="3">
        <f>VLOOKUP(B408,'Profit &amp; Loss'!$B$3:$C$390,2,0)</f>
        <v>-429.67</v>
      </c>
    </row>
    <row r="409" spans="1:6" x14ac:dyDescent="0.2">
      <c r="A409" s="3" t="s">
        <v>373</v>
      </c>
      <c r="B409" s="3" t="s">
        <v>573</v>
      </c>
      <c r="C409" s="4">
        <v>2451.62</v>
      </c>
      <c r="D409" s="4">
        <v>2026.53</v>
      </c>
      <c r="E409" s="4">
        <v>425.09</v>
      </c>
      <c r="F409" s="3">
        <f>VLOOKUP(B409,'Profit &amp; Loss'!$B$3:$C$390,2,0)</f>
        <v>939.64</v>
      </c>
    </row>
    <row r="410" spans="1:6" x14ac:dyDescent="0.2">
      <c r="A410" s="3" t="s">
        <v>373</v>
      </c>
      <c r="B410" s="3" t="s">
        <v>574</v>
      </c>
      <c r="C410" s="4">
        <v>540.29</v>
      </c>
      <c r="D410" s="4">
        <v>540.29</v>
      </c>
      <c r="E410" s="4">
        <v>0</v>
      </c>
      <c r="F410" s="3">
        <f>VLOOKUP(B410,'Profit &amp; Loss'!$B$3:$C$390,2,0)</f>
        <v>0</v>
      </c>
    </row>
    <row r="411" spans="1:6" x14ac:dyDescent="0.2">
      <c r="A411" s="3" t="s">
        <v>373</v>
      </c>
      <c r="B411" s="3" t="s">
        <v>376</v>
      </c>
      <c r="C411" s="4">
        <v>5778.67</v>
      </c>
      <c r="D411" s="4">
        <v>4002.53</v>
      </c>
      <c r="E411" s="4">
        <v>1776.14</v>
      </c>
      <c r="F411" s="3">
        <f>VLOOKUP(B411,'Profit &amp; Loss'!$B$3:$C$390,2,0)</f>
        <v>654.64</v>
      </c>
    </row>
    <row r="412" spans="1:6" x14ac:dyDescent="0.2">
      <c r="A412" s="3" t="s">
        <v>373</v>
      </c>
      <c r="B412" s="3" t="s">
        <v>377</v>
      </c>
      <c r="C412" s="4">
        <v>7391.91</v>
      </c>
      <c r="D412" s="4">
        <v>6190.63</v>
      </c>
      <c r="E412" s="4">
        <v>1201.28</v>
      </c>
      <c r="F412" s="3">
        <f>VLOOKUP(B412,'Profit &amp; Loss'!$B$3:$C$390,2,0)</f>
        <v>0</v>
      </c>
    </row>
    <row r="413" spans="1:6" x14ac:dyDescent="0.2">
      <c r="A413" s="3" t="s">
        <v>373</v>
      </c>
      <c r="B413" s="3" t="s">
        <v>857</v>
      </c>
      <c r="C413" s="4">
        <v>51944.74</v>
      </c>
      <c r="D413" s="4">
        <v>43246.76</v>
      </c>
      <c r="E413" s="4">
        <v>8697.98</v>
      </c>
      <c r="F413" s="3">
        <f>VLOOKUP(B413,'Profit &amp; Loss'!$B$3:$C$390,2,0)</f>
        <v>0</v>
      </c>
    </row>
    <row r="414" spans="1:6" x14ac:dyDescent="0.2">
      <c r="A414" s="3" t="s">
        <v>373</v>
      </c>
      <c r="B414" s="3" t="s">
        <v>378</v>
      </c>
      <c r="C414" s="4">
        <v>40990.68</v>
      </c>
      <c r="D414" s="4">
        <v>34831.22</v>
      </c>
      <c r="E414" s="4">
        <v>6159.46</v>
      </c>
      <c r="F414" s="3">
        <f>VLOOKUP(B414,'Profit &amp; Loss'!$B$3:$C$390,2,0)</f>
        <v>679.62</v>
      </c>
    </row>
    <row r="415" spans="1:6" x14ac:dyDescent="0.2">
      <c r="A415" s="3" t="s">
        <v>373</v>
      </c>
      <c r="B415" s="3" t="s">
        <v>2</v>
      </c>
      <c r="C415" s="4">
        <v>130159.23</v>
      </c>
      <c r="D415" s="4">
        <v>104502.59</v>
      </c>
      <c r="E415" s="4">
        <v>25656.639999999999</v>
      </c>
      <c r="F415" s="3" t="e">
        <f>VLOOKUP(B415,'Profit &amp; Loss'!$B$3:$C$390,2,0)</f>
        <v>#N/A</v>
      </c>
    </row>
    <row r="416" spans="1:6" x14ac:dyDescent="0.2">
      <c r="A416" s="3" t="s">
        <v>379</v>
      </c>
      <c r="B416" s="3" t="s">
        <v>380</v>
      </c>
      <c r="C416" s="4">
        <v>1989.81</v>
      </c>
      <c r="D416" s="4">
        <v>1735.68</v>
      </c>
      <c r="E416" s="4">
        <v>254.13</v>
      </c>
      <c r="F416" s="3">
        <f>VLOOKUP(B416,'Profit &amp; Loss'!$B$3:$C$390,2,0)</f>
        <v>94.24</v>
      </c>
    </row>
    <row r="417" spans="1:6" x14ac:dyDescent="0.2">
      <c r="A417" s="3" t="s">
        <v>379</v>
      </c>
      <c r="B417" s="3" t="s">
        <v>381</v>
      </c>
      <c r="C417" s="4">
        <v>13824.72</v>
      </c>
      <c r="D417" s="4">
        <v>14902.89</v>
      </c>
      <c r="E417" s="4">
        <v>-1078.17</v>
      </c>
      <c r="F417" s="3">
        <f>VLOOKUP(B417,'Profit &amp; Loss'!$B$3:$C$390,2,0)</f>
        <v>-870.15</v>
      </c>
    </row>
    <row r="418" spans="1:6" x14ac:dyDescent="0.2">
      <c r="A418" s="3" t="s">
        <v>379</v>
      </c>
      <c r="B418" s="3" t="s">
        <v>382</v>
      </c>
      <c r="C418" s="4">
        <v>4811.8900000000003</v>
      </c>
      <c r="D418" s="4">
        <v>5203.01</v>
      </c>
      <c r="E418" s="4">
        <v>-391.12</v>
      </c>
      <c r="F418" s="3">
        <f>VLOOKUP(B418,'Profit &amp; Loss'!$B$3:$C$390,2,0)</f>
        <v>-237.73</v>
      </c>
    </row>
    <row r="419" spans="1:6" x14ac:dyDescent="0.2">
      <c r="A419" s="3" t="s">
        <v>379</v>
      </c>
      <c r="B419" s="3" t="s">
        <v>2</v>
      </c>
      <c r="C419" s="4">
        <v>20626.419999999998</v>
      </c>
      <c r="D419" s="4">
        <v>21841.58</v>
      </c>
      <c r="E419" s="4">
        <v>-1215.1600000000001</v>
      </c>
      <c r="F419" s="3" t="e">
        <f>VLOOKUP(B419,'Profit &amp; Loss'!$B$3:$C$390,2,0)</f>
        <v>#N/A</v>
      </c>
    </row>
    <row r="420" spans="1:6" x14ac:dyDescent="0.2">
      <c r="A420" s="3" t="s">
        <v>383</v>
      </c>
      <c r="B420" s="3" t="s">
        <v>384</v>
      </c>
      <c r="C420" s="4">
        <v>1115.0999999999999</v>
      </c>
      <c r="D420" s="4">
        <v>1105.8</v>
      </c>
      <c r="E420" s="4">
        <v>9.3000000000000007</v>
      </c>
      <c r="F420" s="3">
        <f>VLOOKUP(B420,'Profit &amp; Loss'!$B$3:$C$390,2,0)</f>
        <v>152.97999999999999</v>
      </c>
    </row>
    <row r="421" spans="1:6" x14ac:dyDescent="0.2">
      <c r="A421" s="3" t="s">
        <v>383</v>
      </c>
      <c r="B421" s="3" t="s">
        <v>993</v>
      </c>
      <c r="C421" s="4">
        <v>-130594.91</v>
      </c>
      <c r="D421" s="4">
        <v>-130594.91</v>
      </c>
      <c r="E421" s="4">
        <v>0</v>
      </c>
      <c r="F421" s="3">
        <f>VLOOKUP(B421,'Profit &amp; Loss'!$B$3:$C$390,2,0)</f>
        <v>-130594.91</v>
      </c>
    </row>
    <row r="422" spans="1:6" x14ac:dyDescent="0.2">
      <c r="A422" s="3" t="s">
        <v>383</v>
      </c>
      <c r="B422" s="3" t="s">
        <v>385</v>
      </c>
      <c r="C422" s="4">
        <v>127112.41</v>
      </c>
      <c r="D422" s="4">
        <v>119953.62</v>
      </c>
      <c r="E422" s="4">
        <v>7158.79</v>
      </c>
      <c r="F422" s="3">
        <f>VLOOKUP(B422,'Profit &amp; Loss'!$B$3:$C$390,2,0)</f>
        <v>3245.65</v>
      </c>
    </row>
    <row r="423" spans="1:6" x14ac:dyDescent="0.2">
      <c r="A423" s="3" t="s">
        <v>383</v>
      </c>
      <c r="B423" s="3" t="s">
        <v>386</v>
      </c>
      <c r="C423" s="4">
        <v>32692.81</v>
      </c>
      <c r="D423" s="4">
        <v>28291.52</v>
      </c>
      <c r="E423" s="4">
        <v>4401.29</v>
      </c>
      <c r="F423" s="3">
        <f>VLOOKUP(B423,'Profit &amp; Loss'!$B$3:$C$390,2,0)</f>
        <v>4774.8</v>
      </c>
    </row>
    <row r="424" spans="1:6" x14ac:dyDescent="0.2">
      <c r="A424" s="3" t="s">
        <v>383</v>
      </c>
      <c r="B424" s="3" t="s">
        <v>387</v>
      </c>
      <c r="C424" s="4">
        <v>40956.67</v>
      </c>
      <c r="D424" s="4">
        <v>35159.730000000003</v>
      </c>
      <c r="E424" s="4">
        <v>5796.94</v>
      </c>
      <c r="F424" s="3">
        <f>VLOOKUP(B424,'Profit &amp; Loss'!$B$3:$C$390,2,0)</f>
        <v>5944.89</v>
      </c>
    </row>
    <row r="425" spans="1:6" x14ac:dyDescent="0.2">
      <c r="A425" s="3" t="s">
        <v>383</v>
      </c>
      <c r="B425" s="3" t="s">
        <v>2</v>
      </c>
      <c r="C425" s="4">
        <v>71282.080000000002</v>
      </c>
      <c r="D425" s="4">
        <v>53915.76</v>
      </c>
      <c r="E425" s="4">
        <v>17366.32</v>
      </c>
      <c r="F425" s="3" t="e">
        <f>VLOOKUP(B425,'Profit &amp; Loss'!$B$3:$C$390,2,0)</f>
        <v>#N/A</v>
      </c>
    </row>
    <row r="426" spans="1:6" x14ac:dyDescent="0.2">
      <c r="A426" s="3" t="s">
        <v>678</v>
      </c>
      <c r="B426" s="3" t="s">
        <v>994</v>
      </c>
      <c r="C426" s="4">
        <v>249.17</v>
      </c>
      <c r="D426" s="4">
        <v>249.17</v>
      </c>
      <c r="E426" s="4">
        <v>0</v>
      </c>
      <c r="F426" s="3">
        <f>VLOOKUP(B426,'Profit &amp; Loss'!$B$3:$C$390,2,0)</f>
        <v>1302.99</v>
      </c>
    </row>
    <row r="427" spans="1:6" x14ac:dyDescent="0.2">
      <c r="A427" s="3" t="s">
        <v>678</v>
      </c>
      <c r="B427" s="3" t="s">
        <v>679</v>
      </c>
      <c r="C427" s="4">
        <v>1741.22</v>
      </c>
      <c r="D427" s="4">
        <v>1741.22</v>
      </c>
      <c r="E427" s="4">
        <v>0</v>
      </c>
      <c r="F427" s="3" t="e">
        <f>VLOOKUP(B427,'Profit &amp; Loss'!$B$3:$C$390,2,0)</f>
        <v>#N/A</v>
      </c>
    </row>
    <row r="428" spans="1:6" x14ac:dyDescent="0.2">
      <c r="A428" s="3" t="s">
        <v>678</v>
      </c>
      <c r="B428" s="3" t="s">
        <v>2</v>
      </c>
      <c r="C428" s="4">
        <v>1990.39</v>
      </c>
      <c r="D428" s="4">
        <v>1990.39</v>
      </c>
      <c r="E428" s="4">
        <v>0</v>
      </c>
      <c r="F428" s="3" t="e">
        <f>VLOOKUP(B428,'Profit &amp; Loss'!$B$3:$C$390,2,0)</f>
        <v>#N/A</v>
      </c>
    </row>
    <row r="429" spans="1:6" x14ac:dyDescent="0.2">
      <c r="A429" s="3" t="s">
        <v>388</v>
      </c>
      <c r="B429" s="3" t="s">
        <v>390</v>
      </c>
      <c r="C429" s="4">
        <v>6550.02</v>
      </c>
      <c r="D429" s="4">
        <v>5124.95</v>
      </c>
      <c r="E429" s="4">
        <v>1425.07</v>
      </c>
      <c r="F429" s="3" t="e">
        <f>VLOOKUP(B429,'Profit &amp; Loss'!$B$3:$C$390,2,0)</f>
        <v>#N/A</v>
      </c>
    </row>
    <row r="430" spans="1:6" x14ac:dyDescent="0.2">
      <c r="A430" s="3" t="s">
        <v>388</v>
      </c>
      <c r="B430" s="3" t="s">
        <v>2</v>
      </c>
      <c r="C430" s="4">
        <v>6550.02</v>
      </c>
      <c r="D430" s="4">
        <v>5124.95</v>
      </c>
      <c r="E430" s="4">
        <v>1425.07</v>
      </c>
      <c r="F430" s="3" t="e">
        <f>VLOOKUP(B430,'Profit &amp; Loss'!$B$3:$C$390,2,0)</f>
        <v>#N/A</v>
      </c>
    </row>
    <row r="431" spans="1:6" x14ac:dyDescent="0.2">
      <c r="A431" s="3" t="s">
        <v>391</v>
      </c>
      <c r="B431" s="3" t="s">
        <v>579</v>
      </c>
      <c r="C431" s="4">
        <v>1036.8699999999999</v>
      </c>
      <c r="D431" s="4">
        <v>1036.8699999999999</v>
      </c>
      <c r="E431" s="4">
        <v>0</v>
      </c>
      <c r="F431" s="3">
        <f>VLOOKUP(B431,'Profit &amp; Loss'!$B$3:$C$390,2,0)</f>
        <v>2.69</v>
      </c>
    </row>
    <row r="432" spans="1:6" x14ac:dyDescent="0.2">
      <c r="A432" s="3" t="s">
        <v>391</v>
      </c>
      <c r="B432" s="3" t="s">
        <v>392</v>
      </c>
      <c r="C432" s="4">
        <v>34606.89</v>
      </c>
      <c r="D432" s="4">
        <v>16573.96</v>
      </c>
      <c r="E432" s="4">
        <v>18032.93</v>
      </c>
      <c r="F432" s="3">
        <f>VLOOKUP(B432,'Profit &amp; Loss'!$B$3:$C$390,2,0)</f>
        <v>904.52</v>
      </c>
    </row>
    <row r="433" spans="1:6" x14ac:dyDescent="0.2">
      <c r="A433" s="3" t="s">
        <v>391</v>
      </c>
      <c r="B433" s="3" t="s">
        <v>967</v>
      </c>
      <c r="C433" s="4">
        <v>3778.68</v>
      </c>
      <c r="D433" s="4">
        <v>3778.68</v>
      </c>
      <c r="E433" s="4">
        <v>0</v>
      </c>
      <c r="F433" s="3">
        <f>VLOOKUP(B433,'Profit &amp; Loss'!$B$3:$C$390,2,0)</f>
        <v>0</v>
      </c>
    </row>
    <row r="434" spans="1:6" x14ac:dyDescent="0.2">
      <c r="A434" s="3" t="s">
        <v>391</v>
      </c>
      <c r="B434" s="3" t="s">
        <v>1435</v>
      </c>
      <c r="C434" s="4">
        <v>6489</v>
      </c>
      <c r="D434" s="4">
        <v>6489</v>
      </c>
      <c r="E434" s="4">
        <v>0</v>
      </c>
      <c r="F434" s="3">
        <f>VLOOKUP(B434,'Profit &amp; Loss'!$B$3:$C$390,2,0)</f>
        <v>0</v>
      </c>
    </row>
    <row r="435" spans="1:6" x14ac:dyDescent="0.2">
      <c r="A435" s="3" t="s">
        <v>391</v>
      </c>
      <c r="B435" s="3" t="s">
        <v>2</v>
      </c>
      <c r="C435" s="4">
        <v>45911.44</v>
      </c>
      <c r="D435" s="4">
        <v>27878.51</v>
      </c>
      <c r="E435" s="4">
        <v>18032.93</v>
      </c>
      <c r="F435" s="3" t="e">
        <f>VLOOKUP(B435,'Profit &amp; Loss'!$B$3:$C$390,2,0)</f>
        <v>#N/A</v>
      </c>
    </row>
    <row r="436" spans="1:6" x14ac:dyDescent="0.2">
      <c r="A436" s="3" t="s">
        <v>393</v>
      </c>
      <c r="B436" s="3" t="s">
        <v>394</v>
      </c>
      <c r="C436" s="4">
        <v>17343.490000000002</v>
      </c>
      <c r="D436" s="4">
        <v>12981.69</v>
      </c>
      <c r="E436" s="4">
        <v>4361.8</v>
      </c>
      <c r="F436" s="3">
        <f>VLOOKUP(B436,'Profit &amp; Loss'!$B$3:$C$390,2,0)</f>
        <v>1534.08</v>
      </c>
    </row>
    <row r="437" spans="1:6" x14ac:dyDescent="0.2">
      <c r="A437" s="3" t="s">
        <v>393</v>
      </c>
      <c r="B437" s="3" t="s">
        <v>395</v>
      </c>
      <c r="C437" s="4">
        <v>13864.85</v>
      </c>
      <c r="D437" s="4">
        <v>12060.65</v>
      </c>
      <c r="E437" s="4">
        <v>1804.2</v>
      </c>
      <c r="F437" s="3">
        <f>VLOOKUP(B437,'Profit &amp; Loss'!$B$3:$C$390,2,0)</f>
        <v>2034.12</v>
      </c>
    </row>
    <row r="438" spans="1:6" x14ac:dyDescent="0.2">
      <c r="A438" s="3" t="s">
        <v>393</v>
      </c>
      <c r="B438" s="3" t="s">
        <v>2</v>
      </c>
      <c r="C438" s="4">
        <v>31208.34</v>
      </c>
      <c r="D438" s="4">
        <v>25042.34</v>
      </c>
      <c r="E438" s="4">
        <v>6166</v>
      </c>
      <c r="F438" s="3" t="e">
        <f>VLOOKUP(B438,'Profit &amp; Loss'!$B$3:$C$390,2,0)</f>
        <v>#N/A</v>
      </c>
    </row>
    <row r="439" spans="1:6" x14ac:dyDescent="0.2">
      <c r="A439" s="3" t="s">
        <v>582</v>
      </c>
      <c r="B439" s="3" t="s">
        <v>583</v>
      </c>
      <c r="C439" s="4">
        <v>134051.12</v>
      </c>
      <c r="D439" s="4">
        <v>57627.63</v>
      </c>
      <c r="E439" s="4">
        <v>76423.490000000005</v>
      </c>
      <c r="F439" s="3">
        <f>VLOOKUP(B439,'Profit &amp; Loss'!$B$3:$C$390,2,0)</f>
        <v>-54602.16</v>
      </c>
    </row>
    <row r="440" spans="1:6" x14ac:dyDescent="0.2">
      <c r="A440" s="3" t="s">
        <v>582</v>
      </c>
      <c r="B440" s="3" t="s">
        <v>584</v>
      </c>
      <c r="C440" s="4">
        <v>111450.07</v>
      </c>
      <c r="D440" s="4">
        <v>66449.710000000006</v>
      </c>
      <c r="E440" s="4">
        <v>45000.36</v>
      </c>
      <c r="F440" s="3">
        <f>VLOOKUP(B440,'Profit &amp; Loss'!$B$3:$C$390,2,0)</f>
        <v>-28044.34</v>
      </c>
    </row>
    <row r="441" spans="1:6" x14ac:dyDescent="0.2">
      <c r="A441" s="3" t="s">
        <v>582</v>
      </c>
      <c r="B441" s="3" t="s">
        <v>684</v>
      </c>
      <c r="C441" s="4">
        <v>65317.4</v>
      </c>
      <c r="D441" s="4">
        <v>54740.92</v>
      </c>
      <c r="E441" s="4">
        <v>10576.48</v>
      </c>
      <c r="F441" s="3">
        <f>VLOOKUP(B441,'Profit &amp; Loss'!$B$3:$C$390,2,0)</f>
        <v>-37.07</v>
      </c>
    </row>
    <row r="442" spans="1:6" x14ac:dyDescent="0.2">
      <c r="A442" s="3" t="s">
        <v>582</v>
      </c>
      <c r="B442" s="3" t="s">
        <v>2</v>
      </c>
      <c r="C442" s="4">
        <v>310818.59000000003</v>
      </c>
      <c r="D442" s="4">
        <v>178818.26</v>
      </c>
      <c r="E442" s="4">
        <v>132000.32999999999</v>
      </c>
      <c r="F442" s="3" t="e">
        <f>VLOOKUP(B442,'Profit &amp; Loss'!$B$3:$C$390,2,0)</f>
        <v>#N/A</v>
      </c>
    </row>
    <row r="443" spans="1:6" x14ac:dyDescent="0.2">
      <c r="A443" s="3" t="s">
        <v>396</v>
      </c>
      <c r="B443" s="3" t="s">
        <v>1403</v>
      </c>
      <c r="C443" s="4">
        <v>162.94</v>
      </c>
      <c r="D443" s="4">
        <v>162.94</v>
      </c>
      <c r="E443" s="4">
        <v>0</v>
      </c>
      <c r="F443" s="3">
        <f>VLOOKUP(B443,'Profit &amp; Loss'!$B$3:$C$390,2,0)</f>
        <v>0</v>
      </c>
    </row>
    <row r="444" spans="1:6" x14ac:dyDescent="0.2">
      <c r="A444" s="3" t="s">
        <v>396</v>
      </c>
      <c r="B444" s="3" t="s">
        <v>397</v>
      </c>
      <c r="C444" s="4">
        <v>16227.9</v>
      </c>
      <c r="D444" s="4">
        <v>12519.18</v>
      </c>
      <c r="E444" s="4">
        <v>3708.72</v>
      </c>
      <c r="F444" s="3">
        <f>VLOOKUP(B444,'Profit &amp; Loss'!$B$3:$C$390,2,0)</f>
        <v>4528.21</v>
      </c>
    </row>
    <row r="445" spans="1:6" x14ac:dyDescent="0.2">
      <c r="A445" s="3" t="s">
        <v>396</v>
      </c>
      <c r="B445" s="3" t="s">
        <v>2</v>
      </c>
      <c r="C445" s="4">
        <v>16390.84</v>
      </c>
      <c r="D445" s="4">
        <v>12682.12</v>
      </c>
      <c r="E445" s="4">
        <v>3708.72</v>
      </c>
      <c r="F445" s="3" t="e">
        <f>VLOOKUP(B445,'Profit &amp; Loss'!$B$3:$C$390,2,0)</f>
        <v>#N/A</v>
      </c>
    </row>
    <row r="446" spans="1:6" x14ac:dyDescent="0.2">
      <c r="A446" s="3" t="s">
        <v>398</v>
      </c>
      <c r="B446" s="3" t="s">
        <v>399</v>
      </c>
      <c r="C446" s="4">
        <v>18371.849999999999</v>
      </c>
      <c r="D446" s="4">
        <v>16005.95</v>
      </c>
      <c r="E446" s="4">
        <v>2365.9</v>
      </c>
      <c r="F446" s="3">
        <f>VLOOKUP(B446,'Profit &amp; Loss'!$B$3:$C$390,2,0)</f>
        <v>6517.4</v>
      </c>
    </row>
    <row r="447" spans="1:6" x14ac:dyDescent="0.2">
      <c r="A447" s="3" t="s">
        <v>398</v>
      </c>
      <c r="B447" s="3" t="s">
        <v>400</v>
      </c>
      <c r="C447" s="4">
        <v>17547.2</v>
      </c>
      <c r="D447" s="4">
        <v>17547.2</v>
      </c>
      <c r="E447" s="4">
        <v>0</v>
      </c>
      <c r="F447" s="3">
        <f>VLOOKUP(B447,'Profit &amp; Loss'!$B$3:$C$390,2,0)</f>
        <v>0</v>
      </c>
    </row>
    <row r="448" spans="1:6" x14ac:dyDescent="0.2">
      <c r="A448" s="3" t="s">
        <v>398</v>
      </c>
      <c r="B448" s="3" t="s">
        <v>2</v>
      </c>
      <c r="C448" s="4">
        <v>35919.050000000003</v>
      </c>
      <c r="D448" s="4">
        <v>33553.15</v>
      </c>
      <c r="E448" s="4">
        <v>2365.9</v>
      </c>
      <c r="F448" s="3" t="e">
        <f>VLOOKUP(B448,'Profit &amp; Loss'!$B$3:$C$390,2,0)</f>
        <v>#N/A</v>
      </c>
    </row>
    <row r="449" spans="1:6" x14ac:dyDescent="0.2">
      <c r="A449" s="3" t="s">
        <v>401</v>
      </c>
      <c r="B449" s="3" t="s">
        <v>402</v>
      </c>
      <c r="C449" s="4">
        <v>379.99</v>
      </c>
      <c r="D449" s="4">
        <v>379.99</v>
      </c>
      <c r="E449" s="4">
        <v>0</v>
      </c>
      <c r="F449" s="3">
        <f>VLOOKUP(B449,'Profit &amp; Loss'!$B$3:$C$390,2,0)</f>
        <v>139.75</v>
      </c>
    </row>
    <row r="450" spans="1:6" x14ac:dyDescent="0.2">
      <c r="A450" s="3" t="s">
        <v>401</v>
      </c>
      <c r="B450" s="3" t="s">
        <v>2</v>
      </c>
      <c r="C450" s="4">
        <v>379.99</v>
      </c>
      <c r="D450" s="4">
        <v>379.99</v>
      </c>
      <c r="E450" s="4">
        <v>0</v>
      </c>
      <c r="F450" s="3" t="e">
        <f>VLOOKUP(B450,'Profit &amp; Loss'!$B$3:$C$390,2,0)</f>
        <v>#N/A</v>
      </c>
    </row>
    <row r="451" spans="1:6" x14ac:dyDescent="0.2">
      <c r="A451" s="3" t="s">
        <v>403</v>
      </c>
      <c r="B451" s="3" t="s">
        <v>404</v>
      </c>
      <c r="C451" s="4">
        <v>11381.49</v>
      </c>
      <c r="D451" s="4">
        <v>8766.2900000000009</v>
      </c>
      <c r="E451" s="4">
        <v>2615.1999999999998</v>
      </c>
      <c r="F451" s="3">
        <f>VLOOKUP(B451,'Profit &amp; Loss'!$B$3:$C$390,2,0)</f>
        <v>1539.76</v>
      </c>
    </row>
    <row r="452" spans="1:6" x14ac:dyDescent="0.2">
      <c r="A452" s="3" t="s">
        <v>403</v>
      </c>
      <c r="B452" s="3" t="s">
        <v>405</v>
      </c>
      <c r="C452" s="4">
        <v>128907.6</v>
      </c>
      <c r="D452" s="4">
        <v>109382.3</v>
      </c>
      <c r="E452" s="4">
        <v>19525.3</v>
      </c>
      <c r="F452" s="3">
        <f>VLOOKUP(B452,'Profit &amp; Loss'!$B$3:$C$390,2,0)</f>
        <v>2743.74</v>
      </c>
    </row>
    <row r="453" spans="1:6" x14ac:dyDescent="0.2">
      <c r="A453" s="3" t="s">
        <v>403</v>
      </c>
      <c r="B453" s="3" t="s">
        <v>406</v>
      </c>
      <c r="C453" s="4">
        <v>80.89</v>
      </c>
      <c r="D453" s="4">
        <v>72</v>
      </c>
      <c r="E453" s="4">
        <v>8.89</v>
      </c>
      <c r="F453" s="3">
        <f>VLOOKUP(B453,'Profit &amp; Loss'!$B$3:$C$390,2,0)</f>
        <v>28.84</v>
      </c>
    </row>
    <row r="454" spans="1:6" x14ac:dyDescent="0.2">
      <c r="A454" s="3" t="s">
        <v>403</v>
      </c>
      <c r="B454" s="3" t="s">
        <v>407</v>
      </c>
      <c r="C454" s="4">
        <v>174.21</v>
      </c>
      <c r="D454" s="4">
        <v>174.21</v>
      </c>
      <c r="E454" s="4">
        <v>0</v>
      </c>
      <c r="F454" s="3">
        <f>VLOOKUP(B454,'Profit &amp; Loss'!$B$3:$C$390,2,0)</f>
        <v>0</v>
      </c>
    </row>
    <row r="455" spans="1:6" x14ac:dyDescent="0.2">
      <c r="A455" s="3" t="s">
        <v>403</v>
      </c>
      <c r="B455" s="3" t="s">
        <v>686</v>
      </c>
      <c r="C455" s="4">
        <v>564.88</v>
      </c>
      <c r="D455" s="4">
        <v>564.88</v>
      </c>
      <c r="E455" s="4">
        <v>0</v>
      </c>
      <c r="F455" s="3">
        <f>VLOOKUP(B455,'Profit &amp; Loss'!$B$3:$C$390,2,0)</f>
        <v>494.67</v>
      </c>
    </row>
    <row r="456" spans="1:6" x14ac:dyDescent="0.2">
      <c r="A456" s="3" t="s">
        <v>403</v>
      </c>
      <c r="B456" s="3" t="s">
        <v>2</v>
      </c>
      <c r="C456" s="4">
        <v>141109.07</v>
      </c>
      <c r="D456" s="4">
        <v>118959.67999999999</v>
      </c>
      <c r="E456" s="4">
        <v>22149.39</v>
      </c>
      <c r="F456" s="3" t="e">
        <f>VLOOKUP(B456,'Profit &amp; Loss'!$B$3:$C$390,2,0)</f>
        <v>#N/A</v>
      </c>
    </row>
    <row r="457" spans="1:6" x14ac:dyDescent="0.2">
      <c r="A457" s="3" t="s">
        <v>408</v>
      </c>
      <c r="B457" s="3" t="s">
        <v>409</v>
      </c>
      <c r="C457" s="4">
        <v>36311.019999999997</v>
      </c>
      <c r="D457" s="4">
        <v>30278.35</v>
      </c>
      <c r="E457" s="4">
        <v>6032.67</v>
      </c>
      <c r="F457" s="3">
        <f>VLOOKUP(B457,'Profit &amp; Loss'!$B$3:$C$390,2,0)</f>
        <v>3504.81</v>
      </c>
    </row>
    <row r="458" spans="1:6" x14ac:dyDescent="0.2">
      <c r="A458" s="3" t="s">
        <v>408</v>
      </c>
      <c r="B458" s="3" t="s">
        <v>995</v>
      </c>
      <c r="C458" s="4">
        <v>33.01</v>
      </c>
      <c r="D458" s="4">
        <v>33.01</v>
      </c>
      <c r="E458" s="4">
        <v>0</v>
      </c>
      <c r="F458" s="3">
        <f>VLOOKUP(B458,'Profit &amp; Loss'!$B$3:$C$390,2,0)</f>
        <v>8.25</v>
      </c>
    </row>
    <row r="459" spans="1:6" x14ac:dyDescent="0.2">
      <c r="A459" s="3" t="s">
        <v>408</v>
      </c>
      <c r="B459" s="3" t="s">
        <v>410</v>
      </c>
      <c r="C459" s="4">
        <v>467.94</v>
      </c>
      <c r="D459" s="4">
        <v>395.78</v>
      </c>
      <c r="E459" s="4">
        <v>72.16</v>
      </c>
      <c r="F459" s="3">
        <f>VLOOKUP(B459,'Profit &amp; Loss'!$B$3:$C$390,2,0)</f>
        <v>34.97</v>
      </c>
    </row>
    <row r="460" spans="1:6" x14ac:dyDescent="0.2">
      <c r="A460" s="3" t="s">
        <v>408</v>
      </c>
      <c r="B460" s="3" t="s">
        <v>411</v>
      </c>
      <c r="C460" s="4">
        <v>16009.36</v>
      </c>
      <c r="D460" s="4">
        <v>13258.51</v>
      </c>
      <c r="E460" s="4">
        <v>2750.85</v>
      </c>
      <c r="F460" s="3">
        <f>VLOOKUP(B460,'Profit &amp; Loss'!$B$3:$C$390,2,0)</f>
        <v>2065.9299999999998</v>
      </c>
    </row>
    <row r="461" spans="1:6" x14ac:dyDescent="0.2">
      <c r="A461" s="3" t="s">
        <v>408</v>
      </c>
      <c r="B461" s="3" t="s">
        <v>412</v>
      </c>
      <c r="C461" s="4">
        <v>2056.5</v>
      </c>
      <c r="D461" s="4">
        <v>1781.97</v>
      </c>
      <c r="E461" s="4">
        <v>274.52999999999997</v>
      </c>
      <c r="F461" s="3">
        <f>VLOOKUP(B461,'Profit &amp; Loss'!$B$3:$C$390,2,0)</f>
        <v>409.3</v>
      </c>
    </row>
    <row r="462" spans="1:6" x14ac:dyDescent="0.2">
      <c r="A462" s="3" t="s">
        <v>408</v>
      </c>
      <c r="B462" s="3" t="s">
        <v>413</v>
      </c>
      <c r="C462" s="4">
        <v>13360.32</v>
      </c>
      <c r="D462" s="4">
        <v>11230.09</v>
      </c>
      <c r="E462" s="4">
        <v>2130.23</v>
      </c>
      <c r="F462" s="3">
        <f>VLOOKUP(B462,'Profit &amp; Loss'!$B$3:$C$390,2,0)</f>
        <v>1687.53</v>
      </c>
    </row>
    <row r="463" spans="1:6" x14ac:dyDescent="0.2">
      <c r="A463" s="3" t="s">
        <v>408</v>
      </c>
      <c r="B463" s="3" t="s">
        <v>414</v>
      </c>
      <c r="C463" s="4">
        <v>7803.41</v>
      </c>
      <c r="D463" s="4">
        <v>6688.62</v>
      </c>
      <c r="E463" s="4">
        <v>1114.79</v>
      </c>
      <c r="F463" s="3">
        <f>VLOOKUP(B463,'Profit &amp; Loss'!$B$3:$C$390,2,0)</f>
        <v>1114.78</v>
      </c>
    </row>
    <row r="464" spans="1:6" x14ac:dyDescent="0.2">
      <c r="A464" s="3" t="s">
        <v>408</v>
      </c>
      <c r="B464" s="3" t="s">
        <v>415</v>
      </c>
      <c r="C464" s="4">
        <v>389.09</v>
      </c>
      <c r="D464" s="4">
        <v>333.5</v>
      </c>
      <c r="E464" s="4">
        <v>55.59</v>
      </c>
      <c r="F464" s="3">
        <f>VLOOKUP(B464,'Profit &amp; Loss'!$B$3:$C$390,2,0)</f>
        <v>55.58</v>
      </c>
    </row>
    <row r="465" spans="1:6" x14ac:dyDescent="0.2">
      <c r="A465" s="3" t="s">
        <v>408</v>
      </c>
      <c r="B465" s="3" t="s">
        <v>416</v>
      </c>
      <c r="C465" s="4">
        <v>16368.14</v>
      </c>
      <c r="D465" s="4">
        <v>14667.2</v>
      </c>
      <c r="E465" s="4">
        <v>1700.94</v>
      </c>
      <c r="F465" s="3">
        <f>VLOOKUP(B465,'Profit &amp; Loss'!$B$3:$C$390,2,0)</f>
        <v>5433.31</v>
      </c>
    </row>
    <row r="466" spans="1:6" x14ac:dyDescent="0.2">
      <c r="A466" s="3" t="s">
        <v>408</v>
      </c>
      <c r="B466" s="3" t="s">
        <v>417</v>
      </c>
      <c r="C466" s="4">
        <v>19453.66</v>
      </c>
      <c r="D466" s="4">
        <v>17017.919999999998</v>
      </c>
      <c r="E466" s="4">
        <v>2435.7399999999998</v>
      </c>
      <c r="F466" s="3">
        <f>VLOOKUP(B466,'Profit &amp; Loss'!$B$3:$C$390,2,0)</f>
        <v>2916.44</v>
      </c>
    </row>
    <row r="467" spans="1:6" x14ac:dyDescent="0.2">
      <c r="A467" s="3" t="s">
        <v>408</v>
      </c>
      <c r="B467" s="3" t="s">
        <v>689</v>
      </c>
      <c r="C467" s="4">
        <v>467937</v>
      </c>
      <c r="D467" s="4">
        <v>33811.69</v>
      </c>
      <c r="E467" s="4">
        <v>434125.31</v>
      </c>
      <c r="F467" s="3">
        <f>VLOOKUP(B467,'Profit &amp; Loss'!$B$3:$C$390,2,0)</f>
        <v>60617.71</v>
      </c>
    </row>
    <row r="468" spans="1:6" x14ac:dyDescent="0.2">
      <c r="A468" s="3" t="s">
        <v>408</v>
      </c>
      <c r="B468" s="3" t="s">
        <v>418</v>
      </c>
      <c r="C468" s="4">
        <v>75971.47</v>
      </c>
      <c r="D468" s="4">
        <v>65115.519999999997</v>
      </c>
      <c r="E468" s="4">
        <v>10855.95</v>
      </c>
      <c r="F468" s="3">
        <f>VLOOKUP(B468,'Profit &amp; Loss'!$B$3:$C$390,2,0)</f>
        <v>10835.77</v>
      </c>
    </row>
    <row r="469" spans="1:6" x14ac:dyDescent="0.2">
      <c r="A469" s="3" t="s">
        <v>408</v>
      </c>
      <c r="B469" s="3" t="s">
        <v>419</v>
      </c>
      <c r="C469" s="4">
        <v>38559.75</v>
      </c>
      <c r="D469" s="4">
        <v>33294.89</v>
      </c>
      <c r="E469" s="4">
        <v>5264.86</v>
      </c>
      <c r="F469" s="3">
        <f>VLOOKUP(B469,'Profit &amp; Loss'!$B$3:$C$390,2,0)</f>
        <v>5356.49</v>
      </c>
    </row>
    <row r="470" spans="1:6" x14ac:dyDescent="0.2">
      <c r="A470" s="3" t="s">
        <v>408</v>
      </c>
      <c r="B470" s="3" t="s">
        <v>2</v>
      </c>
      <c r="C470" s="4">
        <v>694720.67</v>
      </c>
      <c r="D470" s="4">
        <v>227907.05</v>
      </c>
      <c r="E470" s="4">
        <v>466813.62</v>
      </c>
      <c r="F470" s="3" t="e">
        <f>VLOOKUP(B470,'Profit &amp; Loss'!$B$3:$C$390,2,0)</f>
        <v>#N/A</v>
      </c>
    </row>
    <row r="471" spans="1:6" x14ac:dyDescent="0.2">
      <c r="A471" s="3" t="s">
        <v>420</v>
      </c>
      <c r="B471" s="3" t="s">
        <v>421</v>
      </c>
      <c r="C471" s="4">
        <v>54900.43</v>
      </c>
      <c r="D471" s="4">
        <v>48673.35</v>
      </c>
      <c r="E471" s="4">
        <v>6227.08</v>
      </c>
      <c r="F471" s="3">
        <f>VLOOKUP(B471,'Profit &amp; Loss'!$B$3:$C$390,2,0)</f>
        <v>9127.73</v>
      </c>
    </row>
    <row r="472" spans="1:6" x14ac:dyDescent="0.2">
      <c r="A472" s="3" t="s">
        <v>420</v>
      </c>
      <c r="B472" s="3" t="s">
        <v>422</v>
      </c>
      <c r="C472" s="4">
        <v>30332.94</v>
      </c>
      <c r="D472" s="4">
        <v>25752.67</v>
      </c>
      <c r="E472" s="4">
        <v>4580.2700000000004</v>
      </c>
      <c r="F472" s="3">
        <f>VLOOKUP(B472,'Profit &amp; Loss'!$B$3:$C$390,2,0)</f>
        <v>4172.96</v>
      </c>
    </row>
    <row r="473" spans="1:6" x14ac:dyDescent="0.2">
      <c r="A473" s="3" t="s">
        <v>420</v>
      </c>
      <c r="B473" s="3" t="s">
        <v>423</v>
      </c>
      <c r="C473" s="4">
        <v>23584.85</v>
      </c>
      <c r="D473" s="4">
        <v>21529.75</v>
      </c>
      <c r="E473" s="4">
        <v>2055.1</v>
      </c>
      <c r="F473" s="3">
        <f>VLOOKUP(B473,'Profit &amp; Loss'!$B$3:$C$390,2,0)</f>
        <v>6431.37</v>
      </c>
    </row>
    <row r="474" spans="1:6" x14ac:dyDescent="0.2">
      <c r="A474" s="3" t="s">
        <v>420</v>
      </c>
      <c r="B474" s="3" t="s">
        <v>424</v>
      </c>
      <c r="C474" s="4">
        <v>25443.91</v>
      </c>
      <c r="D474" s="4">
        <v>16688.28</v>
      </c>
      <c r="E474" s="4">
        <v>8755.6299999999992</v>
      </c>
      <c r="F474" s="3">
        <f>VLOOKUP(B474,'Profit &amp; Loss'!$B$3:$C$390,2,0)</f>
        <v>2832.61</v>
      </c>
    </row>
    <row r="475" spans="1:6" x14ac:dyDescent="0.2">
      <c r="A475" s="3" t="s">
        <v>420</v>
      </c>
      <c r="B475" s="3" t="s">
        <v>1437</v>
      </c>
      <c r="C475" s="4">
        <v>0</v>
      </c>
      <c r="D475" s="4">
        <v>27.4</v>
      </c>
      <c r="E475" s="4">
        <v>-27.4</v>
      </c>
      <c r="F475" s="3">
        <f>VLOOKUP(B475,'Profit &amp; Loss'!$B$3:$C$390,2,0)</f>
        <v>0</v>
      </c>
    </row>
    <row r="476" spans="1:6" x14ac:dyDescent="0.2">
      <c r="A476" s="3" t="s">
        <v>420</v>
      </c>
      <c r="B476" s="3" t="s">
        <v>588</v>
      </c>
      <c r="C476" s="4">
        <v>1891.93</v>
      </c>
      <c r="D476" s="4">
        <v>318.81</v>
      </c>
      <c r="E476" s="4">
        <v>1573.12</v>
      </c>
      <c r="F476" s="3">
        <f>VLOOKUP(B476,'Profit &amp; Loss'!$B$3:$C$390,2,0)</f>
        <v>104.5</v>
      </c>
    </row>
    <row r="477" spans="1:6" x14ac:dyDescent="0.2">
      <c r="A477" s="3" t="s">
        <v>420</v>
      </c>
      <c r="B477" s="3" t="s">
        <v>425</v>
      </c>
      <c r="C477" s="4">
        <v>5169.2</v>
      </c>
      <c r="D477" s="4">
        <v>3198.43</v>
      </c>
      <c r="E477" s="4">
        <v>1970.77</v>
      </c>
      <c r="F477" s="3">
        <f>VLOOKUP(B477,'Profit &amp; Loss'!$B$3:$C$390,2,0)</f>
        <v>330.94</v>
      </c>
    </row>
    <row r="478" spans="1:6" x14ac:dyDescent="0.2">
      <c r="A478" s="3" t="s">
        <v>420</v>
      </c>
      <c r="B478" s="3" t="s">
        <v>795</v>
      </c>
      <c r="C478" s="4">
        <v>54280.75</v>
      </c>
      <c r="D478" s="4">
        <v>37086.629999999997</v>
      </c>
      <c r="E478" s="4">
        <v>17194.12</v>
      </c>
      <c r="F478" s="3">
        <f>VLOOKUP(B478,'Profit &amp; Loss'!$B$3:$C$390,2,0)</f>
        <v>-7152.42</v>
      </c>
    </row>
    <row r="479" spans="1:6" x14ac:dyDescent="0.2">
      <c r="A479" s="3" t="s">
        <v>420</v>
      </c>
      <c r="B479" s="3" t="s">
        <v>2</v>
      </c>
      <c r="C479" s="4">
        <v>195604.01</v>
      </c>
      <c r="D479" s="4">
        <v>153275.32</v>
      </c>
      <c r="E479" s="4">
        <v>42328.69</v>
      </c>
      <c r="F479" s="3" t="e">
        <f>VLOOKUP(B479,'Profit &amp; Loss'!$B$3:$C$390,2,0)</f>
        <v>#N/A</v>
      </c>
    </row>
    <row r="480" spans="1:6" x14ac:dyDescent="0.2">
      <c r="A480" s="3" t="s">
        <v>426</v>
      </c>
      <c r="B480" s="3" t="s">
        <v>427</v>
      </c>
      <c r="C480" s="4">
        <v>373.59</v>
      </c>
      <c r="D480" s="4">
        <v>190.9</v>
      </c>
      <c r="E480" s="4">
        <v>182.69</v>
      </c>
      <c r="F480" s="3">
        <f>VLOOKUP(B480,'Profit &amp; Loss'!$B$3:$C$390,2,0)</f>
        <v>0</v>
      </c>
    </row>
    <row r="481" spans="1:6" x14ac:dyDescent="0.2">
      <c r="A481" s="3" t="s">
        <v>426</v>
      </c>
      <c r="B481" s="3" t="s">
        <v>428</v>
      </c>
      <c r="C481" s="4">
        <v>3624.36</v>
      </c>
      <c r="D481" s="4">
        <v>2638.72</v>
      </c>
      <c r="E481" s="4">
        <v>985.64</v>
      </c>
      <c r="F481" s="3">
        <f>VLOOKUP(B481,'Profit &amp; Loss'!$B$3:$C$390,2,0)</f>
        <v>-347.23</v>
      </c>
    </row>
    <row r="482" spans="1:6" x14ac:dyDescent="0.2">
      <c r="A482" s="3" t="s">
        <v>426</v>
      </c>
      <c r="B482" s="3" t="s">
        <v>429</v>
      </c>
      <c r="C482" s="4">
        <v>44027.35</v>
      </c>
      <c r="D482" s="4">
        <v>44027.35</v>
      </c>
      <c r="E482" s="4">
        <v>0</v>
      </c>
      <c r="F482" s="3">
        <f>VLOOKUP(B482,'Profit &amp; Loss'!$B$3:$C$390,2,0)</f>
        <v>7237.53</v>
      </c>
    </row>
    <row r="483" spans="1:6" x14ac:dyDescent="0.2">
      <c r="A483" s="3" t="s">
        <v>426</v>
      </c>
      <c r="B483" s="3" t="s">
        <v>430</v>
      </c>
      <c r="C483" s="4">
        <v>11000.12</v>
      </c>
      <c r="D483" s="4">
        <v>7425.76</v>
      </c>
      <c r="E483" s="4">
        <v>3574.36</v>
      </c>
      <c r="F483" s="3">
        <f>VLOOKUP(B483,'Profit &amp; Loss'!$B$3:$C$390,2,0)</f>
        <v>378.03</v>
      </c>
    </row>
    <row r="484" spans="1:6" x14ac:dyDescent="0.2">
      <c r="A484" s="3" t="s">
        <v>426</v>
      </c>
      <c r="B484" s="3" t="s">
        <v>2</v>
      </c>
      <c r="C484" s="4">
        <v>59025.42</v>
      </c>
      <c r="D484" s="4">
        <v>54282.73</v>
      </c>
      <c r="E484" s="4">
        <v>4742.6899999999996</v>
      </c>
      <c r="F484" s="3" t="e">
        <f>VLOOKUP(B484,'Profit &amp; Loss'!$B$3:$C$390,2,0)</f>
        <v>#N/A</v>
      </c>
    </row>
    <row r="485" spans="1:6" x14ac:dyDescent="0.2">
      <c r="A485" s="3" t="s">
        <v>431</v>
      </c>
      <c r="B485" s="3" t="s">
        <v>432</v>
      </c>
      <c r="C485" s="4">
        <v>-736864.53</v>
      </c>
      <c r="D485" s="4">
        <v>-627387.46</v>
      </c>
      <c r="E485" s="4">
        <v>-109477.07</v>
      </c>
      <c r="F485" s="3">
        <f>VLOOKUP(B485,'Profit &amp; Loss'!$B$3:$C$390,2,0)</f>
        <v>-104275.76</v>
      </c>
    </row>
    <row r="486" spans="1:6" x14ac:dyDescent="0.2">
      <c r="A486" s="3" t="s">
        <v>431</v>
      </c>
      <c r="B486" s="3" t="s">
        <v>2</v>
      </c>
      <c r="C486" s="4">
        <v>-736864.53</v>
      </c>
      <c r="D486" s="4">
        <v>-627387.46</v>
      </c>
      <c r="E486" s="4">
        <v>-109477.07</v>
      </c>
      <c r="F486" s="3" t="e">
        <f>VLOOKUP(B486,'Profit &amp; Loss'!$B$3:$C$390,2,0)</f>
        <v>#N/A</v>
      </c>
    </row>
    <row r="487" spans="1:6" x14ac:dyDescent="0.2">
      <c r="A487" s="3" t="s">
        <v>433</v>
      </c>
      <c r="B487" s="3" t="s">
        <v>2</v>
      </c>
      <c r="C487" s="4">
        <v>2622875.98</v>
      </c>
      <c r="D487" s="4">
        <v>1759234.98</v>
      </c>
      <c r="E487" s="4">
        <v>863641</v>
      </c>
      <c r="F487" s="3" t="e">
        <f>VLOOKUP(B487,'Profit &amp; Loss'!$B$3:$C$390,2,0)</f>
        <v>#N/A</v>
      </c>
    </row>
    <row r="488" spans="1:6" x14ac:dyDescent="0.2">
      <c r="A488" s="3" t="s">
        <v>434</v>
      </c>
      <c r="B488" s="3" t="s">
        <v>796</v>
      </c>
      <c r="C488" s="4">
        <v>-39432.78</v>
      </c>
      <c r="D488" s="4">
        <v>-39432.78</v>
      </c>
      <c r="E488" s="4">
        <v>0</v>
      </c>
      <c r="F488" s="3">
        <f>VLOOKUP(B488,'Profit &amp; Loss'!$B$3:$C$390,2,0)</f>
        <v>0</v>
      </c>
    </row>
    <row r="489" spans="1:6" x14ac:dyDescent="0.2">
      <c r="A489" s="3" t="s">
        <v>434</v>
      </c>
      <c r="B489" s="3" t="s">
        <v>870</v>
      </c>
      <c r="C489" s="4">
        <v>13508.62</v>
      </c>
      <c r="D489" s="4">
        <v>13140.94</v>
      </c>
      <c r="E489" s="4">
        <v>367.68</v>
      </c>
      <c r="F489" s="3">
        <f>VLOOKUP(B489,'Profit &amp; Loss'!$B$3:$C$390,2,0)</f>
        <v>0</v>
      </c>
    </row>
    <row r="490" spans="1:6" x14ac:dyDescent="0.2">
      <c r="A490" s="3" t="s">
        <v>434</v>
      </c>
      <c r="B490" s="3" t="s">
        <v>590</v>
      </c>
      <c r="C490" s="4">
        <v>-4920.34</v>
      </c>
      <c r="D490" s="4">
        <v>-4920.34</v>
      </c>
      <c r="E490" s="4">
        <v>0</v>
      </c>
      <c r="F490" s="3">
        <f>VLOOKUP(B490,'Profit &amp; Loss'!$B$3:$C$390,2,0)</f>
        <v>-98.26</v>
      </c>
    </row>
    <row r="491" spans="1:6" x14ac:dyDescent="0.2">
      <c r="A491" s="3" t="s">
        <v>434</v>
      </c>
      <c r="B491" s="3" t="s">
        <v>1310</v>
      </c>
      <c r="C491" s="4">
        <v>5598.32</v>
      </c>
      <c r="D491" s="4">
        <v>5598.32</v>
      </c>
      <c r="E491" s="4">
        <v>0</v>
      </c>
      <c r="F491" s="3">
        <f>VLOOKUP(B491,'Profit &amp; Loss'!$B$3:$C$390,2,0)</f>
        <v>0</v>
      </c>
    </row>
    <row r="492" spans="1:6" x14ac:dyDescent="0.2">
      <c r="A492" s="3" t="s">
        <v>434</v>
      </c>
      <c r="B492" s="3" t="s">
        <v>436</v>
      </c>
      <c r="C492" s="4">
        <v>382849.38</v>
      </c>
      <c r="D492" s="4">
        <v>238901.05</v>
      </c>
      <c r="E492" s="4">
        <v>143948.32999999999</v>
      </c>
      <c r="F492" s="3">
        <f>VLOOKUP(B492,'Profit &amp; Loss'!$B$3:$C$390,2,0)</f>
        <v>26750</v>
      </c>
    </row>
    <row r="493" spans="1:6" x14ac:dyDescent="0.2">
      <c r="A493" s="3" t="s">
        <v>434</v>
      </c>
      <c r="B493" s="3" t="s">
        <v>2</v>
      </c>
      <c r="C493" s="4">
        <v>357603.2</v>
      </c>
      <c r="D493" s="4">
        <v>213287.19</v>
      </c>
      <c r="E493" s="4">
        <v>144316.01</v>
      </c>
      <c r="F493" s="3" t="e">
        <f>VLOOKUP(B493,'Profit &amp; Loss'!$B$3:$C$390,2,0)</f>
        <v>#N/A</v>
      </c>
    </row>
    <row r="494" spans="1:6" x14ac:dyDescent="0.2">
      <c r="A494" s="3" t="s">
        <v>437</v>
      </c>
      <c r="B494" s="3" t="s">
        <v>592</v>
      </c>
      <c r="C494" s="4">
        <v>9845.8700000000008</v>
      </c>
      <c r="D494" s="4">
        <v>2977.82</v>
      </c>
      <c r="E494" s="4">
        <v>6868.05</v>
      </c>
      <c r="F494" s="3">
        <f>VLOOKUP(B494,'Profit &amp; Loss'!$B$3:$C$390,2,0)</f>
        <v>0</v>
      </c>
    </row>
    <row r="495" spans="1:6" x14ac:dyDescent="0.2">
      <c r="A495" s="3" t="s">
        <v>437</v>
      </c>
      <c r="B495" s="3" t="s">
        <v>1438</v>
      </c>
      <c r="C495" s="4">
        <v>8.1</v>
      </c>
      <c r="D495" s="4">
        <v>8.1</v>
      </c>
      <c r="E495" s="4">
        <v>0</v>
      </c>
      <c r="F495" s="3">
        <f>VLOOKUP(B495,'Profit &amp; Loss'!$B$3:$C$390,2,0)</f>
        <v>0</v>
      </c>
    </row>
    <row r="496" spans="1:6" x14ac:dyDescent="0.2">
      <c r="A496" s="3" t="s">
        <v>437</v>
      </c>
      <c r="B496" s="3" t="s">
        <v>1311</v>
      </c>
      <c r="C496" s="4">
        <v>1673.69</v>
      </c>
      <c r="D496" s="4">
        <v>1673.69</v>
      </c>
      <c r="E496" s="4">
        <v>0</v>
      </c>
      <c r="F496" s="3">
        <f>VLOOKUP(B496,'Profit &amp; Loss'!$B$3:$C$390,2,0)</f>
        <v>0</v>
      </c>
    </row>
    <row r="497" spans="1:6" x14ac:dyDescent="0.2">
      <c r="A497" s="3" t="s">
        <v>437</v>
      </c>
      <c r="B497" s="3" t="s">
        <v>438</v>
      </c>
      <c r="C497" s="4">
        <v>108447.77</v>
      </c>
      <c r="D497" s="4">
        <v>148301.99</v>
      </c>
      <c r="E497" s="4">
        <v>-39854.22</v>
      </c>
      <c r="F497" s="3">
        <f>VLOOKUP(B497,'Profit &amp; Loss'!$B$3:$C$390,2,0)</f>
        <v>9806.14</v>
      </c>
    </row>
    <row r="498" spans="1:6" x14ac:dyDescent="0.2">
      <c r="A498" s="3" t="s">
        <v>437</v>
      </c>
      <c r="B498" s="3" t="s">
        <v>439</v>
      </c>
      <c r="C498" s="4">
        <v>8438.48</v>
      </c>
      <c r="D498" s="4">
        <v>9644.34</v>
      </c>
      <c r="E498" s="4">
        <v>-1205.8599999999999</v>
      </c>
      <c r="F498" s="3">
        <f>VLOOKUP(B498,'Profit &amp; Loss'!$B$3:$C$390,2,0)</f>
        <v>1430.38</v>
      </c>
    </row>
    <row r="499" spans="1:6" x14ac:dyDescent="0.2">
      <c r="A499" s="3" t="s">
        <v>437</v>
      </c>
      <c r="B499" s="3" t="s">
        <v>440</v>
      </c>
      <c r="C499" s="4">
        <v>34090.07</v>
      </c>
      <c r="D499" s="4">
        <v>46349.02</v>
      </c>
      <c r="E499" s="4">
        <v>-12258.95</v>
      </c>
      <c r="F499" s="3">
        <f>VLOOKUP(B499,'Profit &amp; Loss'!$B$3:$C$390,2,0)</f>
        <v>7785.86</v>
      </c>
    </row>
    <row r="500" spans="1:6" x14ac:dyDescent="0.2">
      <c r="A500" s="3" t="s">
        <v>437</v>
      </c>
      <c r="B500" s="3" t="s">
        <v>2</v>
      </c>
      <c r="C500" s="4">
        <v>162503.98000000001</v>
      </c>
      <c r="D500" s="4">
        <v>208954.96</v>
      </c>
      <c r="E500" s="4">
        <v>-46450.98</v>
      </c>
      <c r="F500" s="3" t="e">
        <f>VLOOKUP(B500,'Profit &amp; Loss'!$B$3:$C$390,2,0)</f>
        <v>#N/A</v>
      </c>
    </row>
    <row r="501" spans="1:6" x14ac:dyDescent="0.2">
      <c r="A501" s="3" t="s">
        <v>441</v>
      </c>
      <c r="B501" s="3" t="s">
        <v>2</v>
      </c>
      <c r="C501" s="4">
        <v>520107.18</v>
      </c>
      <c r="D501" s="4">
        <v>422242.15</v>
      </c>
      <c r="E501" s="4">
        <v>97865.03</v>
      </c>
      <c r="F501" s="3" t="e">
        <f>VLOOKUP(B501,'Profit &amp; Loss'!$B$3:$C$390,2,0)</f>
        <v>#N/A</v>
      </c>
    </row>
    <row r="502" spans="1:6" x14ac:dyDescent="0.2">
      <c r="A502" s="3" t="s">
        <v>442</v>
      </c>
      <c r="B502" s="3" t="s">
        <v>443</v>
      </c>
      <c r="C502" s="4">
        <v>-8.77</v>
      </c>
      <c r="D502" s="4">
        <v>-8.5</v>
      </c>
      <c r="E502" s="4">
        <v>-0.27</v>
      </c>
      <c r="F502" s="3">
        <f>VLOOKUP(B502,'Profit &amp; Loss'!$B$3:$C$390,2,0)</f>
        <v>-0.33</v>
      </c>
    </row>
    <row r="503" spans="1:6" x14ac:dyDescent="0.2">
      <c r="A503" s="3" t="s">
        <v>442</v>
      </c>
      <c r="B503" s="3" t="s">
        <v>2</v>
      </c>
      <c r="C503" s="4">
        <v>-8.77</v>
      </c>
      <c r="D503" s="4">
        <v>-8.5</v>
      </c>
      <c r="E503" s="4">
        <v>-0.27</v>
      </c>
      <c r="F503" s="3" t="e">
        <f>VLOOKUP(B503,'Profit &amp; Loss'!$B$3:$C$390,2,0)</f>
        <v>#N/A</v>
      </c>
    </row>
    <row r="504" spans="1:6" x14ac:dyDescent="0.2">
      <c r="A504" s="3" t="s">
        <v>444</v>
      </c>
      <c r="B504" s="3" t="s">
        <v>2</v>
      </c>
      <c r="C504" s="4">
        <v>-8.77</v>
      </c>
      <c r="D504" s="4">
        <v>-8.5</v>
      </c>
      <c r="E504" s="4">
        <v>-0.27</v>
      </c>
      <c r="F504" s="3" t="e">
        <f>VLOOKUP(B504,'Profit &amp; Loss'!$B$3:$C$390,2,0)</f>
        <v>#N/A</v>
      </c>
    </row>
    <row r="505" spans="1:6" x14ac:dyDescent="0.2">
      <c r="A505" s="3" t="s">
        <v>445</v>
      </c>
      <c r="B505" s="3" t="s">
        <v>692</v>
      </c>
      <c r="C505" s="4">
        <v>223.16</v>
      </c>
      <c r="D505" s="4">
        <v>223.16</v>
      </c>
      <c r="E505" s="4">
        <v>0</v>
      </c>
      <c r="F505" s="3">
        <f>VLOOKUP(B505,'Profit &amp; Loss'!$B$3:$C$390,2,0)</f>
        <v>69.52</v>
      </c>
    </row>
    <row r="506" spans="1:6" x14ac:dyDescent="0.2">
      <c r="A506" s="3" t="s">
        <v>445</v>
      </c>
      <c r="B506" s="3" t="s">
        <v>1161</v>
      </c>
      <c r="C506" s="4">
        <v>3.48</v>
      </c>
      <c r="D506" s="4">
        <v>3.48</v>
      </c>
      <c r="E506" s="4">
        <v>0</v>
      </c>
      <c r="F506" s="3">
        <f>VLOOKUP(B506,'Profit &amp; Loss'!$B$3:$C$390,2,0)</f>
        <v>0</v>
      </c>
    </row>
    <row r="507" spans="1:6" x14ac:dyDescent="0.2">
      <c r="A507" s="3" t="s">
        <v>445</v>
      </c>
      <c r="B507" s="3" t="s">
        <v>446</v>
      </c>
      <c r="C507" s="4">
        <v>48744.67</v>
      </c>
      <c r="D507" s="4">
        <v>43481.15</v>
      </c>
      <c r="E507" s="4">
        <v>5263.52</v>
      </c>
      <c r="F507" s="3">
        <f>VLOOKUP(B507,'Profit &amp; Loss'!$B$3:$C$390,2,0)</f>
        <v>2583.69</v>
      </c>
    </row>
    <row r="508" spans="1:6" x14ac:dyDescent="0.2">
      <c r="A508" s="3" t="s">
        <v>445</v>
      </c>
      <c r="B508" s="3" t="s">
        <v>996</v>
      </c>
      <c r="C508" s="4">
        <v>-4183</v>
      </c>
      <c r="D508" s="4">
        <v>-4183</v>
      </c>
      <c r="E508" s="4">
        <v>0</v>
      </c>
      <c r="F508" s="3">
        <f>VLOOKUP(B508,'Profit &amp; Loss'!$B$3:$C$390,2,0)</f>
        <v>-2863.58</v>
      </c>
    </row>
    <row r="509" spans="1:6" x14ac:dyDescent="0.2">
      <c r="A509" s="3" t="s">
        <v>445</v>
      </c>
      <c r="B509" s="3" t="s">
        <v>2</v>
      </c>
      <c r="C509" s="4">
        <v>44788.31</v>
      </c>
      <c r="D509" s="4">
        <v>39524.79</v>
      </c>
      <c r="E509" s="4">
        <v>5263.52</v>
      </c>
      <c r="F509" s="3" t="e">
        <f>VLOOKUP(B509,'Profit &amp; Loss'!$B$3:$C$390,2,0)</f>
        <v>#N/A</v>
      </c>
    </row>
    <row r="510" spans="1:6" x14ac:dyDescent="0.2">
      <c r="A510" s="3" t="s">
        <v>447</v>
      </c>
      <c r="B510" s="3" t="s">
        <v>2</v>
      </c>
      <c r="C510" s="4">
        <v>44788.31</v>
      </c>
      <c r="D510" s="4">
        <v>39524.79</v>
      </c>
      <c r="E510" s="4">
        <v>5263.52</v>
      </c>
      <c r="F510" s="3" t="e">
        <f>VLOOKUP(B510,'Profit &amp; Loss'!$B$3:$C$390,2,0)</f>
        <v>#N/A</v>
      </c>
    </row>
    <row r="511" spans="1:6" x14ac:dyDescent="0.2">
      <c r="A511" s="3" t="s">
        <v>237</v>
      </c>
      <c r="B511" s="3" t="s">
        <v>448</v>
      </c>
      <c r="C511" s="4">
        <v>-12170049.699999999</v>
      </c>
      <c r="D511" s="4">
        <v>-11048469.84</v>
      </c>
      <c r="E511" s="4">
        <v>-1121579.8600000001</v>
      </c>
      <c r="F511" s="3">
        <f>VLOOKUP(B511,'Profit &amp; Loss'!$B$3:$C$390,2,0)</f>
        <v>-2188985.1399999992</v>
      </c>
    </row>
    <row r="512" spans="1:6" x14ac:dyDescent="0.2">
      <c r="A512" s="3" t="s">
        <v>237</v>
      </c>
      <c r="B512" s="5" t="s">
        <v>449</v>
      </c>
      <c r="C512" s="4">
        <v>0</v>
      </c>
      <c r="D512" s="4">
        <v>0</v>
      </c>
      <c r="E512" s="4">
        <v>0</v>
      </c>
      <c r="F512" s="3" t="e">
        <f>VLOOKUP(B512,'Profit &amp; Loss'!$B$3:$C$390,2,0)</f>
        <v>#N/A</v>
      </c>
    </row>
    <row r="513" spans="1:6" x14ac:dyDescent="0.2">
      <c r="A513" s="3" t="s">
        <v>450</v>
      </c>
      <c r="B513" s="3" t="s">
        <v>451</v>
      </c>
      <c r="C513" s="4">
        <v>0</v>
      </c>
      <c r="D513" s="4">
        <v>0</v>
      </c>
      <c r="E513" s="4">
        <v>0</v>
      </c>
      <c r="F513" s="3" t="e">
        <f>VLOOKUP(B513,'Profit &amp; Loss'!$B$3:$C$390,2,0)</f>
        <v>#N/A</v>
      </c>
    </row>
    <row r="514" spans="1:6" x14ac:dyDescent="0.2">
      <c r="A514" s="3" t="s">
        <v>450</v>
      </c>
      <c r="B514" s="5" t="s">
        <v>234</v>
      </c>
      <c r="C514" s="4">
        <v>0</v>
      </c>
      <c r="D514" s="4">
        <v>0</v>
      </c>
      <c r="E514" s="4">
        <v>0</v>
      </c>
      <c r="F514" s="3" t="e">
        <f>VLOOKUP(B514,'Profit &amp; Loss'!$B$3:$C$390,2,0)</f>
        <v>#N/A</v>
      </c>
    </row>
    <row r="515" spans="1:6" x14ac:dyDescent="0.2">
      <c r="A515" s="3" t="s">
        <v>452</v>
      </c>
      <c r="B515" s="3" t="s">
        <v>453</v>
      </c>
      <c r="C515" s="4">
        <v>0</v>
      </c>
      <c r="D515" s="4">
        <v>0</v>
      </c>
      <c r="E515" s="4">
        <v>0</v>
      </c>
      <c r="F515" s="3" t="e">
        <f>VLOOKUP(B515,'Profit &amp; Loss'!$B$3:$C$390,2,0)</f>
        <v>#N/A</v>
      </c>
    </row>
    <row r="516" spans="1:6" x14ac:dyDescent="0.2">
      <c r="A516" s="3" t="s">
        <v>452</v>
      </c>
      <c r="B516" s="3" t="s">
        <v>2</v>
      </c>
      <c r="C516" s="4">
        <v>12170049.699999999</v>
      </c>
      <c r="D516" s="4">
        <v>11048469.84</v>
      </c>
      <c r="E516" s="4">
        <v>1121579.8600000001</v>
      </c>
      <c r="F516" s="3" t="e">
        <f>VLOOKUP(B516,'Profit &amp; Loss'!$B$3:$C$390,2,0)</f>
        <v>#N/A</v>
      </c>
    </row>
    <row r="517" spans="1:6" x14ac:dyDescent="0.2">
      <c r="A517" s="3" t="s">
        <v>450</v>
      </c>
      <c r="B517" s="3" t="s">
        <v>2</v>
      </c>
      <c r="C517" s="4">
        <v>12170049.699999999</v>
      </c>
      <c r="D517" s="4">
        <v>11048469.84</v>
      </c>
      <c r="E517" s="4">
        <v>1121579.8600000001</v>
      </c>
      <c r="F517" s="3" t="e">
        <f>VLOOKUP(B517,'Profit &amp; Loss'!$B$3:$C$390,2,0)</f>
        <v>#N/A</v>
      </c>
    </row>
    <row r="518" spans="1:6" x14ac:dyDescent="0.2">
      <c r="A518" s="3" t="s">
        <v>454</v>
      </c>
      <c r="B518" s="3" t="s">
        <v>455</v>
      </c>
      <c r="C518" s="4">
        <v>0</v>
      </c>
      <c r="D518" s="4">
        <v>0</v>
      </c>
      <c r="E518" s="4">
        <v>0</v>
      </c>
      <c r="F518" s="3" t="e">
        <f>VLOOKUP(B518,'Profit &amp; Loss'!$B$3:$C$390,2,0)</f>
        <v>#N/A</v>
      </c>
    </row>
    <row r="519" spans="1:6" x14ac:dyDescent="0.2">
      <c r="A519" s="3" t="s">
        <v>454</v>
      </c>
      <c r="B519" s="5" t="s">
        <v>456</v>
      </c>
      <c r="C519" s="4">
        <v>0</v>
      </c>
      <c r="D519" s="4">
        <v>0</v>
      </c>
      <c r="E519" s="4">
        <v>0</v>
      </c>
      <c r="F519" s="3" t="e">
        <f>VLOOKUP(B519,'Profit &amp; Loss'!$B$3:$C$390,2,0)</f>
        <v>#N/A</v>
      </c>
    </row>
    <row r="520" spans="1:6" x14ac:dyDescent="0.2">
      <c r="A520" s="3" t="s">
        <v>454</v>
      </c>
      <c r="B520" s="3" t="s">
        <v>457</v>
      </c>
      <c r="C520" s="4">
        <v>-62066.9</v>
      </c>
      <c r="D520" s="4">
        <v>-60707.35</v>
      </c>
      <c r="E520" s="4">
        <v>-1359.55</v>
      </c>
      <c r="F520" s="3" t="e">
        <f>VLOOKUP(B520,'Profit &amp; Loss'!$B$3:$C$390,2,0)</f>
        <v>#N/A</v>
      </c>
    </row>
    <row r="521" spans="1:6" x14ac:dyDescent="0.2">
      <c r="A521" s="3" t="s">
        <v>454</v>
      </c>
      <c r="B521" s="3" t="s">
        <v>458</v>
      </c>
      <c r="C521" s="4">
        <v>-127683.75</v>
      </c>
      <c r="D521" s="4">
        <v>-44210.73</v>
      </c>
      <c r="E521" s="4">
        <v>-83473.02</v>
      </c>
      <c r="F521" s="3" t="e">
        <f>VLOOKUP(B521,'Profit &amp; Loss'!$B$3:$C$390,2,0)</f>
        <v>#N/A</v>
      </c>
    </row>
    <row r="522" spans="1:6" x14ac:dyDescent="0.2">
      <c r="A522" s="3" t="s">
        <v>454</v>
      </c>
      <c r="B522" s="3" t="s">
        <v>694</v>
      </c>
      <c r="C522" s="4">
        <v>-879.05</v>
      </c>
      <c r="D522" s="4">
        <v>-198.55</v>
      </c>
      <c r="E522" s="4">
        <v>-680.5</v>
      </c>
      <c r="F522" s="3" t="e">
        <f>VLOOKUP(B522,'Profit &amp; Loss'!$B$3:$C$390,2,0)</f>
        <v>#N/A</v>
      </c>
    </row>
    <row r="523" spans="1:6" x14ac:dyDescent="0.2">
      <c r="A523" s="3" t="s">
        <v>454</v>
      </c>
      <c r="B523" s="3" t="s">
        <v>459</v>
      </c>
      <c r="C523" s="4">
        <v>24494.22</v>
      </c>
      <c r="D523" s="4">
        <v>27063.56</v>
      </c>
      <c r="E523" s="4">
        <v>-2569.34</v>
      </c>
      <c r="F523" s="3" t="e">
        <f>VLOOKUP(B523,'Profit &amp; Loss'!$B$3:$C$390,2,0)</f>
        <v>#N/A</v>
      </c>
    </row>
    <row r="524" spans="1:6" x14ac:dyDescent="0.2">
      <c r="A524" s="3" t="s">
        <v>454</v>
      </c>
      <c r="B524" s="3" t="s">
        <v>460</v>
      </c>
      <c r="C524" s="4">
        <v>-40507.79</v>
      </c>
      <c r="D524" s="4">
        <v>-40507.79</v>
      </c>
      <c r="E524" s="4">
        <v>0</v>
      </c>
      <c r="F524" s="3" t="e">
        <f>VLOOKUP(B524,'Profit &amp; Loss'!$B$3:$C$390,2,0)</f>
        <v>#N/A</v>
      </c>
    </row>
    <row r="525" spans="1:6" x14ac:dyDescent="0.2">
      <c r="A525" s="3" t="s">
        <v>454</v>
      </c>
      <c r="B525" s="3" t="s">
        <v>1439</v>
      </c>
      <c r="C525" s="4">
        <v>8109.05</v>
      </c>
      <c r="D525" s="4">
        <v>4899.8100000000004</v>
      </c>
      <c r="E525" s="4">
        <v>3209.24</v>
      </c>
      <c r="F525" s="3">
        <f>VLOOKUP(B525,'Profit &amp; Loss'!$B$3:$C$390,2,0)</f>
        <v>0</v>
      </c>
    </row>
    <row r="526" spans="1:6" x14ac:dyDescent="0.2">
      <c r="A526" s="3" t="s">
        <v>454</v>
      </c>
      <c r="B526" s="3" t="s">
        <v>874</v>
      </c>
      <c r="C526" s="4">
        <v>162214.92000000001</v>
      </c>
      <c r="D526" s="4">
        <v>104671.08</v>
      </c>
      <c r="E526" s="4">
        <v>57543.839999999997</v>
      </c>
      <c r="F526" s="3">
        <f>VLOOKUP(B526,'Profit &amp; Loss'!$B$3:$C$390,2,0)</f>
        <v>0</v>
      </c>
    </row>
    <row r="527" spans="1:6" x14ac:dyDescent="0.2">
      <c r="A527" s="3" t="s">
        <v>454</v>
      </c>
      <c r="B527" s="3" t="s">
        <v>461</v>
      </c>
      <c r="C527" s="4">
        <v>-36319.300000000003</v>
      </c>
      <c r="D527" s="4">
        <v>-8989.9699999999993</v>
      </c>
      <c r="E527" s="4">
        <v>-27329.33</v>
      </c>
      <c r="F527" s="3" t="e">
        <f>VLOOKUP(B527,'Profit &amp; Loss'!$B$3:$C$390,2,0)</f>
        <v>#N/A</v>
      </c>
    </row>
    <row r="528" spans="1:6" x14ac:dyDescent="0.2">
      <c r="A528" s="3" t="s">
        <v>454</v>
      </c>
      <c r="B528" s="5" t="s">
        <v>462</v>
      </c>
      <c r="C528" s="4">
        <v>0</v>
      </c>
      <c r="D528" s="4">
        <v>0</v>
      </c>
      <c r="E528" s="4">
        <v>0</v>
      </c>
      <c r="F528" s="3" t="e">
        <f>VLOOKUP(B528,'Profit &amp; Loss'!$B$3:$C$390,2,0)</f>
        <v>#N/A</v>
      </c>
    </row>
  </sheetData>
  <autoFilter ref="A1:F528" xr:uid="{3444EDFF-EFF5-4E64-AE6E-C27A5B0B8DC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C485-C052-41BF-AE06-8F42FC1F770C}">
  <dimension ref="A1:F538"/>
  <sheetViews>
    <sheetView topLeftCell="A266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hidden="1" customWidth="1"/>
    <col min="4" max="4" width="13.85546875" style="3" hidden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VLOOKUP(B2,'Profit &amp; Loss'!$B$2:$C$390,2,0)</f>
        <v>#N/A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VLOOKUP(B3,'Profit &amp; Loss'!$B$2:$C$390,2,0)</f>
        <v>#N/A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VLOOKUP(B4,'Profit &amp; Loss'!$B$2:$C$390,2,0)</f>
        <v>#N/A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VLOOKUP(B5,'Profit &amp; Loss'!$B$2:$C$390,2,0)</f>
        <v>#N/A</v>
      </c>
    </row>
    <row r="6" spans="1:6" x14ac:dyDescent="0.2">
      <c r="A6" s="3" t="s">
        <v>4</v>
      </c>
      <c r="B6" s="3" t="s">
        <v>8</v>
      </c>
      <c r="C6" s="4">
        <v>25295.65</v>
      </c>
      <c r="D6" s="4">
        <v>23570.12</v>
      </c>
      <c r="E6" s="4">
        <v>1725.53</v>
      </c>
      <c r="F6" s="3" t="e">
        <f>VLOOKUP(B6,'Profit &amp; Loss'!$B$2:$C$390,2,0)</f>
        <v>#N/A</v>
      </c>
    </row>
    <row r="7" spans="1:6" x14ac:dyDescent="0.2">
      <c r="A7" s="3" t="s">
        <v>4</v>
      </c>
      <c r="B7" s="3" t="s">
        <v>9</v>
      </c>
      <c r="C7" s="4">
        <v>-23482.43</v>
      </c>
      <c r="D7" s="4">
        <v>-23497.99</v>
      </c>
      <c r="E7" s="4">
        <v>15.56</v>
      </c>
      <c r="F7" s="3" t="e">
        <f>VLOOKUP(B7,'Profit &amp; Loss'!$B$2:$C$390,2,0)</f>
        <v>#N/A</v>
      </c>
    </row>
    <row r="8" spans="1:6" x14ac:dyDescent="0.2">
      <c r="A8" s="3" t="s">
        <v>4</v>
      </c>
      <c r="B8" s="3" t="s">
        <v>10</v>
      </c>
      <c r="C8" s="4">
        <v>68.66</v>
      </c>
      <c r="D8" s="4">
        <v>68.67</v>
      </c>
      <c r="E8" s="4">
        <v>-0.01</v>
      </c>
      <c r="F8" s="3" t="e">
        <f>VLOOKUP(B8,'Profit &amp; Loss'!$B$2:$C$390,2,0)</f>
        <v>#N/A</v>
      </c>
    </row>
    <row r="9" spans="1:6" x14ac:dyDescent="0.2">
      <c r="A9" s="3" t="s">
        <v>4</v>
      </c>
      <c r="B9" s="3" t="s">
        <v>11</v>
      </c>
      <c r="C9" s="4">
        <v>0.25</v>
      </c>
      <c r="D9" s="4">
        <v>-0.15</v>
      </c>
      <c r="E9" s="4">
        <v>0.4</v>
      </c>
      <c r="F9" s="3" t="e">
        <f>VLOOKUP(B9,'Profit &amp; Loss'!$B$2:$C$390,2,0)</f>
        <v>#N/A</v>
      </c>
    </row>
    <row r="10" spans="1:6" x14ac:dyDescent="0.2">
      <c r="A10" s="3" t="s">
        <v>4</v>
      </c>
      <c r="B10" s="3" t="s">
        <v>2</v>
      </c>
      <c r="C10" s="4">
        <v>2821.65</v>
      </c>
      <c r="D10" s="4">
        <v>1080.17</v>
      </c>
      <c r="E10" s="4">
        <v>1741.48</v>
      </c>
      <c r="F10" s="3" t="e">
        <f>VLOOKUP(B10,'Profit &amp; Loss'!$B$2:$C$390,2,0)</f>
        <v>#N/A</v>
      </c>
    </row>
    <row r="11" spans="1:6" x14ac:dyDescent="0.2">
      <c r="A11" s="3" t="s">
        <v>12</v>
      </c>
      <c r="B11" s="3" t="s">
        <v>2</v>
      </c>
      <c r="C11" s="4">
        <v>2821.65</v>
      </c>
      <c r="D11" s="4">
        <v>1080.17</v>
      </c>
      <c r="E11" s="4">
        <v>1741.48</v>
      </c>
      <c r="F11" s="3" t="e">
        <f>VLOOKUP(B11,'Profit &amp; Loss'!$B$2:$C$390,2,0)</f>
        <v>#N/A</v>
      </c>
    </row>
    <row r="12" spans="1:6" x14ac:dyDescent="0.2">
      <c r="A12" s="3" t="s">
        <v>13</v>
      </c>
      <c r="B12" s="3" t="s">
        <v>14</v>
      </c>
      <c r="C12" s="4">
        <v>15765905.550000001</v>
      </c>
      <c r="D12" s="4">
        <v>17667531.219999999</v>
      </c>
      <c r="E12" s="4">
        <v>-1901625.67</v>
      </c>
      <c r="F12" s="3" t="e">
        <f>VLOOKUP(B12,'Profit &amp; Loss'!$B$2:$C$390,2,0)</f>
        <v>#N/A</v>
      </c>
    </row>
    <row r="13" spans="1:6" x14ac:dyDescent="0.2">
      <c r="A13" s="3" t="s">
        <v>13</v>
      </c>
      <c r="B13" s="3" t="s">
        <v>15</v>
      </c>
      <c r="C13" s="4">
        <v>13102.79</v>
      </c>
      <c r="D13" s="4">
        <v>-132641.85</v>
      </c>
      <c r="E13" s="4">
        <v>145744.64000000001</v>
      </c>
      <c r="F13" s="3" t="e">
        <f>VLOOKUP(B13,'Profit &amp; Loss'!$B$2:$C$390,2,0)</f>
        <v>#N/A</v>
      </c>
    </row>
    <row r="14" spans="1:6" x14ac:dyDescent="0.2">
      <c r="A14" s="3" t="s">
        <v>13</v>
      </c>
      <c r="B14" s="3" t="s">
        <v>16</v>
      </c>
      <c r="C14" s="4">
        <v>1601815.61</v>
      </c>
      <c r="D14" s="4">
        <v>1601815.61</v>
      </c>
      <c r="E14" s="4">
        <v>0</v>
      </c>
      <c r="F14" s="3" t="e">
        <f>VLOOKUP(B14,'Profit &amp; Loss'!$B$2:$C$390,2,0)</f>
        <v>#N/A</v>
      </c>
    </row>
    <row r="15" spans="1:6" x14ac:dyDescent="0.2">
      <c r="A15" s="3" t="s">
        <v>13</v>
      </c>
      <c r="B15" s="3" t="s">
        <v>17</v>
      </c>
      <c r="C15" s="4">
        <v>-150454.84</v>
      </c>
      <c r="D15" s="4">
        <v>-158658.29</v>
      </c>
      <c r="E15" s="4">
        <v>8203.4500000000007</v>
      </c>
      <c r="F15" s="3" t="e">
        <f>VLOOKUP(B15,'Profit &amp; Loss'!$B$2:$C$390,2,0)</f>
        <v>#N/A</v>
      </c>
    </row>
    <row r="16" spans="1:6" x14ac:dyDescent="0.2">
      <c r="A16" s="3" t="s">
        <v>13</v>
      </c>
      <c r="B16" s="3" t="s">
        <v>2</v>
      </c>
      <c r="C16" s="4">
        <v>17230369.109999999</v>
      </c>
      <c r="D16" s="4">
        <v>18978046.690000001</v>
      </c>
      <c r="E16" s="4">
        <v>-1747677.58</v>
      </c>
      <c r="F16" s="3" t="e">
        <f>VLOOKUP(B16,'Profit &amp; Loss'!$B$2:$C$390,2,0)</f>
        <v>#N/A</v>
      </c>
    </row>
    <row r="17" spans="1:6" x14ac:dyDescent="0.2">
      <c r="A17" s="3" t="s">
        <v>18</v>
      </c>
      <c r="B17" s="3" t="s">
        <v>19</v>
      </c>
      <c r="C17" s="4">
        <v>-39764.089999999997</v>
      </c>
      <c r="D17" s="4">
        <v>-45397.71</v>
      </c>
      <c r="E17" s="4">
        <v>5633.62</v>
      </c>
      <c r="F17" s="3" t="e">
        <f>VLOOKUP(B17,'Profit &amp; Loss'!$B$2:$C$390,2,0)</f>
        <v>#N/A</v>
      </c>
    </row>
    <row r="18" spans="1:6" x14ac:dyDescent="0.2">
      <c r="A18" s="3" t="s">
        <v>18</v>
      </c>
      <c r="B18" s="3" t="s">
        <v>2</v>
      </c>
      <c r="C18" s="4">
        <v>-39764.089999999997</v>
      </c>
      <c r="D18" s="4">
        <v>-45397.71</v>
      </c>
      <c r="E18" s="4">
        <v>5633.62</v>
      </c>
      <c r="F18" s="3" t="e">
        <f>VLOOKUP(B18,'Profit &amp; Loss'!$B$2:$C$390,2,0)</f>
        <v>#N/A</v>
      </c>
    </row>
    <row r="19" spans="1:6" x14ac:dyDescent="0.2">
      <c r="A19" s="3" t="s">
        <v>20</v>
      </c>
      <c r="B19" s="3" t="s">
        <v>2</v>
      </c>
      <c r="C19" s="4">
        <v>17190605.02</v>
      </c>
      <c r="D19" s="4">
        <v>18932648.98</v>
      </c>
      <c r="E19" s="4">
        <v>-1742043.96</v>
      </c>
      <c r="F19" s="3" t="e">
        <f>VLOOKUP(B19,'Profit &amp; Loss'!$B$2:$C$390,2,0)</f>
        <v>#N/A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VLOOKUP(B20,'Profit &amp; Loss'!$B$2:$C$390,2,0)</f>
        <v>#N/A</v>
      </c>
    </row>
    <row r="21" spans="1:6" x14ac:dyDescent="0.2">
      <c r="A21" s="3" t="s">
        <v>21</v>
      </c>
      <c r="B21" s="3" t="s">
        <v>23</v>
      </c>
      <c r="C21" s="4">
        <v>-70103.490000000005</v>
      </c>
      <c r="D21" s="4">
        <v>4240.6899999999996</v>
      </c>
      <c r="E21" s="4">
        <v>-74344.179999999993</v>
      </c>
      <c r="F21" s="3" t="e">
        <f>VLOOKUP(B21,'Profit &amp; Loss'!$B$2:$C$390,2,0)</f>
        <v>#N/A</v>
      </c>
    </row>
    <row r="22" spans="1:6" x14ac:dyDescent="0.2">
      <c r="A22" s="3" t="s">
        <v>21</v>
      </c>
      <c r="B22" s="3" t="s">
        <v>25</v>
      </c>
      <c r="C22" s="4">
        <v>66031.509999999995</v>
      </c>
      <c r="D22" s="4">
        <v>65165.56</v>
      </c>
      <c r="E22" s="4">
        <v>865.95</v>
      </c>
      <c r="F22" s="3" t="e">
        <f>VLOOKUP(B22,'Profit &amp; Loss'!$B$2:$C$390,2,0)</f>
        <v>#N/A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VLOOKUP(B23,'Profit &amp; Loss'!$B$2:$C$390,2,0)</f>
        <v>#N/A</v>
      </c>
    </row>
    <row r="24" spans="1:6" x14ac:dyDescent="0.2">
      <c r="A24" s="3" t="s">
        <v>21</v>
      </c>
      <c r="B24" s="3" t="s">
        <v>27</v>
      </c>
      <c r="C24" s="4">
        <v>95361.09</v>
      </c>
      <c r="D24" s="4">
        <v>78877.119999999995</v>
      </c>
      <c r="E24" s="4">
        <v>16483.97</v>
      </c>
      <c r="F24" s="3" t="e">
        <f>VLOOKUP(B24,'Profit &amp; Loss'!$B$2:$C$390,2,0)</f>
        <v>#N/A</v>
      </c>
    </row>
    <row r="25" spans="1:6" x14ac:dyDescent="0.2">
      <c r="A25" s="3" t="s">
        <v>21</v>
      </c>
      <c r="B25" s="3" t="s">
        <v>28</v>
      </c>
      <c r="C25" s="4">
        <v>54736.59</v>
      </c>
      <c r="D25" s="4">
        <v>12137.87</v>
      </c>
      <c r="E25" s="4">
        <v>42598.720000000001</v>
      </c>
      <c r="F25" s="3" t="e">
        <f>VLOOKUP(B25,'Profit &amp; Loss'!$B$2:$C$390,2,0)</f>
        <v>#N/A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VLOOKUP(B26,'Profit &amp; Loss'!$B$2:$C$390,2,0)</f>
        <v>#N/A</v>
      </c>
    </row>
    <row r="27" spans="1:6" x14ac:dyDescent="0.2">
      <c r="A27" s="3" t="s">
        <v>21</v>
      </c>
      <c r="B27" s="3" t="s">
        <v>2</v>
      </c>
      <c r="C27" s="4">
        <v>146045.07</v>
      </c>
      <c r="D27" s="4">
        <v>160440.60999999999</v>
      </c>
      <c r="E27" s="4">
        <v>-14395.54</v>
      </c>
      <c r="F27" s="3" t="e">
        <f>VLOOKUP(B27,'Profit &amp; Loss'!$B$2:$C$390,2,0)</f>
        <v>#N/A</v>
      </c>
    </row>
    <row r="28" spans="1:6" x14ac:dyDescent="0.2">
      <c r="A28" s="3" t="s">
        <v>30</v>
      </c>
      <c r="B28" s="3" t="s">
        <v>31</v>
      </c>
      <c r="C28" s="4">
        <v>54446.01</v>
      </c>
      <c r="D28" s="4">
        <v>119174.5</v>
      </c>
      <c r="E28" s="4">
        <v>-64728.49</v>
      </c>
      <c r="F28" s="3" t="e">
        <f>VLOOKUP(B28,'Profit &amp; Loss'!$B$2:$C$390,2,0)</f>
        <v>#N/A</v>
      </c>
    </row>
    <row r="29" spans="1:6" x14ac:dyDescent="0.2">
      <c r="A29" s="3" t="s">
        <v>30</v>
      </c>
      <c r="B29" s="3" t="s">
        <v>2</v>
      </c>
      <c r="C29" s="4">
        <v>54446.01</v>
      </c>
      <c r="D29" s="4">
        <v>119174.5</v>
      </c>
      <c r="E29" s="4">
        <v>-64728.49</v>
      </c>
      <c r="F29" s="3" t="e">
        <f>VLOOKUP(B29,'Profit &amp; Loss'!$B$2:$C$390,2,0)</f>
        <v>#N/A</v>
      </c>
    </row>
    <row r="30" spans="1:6" x14ac:dyDescent="0.2">
      <c r="A30" s="3" t="s">
        <v>32</v>
      </c>
      <c r="B30" s="3" t="s">
        <v>33</v>
      </c>
      <c r="C30" s="4">
        <v>64885.88</v>
      </c>
      <c r="D30" s="4">
        <v>60688.53</v>
      </c>
      <c r="E30" s="4">
        <v>4197.3500000000004</v>
      </c>
      <c r="F30" s="3" t="e">
        <f>VLOOKUP(B30,'Profit &amp; Loss'!$B$2:$C$390,2,0)</f>
        <v>#N/A</v>
      </c>
    </row>
    <row r="31" spans="1:6" x14ac:dyDescent="0.2">
      <c r="A31" s="3" t="s">
        <v>32</v>
      </c>
      <c r="B31" s="3" t="s">
        <v>34</v>
      </c>
      <c r="C31" s="4">
        <v>44.36</v>
      </c>
      <c r="D31" s="4">
        <v>-181.72</v>
      </c>
      <c r="E31" s="4">
        <v>226.08</v>
      </c>
      <c r="F31" s="3" t="e">
        <f>VLOOKUP(B31,'Profit &amp; Loss'!$B$2:$C$390,2,0)</f>
        <v>#N/A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VLOOKUP(B32,'Profit &amp; Loss'!$B$2:$C$390,2,0)</f>
        <v>#N/A</v>
      </c>
    </row>
    <row r="33" spans="1:6" x14ac:dyDescent="0.2">
      <c r="A33" s="3" t="s">
        <v>32</v>
      </c>
      <c r="B33" s="3" t="s">
        <v>477</v>
      </c>
      <c r="C33" s="4">
        <v>2598.79</v>
      </c>
      <c r="D33" s="4">
        <v>0</v>
      </c>
      <c r="E33" s="4">
        <v>2598.79</v>
      </c>
      <c r="F33" s="3" t="e">
        <f>VLOOKUP(B33,'Profit &amp; Loss'!$B$2:$C$390,2,0)</f>
        <v>#N/A</v>
      </c>
    </row>
    <row r="34" spans="1:6" x14ac:dyDescent="0.2">
      <c r="A34" s="3" t="s">
        <v>32</v>
      </c>
      <c r="B34" s="3" t="s">
        <v>478</v>
      </c>
      <c r="C34" s="4">
        <v>-5.71</v>
      </c>
      <c r="D34" s="4">
        <v>0</v>
      </c>
      <c r="E34" s="4">
        <v>-5.71</v>
      </c>
      <c r="F34" s="3" t="e">
        <f>VLOOKUP(B34,'Profit &amp; Loss'!$B$2:$C$390,2,0)</f>
        <v>#N/A</v>
      </c>
    </row>
    <row r="35" spans="1:6" x14ac:dyDescent="0.2">
      <c r="A35" s="3" t="s">
        <v>32</v>
      </c>
      <c r="B35" s="3" t="s">
        <v>36</v>
      </c>
      <c r="C35" s="4">
        <v>2161.88</v>
      </c>
      <c r="D35" s="4">
        <v>851.34</v>
      </c>
      <c r="E35" s="4">
        <v>1310.54</v>
      </c>
      <c r="F35" s="3" t="e">
        <f>VLOOKUP(B35,'Profit &amp; Loss'!$B$2:$C$390,2,0)</f>
        <v>#N/A</v>
      </c>
    </row>
    <row r="36" spans="1:6" x14ac:dyDescent="0.2">
      <c r="A36" s="3" t="s">
        <v>32</v>
      </c>
      <c r="B36" s="3" t="s">
        <v>39</v>
      </c>
      <c r="C36" s="4">
        <v>167.55</v>
      </c>
      <c r="D36" s="4">
        <v>18.22</v>
      </c>
      <c r="E36" s="4">
        <v>149.33000000000001</v>
      </c>
      <c r="F36" s="3" t="e">
        <f>VLOOKUP(B36,'Profit &amp; Loss'!$B$2:$C$390,2,0)</f>
        <v>#N/A</v>
      </c>
    </row>
    <row r="37" spans="1:6" x14ac:dyDescent="0.2">
      <c r="A37" s="3" t="s">
        <v>32</v>
      </c>
      <c r="B37" s="3" t="s">
        <v>42</v>
      </c>
      <c r="C37" s="4">
        <v>47.89</v>
      </c>
      <c r="D37" s="4">
        <v>49.13</v>
      </c>
      <c r="E37" s="4">
        <v>-1.24</v>
      </c>
      <c r="F37" s="3" t="e">
        <f>VLOOKUP(B37,'Profit &amp; Loss'!$B$2:$C$390,2,0)</f>
        <v>#N/A</v>
      </c>
    </row>
    <row r="38" spans="1:6" x14ac:dyDescent="0.2">
      <c r="A38" s="3" t="s">
        <v>32</v>
      </c>
      <c r="B38" s="3" t="s">
        <v>2</v>
      </c>
      <c r="C38" s="4">
        <v>72498.16</v>
      </c>
      <c r="D38" s="4">
        <v>64023.02</v>
      </c>
      <c r="E38" s="4">
        <v>8475.14</v>
      </c>
      <c r="F38" s="3" t="e">
        <f>VLOOKUP(B38,'Profit &amp; Loss'!$B$2:$C$390,2,0)</f>
        <v>#N/A</v>
      </c>
    </row>
    <row r="39" spans="1:6" x14ac:dyDescent="0.2">
      <c r="A39" s="3" t="s">
        <v>43</v>
      </c>
      <c r="B39" s="3" t="s">
        <v>2</v>
      </c>
      <c r="C39" s="4">
        <v>272989.24</v>
      </c>
      <c r="D39" s="4">
        <v>343638.13</v>
      </c>
      <c r="E39" s="4">
        <v>-70648.89</v>
      </c>
      <c r="F39" s="3" t="e">
        <f>VLOOKUP(B39,'Profit &amp; Loss'!$B$2:$C$390,2,0)</f>
        <v>#N/A</v>
      </c>
    </row>
    <row r="40" spans="1:6" x14ac:dyDescent="0.2">
      <c r="A40" s="3" t="s">
        <v>44</v>
      </c>
      <c r="B40" s="3" t="s">
        <v>1440</v>
      </c>
      <c r="C40" s="4">
        <v>861247.02</v>
      </c>
      <c r="D40" s="4">
        <v>858469.17</v>
      </c>
      <c r="E40" s="4">
        <v>2777.85</v>
      </c>
      <c r="F40" s="3" t="e">
        <f>VLOOKUP(B40,'Profit &amp; Loss'!$B$2:$C$390,2,0)</f>
        <v>#N/A</v>
      </c>
    </row>
    <row r="41" spans="1:6" x14ac:dyDescent="0.2">
      <c r="A41" s="3" t="s">
        <v>44</v>
      </c>
      <c r="B41" s="3" t="s">
        <v>973</v>
      </c>
      <c r="C41" s="4">
        <v>-0.1</v>
      </c>
      <c r="D41" s="4">
        <v>-0.1</v>
      </c>
      <c r="E41" s="4">
        <v>0</v>
      </c>
      <c r="F41" s="3" t="e">
        <f>VLOOKUP(B41,'Profit &amp; Loss'!$B$2:$C$390,2,0)</f>
        <v>#N/A</v>
      </c>
    </row>
    <row r="42" spans="1:6" x14ac:dyDescent="0.2">
      <c r="A42" s="3" t="s">
        <v>44</v>
      </c>
      <c r="B42" s="3" t="s">
        <v>45</v>
      </c>
      <c r="C42" s="4">
        <v>13784.74</v>
      </c>
      <c r="D42" s="4">
        <v>0</v>
      </c>
      <c r="E42" s="4">
        <v>13784.74</v>
      </c>
      <c r="F42" s="3" t="e">
        <f>VLOOKUP(B42,'Profit &amp; Loss'!$B$2:$C$390,2,0)</f>
        <v>#N/A</v>
      </c>
    </row>
    <row r="43" spans="1:6" x14ac:dyDescent="0.2">
      <c r="A43" s="3" t="s">
        <v>44</v>
      </c>
      <c r="B43" s="3" t="s">
        <v>46</v>
      </c>
      <c r="C43" s="4">
        <v>0</v>
      </c>
      <c r="D43" s="4">
        <v>834.49</v>
      </c>
      <c r="E43" s="4">
        <v>-834.49</v>
      </c>
      <c r="F43" s="3" t="e">
        <f>VLOOKUP(B43,'Profit &amp; Loss'!$B$2:$C$390,2,0)</f>
        <v>#N/A</v>
      </c>
    </row>
    <row r="44" spans="1:6" x14ac:dyDescent="0.2">
      <c r="A44" s="3" t="s">
        <v>44</v>
      </c>
      <c r="B44" s="3" t="s">
        <v>2</v>
      </c>
      <c r="C44" s="4">
        <v>875031.66</v>
      </c>
      <c r="D44" s="4">
        <v>859303.56</v>
      </c>
      <c r="E44" s="4">
        <v>15728.1</v>
      </c>
      <c r="F44" s="3" t="e">
        <f>VLOOKUP(B44,'Profit &amp; Loss'!$B$2:$C$390,2,0)</f>
        <v>#N/A</v>
      </c>
    </row>
    <row r="45" spans="1:6" x14ac:dyDescent="0.2">
      <c r="A45" s="3" t="s">
        <v>47</v>
      </c>
      <c r="B45" s="3" t="s">
        <v>48</v>
      </c>
      <c r="C45" s="4">
        <v>15019677.85</v>
      </c>
      <c r="D45" s="4">
        <v>14289776.4</v>
      </c>
      <c r="E45" s="4">
        <v>729901.45</v>
      </c>
      <c r="F45" s="3" t="e">
        <f>VLOOKUP(B45,'Profit &amp; Loss'!$B$2:$C$390,2,0)</f>
        <v>#N/A</v>
      </c>
    </row>
    <row r="46" spans="1:6" x14ac:dyDescent="0.2">
      <c r="A46" s="3" t="s">
        <v>47</v>
      </c>
      <c r="B46" s="3" t="s">
        <v>599</v>
      </c>
      <c r="C46" s="4">
        <v>1391.71</v>
      </c>
      <c r="D46" s="4">
        <v>0</v>
      </c>
      <c r="E46" s="4">
        <v>1391.71</v>
      </c>
      <c r="F46" s="3" t="e">
        <f>VLOOKUP(B46,'Profit &amp; Loss'!$B$2:$C$390,2,0)</f>
        <v>#N/A</v>
      </c>
    </row>
    <row r="47" spans="1:6" x14ac:dyDescent="0.2">
      <c r="A47" s="3" t="s">
        <v>47</v>
      </c>
      <c r="B47" s="3" t="s">
        <v>1441</v>
      </c>
      <c r="C47" s="4">
        <v>0</v>
      </c>
      <c r="D47" s="4">
        <v>-1331.92</v>
      </c>
      <c r="E47" s="4">
        <v>1331.92</v>
      </c>
      <c r="F47" s="3" t="e">
        <f>VLOOKUP(B47,'Profit &amp; Loss'!$B$2:$C$390,2,0)</f>
        <v>#N/A</v>
      </c>
    </row>
    <row r="48" spans="1:6" x14ac:dyDescent="0.2">
      <c r="A48" s="3" t="s">
        <v>47</v>
      </c>
      <c r="B48" s="3" t="s">
        <v>49</v>
      </c>
      <c r="C48" s="4">
        <v>-122396.81</v>
      </c>
      <c r="D48" s="4">
        <v>-102116.81</v>
      </c>
      <c r="E48" s="4">
        <v>-20280</v>
      </c>
      <c r="F48" s="3" t="e">
        <f>VLOOKUP(B48,'Profit &amp; Loss'!$B$2:$C$390,2,0)</f>
        <v>#N/A</v>
      </c>
    </row>
    <row r="49" spans="1:6" x14ac:dyDescent="0.2">
      <c r="A49" s="3" t="s">
        <v>47</v>
      </c>
      <c r="B49" s="3" t="s">
        <v>50</v>
      </c>
      <c r="C49" s="4">
        <v>2104317.85</v>
      </c>
      <c r="D49" s="4">
        <v>2147331.52</v>
      </c>
      <c r="E49" s="4">
        <v>-43013.67</v>
      </c>
      <c r="F49" s="3" t="e">
        <f>VLOOKUP(B49,'Profit &amp; Loss'!$B$2:$C$390,2,0)</f>
        <v>#N/A</v>
      </c>
    </row>
    <row r="50" spans="1:6" x14ac:dyDescent="0.2">
      <c r="A50" s="3" t="s">
        <v>47</v>
      </c>
      <c r="B50" s="3" t="s">
        <v>51</v>
      </c>
      <c r="C50" s="4">
        <v>4462869.9800000004</v>
      </c>
      <c r="D50" s="4">
        <v>2557589.63</v>
      </c>
      <c r="E50" s="4">
        <v>1905280.35</v>
      </c>
      <c r="F50" s="3" t="e">
        <f>VLOOKUP(B50,'Profit &amp; Loss'!$B$2:$C$390,2,0)</f>
        <v>#N/A</v>
      </c>
    </row>
    <row r="51" spans="1:6" x14ac:dyDescent="0.2">
      <c r="A51" s="3" t="s">
        <v>47</v>
      </c>
      <c r="B51" s="3" t="s">
        <v>52</v>
      </c>
      <c r="C51" s="4">
        <v>8981704.1300000008</v>
      </c>
      <c r="D51" s="4">
        <v>7285841.2699999996</v>
      </c>
      <c r="E51" s="4">
        <v>1695862.86</v>
      </c>
      <c r="F51" s="3" t="e">
        <f>VLOOKUP(B51,'Profit &amp; Loss'!$B$2:$C$390,2,0)</f>
        <v>#N/A</v>
      </c>
    </row>
    <row r="52" spans="1:6" x14ac:dyDescent="0.2">
      <c r="A52" s="3" t="s">
        <v>47</v>
      </c>
      <c r="B52" s="3" t="s">
        <v>53</v>
      </c>
      <c r="C52" s="4">
        <v>-27.65</v>
      </c>
      <c r="D52" s="4">
        <v>-27.65</v>
      </c>
      <c r="E52" s="4">
        <v>0</v>
      </c>
      <c r="F52" s="3" t="e">
        <f>VLOOKUP(B52,'Profit &amp; Loss'!$B$2:$C$390,2,0)</f>
        <v>#N/A</v>
      </c>
    </row>
    <row r="53" spans="1:6" x14ac:dyDescent="0.2">
      <c r="A53" s="3" t="s">
        <v>47</v>
      </c>
      <c r="B53" s="3" t="s">
        <v>54</v>
      </c>
      <c r="C53" s="4">
        <v>28152.81</v>
      </c>
      <c r="D53" s="4">
        <v>27592.92</v>
      </c>
      <c r="E53" s="4">
        <v>559.89</v>
      </c>
      <c r="F53" s="3" t="e">
        <f>VLOOKUP(B53,'Profit &amp; Loss'!$B$2:$C$390,2,0)</f>
        <v>#N/A</v>
      </c>
    </row>
    <row r="54" spans="1:6" x14ac:dyDescent="0.2">
      <c r="A54" s="3" t="s">
        <v>47</v>
      </c>
      <c r="B54" s="3" t="s">
        <v>55</v>
      </c>
      <c r="C54" s="4">
        <v>-1501447.11</v>
      </c>
      <c r="D54" s="4">
        <v>-1501458.32</v>
      </c>
      <c r="E54" s="4">
        <v>11.21</v>
      </c>
      <c r="F54" s="3" t="e">
        <f>VLOOKUP(B54,'Profit &amp; Loss'!$B$2:$C$390,2,0)</f>
        <v>#N/A</v>
      </c>
    </row>
    <row r="55" spans="1:6" x14ac:dyDescent="0.2">
      <c r="A55" s="3" t="s">
        <v>47</v>
      </c>
      <c r="B55" s="3" t="s">
        <v>56</v>
      </c>
      <c r="C55" s="4">
        <v>11762.37</v>
      </c>
      <c r="D55" s="4">
        <v>10841.26</v>
      </c>
      <c r="E55" s="4">
        <v>921.11</v>
      </c>
      <c r="F55" s="3" t="e">
        <f>VLOOKUP(B55,'Profit &amp; Loss'!$B$2:$C$390,2,0)</f>
        <v>#N/A</v>
      </c>
    </row>
    <row r="56" spans="1:6" x14ac:dyDescent="0.2">
      <c r="A56" s="3" t="s">
        <v>47</v>
      </c>
      <c r="B56" s="3" t="s">
        <v>57</v>
      </c>
      <c r="C56" s="4">
        <v>-22424.2</v>
      </c>
      <c r="D56" s="4">
        <v>-21610.98</v>
      </c>
      <c r="E56" s="4">
        <v>-813.22</v>
      </c>
      <c r="F56" s="3" t="e">
        <f>VLOOKUP(B56,'Profit &amp; Loss'!$B$2:$C$390,2,0)</f>
        <v>#N/A</v>
      </c>
    </row>
    <row r="57" spans="1:6" x14ac:dyDescent="0.2">
      <c r="A57" s="3" t="s">
        <v>47</v>
      </c>
      <c r="B57" s="3" t="s">
        <v>58</v>
      </c>
      <c r="C57" s="4">
        <v>-14272.25</v>
      </c>
      <c r="D57" s="4">
        <v>-14272.25</v>
      </c>
      <c r="E57" s="4">
        <v>0</v>
      </c>
      <c r="F57" s="3" t="e">
        <f>VLOOKUP(B57,'Profit &amp; Loss'!$B$2:$C$390,2,0)</f>
        <v>#N/A</v>
      </c>
    </row>
    <row r="58" spans="1:6" x14ac:dyDescent="0.2">
      <c r="A58" s="3" t="s">
        <v>47</v>
      </c>
      <c r="B58" s="3" t="s">
        <v>2</v>
      </c>
      <c r="C58" s="4">
        <v>28949308.68</v>
      </c>
      <c r="D58" s="4">
        <v>24678155.07</v>
      </c>
      <c r="E58" s="4">
        <v>4271153.6100000003</v>
      </c>
      <c r="F58" s="3" t="e">
        <f>VLOOKUP(B58,'Profit &amp; Loss'!$B$2:$C$390,2,0)</f>
        <v>#N/A</v>
      </c>
    </row>
    <row r="59" spans="1:6" x14ac:dyDescent="0.2">
      <c r="A59" s="3" t="s">
        <v>59</v>
      </c>
      <c r="B59" s="3" t="s">
        <v>60</v>
      </c>
      <c r="C59" s="4">
        <v>307031.21000000002</v>
      </c>
      <c r="D59" s="4">
        <v>247407.29</v>
      </c>
      <c r="E59" s="4">
        <v>59623.92</v>
      </c>
      <c r="F59" s="3" t="e">
        <f>VLOOKUP(B59,'Profit &amp; Loss'!$B$2:$C$390,2,0)</f>
        <v>#N/A</v>
      </c>
    </row>
    <row r="60" spans="1:6" x14ac:dyDescent="0.2">
      <c r="A60" s="3" t="s">
        <v>59</v>
      </c>
      <c r="B60" s="3" t="s">
        <v>975</v>
      </c>
      <c r="C60" s="4">
        <v>100.78</v>
      </c>
      <c r="D60" s="4">
        <v>100.78</v>
      </c>
      <c r="E60" s="4">
        <v>0</v>
      </c>
      <c r="F60" s="3" t="e">
        <f>VLOOKUP(B60,'Profit &amp; Loss'!$B$2:$C$390,2,0)</f>
        <v>#N/A</v>
      </c>
    </row>
    <row r="61" spans="1:6" x14ac:dyDescent="0.2">
      <c r="A61" s="3" t="s">
        <v>59</v>
      </c>
      <c r="B61" s="3" t="s">
        <v>883</v>
      </c>
      <c r="C61" s="4">
        <v>946.22</v>
      </c>
      <c r="D61" s="4">
        <v>946.22</v>
      </c>
      <c r="E61" s="4">
        <v>0</v>
      </c>
      <c r="F61" s="3" t="e">
        <f>VLOOKUP(B61,'Profit &amp; Loss'!$B$2:$C$390,2,0)</f>
        <v>#N/A</v>
      </c>
    </row>
    <row r="62" spans="1:6" x14ac:dyDescent="0.2">
      <c r="A62" s="3" t="s">
        <v>59</v>
      </c>
      <c r="B62" s="3" t="s">
        <v>61</v>
      </c>
      <c r="C62" s="4">
        <v>383.16</v>
      </c>
      <c r="D62" s="4">
        <v>330.52</v>
      </c>
      <c r="E62" s="4">
        <v>52.64</v>
      </c>
      <c r="F62" s="3" t="e">
        <f>VLOOKUP(B62,'Profit &amp; Loss'!$B$2:$C$390,2,0)</f>
        <v>#N/A</v>
      </c>
    </row>
    <row r="63" spans="1:6" x14ac:dyDescent="0.2">
      <c r="A63" s="3" t="s">
        <v>59</v>
      </c>
      <c r="B63" s="3" t="s">
        <v>62</v>
      </c>
      <c r="C63" s="4">
        <v>235476.35</v>
      </c>
      <c r="D63" s="4">
        <v>211397.24</v>
      </c>
      <c r="E63" s="4">
        <v>24079.11</v>
      </c>
      <c r="F63" s="3" t="e">
        <f>VLOOKUP(B63,'Profit &amp; Loss'!$B$2:$C$390,2,0)</f>
        <v>#N/A</v>
      </c>
    </row>
    <row r="64" spans="1:6" x14ac:dyDescent="0.2">
      <c r="A64" s="3" t="s">
        <v>59</v>
      </c>
      <c r="B64" s="3" t="s">
        <v>63</v>
      </c>
      <c r="C64" s="4">
        <v>48339.39</v>
      </c>
      <c r="D64" s="4">
        <v>45978.57</v>
      </c>
      <c r="E64" s="4">
        <v>2360.8200000000002</v>
      </c>
      <c r="F64" s="3" t="e">
        <f>VLOOKUP(B64,'Profit &amp; Loss'!$B$2:$C$390,2,0)</f>
        <v>#N/A</v>
      </c>
    </row>
    <row r="65" spans="1:6" x14ac:dyDescent="0.2">
      <c r="A65" s="3" t="s">
        <v>59</v>
      </c>
      <c r="B65" s="3" t="s">
        <v>64</v>
      </c>
      <c r="C65" s="4">
        <v>593.03</v>
      </c>
      <c r="D65" s="4">
        <v>361.42</v>
      </c>
      <c r="E65" s="4">
        <v>231.61</v>
      </c>
      <c r="F65" s="3" t="e">
        <f>VLOOKUP(B65,'Profit &amp; Loss'!$B$2:$C$390,2,0)</f>
        <v>#N/A</v>
      </c>
    </row>
    <row r="66" spans="1:6" x14ac:dyDescent="0.2">
      <c r="A66" s="3" t="s">
        <v>59</v>
      </c>
      <c r="B66" s="3" t="s">
        <v>2</v>
      </c>
      <c r="C66" s="4">
        <v>592870.14</v>
      </c>
      <c r="D66" s="4">
        <v>506522.04</v>
      </c>
      <c r="E66" s="4">
        <v>86348.1</v>
      </c>
      <c r="F66" s="3" t="e">
        <f>VLOOKUP(B66,'Profit &amp; Loss'!$B$2:$C$390,2,0)</f>
        <v>#N/A</v>
      </c>
    </row>
    <row r="67" spans="1:6" x14ac:dyDescent="0.2">
      <c r="A67" s="3" t="s">
        <v>65</v>
      </c>
      <c r="B67" s="3" t="s">
        <v>2</v>
      </c>
      <c r="C67" s="4">
        <v>30417210.48</v>
      </c>
      <c r="D67" s="4">
        <v>26043980.670000002</v>
      </c>
      <c r="E67" s="4">
        <v>4373229.8099999996</v>
      </c>
      <c r="F67" s="3" t="e">
        <f>VLOOKUP(B67,'Profit &amp; Loss'!$B$2:$C$390,2,0)</f>
        <v>#N/A</v>
      </c>
    </row>
    <row r="68" spans="1:6" x14ac:dyDescent="0.2">
      <c r="A68" s="3" t="s">
        <v>66</v>
      </c>
      <c r="B68" s="3" t="s">
        <v>67</v>
      </c>
      <c r="C68" s="4">
        <v>-6135.39</v>
      </c>
      <c r="D68" s="4">
        <v>-6135.39</v>
      </c>
      <c r="E68" s="4">
        <v>0</v>
      </c>
      <c r="F68" s="3" t="e">
        <f>VLOOKUP(B68,'Profit &amp; Loss'!$B$2:$C$390,2,0)</f>
        <v>#N/A</v>
      </c>
    </row>
    <row r="69" spans="1:6" x14ac:dyDescent="0.2">
      <c r="A69" s="3" t="s">
        <v>66</v>
      </c>
      <c r="B69" s="3" t="s">
        <v>68</v>
      </c>
      <c r="C69" s="4">
        <v>7447.93</v>
      </c>
      <c r="D69" s="4">
        <v>8024.64</v>
      </c>
      <c r="E69" s="4">
        <v>-576.71</v>
      </c>
      <c r="F69" s="3" t="e">
        <f>VLOOKUP(B69,'Profit &amp; Loss'!$B$2:$C$390,2,0)</f>
        <v>#N/A</v>
      </c>
    </row>
    <row r="70" spans="1:6" x14ac:dyDescent="0.2">
      <c r="A70" s="3" t="s">
        <v>66</v>
      </c>
      <c r="B70" s="3" t="s">
        <v>979</v>
      </c>
      <c r="C70" s="4">
        <v>6329.17</v>
      </c>
      <c r="D70" s="4">
        <v>6329.17</v>
      </c>
      <c r="E70" s="4">
        <v>0</v>
      </c>
      <c r="F70" s="3" t="e">
        <f>VLOOKUP(B70,'Profit &amp; Loss'!$B$2:$C$390,2,0)</f>
        <v>#N/A</v>
      </c>
    </row>
    <row r="71" spans="1:6" x14ac:dyDescent="0.2">
      <c r="A71" s="3" t="s">
        <v>66</v>
      </c>
      <c r="B71" s="3" t="s">
        <v>491</v>
      </c>
      <c r="C71" s="4">
        <v>67.17</v>
      </c>
      <c r="D71" s="4">
        <v>0</v>
      </c>
      <c r="E71" s="4">
        <v>67.17</v>
      </c>
      <c r="F71" s="3" t="e">
        <f>VLOOKUP(B71,'Profit &amp; Loss'!$B$2:$C$390,2,0)</f>
        <v>#N/A</v>
      </c>
    </row>
    <row r="72" spans="1:6" x14ac:dyDescent="0.2">
      <c r="A72" s="3" t="s">
        <v>66</v>
      </c>
      <c r="B72" s="3" t="s">
        <v>492</v>
      </c>
      <c r="C72" s="4">
        <v>0.06</v>
      </c>
      <c r="D72" s="4">
        <v>0</v>
      </c>
      <c r="E72" s="4">
        <v>0.06</v>
      </c>
      <c r="F72" s="3" t="e">
        <f>VLOOKUP(B72,'Profit &amp; Loss'!$B$2:$C$390,2,0)</f>
        <v>#N/A</v>
      </c>
    </row>
    <row r="73" spans="1:6" x14ac:dyDescent="0.2">
      <c r="A73" s="3" t="s">
        <v>66</v>
      </c>
      <c r="B73" s="3" t="s">
        <v>493</v>
      </c>
      <c r="C73" s="4">
        <v>-242.48</v>
      </c>
      <c r="D73" s="4">
        <v>36.159999999999997</v>
      </c>
      <c r="E73" s="4">
        <v>-278.64</v>
      </c>
      <c r="F73" s="3" t="e">
        <f>VLOOKUP(B73,'Profit &amp; Loss'!$B$2:$C$390,2,0)</f>
        <v>#N/A</v>
      </c>
    </row>
    <row r="74" spans="1:6" x14ac:dyDescent="0.2">
      <c r="A74" s="3" t="s">
        <v>66</v>
      </c>
      <c r="B74" s="3" t="s">
        <v>494</v>
      </c>
      <c r="C74" s="4">
        <v>0.79</v>
      </c>
      <c r="D74" s="4">
        <v>7.0000000000000007E-2</v>
      </c>
      <c r="E74" s="4">
        <v>0.72</v>
      </c>
      <c r="F74" s="3" t="e">
        <f>VLOOKUP(B74,'Profit &amp; Loss'!$B$2:$C$390,2,0)</f>
        <v>#N/A</v>
      </c>
    </row>
    <row r="75" spans="1:6" x14ac:dyDescent="0.2">
      <c r="A75" s="3" t="s">
        <v>66</v>
      </c>
      <c r="B75" s="3" t="s">
        <v>2</v>
      </c>
      <c r="C75" s="4">
        <v>7467.25</v>
      </c>
      <c r="D75" s="4">
        <v>8254.65</v>
      </c>
      <c r="E75" s="4">
        <v>-787.4</v>
      </c>
      <c r="F75" s="3" t="e">
        <f>VLOOKUP(B75,'Profit &amp; Loss'!$B$2:$C$390,2,0)</f>
        <v>#N/A</v>
      </c>
    </row>
    <row r="76" spans="1:6" x14ac:dyDescent="0.2">
      <c r="A76" s="3" t="s">
        <v>69</v>
      </c>
      <c r="B76" s="3" t="s">
        <v>2</v>
      </c>
      <c r="C76" s="4">
        <v>7467.25</v>
      </c>
      <c r="D76" s="4">
        <v>8254.65</v>
      </c>
      <c r="E76" s="4">
        <v>-787.4</v>
      </c>
      <c r="F76" s="3" t="e">
        <f>VLOOKUP(B76,'Profit &amp; Loss'!$B$2:$C$390,2,0)</f>
        <v>#N/A</v>
      </c>
    </row>
    <row r="77" spans="1:6" x14ac:dyDescent="0.2">
      <c r="A77" s="3" t="s">
        <v>70</v>
      </c>
      <c r="B77" s="3" t="s">
        <v>71</v>
      </c>
      <c r="C77" s="4">
        <v>359163.46</v>
      </c>
      <c r="D77" s="4">
        <v>359163.46</v>
      </c>
      <c r="E77" s="4">
        <v>0</v>
      </c>
      <c r="F77" s="3" t="e">
        <f>VLOOKUP(B77,'Profit &amp; Loss'!$B$2:$C$390,2,0)</f>
        <v>#N/A</v>
      </c>
    </row>
    <row r="78" spans="1:6" x14ac:dyDescent="0.2">
      <c r="A78" s="3" t="s">
        <v>70</v>
      </c>
      <c r="B78" s="3" t="s">
        <v>72</v>
      </c>
      <c r="C78" s="4">
        <v>-264840.87</v>
      </c>
      <c r="D78" s="4">
        <v>-263726.11</v>
      </c>
      <c r="E78" s="4">
        <v>-1114.76</v>
      </c>
      <c r="F78" s="3" t="e">
        <f>VLOOKUP(B78,'Profit &amp; Loss'!$B$2:$C$390,2,0)</f>
        <v>#N/A</v>
      </c>
    </row>
    <row r="79" spans="1:6" x14ac:dyDescent="0.2">
      <c r="A79" s="3" t="s">
        <v>70</v>
      </c>
      <c r="B79" s="3" t="s">
        <v>2</v>
      </c>
      <c r="C79" s="4">
        <v>94322.59</v>
      </c>
      <c r="D79" s="4">
        <v>95437.35</v>
      </c>
      <c r="E79" s="4">
        <v>-1114.76</v>
      </c>
      <c r="F79" s="3" t="e">
        <f>VLOOKUP(B79,'Profit &amp; Loss'!$B$2:$C$390,2,0)</f>
        <v>#N/A</v>
      </c>
    </row>
    <row r="80" spans="1:6" x14ac:dyDescent="0.2">
      <c r="A80" s="3" t="s">
        <v>73</v>
      </c>
      <c r="B80" s="3" t="s">
        <v>74</v>
      </c>
      <c r="C80" s="4">
        <v>132848.63</v>
      </c>
      <c r="D80" s="4">
        <v>132848.63</v>
      </c>
      <c r="E80" s="4">
        <v>0</v>
      </c>
      <c r="F80" s="3" t="e">
        <f>VLOOKUP(B80,'Profit &amp; Loss'!$B$2:$C$390,2,0)</f>
        <v>#N/A</v>
      </c>
    </row>
    <row r="81" spans="1:6" x14ac:dyDescent="0.2">
      <c r="A81" s="3" t="s">
        <v>73</v>
      </c>
      <c r="B81" s="3" t="s">
        <v>75</v>
      </c>
      <c r="C81" s="4">
        <v>773272.12</v>
      </c>
      <c r="D81" s="4">
        <v>773272.12</v>
      </c>
      <c r="E81" s="4">
        <v>0</v>
      </c>
      <c r="F81" s="3" t="e">
        <f>VLOOKUP(B81,'Profit &amp; Loss'!$B$2:$C$390,2,0)</f>
        <v>#N/A</v>
      </c>
    </row>
    <row r="82" spans="1:6" x14ac:dyDescent="0.2">
      <c r="A82" s="3" t="s">
        <v>73</v>
      </c>
      <c r="B82" s="3" t="s">
        <v>76</v>
      </c>
      <c r="C82" s="4">
        <v>390555.42</v>
      </c>
      <c r="D82" s="4">
        <v>390555.42</v>
      </c>
      <c r="E82" s="4">
        <v>0</v>
      </c>
      <c r="F82" s="3" t="e">
        <f>VLOOKUP(B82,'Profit &amp; Loss'!$B$2:$C$390,2,0)</f>
        <v>#N/A</v>
      </c>
    </row>
    <row r="83" spans="1:6" x14ac:dyDescent="0.2">
      <c r="A83" s="3" t="s">
        <v>73</v>
      </c>
      <c r="B83" s="3" t="s">
        <v>77</v>
      </c>
      <c r="C83" s="4">
        <v>495.24</v>
      </c>
      <c r="D83" s="4">
        <v>495.24</v>
      </c>
      <c r="E83" s="4">
        <v>0</v>
      </c>
      <c r="F83" s="3" t="e">
        <f>VLOOKUP(B83,'Profit &amp; Loss'!$B$2:$C$390,2,0)</f>
        <v>#N/A</v>
      </c>
    </row>
    <row r="84" spans="1:6" x14ac:dyDescent="0.2">
      <c r="A84" s="3" t="s">
        <v>73</v>
      </c>
      <c r="B84" s="3" t="s">
        <v>78</v>
      </c>
      <c r="C84" s="4">
        <v>265200.03999999998</v>
      </c>
      <c r="D84" s="4">
        <v>257728.68</v>
      </c>
      <c r="E84" s="4">
        <v>7471.36</v>
      </c>
      <c r="F84" s="3" t="e">
        <f>VLOOKUP(B84,'Profit &amp; Loss'!$B$2:$C$390,2,0)</f>
        <v>#N/A</v>
      </c>
    </row>
    <row r="85" spans="1:6" x14ac:dyDescent="0.2">
      <c r="A85" s="3" t="s">
        <v>73</v>
      </c>
      <c r="B85" s="3" t="s">
        <v>79</v>
      </c>
      <c r="C85" s="4">
        <v>-127193.05</v>
      </c>
      <c r="D85" s="4">
        <v>-126918.54</v>
      </c>
      <c r="E85" s="4">
        <v>-274.51</v>
      </c>
      <c r="F85" s="3" t="e">
        <f>VLOOKUP(B85,'Profit &amp; Loss'!$B$2:$C$390,2,0)</f>
        <v>#N/A</v>
      </c>
    </row>
    <row r="86" spans="1:6" x14ac:dyDescent="0.2">
      <c r="A86" s="3" t="s">
        <v>73</v>
      </c>
      <c r="B86" s="3" t="s">
        <v>80</v>
      </c>
      <c r="C86" s="4">
        <v>-454427.4</v>
      </c>
      <c r="D86" s="4">
        <v>-448598.02</v>
      </c>
      <c r="E86" s="4">
        <v>-5829.38</v>
      </c>
      <c r="F86" s="3" t="e">
        <f>VLOOKUP(B86,'Profit &amp; Loss'!$B$2:$C$390,2,0)</f>
        <v>#N/A</v>
      </c>
    </row>
    <row r="87" spans="1:6" x14ac:dyDescent="0.2">
      <c r="A87" s="3" t="s">
        <v>73</v>
      </c>
      <c r="B87" s="3" t="s">
        <v>81</v>
      </c>
      <c r="C87" s="4">
        <v>-307433.61</v>
      </c>
      <c r="D87" s="4">
        <v>-305017.96999999997</v>
      </c>
      <c r="E87" s="4">
        <v>-2415.64</v>
      </c>
      <c r="F87" s="3" t="e">
        <f>VLOOKUP(B87,'Profit &amp; Loss'!$B$2:$C$390,2,0)</f>
        <v>#N/A</v>
      </c>
    </row>
    <row r="88" spans="1:6" x14ac:dyDescent="0.2">
      <c r="A88" s="3" t="s">
        <v>73</v>
      </c>
      <c r="B88" s="3" t="s">
        <v>82</v>
      </c>
      <c r="C88" s="4">
        <v>-495.24</v>
      </c>
      <c r="D88" s="4">
        <v>-495.24</v>
      </c>
      <c r="E88" s="4">
        <v>0</v>
      </c>
      <c r="F88" s="3" t="e">
        <f>VLOOKUP(B88,'Profit &amp; Loss'!$B$2:$C$390,2,0)</f>
        <v>#N/A</v>
      </c>
    </row>
    <row r="89" spans="1:6" x14ac:dyDescent="0.2">
      <c r="A89" s="3" t="s">
        <v>73</v>
      </c>
      <c r="B89" s="3" t="s">
        <v>83</v>
      </c>
      <c r="C89" s="4">
        <v>-209538.08</v>
      </c>
      <c r="D89" s="4">
        <v>-207342.47</v>
      </c>
      <c r="E89" s="4">
        <v>-2195.61</v>
      </c>
      <c r="F89" s="3" t="e">
        <f>VLOOKUP(B89,'Profit &amp; Loss'!$B$2:$C$390,2,0)</f>
        <v>#N/A</v>
      </c>
    </row>
    <row r="90" spans="1:6" x14ac:dyDescent="0.2">
      <c r="A90" s="3" t="s">
        <v>73</v>
      </c>
      <c r="B90" s="3" t="s">
        <v>2</v>
      </c>
      <c r="C90" s="4">
        <v>463284.07</v>
      </c>
      <c r="D90" s="4">
        <v>466527.85</v>
      </c>
      <c r="E90" s="4">
        <v>-3243.78</v>
      </c>
      <c r="F90" s="3" t="e">
        <f>VLOOKUP(B90,'Profit &amp; Loss'!$B$2:$C$390,2,0)</f>
        <v>#N/A</v>
      </c>
    </row>
    <row r="91" spans="1:6" x14ac:dyDescent="0.2">
      <c r="A91" s="3" t="s">
        <v>84</v>
      </c>
      <c r="B91" s="3" t="s">
        <v>85</v>
      </c>
      <c r="C91" s="4">
        <v>18964434.25</v>
      </c>
      <c r="D91" s="4">
        <v>19105809.309999999</v>
      </c>
      <c r="E91" s="4">
        <v>-141375.06</v>
      </c>
      <c r="F91" s="3" t="e">
        <f>VLOOKUP(B91,'Profit &amp; Loss'!$B$2:$C$390,2,0)</f>
        <v>#N/A</v>
      </c>
    </row>
    <row r="92" spans="1:6" x14ac:dyDescent="0.2">
      <c r="A92" s="3" t="s">
        <v>84</v>
      </c>
      <c r="B92" s="3" t="s">
        <v>86</v>
      </c>
      <c r="C92" s="4">
        <v>-6760906.1699999999</v>
      </c>
      <c r="D92" s="4">
        <v>-6580113.6699999999</v>
      </c>
      <c r="E92" s="4">
        <v>-180792.5</v>
      </c>
      <c r="F92" s="3" t="e">
        <f>VLOOKUP(B92,'Profit &amp; Loss'!$B$2:$C$390,2,0)</f>
        <v>#N/A</v>
      </c>
    </row>
    <row r="93" spans="1:6" x14ac:dyDescent="0.2">
      <c r="A93" s="3" t="s">
        <v>84</v>
      </c>
      <c r="B93" s="3" t="s">
        <v>2</v>
      </c>
      <c r="C93" s="4">
        <v>12203528.08</v>
      </c>
      <c r="D93" s="4">
        <v>12525695.640000001</v>
      </c>
      <c r="E93" s="4">
        <v>-322167.56</v>
      </c>
      <c r="F93" s="3" t="e">
        <f>VLOOKUP(B93,'Profit &amp; Loss'!$B$2:$C$390,2,0)</f>
        <v>#N/A</v>
      </c>
    </row>
    <row r="94" spans="1:6" x14ac:dyDescent="0.2">
      <c r="A94" s="3" t="s">
        <v>87</v>
      </c>
      <c r="B94" s="3" t="s">
        <v>88</v>
      </c>
      <c r="C94" s="4">
        <v>103060.72</v>
      </c>
      <c r="D94" s="4">
        <v>103060.72</v>
      </c>
      <c r="E94" s="4">
        <v>0</v>
      </c>
      <c r="F94" s="3" t="e">
        <f>VLOOKUP(B94,'Profit &amp; Loss'!$B$2:$C$390,2,0)</f>
        <v>#N/A</v>
      </c>
    </row>
    <row r="95" spans="1:6" x14ac:dyDescent="0.2">
      <c r="A95" s="3" t="s">
        <v>87</v>
      </c>
      <c r="B95" s="3" t="s">
        <v>89</v>
      </c>
      <c r="C95" s="4">
        <v>655044.07999999996</v>
      </c>
      <c r="D95" s="4">
        <v>655044.07999999996</v>
      </c>
      <c r="E95" s="4">
        <v>0</v>
      </c>
      <c r="F95" s="3" t="e">
        <f>VLOOKUP(B95,'Profit &amp; Loss'!$B$2:$C$390,2,0)</f>
        <v>#N/A</v>
      </c>
    </row>
    <row r="96" spans="1:6" x14ac:dyDescent="0.2">
      <c r="A96" s="3" t="s">
        <v>87</v>
      </c>
      <c r="B96" s="3" t="s">
        <v>90</v>
      </c>
      <c r="C96" s="4">
        <v>-102171.38</v>
      </c>
      <c r="D96" s="4">
        <v>-102115.8</v>
      </c>
      <c r="E96" s="4">
        <v>-55.58</v>
      </c>
      <c r="F96" s="3" t="e">
        <f>VLOOKUP(B96,'Profit &amp; Loss'!$B$2:$C$390,2,0)</f>
        <v>#N/A</v>
      </c>
    </row>
    <row r="97" spans="1:6" x14ac:dyDescent="0.2">
      <c r="A97" s="3" t="s">
        <v>87</v>
      </c>
      <c r="B97" s="3" t="s">
        <v>91</v>
      </c>
      <c r="C97" s="4">
        <v>-678026.48</v>
      </c>
      <c r="D97" s="4">
        <v>-676325.54</v>
      </c>
      <c r="E97" s="4">
        <v>-1700.94</v>
      </c>
      <c r="F97" s="3" t="e">
        <f>VLOOKUP(B97,'Profit &amp; Loss'!$B$2:$C$390,2,0)</f>
        <v>#N/A</v>
      </c>
    </row>
    <row r="98" spans="1:6" x14ac:dyDescent="0.2">
      <c r="A98" s="3" t="s">
        <v>87</v>
      </c>
      <c r="B98" s="3" t="s">
        <v>2</v>
      </c>
      <c r="C98" s="4">
        <v>-22093.06</v>
      </c>
      <c r="D98" s="4">
        <v>-20336.54</v>
      </c>
      <c r="E98" s="4">
        <v>-1756.52</v>
      </c>
      <c r="F98" s="3" t="e">
        <f>VLOOKUP(B98,'Profit &amp; Loss'!$B$2:$C$390,2,0)</f>
        <v>#N/A</v>
      </c>
    </row>
    <row r="99" spans="1:6" x14ac:dyDescent="0.2">
      <c r="A99" s="3" t="s">
        <v>92</v>
      </c>
      <c r="B99" s="3" t="s">
        <v>93</v>
      </c>
      <c r="C99" s="4">
        <v>7861.74</v>
      </c>
      <c r="D99" s="4">
        <v>4903.3100000000004</v>
      </c>
      <c r="E99" s="4">
        <v>2958.43</v>
      </c>
      <c r="F99" s="3" t="e">
        <f>VLOOKUP(B99,'Profit &amp; Loss'!$B$2:$C$390,2,0)</f>
        <v>#N/A</v>
      </c>
    </row>
    <row r="100" spans="1:6" x14ac:dyDescent="0.2">
      <c r="A100" s="3" t="s">
        <v>92</v>
      </c>
      <c r="B100" s="3" t="s">
        <v>94</v>
      </c>
      <c r="C100" s="4">
        <v>255044.67</v>
      </c>
      <c r="D100" s="4">
        <v>255044.67</v>
      </c>
      <c r="E100" s="4">
        <v>0</v>
      </c>
      <c r="F100" s="3" t="e">
        <f>VLOOKUP(B100,'Profit &amp; Loss'!$B$2:$C$390,2,0)</f>
        <v>#N/A</v>
      </c>
    </row>
    <row r="101" spans="1:6" x14ac:dyDescent="0.2">
      <c r="A101" s="3" t="s">
        <v>92</v>
      </c>
      <c r="B101" s="3" t="s">
        <v>95</v>
      </c>
      <c r="C101" s="4">
        <v>-4080.41</v>
      </c>
      <c r="D101" s="4">
        <v>-3640.24</v>
      </c>
      <c r="E101" s="4">
        <v>-440.17</v>
      </c>
      <c r="F101" s="3" t="e">
        <f>VLOOKUP(B101,'Profit &amp; Loss'!$B$2:$C$390,2,0)</f>
        <v>#N/A</v>
      </c>
    </row>
    <row r="102" spans="1:6" x14ac:dyDescent="0.2">
      <c r="A102" s="3" t="s">
        <v>92</v>
      </c>
      <c r="B102" s="3" t="s">
        <v>96</v>
      </c>
      <c r="C102" s="4">
        <v>-183076.13</v>
      </c>
      <c r="D102" s="4">
        <v>-177899.54</v>
      </c>
      <c r="E102" s="4">
        <v>-5176.59</v>
      </c>
      <c r="F102" s="3" t="e">
        <f>VLOOKUP(B102,'Profit &amp; Loss'!$B$2:$C$390,2,0)</f>
        <v>#N/A</v>
      </c>
    </row>
    <row r="103" spans="1:6" x14ac:dyDescent="0.2">
      <c r="A103" s="3" t="s">
        <v>92</v>
      </c>
      <c r="B103" s="3" t="s">
        <v>2</v>
      </c>
      <c r="C103" s="4">
        <v>75749.87</v>
      </c>
      <c r="D103" s="4">
        <v>78408.2</v>
      </c>
      <c r="E103" s="4">
        <v>-2658.33</v>
      </c>
      <c r="F103" s="3" t="e">
        <f>VLOOKUP(B103,'Profit &amp; Loss'!$B$2:$C$390,2,0)</f>
        <v>#N/A</v>
      </c>
    </row>
    <row r="104" spans="1:6" x14ac:dyDescent="0.2">
      <c r="A104" s="3" t="s">
        <v>97</v>
      </c>
      <c r="B104" s="3" t="s">
        <v>98</v>
      </c>
      <c r="C104" s="4">
        <v>146144.09</v>
      </c>
      <c r="D104" s="4">
        <v>146144.09</v>
      </c>
      <c r="E104" s="4">
        <v>0</v>
      </c>
      <c r="F104" s="3" t="e">
        <f>VLOOKUP(B104,'Profit &amp; Loss'!$B$2:$C$390,2,0)</f>
        <v>#N/A</v>
      </c>
    </row>
    <row r="105" spans="1:6" x14ac:dyDescent="0.2">
      <c r="A105" s="3" t="s">
        <v>97</v>
      </c>
      <c r="B105" s="3" t="s">
        <v>99</v>
      </c>
      <c r="C105" s="4">
        <v>-89557.25</v>
      </c>
      <c r="D105" s="4">
        <v>-87121.52</v>
      </c>
      <c r="E105" s="4">
        <v>-2435.73</v>
      </c>
      <c r="F105" s="3" t="e">
        <f>VLOOKUP(B105,'Profit &amp; Loss'!$B$2:$C$390,2,0)</f>
        <v>#N/A</v>
      </c>
    </row>
    <row r="106" spans="1:6" x14ac:dyDescent="0.2">
      <c r="A106" s="3" t="s">
        <v>97</v>
      </c>
      <c r="B106" s="3" t="s">
        <v>2</v>
      </c>
      <c r="C106" s="4">
        <v>56586.84</v>
      </c>
      <c r="D106" s="4">
        <v>59022.57</v>
      </c>
      <c r="E106" s="4">
        <v>-2435.73</v>
      </c>
      <c r="F106" s="3" t="e">
        <f>VLOOKUP(B106,'Profit &amp; Loss'!$B$2:$C$390,2,0)</f>
        <v>#N/A</v>
      </c>
    </row>
    <row r="107" spans="1:6" x14ac:dyDescent="0.2">
      <c r="A107" s="3" t="s">
        <v>100</v>
      </c>
      <c r="B107" s="3" t="s">
        <v>101</v>
      </c>
      <c r="C107" s="4">
        <v>125787.82</v>
      </c>
      <c r="D107" s="4">
        <v>123543.46</v>
      </c>
      <c r="E107" s="4">
        <v>2244.36</v>
      </c>
      <c r="F107" s="3" t="e">
        <f>VLOOKUP(B107,'Profit &amp; Loss'!$B$2:$C$390,2,0)</f>
        <v>#N/A</v>
      </c>
    </row>
    <row r="108" spans="1:6" x14ac:dyDescent="0.2">
      <c r="A108" s="3" t="s">
        <v>100</v>
      </c>
      <c r="B108" s="3" t="s">
        <v>980</v>
      </c>
      <c r="C108" s="4">
        <v>100332.35</v>
      </c>
      <c r="D108" s="4">
        <v>100422.54</v>
      </c>
      <c r="E108" s="4">
        <v>-90.19</v>
      </c>
      <c r="F108" s="3" t="e">
        <f>VLOOKUP(B108,'Profit &amp; Loss'!$B$2:$C$390,2,0)</f>
        <v>#N/A</v>
      </c>
    </row>
    <row r="109" spans="1:6" x14ac:dyDescent="0.2">
      <c r="A109" s="3" t="s">
        <v>100</v>
      </c>
      <c r="B109" s="3" t="s">
        <v>102</v>
      </c>
      <c r="C109" s="4">
        <v>-108386.52</v>
      </c>
      <c r="D109" s="4">
        <v>-107694.37</v>
      </c>
      <c r="E109" s="4">
        <v>-692.15</v>
      </c>
      <c r="F109" s="3" t="e">
        <f>VLOOKUP(B109,'Profit &amp; Loss'!$B$2:$C$390,2,0)</f>
        <v>#N/A</v>
      </c>
    </row>
    <row r="110" spans="1:6" x14ac:dyDescent="0.2">
      <c r="A110" s="3" t="s">
        <v>100</v>
      </c>
      <c r="B110" s="3" t="s">
        <v>981</v>
      </c>
      <c r="C110" s="4">
        <v>-100332.35</v>
      </c>
      <c r="D110" s="4">
        <v>-100422.54</v>
      </c>
      <c r="E110" s="4">
        <v>90.19</v>
      </c>
      <c r="F110" s="3" t="e">
        <f>VLOOKUP(B110,'Profit &amp; Loss'!$B$2:$C$390,2,0)</f>
        <v>#N/A</v>
      </c>
    </row>
    <row r="111" spans="1:6" x14ac:dyDescent="0.2">
      <c r="A111" s="3" t="s">
        <v>100</v>
      </c>
      <c r="B111" s="3" t="s">
        <v>2</v>
      </c>
      <c r="C111" s="4">
        <v>17401.3</v>
      </c>
      <c r="D111" s="4">
        <v>15849.09</v>
      </c>
      <c r="E111" s="4">
        <v>1552.21</v>
      </c>
      <c r="F111" s="3" t="e">
        <f>VLOOKUP(B111,'Profit &amp; Loss'!$B$2:$C$390,2,0)</f>
        <v>#N/A</v>
      </c>
    </row>
    <row r="112" spans="1:6" x14ac:dyDescent="0.2">
      <c r="A112" s="3" t="s">
        <v>103</v>
      </c>
      <c r="B112" s="3" t="s">
        <v>2</v>
      </c>
      <c r="C112" s="4">
        <v>12888779.689999999</v>
      </c>
      <c r="D112" s="4">
        <v>13220604.16</v>
      </c>
      <c r="E112" s="4">
        <v>-331824.46999999997</v>
      </c>
      <c r="F112" s="3" t="e">
        <f>VLOOKUP(B112,'Profit &amp; Loss'!$B$2:$C$390,2,0)</f>
        <v>#N/A</v>
      </c>
    </row>
    <row r="113" spans="1:6" x14ac:dyDescent="0.2">
      <c r="A113" s="3" t="s">
        <v>104</v>
      </c>
      <c r="B113" s="3" t="s">
        <v>105</v>
      </c>
      <c r="C113" s="4">
        <v>2811368.31</v>
      </c>
      <c r="D113" s="4">
        <v>2811368.31</v>
      </c>
      <c r="E113" s="4">
        <v>0</v>
      </c>
      <c r="F113" s="3" t="e">
        <f>VLOOKUP(B113,'Profit &amp; Loss'!$B$2:$C$390,2,0)</f>
        <v>#N/A</v>
      </c>
    </row>
    <row r="114" spans="1:6" x14ac:dyDescent="0.2">
      <c r="A114" s="3" t="s">
        <v>104</v>
      </c>
      <c r="B114" s="3" t="s">
        <v>106</v>
      </c>
      <c r="C114" s="4">
        <v>751020.44</v>
      </c>
      <c r="D114" s="4">
        <v>751020.44</v>
      </c>
      <c r="E114" s="4">
        <v>0</v>
      </c>
      <c r="F114" s="3" t="e">
        <f>VLOOKUP(B114,'Profit &amp; Loss'!$B$2:$C$390,2,0)</f>
        <v>#N/A</v>
      </c>
    </row>
    <row r="115" spans="1:6" x14ac:dyDescent="0.2">
      <c r="A115" s="3" t="s">
        <v>104</v>
      </c>
      <c r="B115" s="3" t="s">
        <v>107</v>
      </c>
      <c r="C115" s="4">
        <v>-2578614.36</v>
      </c>
      <c r="D115" s="4">
        <v>-2520425.89</v>
      </c>
      <c r="E115" s="4">
        <v>-58188.47</v>
      </c>
      <c r="F115" s="3" t="e">
        <f>VLOOKUP(B115,'Profit &amp; Loss'!$B$2:$C$390,2,0)</f>
        <v>#N/A</v>
      </c>
    </row>
    <row r="116" spans="1:6" x14ac:dyDescent="0.2">
      <c r="A116" s="3" t="s">
        <v>104</v>
      </c>
      <c r="B116" s="3" t="s">
        <v>108</v>
      </c>
      <c r="C116" s="4">
        <v>-613310.44999999995</v>
      </c>
      <c r="D116" s="4">
        <v>-602454.5</v>
      </c>
      <c r="E116" s="4">
        <v>-10855.95</v>
      </c>
      <c r="F116" s="3" t="e">
        <f>VLOOKUP(B116,'Profit &amp; Loss'!$B$2:$C$390,2,0)</f>
        <v>#N/A</v>
      </c>
    </row>
    <row r="117" spans="1:6" x14ac:dyDescent="0.2">
      <c r="A117" s="3" t="s">
        <v>104</v>
      </c>
      <c r="B117" s="3" t="s">
        <v>109</v>
      </c>
      <c r="C117" s="4">
        <v>-80257.42</v>
      </c>
      <c r="D117" s="4">
        <v>-80257.42</v>
      </c>
      <c r="E117" s="4">
        <v>0</v>
      </c>
      <c r="F117" s="3" t="e">
        <f>VLOOKUP(B117,'Profit &amp; Loss'!$B$2:$C$390,2,0)</f>
        <v>#N/A</v>
      </c>
    </row>
    <row r="118" spans="1:6" x14ac:dyDescent="0.2">
      <c r="A118" s="3" t="s">
        <v>104</v>
      </c>
      <c r="B118" s="3" t="s">
        <v>110</v>
      </c>
      <c r="C118" s="4">
        <v>11976.55</v>
      </c>
      <c r="D118" s="4">
        <v>11976.55</v>
      </c>
      <c r="E118" s="4">
        <v>0</v>
      </c>
      <c r="F118" s="3" t="e">
        <f>VLOOKUP(B118,'Profit &amp; Loss'!$B$2:$C$390,2,0)</f>
        <v>#N/A</v>
      </c>
    </row>
    <row r="119" spans="1:6" x14ac:dyDescent="0.2">
      <c r="A119" s="3" t="s">
        <v>104</v>
      </c>
      <c r="B119" s="3" t="s">
        <v>2</v>
      </c>
      <c r="C119" s="4">
        <v>302183.07</v>
      </c>
      <c r="D119" s="4">
        <v>371227.49</v>
      </c>
      <c r="E119" s="4">
        <v>-69044.42</v>
      </c>
      <c r="F119" s="3" t="e">
        <f>VLOOKUP(B119,'Profit &amp; Loss'!$B$2:$C$390,2,0)</f>
        <v>#N/A</v>
      </c>
    </row>
    <row r="120" spans="1:6" x14ac:dyDescent="0.2">
      <c r="A120" s="3" t="s">
        <v>112</v>
      </c>
      <c r="B120" s="3" t="s">
        <v>2</v>
      </c>
      <c r="C120" s="4">
        <v>302183.07</v>
      </c>
      <c r="D120" s="4">
        <v>371227.49</v>
      </c>
      <c r="E120" s="4">
        <v>-69044.42</v>
      </c>
      <c r="F120" s="3" t="e">
        <f>VLOOKUP(B120,'Profit &amp; Loss'!$B$2:$C$390,2,0)</f>
        <v>#N/A</v>
      </c>
    </row>
    <row r="121" spans="1:6" x14ac:dyDescent="0.2">
      <c r="A121" s="3" t="s">
        <v>0</v>
      </c>
      <c r="B121" s="3" t="s">
        <v>113</v>
      </c>
      <c r="C121" s="4">
        <v>61082056.399999999</v>
      </c>
      <c r="D121" s="4">
        <v>58921434.25</v>
      </c>
      <c r="E121" s="4">
        <v>2160622.15</v>
      </c>
      <c r="F121" s="3" t="e">
        <f>VLOOKUP(B121,'Profit &amp; Loss'!$B$2:$C$390,2,0)</f>
        <v>#N/A</v>
      </c>
    </row>
    <row r="122" spans="1:6" x14ac:dyDescent="0.2">
      <c r="A122" s="3" t="s">
        <v>0</v>
      </c>
      <c r="B122" s="5" t="s">
        <v>114</v>
      </c>
      <c r="C122" s="4">
        <v>0</v>
      </c>
      <c r="D122" s="4">
        <v>0</v>
      </c>
      <c r="E122" s="4">
        <v>0</v>
      </c>
      <c r="F122" s="3" t="e">
        <f>VLOOKUP(B122,'Profit &amp; Loss'!$B$2:$C$390,2,0)</f>
        <v>#N/A</v>
      </c>
    </row>
    <row r="123" spans="1:6" x14ac:dyDescent="0.2">
      <c r="A123" s="3" t="s">
        <v>115</v>
      </c>
      <c r="B123" s="3" t="s">
        <v>116</v>
      </c>
      <c r="C123" s="4">
        <v>0</v>
      </c>
      <c r="D123" s="4">
        <v>0</v>
      </c>
      <c r="E123" s="4">
        <v>0</v>
      </c>
      <c r="F123" s="3" t="e">
        <f>VLOOKUP(B123,'Profit &amp; Loss'!$B$2:$C$390,2,0)</f>
        <v>#N/A</v>
      </c>
    </row>
    <row r="124" spans="1:6" x14ac:dyDescent="0.2">
      <c r="A124" s="3" t="s">
        <v>115</v>
      </c>
      <c r="B124" s="5" t="s">
        <v>117</v>
      </c>
      <c r="C124" s="4">
        <v>0</v>
      </c>
      <c r="D124" s="4">
        <v>0</v>
      </c>
      <c r="E124" s="4">
        <v>0</v>
      </c>
      <c r="F124" s="3" t="e">
        <f>VLOOKUP(B124,'Profit &amp; Loss'!$B$2:$C$390,2,0)</f>
        <v>#N/A</v>
      </c>
    </row>
    <row r="125" spans="1:6" x14ac:dyDescent="0.2">
      <c r="A125" s="3" t="s">
        <v>118</v>
      </c>
      <c r="B125" s="3" t="s">
        <v>119</v>
      </c>
      <c r="C125" s="4">
        <v>-35840.94</v>
      </c>
      <c r="D125" s="4">
        <v>-52385.48</v>
      </c>
      <c r="E125" s="4">
        <v>16544.54</v>
      </c>
      <c r="F125" s="3" t="e">
        <f>VLOOKUP(B125,'Profit &amp; Loss'!$B$2:$C$390,2,0)</f>
        <v>#N/A</v>
      </c>
    </row>
    <row r="126" spans="1:6" x14ac:dyDescent="0.2">
      <c r="A126" s="3" t="s">
        <v>118</v>
      </c>
      <c r="B126" s="3" t="s">
        <v>120</v>
      </c>
      <c r="C126" s="4">
        <v>-15.15</v>
      </c>
      <c r="D126" s="4">
        <v>-93.88</v>
      </c>
      <c r="E126" s="4">
        <v>78.73</v>
      </c>
      <c r="F126" s="3" t="e">
        <f>VLOOKUP(B126,'Profit &amp; Loss'!$B$2:$C$390,2,0)</f>
        <v>#N/A</v>
      </c>
    </row>
    <row r="127" spans="1:6" x14ac:dyDescent="0.2">
      <c r="A127" s="3" t="s">
        <v>118</v>
      </c>
      <c r="B127" s="3" t="s">
        <v>2</v>
      </c>
      <c r="C127" s="4">
        <v>-35856.089999999997</v>
      </c>
      <c r="D127" s="4">
        <v>-52479.360000000001</v>
      </c>
      <c r="E127" s="4">
        <v>16623.27</v>
      </c>
      <c r="F127" s="3" t="e">
        <f>VLOOKUP(B127,'Profit &amp; Loss'!$B$2:$C$390,2,0)</f>
        <v>#N/A</v>
      </c>
    </row>
    <row r="128" spans="1:6" x14ac:dyDescent="0.2">
      <c r="A128" s="3" t="s">
        <v>121</v>
      </c>
      <c r="B128" s="3" t="s">
        <v>2</v>
      </c>
      <c r="C128" s="4">
        <v>-35856.089999999997</v>
      </c>
      <c r="D128" s="4">
        <v>-52479.360000000001</v>
      </c>
      <c r="E128" s="4">
        <v>16623.27</v>
      </c>
      <c r="F128" s="3" t="e">
        <f>VLOOKUP(B128,'Profit &amp; Loss'!$B$2:$C$390,2,0)</f>
        <v>#N/A</v>
      </c>
    </row>
    <row r="129" spans="1:6" x14ac:dyDescent="0.2">
      <c r="A129" s="3" t="s">
        <v>122</v>
      </c>
      <c r="B129" s="3" t="s">
        <v>123</v>
      </c>
      <c r="C129" s="4">
        <v>-549716.19999999995</v>
      </c>
      <c r="D129" s="4">
        <v>-412603.52</v>
      </c>
      <c r="E129" s="4">
        <v>-137112.68</v>
      </c>
      <c r="F129" s="3" t="e">
        <f>VLOOKUP(B129,'Profit &amp; Loss'!$B$2:$C$390,2,0)</f>
        <v>#N/A</v>
      </c>
    </row>
    <row r="130" spans="1:6" x14ac:dyDescent="0.2">
      <c r="A130" s="3" t="s">
        <v>122</v>
      </c>
      <c r="B130" s="3" t="s">
        <v>124</v>
      </c>
      <c r="C130" s="4">
        <v>560.30999999999995</v>
      </c>
      <c r="D130" s="4">
        <v>-1113.9000000000001</v>
      </c>
      <c r="E130" s="4">
        <v>1674.21</v>
      </c>
      <c r="F130" s="3" t="e">
        <f>VLOOKUP(B130,'Profit &amp; Loss'!$B$2:$C$390,2,0)</f>
        <v>#N/A</v>
      </c>
    </row>
    <row r="131" spans="1:6" x14ac:dyDescent="0.2">
      <c r="A131" s="3" t="s">
        <v>122</v>
      </c>
      <c r="B131" s="3" t="s">
        <v>126</v>
      </c>
      <c r="C131" s="4">
        <v>8475409.3399999999</v>
      </c>
      <c r="D131" s="4">
        <v>6976699.8499999996</v>
      </c>
      <c r="E131" s="4">
        <v>1498709.49</v>
      </c>
      <c r="F131" s="3" t="e">
        <f>VLOOKUP(B131,'Profit &amp; Loss'!$B$2:$C$390,2,0)</f>
        <v>#N/A</v>
      </c>
    </row>
    <row r="132" spans="1:6" x14ac:dyDescent="0.2">
      <c r="A132" s="3" t="s">
        <v>122</v>
      </c>
      <c r="B132" s="3" t="s">
        <v>127</v>
      </c>
      <c r="C132" s="4">
        <v>9773.23</v>
      </c>
      <c r="D132" s="4">
        <v>7122.37</v>
      </c>
      <c r="E132" s="4">
        <v>2650.86</v>
      </c>
      <c r="F132" s="3" t="e">
        <f>VLOOKUP(B132,'Profit &amp; Loss'!$B$2:$C$390,2,0)</f>
        <v>#N/A</v>
      </c>
    </row>
    <row r="133" spans="1:6" x14ac:dyDescent="0.2">
      <c r="A133" s="3" t="s">
        <v>122</v>
      </c>
      <c r="B133" s="3" t="s">
        <v>128</v>
      </c>
      <c r="C133" s="4">
        <v>106739.7</v>
      </c>
      <c r="D133" s="4">
        <v>85113.84</v>
      </c>
      <c r="E133" s="4">
        <v>21625.86</v>
      </c>
      <c r="F133" s="3" t="e">
        <f>VLOOKUP(B133,'Profit &amp; Loss'!$B$2:$C$390,2,0)</f>
        <v>#N/A</v>
      </c>
    </row>
    <row r="134" spans="1:6" x14ac:dyDescent="0.2">
      <c r="A134" s="3" t="s">
        <v>122</v>
      </c>
      <c r="B134" s="3" t="s">
        <v>129</v>
      </c>
      <c r="C134" s="4">
        <v>-8475409.3399999999</v>
      </c>
      <c r="D134" s="4">
        <v>-6976699.8499999996</v>
      </c>
      <c r="E134" s="4">
        <v>-1498709.49</v>
      </c>
      <c r="F134" s="3" t="e">
        <f>VLOOKUP(B134,'Profit &amp; Loss'!$B$2:$C$390,2,0)</f>
        <v>#N/A</v>
      </c>
    </row>
    <row r="135" spans="1:6" x14ac:dyDescent="0.2">
      <c r="A135" s="3" t="s">
        <v>122</v>
      </c>
      <c r="B135" s="3" t="s">
        <v>130</v>
      </c>
      <c r="C135" s="4">
        <v>-9773.23</v>
      </c>
      <c r="D135" s="4">
        <v>-7122.37</v>
      </c>
      <c r="E135" s="4">
        <v>-2650.86</v>
      </c>
      <c r="F135" s="3" t="e">
        <f>VLOOKUP(B135,'Profit &amp; Loss'!$B$2:$C$390,2,0)</f>
        <v>#N/A</v>
      </c>
    </row>
    <row r="136" spans="1:6" x14ac:dyDescent="0.2">
      <c r="A136" s="3" t="s">
        <v>122</v>
      </c>
      <c r="B136" s="3" t="s">
        <v>131</v>
      </c>
      <c r="C136" s="4">
        <v>-106739.7</v>
      </c>
      <c r="D136" s="4">
        <v>-85113.84</v>
      </c>
      <c r="E136" s="4">
        <v>-21625.86</v>
      </c>
      <c r="F136" s="3" t="e">
        <f>VLOOKUP(B136,'Profit &amp; Loss'!$B$2:$C$390,2,0)</f>
        <v>#N/A</v>
      </c>
    </row>
    <row r="137" spans="1:6" x14ac:dyDescent="0.2">
      <c r="A137" s="3" t="s">
        <v>122</v>
      </c>
      <c r="B137" s="3" t="s">
        <v>132</v>
      </c>
      <c r="C137" s="4">
        <v>2273.65</v>
      </c>
      <c r="D137" s="4">
        <v>5743.74</v>
      </c>
      <c r="E137" s="4">
        <v>-3470.09</v>
      </c>
      <c r="F137" s="3" t="e">
        <f>VLOOKUP(B137,'Profit &amp; Loss'!$B$2:$C$390,2,0)</f>
        <v>#N/A</v>
      </c>
    </row>
    <row r="138" spans="1:6" x14ac:dyDescent="0.2">
      <c r="A138" s="3" t="s">
        <v>122</v>
      </c>
      <c r="B138" s="3" t="s">
        <v>133</v>
      </c>
      <c r="C138" s="4">
        <v>-2273.65</v>
      </c>
      <c r="D138" s="4">
        <v>-5743.74</v>
      </c>
      <c r="E138" s="4">
        <v>3470.09</v>
      </c>
      <c r="F138" s="3" t="e">
        <f>VLOOKUP(B138,'Profit &amp; Loss'!$B$2:$C$390,2,0)</f>
        <v>#N/A</v>
      </c>
    </row>
    <row r="139" spans="1:6" x14ac:dyDescent="0.2">
      <c r="A139" s="3" t="s">
        <v>122</v>
      </c>
      <c r="B139" s="3" t="s">
        <v>134</v>
      </c>
      <c r="C139" s="4">
        <v>-3741.75</v>
      </c>
      <c r="D139" s="4">
        <v>-30.46</v>
      </c>
      <c r="E139" s="4">
        <v>-3711.29</v>
      </c>
      <c r="F139" s="3" t="e">
        <f>VLOOKUP(B139,'Profit &amp; Loss'!$B$2:$C$390,2,0)</f>
        <v>#N/A</v>
      </c>
    </row>
    <row r="140" spans="1:6" x14ac:dyDescent="0.2">
      <c r="A140" s="3" t="s">
        <v>122</v>
      </c>
      <c r="B140" s="3" t="s">
        <v>135</v>
      </c>
      <c r="C140" s="4">
        <v>3741.75</v>
      </c>
      <c r="D140" s="4">
        <v>30.46</v>
      </c>
      <c r="E140" s="4">
        <v>3711.29</v>
      </c>
      <c r="F140" s="3" t="e">
        <f>VLOOKUP(B140,'Profit &amp; Loss'!$B$2:$C$390,2,0)</f>
        <v>#N/A</v>
      </c>
    </row>
    <row r="141" spans="1:6" x14ac:dyDescent="0.2">
      <c r="A141" s="3" t="s">
        <v>122</v>
      </c>
      <c r="B141" s="3" t="s">
        <v>136</v>
      </c>
      <c r="C141" s="4">
        <v>-23498.36</v>
      </c>
      <c r="D141" s="4">
        <v>-37782.78</v>
      </c>
      <c r="E141" s="4">
        <v>14284.42</v>
      </c>
      <c r="F141" s="3" t="e">
        <f>VLOOKUP(B141,'Profit &amp; Loss'!$B$2:$C$390,2,0)</f>
        <v>#N/A</v>
      </c>
    </row>
    <row r="142" spans="1:6" x14ac:dyDescent="0.2">
      <c r="A142" s="3" t="s">
        <v>122</v>
      </c>
      <c r="B142" s="3" t="s">
        <v>137</v>
      </c>
      <c r="C142" s="4">
        <v>23498.36</v>
      </c>
      <c r="D142" s="4">
        <v>37782.78</v>
      </c>
      <c r="E142" s="4">
        <v>-14284.42</v>
      </c>
      <c r="F142" s="3" t="e">
        <f>VLOOKUP(B142,'Profit &amp; Loss'!$B$2:$C$390,2,0)</f>
        <v>#N/A</v>
      </c>
    </row>
    <row r="143" spans="1:6" x14ac:dyDescent="0.2">
      <c r="A143" s="3" t="s">
        <v>122</v>
      </c>
      <c r="B143" s="3" t="s">
        <v>138</v>
      </c>
      <c r="C143" s="4">
        <v>-15820.68</v>
      </c>
      <c r="D143" s="4">
        <v>-1898.67</v>
      </c>
      <c r="E143" s="4">
        <v>-13922.01</v>
      </c>
      <c r="F143" s="3" t="e">
        <f>VLOOKUP(B143,'Profit &amp; Loss'!$B$2:$C$390,2,0)</f>
        <v>#N/A</v>
      </c>
    </row>
    <row r="144" spans="1:6" x14ac:dyDescent="0.2">
      <c r="A144" s="3" t="s">
        <v>122</v>
      </c>
      <c r="B144" s="3" t="s">
        <v>139</v>
      </c>
      <c r="C144" s="4">
        <v>15820.68</v>
      </c>
      <c r="D144" s="4">
        <v>1898.67</v>
      </c>
      <c r="E144" s="4">
        <v>13922.01</v>
      </c>
      <c r="F144" s="3" t="e">
        <f>VLOOKUP(B144,'Profit &amp; Loss'!$B$2:$C$390,2,0)</f>
        <v>#N/A</v>
      </c>
    </row>
    <row r="145" spans="1:6" x14ac:dyDescent="0.2">
      <c r="A145" s="3" t="s">
        <v>122</v>
      </c>
      <c r="B145" s="3" t="s">
        <v>985</v>
      </c>
      <c r="C145" s="4">
        <v>-2721.21</v>
      </c>
      <c r="D145" s="4">
        <v>-974.44</v>
      </c>
      <c r="E145" s="4">
        <v>-1746.77</v>
      </c>
      <c r="F145" s="3" t="e">
        <f>VLOOKUP(B145,'Profit &amp; Loss'!$B$2:$C$390,2,0)</f>
        <v>#N/A</v>
      </c>
    </row>
    <row r="146" spans="1:6" x14ac:dyDescent="0.2">
      <c r="A146" s="3" t="s">
        <v>122</v>
      </c>
      <c r="B146" s="3" t="s">
        <v>986</v>
      </c>
      <c r="C146" s="4">
        <v>2721.21</v>
      </c>
      <c r="D146" s="4">
        <v>974.44</v>
      </c>
      <c r="E146" s="4">
        <v>1746.77</v>
      </c>
      <c r="F146" s="3" t="e">
        <f>VLOOKUP(B146,'Profit &amp; Loss'!$B$2:$C$390,2,0)</f>
        <v>#N/A</v>
      </c>
    </row>
    <row r="147" spans="1:6" x14ac:dyDescent="0.2">
      <c r="A147" s="3" t="s">
        <v>122</v>
      </c>
      <c r="B147" s="3" t="s">
        <v>140</v>
      </c>
      <c r="C147" s="4">
        <v>-30906.75</v>
      </c>
      <c r="D147" s="4">
        <v>-49343.77</v>
      </c>
      <c r="E147" s="4">
        <v>18437.02</v>
      </c>
      <c r="F147" s="3" t="e">
        <f>VLOOKUP(B147,'Profit &amp; Loss'!$B$2:$C$390,2,0)</f>
        <v>#N/A</v>
      </c>
    </row>
    <row r="148" spans="1:6" x14ac:dyDescent="0.2">
      <c r="A148" s="3" t="s">
        <v>122</v>
      </c>
      <c r="B148" s="3" t="s">
        <v>141</v>
      </c>
      <c r="C148" s="4">
        <v>30906.75</v>
      </c>
      <c r="D148" s="4">
        <v>49343.77</v>
      </c>
      <c r="E148" s="4">
        <v>-18437.02</v>
      </c>
      <c r="F148" s="3" t="e">
        <f>VLOOKUP(B148,'Profit &amp; Loss'!$B$2:$C$390,2,0)</f>
        <v>#N/A</v>
      </c>
    </row>
    <row r="149" spans="1:6" x14ac:dyDescent="0.2">
      <c r="A149" s="3" t="s">
        <v>122</v>
      </c>
      <c r="B149" s="3" t="s">
        <v>142</v>
      </c>
      <c r="C149" s="4">
        <v>-29356.87</v>
      </c>
      <c r="D149" s="4">
        <v>-127728.31</v>
      </c>
      <c r="E149" s="4">
        <v>98371.44</v>
      </c>
      <c r="F149" s="3" t="e">
        <f>VLOOKUP(B149,'Profit &amp; Loss'!$B$2:$C$390,2,0)</f>
        <v>#N/A</v>
      </c>
    </row>
    <row r="150" spans="1:6" x14ac:dyDescent="0.2">
      <c r="A150" s="3" t="s">
        <v>122</v>
      </c>
      <c r="B150" s="3" t="s">
        <v>143</v>
      </c>
      <c r="C150" s="4">
        <v>29356.87</v>
      </c>
      <c r="D150" s="4">
        <v>127728.31</v>
      </c>
      <c r="E150" s="4">
        <v>-98371.44</v>
      </c>
      <c r="F150" s="3" t="e">
        <f>VLOOKUP(B150,'Profit &amp; Loss'!$B$2:$C$390,2,0)</f>
        <v>#N/A</v>
      </c>
    </row>
    <row r="151" spans="1:6" x14ac:dyDescent="0.2">
      <c r="A151" s="3" t="s">
        <v>122</v>
      </c>
      <c r="B151" s="3" t="s">
        <v>144</v>
      </c>
      <c r="C151" s="4">
        <v>176731.45</v>
      </c>
      <c r="D151" s="4">
        <v>176731.45</v>
      </c>
      <c r="E151" s="4">
        <v>0</v>
      </c>
      <c r="F151" s="3" t="e">
        <f>VLOOKUP(B151,'Profit &amp; Loss'!$B$2:$C$390,2,0)</f>
        <v>#N/A</v>
      </c>
    </row>
    <row r="152" spans="1:6" x14ac:dyDescent="0.2">
      <c r="A152" s="3" t="s">
        <v>122</v>
      </c>
      <c r="B152" s="3" t="s">
        <v>145</v>
      </c>
      <c r="C152" s="4">
        <v>-0.48</v>
      </c>
      <c r="D152" s="4">
        <v>-0.48</v>
      </c>
      <c r="E152" s="4">
        <v>0</v>
      </c>
      <c r="F152" s="3" t="e">
        <f>VLOOKUP(B152,'Profit &amp; Loss'!$B$2:$C$390,2,0)</f>
        <v>#N/A</v>
      </c>
    </row>
    <row r="153" spans="1:6" x14ac:dyDescent="0.2">
      <c r="A153" s="3" t="s">
        <v>122</v>
      </c>
      <c r="B153" s="3" t="s">
        <v>146</v>
      </c>
      <c r="C153" s="4">
        <v>0.48</v>
      </c>
      <c r="D153" s="4">
        <v>0.48</v>
      </c>
      <c r="E153" s="4">
        <v>0</v>
      </c>
      <c r="F153" s="3" t="e">
        <f>VLOOKUP(B153,'Profit &amp; Loss'!$B$2:$C$390,2,0)</f>
        <v>#N/A</v>
      </c>
    </row>
    <row r="154" spans="1:6" x14ac:dyDescent="0.2">
      <c r="A154" s="3" t="s">
        <v>122</v>
      </c>
      <c r="B154" s="3" t="s">
        <v>147</v>
      </c>
      <c r="C154" s="4">
        <v>-2883905.53</v>
      </c>
      <c r="D154" s="4">
        <v>-2806887.33</v>
      </c>
      <c r="E154" s="4">
        <v>-77018.2</v>
      </c>
      <c r="F154" s="3" t="e">
        <f>VLOOKUP(B154,'Profit &amp; Loss'!$B$2:$C$390,2,0)</f>
        <v>#N/A</v>
      </c>
    </row>
    <row r="155" spans="1:6" x14ac:dyDescent="0.2">
      <c r="A155" s="3" t="s">
        <v>122</v>
      </c>
      <c r="B155" s="3" t="s">
        <v>2</v>
      </c>
      <c r="C155" s="4">
        <v>-3256329.97</v>
      </c>
      <c r="D155" s="4">
        <v>-3043873.3</v>
      </c>
      <c r="E155" s="4">
        <v>-212456.67</v>
      </c>
      <c r="F155" s="3" t="e">
        <f>VLOOKUP(B155,'Profit &amp; Loss'!$B$2:$C$390,2,0)</f>
        <v>#N/A</v>
      </c>
    </row>
    <row r="156" spans="1:6" x14ac:dyDescent="0.2">
      <c r="A156" s="3" t="s">
        <v>148</v>
      </c>
      <c r="B156" s="3" t="s">
        <v>2</v>
      </c>
      <c r="C156" s="4">
        <v>-3256329.97</v>
      </c>
      <c r="D156" s="4">
        <v>-3043873.3</v>
      </c>
      <c r="E156" s="4">
        <v>-212456.67</v>
      </c>
      <c r="F156" s="3" t="e">
        <f>VLOOKUP(B156,'Profit &amp; Loss'!$B$2:$C$390,2,0)</f>
        <v>#N/A</v>
      </c>
    </row>
    <row r="157" spans="1:6" x14ac:dyDescent="0.2">
      <c r="A157" s="3" t="s">
        <v>149</v>
      </c>
      <c r="B157" s="3" t="s">
        <v>150</v>
      </c>
      <c r="C157" s="4">
        <v>108.76</v>
      </c>
      <c r="D157" s="4">
        <v>108.76</v>
      </c>
      <c r="E157" s="4">
        <v>0</v>
      </c>
      <c r="F157" s="3" t="e">
        <f>VLOOKUP(B157,'Profit &amp; Loss'!$B$2:$C$390,2,0)</f>
        <v>#N/A</v>
      </c>
    </row>
    <row r="158" spans="1:6" x14ac:dyDescent="0.2">
      <c r="A158" s="3" t="s">
        <v>149</v>
      </c>
      <c r="B158" s="3" t="s">
        <v>151</v>
      </c>
      <c r="C158" s="4">
        <v>0.54</v>
      </c>
      <c r="D158" s="4">
        <v>-112.26</v>
      </c>
      <c r="E158" s="4">
        <v>112.8</v>
      </c>
      <c r="F158" s="3" t="e">
        <f>VLOOKUP(B158,'Profit &amp; Loss'!$B$2:$C$390,2,0)</f>
        <v>#N/A</v>
      </c>
    </row>
    <row r="159" spans="1:6" x14ac:dyDescent="0.2">
      <c r="A159" s="3" t="s">
        <v>149</v>
      </c>
      <c r="B159" s="3" t="s">
        <v>152</v>
      </c>
      <c r="C159" s="4">
        <v>4855.91</v>
      </c>
      <c r="D159" s="4">
        <v>4855.91</v>
      </c>
      <c r="E159" s="4">
        <v>0</v>
      </c>
      <c r="F159" s="3" t="e">
        <f>VLOOKUP(B159,'Profit &amp; Loss'!$B$2:$C$390,2,0)</f>
        <v>#N/A</v>
      </c>
    </row>
    <row r="160" spans="1:6" x14ac:dyDescent="0.2">
      <c r="A160" s="3" t="s">
        <v>149</v>
      </c>
      <c r="B160" s="3" t="s">
        <v>153</v>
      </c>
      <c r="C160" s="4">
        <v>-248.8</v>
      </c>
      <c r="D160" s="4">
        <v>-248.8</v>
      </c>
      <c r="E160" s="4">
        <v>0</v>
      </c>
      <c r="F160" s="3" t="e">
        <f>VLOOKUP(B160,'Profit &amp; Loss'!$B$2:$C$390,2,0)</f>
        <v>#N/A</v>
      </c>
    </row>
    <row r="161" spans="1:6" x14ac:dyDescent="0.2">
      <c r="A161" s="3" t="s">
        <v>149</v>
      </c>
      <c r="B161" s="3" t="s">
        <v>154</v>
      </c>
      <c r="C161" s="4">
        <v>-3624.32</v>
      </c>
      <c r="D161" s="4">
        <v>-5178.87</v>
      </c>
      <c r="E161" s="4">
        <v>1554.55</v>
      </c>
      <c r="F161" s="3" t="e">
        <f>VLOOKUP(B161,'Profit &amp; Loss'!$B$2:$C$390,2,0)</f>
        <v>#N/A</v>
      </c>
    </row>
    <row r="162" spans="1:6" x14ac:dyDescent="0.2">
      <c r="A162" s="3" t="s">
        <v>149</v>
      </c>
      <c r="B162" s="3" t="s">
        <v>2</v>
      </c>
      <c r="C162" s="4">
        <v>1092.0899999999999</v>
      </c>
      <c r="D162" s="4">
        <v>-575.26</v>
      </c>
      <c r="E162" s="4">
        <v>1667.35</v>
      </c>
      <c r="F162" s="3" t="e">
        <f>VLOOKUP(B162,'Profit &amp; Loss'!$B$2:$C$390,2,0)</f>
        <v>#N/A</v>
      </c>
    </row>
    <row r="163" spans="1:6" x14ac:dyDescent="0.2">
      <c r="A163" s="3" t="s">
        <v>155</v>
      </c>
      <c r="B163" s="3" t="s">
        <v>2</v>
      </c>
      <c r="C163" s="4">
        <v>1092.0899999999999</v>
      </c>
      <c r="D163" s="4">
        <v>-575.26</v>
      </c>
      <c r="E163" s="4">
        <v>1667.35</v>
      </c>
      <c r="F163" s="3" t="e">
        <f>VLOOKUP(B163,'Profit &amp; Loss'!$B$2:$C$390,2,0)</f>
        <v>#N/A</v>
      </c>
    </row>
    <row r="164" spans="1:6" x14ac:dyDescent="0.2">
      <c r="A164" s="3" t="s">
        <v>156</v>
      </c>
      <c r="B164" s="3" t="s">
        <v>157</v>
      </c>
      <c r="C164" s="4">
        <v>-8607.81</v>
      </c>
      <c r="D164" s="4">
        <v>-1534.99</v>
      </c>
      <c r="E164" s="4">
        <v>-7072.82</v>
      </c>
      <c r="F164" s="3" t="e">
        <f>VLOOKUP(B164,'Profit &amp; Loss'!$B$2:$C$390,2,0)</f>
        <v>#N/A</v>
      </c>
    </row>
    <row r="165" spans="1:6" x14ac:dyDescent="0.2">
      <c r="A165" s="3" t="s">
        <v>156</v>
      </c>
      <c r="B165" s="3" t="s">
        <v>158</v>
      </c>
      <c r="C165" s="4">
        <v>1168.55</v>
      </c>
      <c r="D165" s="4">
        <v>1168.55</v>
      </c>
      <c r="E165" s="4">
        <v>0</v>
      </c>
      <c r="F165" s="3" t="e">
        <f>VLOOKUP(B165,'Profit &amp; Loss'!$B$2:$C$390,2,0)</f>
        <v>#N/A</v>
      </c>
    </row>
    <row r="166" spans="1:6" x14ac:dyDescent="0.2">
      <c r="A166" s="3" t="s">
        <v>156</v>
      </c>
      <c r="B166" s="3" t="s">
        <v>159</v>
      </c>
      <c r="C166" s="4">
        <v>-34962.43</v>
      </c>
      <c r="D166" s="4">
        <v>0</v>
      </c>
      <c r="E166" s="4">
        <v>-34962.43</v>
      </c>
      <c r="F166" s="3" t="e">
        <f>VLOOKUP(B166,'Profit &amp; Loss'!$B$2:$C$390,2,0)</f>
        <v>#N/A</v>
      </c>
    </row>
    <row r="167" spans="1:6" x14ac:dyDescent="0.2">
      <c r="A167" s="3" t="s">
        <v>156</v>
      </c>
      <c r="B167" s="3" t="s">
        <v>160</v>
      </c>
      <c r="C167" s="4">
        <v>-556.95000000000005</v>
      </c>
      <c r="D167" s="4">
        <v>-556.95000000000005</v>
      </c>
      <c r="E167" s="4">
        <v>0</v>
      </c>
      <c r="F167" s="3" t="e">
        <f>VLOOKUP(B167,'Profit &amp; Loss'!$B$2:$C$390,2,0)</f>
        <v>#N/A</v>
      </c>
    </row>
    <row r="168" spans="1:6" x14ac:dyDescent="0.2">
      <c r="A168" s="3" t="s">
        <v>156</v>
      </c>
      <c r="B168" s="3" t="s">
        <v>161</v>
      </c>
      <c r="C168" s="4">
        <v>3446.57</v>
      </c>
      <c r="D168" s="4">
        <v>5347.25</v>
      </c>
      <c r="E168" s="4">
        <v>-1900.68</v>
      </c>
      <c r="F168" s="3" t="e">
        <f>VLOOKUP(B168,'Profit &amp; Loss'!$B$2:$C$390,2,0)</f>
        <v>#N/A</v>
      </c>
    </row>
    <row r="169" spans="1:6" x14ac:dyDescent="0.2">
      <c r="A169" s="3" t="s">
        <v>156</v>
      </c>
      <c r="B169" s="3" t="s">
        <v>2</v>
      </c>
      <c r="C169" s="4">
        <v>-39512.07</v>
      </c>
      <c r="D169" s="4">
        <v>4423.8599999999997</v>
      </c>
      <c r="E169" s="4">
        <v>-43935.93</v>
      </c>
      <c r="F169" s="3" t="e">
        <f>VLOOKUP(B169,'Profit &amp; Loss'!$B$2:$C$390,2,0)</f>
        <v>#N/A</v>
      </c>
    </row>
    <row r="170" spans="1:6" x14ac:dyDescent="0.2">
      <c r="A170" s="3" t="s">
        <v>162</v>
      </c>
      <c r="B170" s="3" t="s">
        <v>163</v>
      </c>
      <c r="C170" s="4">
        <v>-68234.289999999994</v>
      </c>
      <c r="D170" s="4">
        <v>-68234.289999999994</v>
      </c>
      <c r="E170" s="4">
        <v>0</v>
      </c>
      <c r="F170" s="3" t="e">
        <f>VLOOKUP(B170,'Profit &amp; Loss'!$B$2:$C$390,2,0)</f>
        <v>#N/A</v>
      </c>
    </row>
    <row r="171" spans="1:6" x14ac:dyDescent="0.2">
      <c r="A171" s="3" t="s">
        <v>162</v>
      </c>
      <c r="B171" s="3" t="s">
        <v>164</v>
      </c>
      <c r="C171" s="4">
        <v>-315574.65999999997</v>
      </c>
      <c r="D171" s="4">
        <v>-313923.65000000002</v>
      </c>
      <c r="E171" s="4">
        <v>-1651.01</v>
      </c>
      <c r="F171" s="3" t="e">
        <f>VLOOKUP(B171,'Profit &amp; Loss'!$B$2:$C$390,2,0)</f>
        <v>#N/A</v>
      </c>
    </row>
    <row r="172" spans="1:6" x14ac:dyDescent="0.2">
      <c r="A172" s="3" t="s">
        <v>162</v>
      </c>
      <c r="B172" s="3" t="s">
        <v>165</v>
      </c>
      <c r="C172" s="4">
        <v>-275172.98</v>
      </c>
      <c r="D172" s="4">
        <v>-267282.21000000002</v>
      </c>
      <c r="E172" s="4">
        <v>-7890.77</v>
      </c>
      <c r="F172" s="3" t="e">
        <f>VLOOKUP(B172,'Profit &amp; Loss'!$B$2:$C$390,2,0)</f>
        <v>#N/A</v>
      </c>
    </row>
    <row r="173" spans="1:6" x14ac:dyDescent="0.2">
      <c r="A173" s="3" t="s">
        <v>162</v>
      </c>
      <c r="B173" s="3" t="s">
        <v>166</v>
      </c>
      <c r="C173" s="4">
        <v>-23516.18</v>
      </c>
      <c r="D173" s="4">
        <v>-12084.13</v>
      </c>
      <c r="E173" s="4">
        <v>-11432.05</v>
      </c>
      <c r="F173" s="3" t="e">
        <f>VLOOKUP(B173,'Profit &amp; Loss'!$B$2:$C$390,2,0)</f>
        <v>#N/A</v>
      </c>
    </row>
    <row r="174" spans="1:6" x14ac:dyDescent="0.2">
      <c r="A174" s="3" t="s">
        <v>162</v>
      </c>
      <c r="B174" s="3" t="s">
        <v>167</v>
      </c>
      <c r="C174" s="4">
        <v>-529670.75</v>
      </c>
      <c r="D174" s="4">
        <v>-511794.08</v>
      </c>
      <c r="E174" s="4">
        <v>-17876.669999999998</v>
      </c>
      <c r="F174" s="3" t="e">
        <f>VLOOKUP(B174,'Profit &amp; Loss'!$B$2:$C$390,2,0)</f>
        <v>#N/A</v>
      </c>
    </row>
    <row r="175" spans="1:6" x14ac:dyDescent="0.2">
      <c r="A175" s="3" t="s">
        <v>162</v>
      </c>
      <c r="B175" s="3" t="s">
        <v>168</v>
      </c>
      <c r="C175" s="4">
        <v>-52019.53</v>
      </c>
      <c r="D175" s="4">
        <v>-51728.19</v>
      </c>
      <c r="E175" s="4">
        <v>-291.33999999999997</v>
      </c>
      <c r="F175" s="3" t="e">
        <f>VLOOKUP(B175,'Profit &amp; Loss'!$B$2:$C$390,2,0)</f>
        <v>#N/A</v>
      </c>
    </row>
    <row r="176" spans="1:6" x14ac:dyDescent="0.2">
      <c r="A176" s="3" t="s">
        <v>162</v>
      </c>
      <c r="B176" s="3" t="s">
        <v>169</v>
      </c>
      <c r="C176" s="4">
        <v>-455.48</v>
      </c>
      <c r="D176" s="4">
        <v>-457.93</v>
      </c>
      <c r="E176" s="4">
        <v>2.4500000000000002</v>
      </c>
      <c r="F176" s="3" t="e">
        <f>VLOOKUP(B176,'Profit &amp; Loss'!$B$2:$C$390,2,0)</f>
        <v>#N/A</v>
      </c>
    </row>
    <row r="177" spans="1:6" x14ac:dyDescent="0.2">
      <c r="A177" s="3" t="s">
        <v>162</v>
      </c>
      <c r="B177" s="3" t="s">
        <v>170</v>
      </c>
      <c r="C177" s="4">
        <v>-298703.96999999997</v>
      </c>
      <c r="D177" s="4">
        <v>-297131.3</v>
      </c>
      <c r="E177" s="4">
        <v>-1572.67</v>
      </c>
      <c r="F177" s="3" t="e">
        <f>VLOOKUP(B177,'Profit &amp; Loss'!$B$2:$C$390,2,0)</f>
        <v>#N/A</v>
      </c>
    </row>
    <row r="178" spans="1:6" x14ac:dyDescent="0.2">
      <c r="A178" s="3" t="s">
        <v>162</v>
      </c>
      <c r="B178" s="3" t="s">
        <v>171</v>
      </c>
      <c r="C178" s="4">
        <v>-250721.29</v>
      </c>
      <c r="D178" s="4">
        <v>-249406.66</v>
      </c>
      <c r="E178" s="4">
        <v>-1314.63</v>
      </c>
      <c r="F178" s="3" t="e">
        <f>VLOOKUP(B178,'Profit &amp; Loss'!$B$2:$C$390,2,0)</f>
        <v>#N/A</v>
      </c>
    </row>
    <row r="179" spans="1:6" x14ac:dyDescent="0.2">
      <c r="A179" s="3" t="s">
        <v>162</v>
      </c>
      <c r="B179" s="3" t="s">
        <v>2</v>
      </c>
      <c r="C179" s="4">
        <v>-1814069.13</v>
      </c>
      <c r="D179" s="4">
        <v>-1772042.44</v>
      </c>
      <c r="E179" s="4">
        <v>-42026.69</v>
      </c>
      <c r="F179" s="3" t="e">
        <f>VLOOKUP(B179,'Profit &amp; Loss'!$B$2:$C$390,2,0)</f>
        <v>#N/A</v>
      </c>
    </row>
    <row r="180" spans="1:6" x14ac:dyDescent="0.2">
      <c r="A180" s="3" t="s">
        <v>172</v>
      </c>
      <c r="B180" s="3" t="s">
        <v>173</v>
      </c>
      <c r="C180" s="4">
        <v>-823.97</v>
      </c>
      <c r="D180" s="4">
        <v>-933.6</v>
      </c>
      <c r="E180" s="4">
        <v>109.63</v>
      </c>
      <c r="F180" s="3" t="e">
        <f>VLOOKUP(B180,'Profit &amp; Loss'!$B$2:$C$390,2,0)</f>
        <v>#N/A</v>
      </c>
    </row>
    <row r="181" spans="1:6" x14ac:dyDescent="0.2">
      <c r="A181" s="3" t="s">
        <v>172</v>
      </c>
      <c r="B181" s="3" t="s">
        <v>2</v>
      </c>
      <c r="C181" s="4">
        <v>-823.97</v>
      </c>
      <c r="D181" s="4">
        <v>-933.6</v>
      </c>
      <c r="E181" s="4">
        <v>109.63</v>
      </c>
      <c r="F181" s="3" t="e">
        <f>VLOOKUP(B181,'Profit &amp; Loss'!$B$2:$C$390,2,0)</f>
        <v>#N/A</v>
      </c>
    </row>
    <row r="182" spans="1:6" x14ac:dyDescent="0.2">
      <c r="A182" s="3" t="s">
        <v>174</v>
      </c>
      <c r="B182" s="3" t="s">
        <v>175</v>
      </c>
      <c r="C182" s="4">
        <v>4055.11</v>
      </c>
      <c r="D182" s="4">
        <v>4348.1099999999997</v>
      </c>
      <c r="E182" s="4">
        <v>-293</v>
      </c>
      <c r="F182" s="3" t="e">
        <f>VLOOKUP(B182,'Profit &amp; Loss'!$B$2:$C$390,2,0)</f>
        <v>#N/A</v>
      </c>
    </row>
    <row r="183" spans="1:6" x14ac:dyDescent="0.2">
      <c r="A183" s="3" t="s">
        <v>174</v>
      </c>
      <c r="B183" s="3" t="s">
        <v>176</v>
      </c>
      <c r="C183" s="4">
        <v>-649918.11</v>
      </c>
      <c r="D183" s="4">
        <v>-637160.71</v>
      </c>
      <c r="E183" s="4">
        <v>-12757.4</v>
      </c>
      <c r="F183" s="3" t="e">
        <f>VLOOKUP(B183,'Profit &amp; Loss'!$B$2:$C$390,2,0)</f>
        <v>#N/A</v>
      </c>
    </row>
    <row r="184" spans="1:6" x14ac:dyDescent="0.2">
      <c r="A184" s="3" t="s">
        <v>174</v>
      </c>
      <c r="B184" s="3" t="s">
        <v>177</v>
      </c>
      <c r="C184" s="4">
        <v>-62517.47</v>
      </c>
      <c r="D184" s="4">
        <v>-60909.35</v>
      </c>
      <c r="E184" s="4">
        <v>-1608.12</v>
      </c>
      <c r="F184" s="3" t="e">
        <f>VLOOKUP(B184,'Profit &amp; Loss'!$B$2:$C$390,2,0)</f>
        <v>#N/A</v>
      </c>
    </row>
    <row r="185" spans="1:6" x14ac:dyDescent="0.2">
      <c r="A185" s="3" t="s">
        <v>174</v>
      </c>
      <c r="B185" s="3" t="s">
        <v>2</v>
      </c>
      <c r="C185" s="4">
        <v>-708380.47</v>
      </c>
      <c r="D185" s="4">
        <v>-693721.95</v>
      </c>
      <c r="E185" s="4">
        <v>-14658.52</v>
      </c>
      <c r="F185" s="3" t="e">
        <f>VLOOKUP(B185,'Profit &amp; Loss'!$B$2:$C$390,2,0)</f>
        <v>#N/A</v>
      </c>
    </row>
    <row r="186" spans="1:6" x14ac:dyDescent="0.2">
      <c r="A186" s="3" t="s">
        <v>178</v>
      </c>
      <c r="B186" s="3" t="s">
        <v>179</v>
      </c>
      <c r="C186" s="4">
        <v>-407437.97</v>
      </c>
      <c r="D186" s="4">
        <v>-239124.69</v>
      </c>
      <c r="E186" s="4">
        <v>-168313.28</v>
      </c>
      <c r="F186" s="3" t="e">
        <f>VLOOKUP(B186,'Profit &amp; Loss'!$B$2:$C$390,2,0)</f>
        <v>#N/A</v>
      </c>
    </row>
    <row r="187" spans="1:6" x14ac:dyDescent="0.2">
      <c r="A187" s="3" t="s">
        <v>178</v>
      </c>
      <c r="B187" s="3" t="s">
        <v>180</v>
      </c>
      <c r="C187" s="4">
        <v>-40728.68</v>
      </c>
      <c r="D187" s="4">
        <v>-184.64</v>
      </c>
      <c r="E187" s="4">
        <v>-40544.04</v>
      </c>
      <c r="F187" s="3" t="e">
        <f>VLOOKUP(B187,'Profit &amp; Loss'!$B$2:$C$390,2,0)</f>
        <v>#N/A</v>
      </c>
    </row>
    <row r="188" spans="1:6" x14ac:dyDescent="0.2">
      <c r="A188" s="3" t="s">
        <v>178</v>
      </c>
      <c r="B188" s="3" t="s">
        <v>181</v>
      </c>
      <c r="C188" s="4">
        <v>-62100.42</v>
      </c>
      <c r="D188" s="4">
        <v>899.58</v>
      </c>
      <c r="E188" s="4">
        <v>-63000</v>
      </c>
      <c r="F188" s="3" t="e">
        <f>VLOOKUP(B188,'Profit &amp; Loss'!$B$2:$C$390,2,0)</f>
        <v>#N/A</v>
      </c>
    </row>
    <row r="189" spans="1:6" x14ac:dyDescent="0.2">
      <c r="A189" s="3" t="s">
        <v>178</v>
      </c>
      <c r="B189" s="3" t="s">
        <v>182</v>
      </c>
      <c r="C189" s="4">
        <v>-10532.27</v>
      </c>
      <c r="D189" s="4">
        <v>-597.94000000000005</v>
      </c>
      <c r="E189" s="4">
        <v>-9934.33</v>
      </c>
      <c r="F189" s="3" t="e">
        <f>VLOOKUP(B189,'Profit &amp; Loss'!$B$2:$C$390,2,0)</f>
        <v>#N/A</v>
      </c>
    </row>
    <row r="190" spans="1:6" x14ac:dyDescent="0.2">
      <c r="A190" s="3" t="s">
        <v>178</v>
      </c>
      <c r="B190" s="3" t="s">
        <v>184</v>
      </c>
      <c r="C190" s="4">
        <v>-1002</v>
      </c>
      <c r="D190" s="4">
        <v>-1002</v>
      </c>
      <c r="E190" s="4">
        <v>0</v>
      </c>
      <c r="F190" s="3" t="e">
        <f>VLOOKUP(B190,'Profit &amp; Loss'!$B$2:$C$390,2,0)</f>
        <v>#N/A</v>
      </c>
    </row>
    <row r="191" spans="1:6" x14ac:dyDescent="0.2">
      <c r="A191" s="3" t="s">
        <v>178</v>
      </c>
      <c r="B191" s="3" t="s">
        <v>185</v>
      </c>
      <c r="C191" s="4">
        <v>-21871.68</v>
      </c>
      <c r="D191" s="4">
        <v>-36417.919999999998</v>
      </c>
      <c r="E191" s="4">
        <v>14546.24</v>
      </c>
      <c r="F191" s="3" t="e">
        <f>VLOOKUP(B191,'Profit &amp; Loss'!$B$2:$C$390,2,0)</f>
        <v>#N/A</v>
      </c>
    </row>
    <row r="192" spans="1:6" x14ac:dyDescent="0.2">
      <c r="A192" s="3" t="s">
        <v>178</v>
      </c>
      <c r="B192" s="3" t="s">
        <v>186</v>
      </c>
      <c r="C192" s="4">
        <v>-200</v>
      </c>
      <c r="D192" s="4">
        <v>-200</v>
      </c>
      <c r="E192" s="4">
        <v>0</v>
      </c>
      <c r="F192" s="3" t="e">
        <f>VLOOKUP(B192,'Profit &amp; Loss'!$B$2:$C$390,2,0)</f>
        <v>#N/A</v>
      </c>
    </row>
    <row r="193" spans="1:6" x14ac:dyDescent="0.2">
      <c r="A193" s="3" t="s">
        <v>178</v>
      </c>
      <c r="B193" s="3" t="s">
        <v>187</v>
      </c>
      <c r="C193" s="4">
        <v>374.73</v>
      </c>
      <c r="D193" s="4">
        <v>213.23</v>
      </c>
      <c r="E193" s="4">
        <v>161.5</v>
      </c>
      <c r="F193" s="3" t="e">
        <f>VLOOKUP(B193,'Profit &amp; Loss'!$B$2:$C$390,2,0)</f>
        <v>#N/A</v>
      </c>
    </row>
    <row r="194" spans="1:6" x14ac:dyDescent="0.2">
      <c r="A194" s="3" t="s">
        <v>178</v>
      </c>
      <c r="B194" s="3" t="s">
        <v>188</v>
      </c>
      <c r="C194" s="4">
        <v>-1949.75</v>
      </c>
      <c r="D194" s="4">
        <v>-1653.29</v>
      </c>
      <c r="E194" s="4">
        <v>-296.45999999999998</v>
      </c>
      <c r="F194" s="3" t="e">
        <f>VLOOKUP(B194,'Profit &amp; Loss'!$B$2:$C$390,2,0)</f>
        <v>#N/A</v>
      </c>
    </row>
    <row r="195" spans="1:6" x14ac:dyDescent="0.2">
      <c r="A195" s="3" t="s">
        <v>178</v>
      </c>
      <c r="B195" s="3" t="s">
        <v>189</v>
      </c>
      <c r="C195" s="4">
        <v>240.88</v>
      </c>
      <c r="D195" s="4">
        <v>48.07</v>
      </c>
      <c r="E195" s="4">
        <v>192.81</v>
      </c>
      <c r="F195" s="3" t="e">
        <f>VLOOKUP(B195,'Profit &amp; Loss'!$B$2:$C$390,2,0)</f>
        <v>#N/A</v>
      </c>
    </row>
    <row r="196" spans="1:6" x14ac:dyDescent="0.2">
      <c r="A196" s="3" t="s">
        <v>178</v>
      </c>
      <c r="B196" s="3" t="s">
        <v>190</v>
      </c>
      <c r="C196" s="4">
        <v>634.38</v>
      </c>
      <c r="D196" s="4">
        <v>142.04</v>
      </c>
      <c r="E196" s="4">
        <v>492.34</v>
      </c>
      <c r="F196" s="3" t="e">
        <f>VLOOKUP(B196,'Profit &amp; Loss'!$B$2:$C$390,2,0)</f>
        <v>#N/A</v>
      </c>
    </row>
    <row r="197" spans="1:6" x14ac:dyDescent="0.2">
      <c r="A197" s="3" t="s">
        <v>178</v>
      </c>
      <c r="B197" s="3" t="s">
        <v>191</v>
      </c>
      <c r="C197" s="4">
        <v>0</v>
      </c>
      <c r="D197" s="4">
        <v>-104.2</v>
      </c>
      <c r="E197" s="4">
        <v>104.2</v>
      </c>
      <c r="F197" s="3" t="e">
        <f>VLOOKUP(B197,'Profit &amp; Loss'!$B$2:$C$390,2,0)</f>
        <v>#N/A</v>
      </c>
    </row>
    <row r="198" spans="1:6" x14ac:dyDescent="0.2">
      <c r="A198" s="3" t="s">
        <v>178</v>
      </c>
      <c r="B198" s="3" t="s">
        <v>192</v>
      </c>
      <c r="C198" s="4">
        <v>9043.6200000000008</v>
      </c>
      <c r="D198" s="4">
        <v>11798.28</v>
      </c>
      <c r="E198" s="4">
        <v>-2754.66</v>
      </c>
      <c r="F198" s="3" t="e">
        <f>VLOOKUP(B198,'Profit &amp; Loss'!$B$2:$C$390,2,0)</f>
        <v>#N/A</v>
      </c>
    </row>
    <row r="199" spans="1:6" x14ac:dyDescent="0.2">
      <c r="A199" s="3" t="s">
        <v>178</v>
      </c>
      <c r="B199" s="3" t="s">
        <v>193</v>
      </c>
      <c r="C199" s="4">
        <v>709.55</v>
      </c>
      <c r="D199" s="4">
        <v>983.59</v>
      </c>
      <c r="E199" s="4">
        <v>-274.04000000000002</v>
      </c>
      <c r="F199" s="3" t="e">
        <f>VLOOKUP(B199,'Profit &amp; Loss'!$B$2:$C$390,2,0)</f>
        <v>#N/A</v>
      </c>
    </row>
    <row r="200" spans="1:6" x14ac:dyDescent="0.2">
      <c r="A200" s="3" t="s">
        <v>178</v>
      </c>
      <c r="B200" s="3" t="s">
        <v>194</v>
      </c>
      <c r="C200" s="4">
        <v>-23828.74</v>
      </c>
      <c r="D200" s="4">
        <v>-23329.38</v>
      </c>
      <c r="E200" s="4">
        <v>-499.36</v>
      </c>
      <c r="F200" s="3" t="e">
        <f>VLOOKUP(B200,'Profit &amp; Loss'!$B$2:$C$390,2,0)</f>
        <v>#N/A</v>
      </c>
    </row>
    <row r="201" spans="1:6" x14ac:dyDescent="0.2">
      <c r="A201" s="3" t="s">
        <v>178</v>
      </c>
      <c r="B201" s="3" t="s">
        <v>195</v>
      </c>
      <c r="C201" s="4">
        <v>-37250.11</v>
      </c>
      <c r="D201" s="4">
        <v>-37039.57</v>
      </c>
      <c r="E201" s="4">
        <v>-210.54</v>
      </c>
      <c r="F201" s="3" t="e">
        <f>VLOOKUP(B201,'Profit &amp; Loss'!$B$2:$C$390,2,0)</f>
        <v>#N/A</v>
      </c>
    </row>
    <row r="202" spans="1:6" x14ac:dyDescent="0.2">
      <c r="A202" s="3" t="s">
        <v>178</v>
      </c>
      <c r="B202" s="3" t="s">
        <v>196</v>
      </c>
      <c r="C202" s="4">
        <v>-24427.61</v>
      </c>
      <c r="D202" s="4">
        <v>-23561.98</v>
      </c>
      <c r="E202" s="4">
        <v>-865.63</v>
      </c>
      <c r="F202" s="3" t="e">
        <f>VLOOKUP(B202,'Profit &amp; Loss'!$B$2:$C$390,2,0)</f>
        <v>#N/A</v>
      </c>
    </row>
    <row r="203" spans="1:6" x14ac:dyDescent="0.2">
      <c r="A203" s="3" t="s">
        <v>178</v>
      </c>
      <c r="B203" s="3" t="s">
        <v>2</v>
      </c>
      <c r="C203" s="4">
        <v>-620326.06999999995</v>
      </c>
      <c r="D203" s="4">
        <v>-349130.82</v>
      </c>
      <c r="E203" s="4">
        <v>-271195.25</v>
      </c>
      <c r="F203" s="3" t="e">
        <f>VLOOKUP(B203,'Profit &amp; Loss'!$B$2:$C$390,2,0)</f>
        <v>#N/A</v>
      </c>
    </row>
    <row r="204" spans="1:6" x14ac:dyDescent="0.2">
      <c r="A204" s="3" t="s">
        <v>197</v>
      </c>
      <c r="B204" s="3" t="s">
        <v>2</v>
      </c>
      <c r="C204" s="4">
        <v>-3183111.71</v>
      </c>
      <c r="D204" s="4">
        <v>-2811404.95</v>
      </c>
      <c r="E204" s="4">
        <v>-371706.76</v>
      </c>
      <c r="F204" s="3" t="e">
        <f>VLOOKUP(B204,'Profit &amp; Loss'!$B$2:$C$390,2,0)</f>
        <v>#N/A</v>
      </c>
    </row>
    <row r="205" spans="1:6" x14ac:dyDescent="0.2">
      <c r="A205" s="3" t="s">
        <v>198</v>
      </c>
      <c r="B205" s="3" t="s">
        <v>199</v>
      </c>
      <c r="C205" s="4">
        <v>605592.44999999995</v>
      </c>
      <c r="D205" s="4">
        <v>506742.43</v>
      </c>
      <c r="E205" s="4">
        <v>98850.02</v>
      </c>
      <c r="F205" s="3" t="e">
        <f>VLOOKUP(B205,'Profit &amp; Loss'!$B$2:$C$390,2,0)</f>
        <v>#N/A</v>
      </c>
    </row>
    <row r="206" spans="1:6" x14ac:dyDescent="0.2">
      <c r="A206" s="3" t="s">
        <v>198</v>
      </c>
      <c r="B206" s="3" t="s">
        <v>2</v>
      </c>
      <c r="C206" s="4">
        <v>605592.44999999995</v>
      </c>
      <c r="D206" s="4">
        <v>506742.43</v>
      </c>
      <c r="E206" s="4">
        <v>98850.02</v>
      </c>
      <c r="F206" s="3" t="e">
        <f>VLOOKUP(B206,'Profit &amp; Loss'!$B$2:$C$390,2,0)</f>
        <v>#N/A</v>
      </c>
    </row>
    <row r="207" spans="1:6" x14ac:dyDescent="0.2">
      <c r="A207" s="3" t="s">
        <v>200</v>
      </c>
      <c r="B207" s="3" t="s">
        <v>201</v>
      </c>
      <c r="C207" s="4">
        <v>-5252.67</v>
      </c>
      <c r="D207" s="4">
        <v>-5252.67</v>
      </c>
      <c r="E207" s="4">
        <v>0</v>
      </c>
      <c r="F207" s="3" t="e">
        <f>VLOOKUP(B207,'Profit &amp; Loss'!$B$2:$C$390,2,0)</f>
        <v>#N/A</v>
      </c>
    </row>
    <row r="208" spans="1:6" x14ac:dyDescent="0.2">
      <c r="A208" s="3" t="s">
        <v>200</v>
      </c>
      <c r="B208" s="3" t="s">
        <v>203</v>
      </c>
      <c r="C208" s="4">
        <v>-10671.57</v>
      </c>
      <c r="D208" s="4">
        <v>-10671.57</v>
      </c>
      <c r="E208" s="4">
        <v>0</v>
      </c>
      <c r="F208" s="3" t="e">
        <f>VLOOKUP(B208,'Profit &amp; Loss'!$B$2:$C$390,2,0)</f>
        <v>#N/A</v>
      </c>
    </row>
    <row r="209" spans="1:6" x14ac:dyDescent="0.2">
      <c r="A209" s="3" t="s">
        <v>200</v>
      </c>
      <c r="B209" s="3" t="s">
        <v>204</v>
      </c>
      <c r="C209" s="4">
        <v>-20871.29</v>
      </c>
      <c r="D209" s="4">
        <v>-20871.29</v>
      </c>
      <c r="E209" s="4">
        <v>0</v>
      </c>
      <c r="F209" s="3" t="e">
        <f>VLOOKUP(B209,'Profit &amp; Loss'!$B$2:$C$390,2,0)</f>
        <v>#N/A</v>
      </c>
    </row>
    <row r="210" spans="1:6" x14ac:dyDescent="0.2">
      <c r="A210" s="3" t="s">
        <v>200</v>
      </c>
      <c r="B210" s="3" t="s">
        <v>205</v>
      </c>
      <c r="C210" s="4">
        <v>-5.01</v>
      </c>
      <c r="D210" s="4">
        <v>-5.01</v>
      </c>
      <c r="E210" s="4">
        <v>0</v>
      </c>
      <c r="F210" s="3" t="e">
        <f>VLOOKUP(B210,'Profit &amp; Loss'!$B$2:$C$390,2,0)</f>
        <v>#N/A</v>
      </c>
    </row>
    <row r="211" spans="1:6" x14ac:dyDescent="0.2">
      <c r="A211" s="3" t="s">
        <v>200</v>
      </c>
      <c r="B211" s="3" t="s">
        <v>206</v>
      </c>
      <c r="C211" s="4">
        <v>-25054.41</v>
      </c>
      <c r="D211" s="4">
        <v>0</v>
      </c>
      <c r="E211" s="4">
        <v>-25054.41</v>
      </c>
      <c r="F211" s="3" t="e">
        <f>VLOOKUP(B211,'Profit &amp; Loss'!$B$2:$C$390,2,0)</f>
        <v>#N/A</v>
      </c>
    </row>
    <row r="212" spans="1:6" x14ac:dyDescent="0.2">
      <c r="A212" s="3" t="s">
        <v>200</v>
      </c>
      <c r="B212" s="3" t="s">
        <v>207</v>
      </c>
      <c r="C212" s="4">
        <v>39.26</v>
      </c>
      <c r="D212" s="4">
        <v>0</v>
      </c>
      <c r="E212" s="4">
        <v>39.26</v>
      </c>
      <c r="F212" s="3" t="e">
        <f>VLOOKUP(B212,'Profit &amp; Loss'!$B$2:$C$390,2,0)</f>
        <v>#N/A</v>
      </c>
    </row>
    <row r="213" spans="1:6" x14ac:dyDescent="0.2">
      <c r="A213" s="3" t="s">
        <v>200</v>
      </c>
      <c r="B213" s="3" t="s">
        <v>209</v>
      </c>
      <c r="C213" s="4">
        <v>-0.03</v>
      </c>
      <c r="D213" s="4">
        <v>-0.03</v>
      </c>
      <c r="E213" s="4">
        <v>0</v>
      </c>
      <c r="F213" s="3" t="e">
        <f>VLOOKUP(B213,'Profit &amp; Loss'!$B$2:$C$390,2,0)</f>
        <v>#N/A</v>
      </c>
    </row>
    <row r="214" spans="1:6" x14ac:dyDescent="0.2">
      <c r="A214" s="3" t="s">
        <v>200</v>
      </c>
      <c r="B214" s="3" t="s">
        <v>2</v>
      </c>
      <c r="C214" s="4">
        <v>-61815.72</v>
      </c>
      <c r="D214" s="4">
        <v>-36800.57</v>
      </c>
      <c r="E214" s="4">
        <v>-25015.15</v>
      </c>
      <c r="F214" s="3" t="e">
        <f>VLOOKUP(B214,'Profit &amp; Loss'!$B$2:$C$390,2,0)</f>
        <v>#N/A</v>
      </c>
    </row>
    <row r="215" spans="1:6" x14ac:dyDescent="0.2">
      <c r="A215" s="3" t="s">
        <v>210</v>
      </c>
      <c r="B215" s="3" t="s">
        <v>2</v>
      </c>
      <c r="C215" s="4">
        <v>543776.73</v>
      </c>
      <c r="D215" s="4">
        <v>469941.86</v>
      </c>
      <c r="E215" s="4">
        <v>73834.87</v>
      </c>
      <c r="F215" s="3" t="e">
        <f>VLOOKUP(B215,'Profit &amp; Loss'!$B$2:$C$390,2,0)</f>
        <v>#N/A</v>
      </c>
    </row>
    <row r="216" spans="1:6" x14ac:dyDescent="0.2">
      <c r="A216" s="3" t="s">
        <v>211</v>
      </c>
      <c r="B216" s="3" t="s">
        <v>212</v>
      </c>
      <c r="C216" s="4">
        <v>-348659.8</v>
      </c>
      <c r="D216" s="4">
        <v>-410987.37</v>
      </c>
      <c r="E216" s="4">
        <v>62327.57</v>
      </c>
      <c r="F216" s="3" t="e">
        <f>VLOOKUP(B216,'Profit &amp; Loss'!$B$2:$C$390,2,0)</f>
        <v>#N/A</v>
      </c>
    </row>
    <row r="217" spans="1:6" x14ac:dyDescent="0.2">
      <c r="A217" s="3" t="s">
        <v>211</v>
      </c>
      <c r="B217" s="3" t="s">
        <v>213</v>
      </c>
      <c r="C217" s="4">
        <v>-116819.44</v>
      </c>
      <c r="D217" s="4">
        <v>-119176.63</v>
      </c>
      <c r="E217" s="4">
        <v>2357.19</v>
      </c>
      <c r="F217" s="3" t="e">
        <f>VLOOKUP(B217,'Profit &amp; Loss'!$B$2:$C$390,2,0)</f>
        <v>#N/A</v>
      </c>
    </row>
    <row r="218" spans="1:6" x14ac:dyDescent="0.2">
      <c r="A218" s="3" t="s">
        <v>211</v>
      </c>
      <c r="B218" s="3" t="s">
        <v>214</v>
      </c>
      <c r="C218" s="4">
        <v>-71997.45</v>
      </c>
      <c r="D218" s="4">
        <v>-73247.899999999994</v>
      </c>
      <c r="E218" s="4">
        <v>1250.45</v>
      </c>
      <c r="F218" s="3" t="e">
        <f>VLOOKUP(B218,'Profit &amp; Loss'!$B$2:$C$390,2,0)</f>
        <v>#N/A</v>
      </c>
    </row>
    <row r="219" spans="1:6" x14ac:dyDescent="0.2">
      <c r="A219" s="3" t="s">
        <v>211</v>
      </c>
      <c r="B219" s="3" t="s">
        <v>215</v>
      </c>
      <c r="C219" s="4">
        <v>-81661.3</v>
      </c>
      <c r="D219" s="4">
        <v>-81661.3</v>
      </c>
      <c r="E219" s="4">
        <v>0</v>
      </c>
      <c r="F219" s="3" t="e">
        <f>VLOOKUP(B219,'Profit &amp; Loss'!$B$2:$C$390,2,0)</f>
        <v>#N/A</v>
      </c>
    </row>
    <row r="220" spans="1:6" x14ac:dyDescent="0.2">
      <c r="A220" s="3" t="s">
        <v>211</v>
      </c>
      <c r="B220" s="3" t="s">
        <v>216</v>
      </c>
      <c r="C220" s="4">
        <v>-27413.96</v>
      </c>
      <c r="D220" s="4">
        <v>-35370.400000000001</v>
      </c>
      <c r="E220" s="4">
        <v>7956.44</v>
      </c>
      <c r="F220" s="3" t="e">
        <f>VLOOKUP(B220,'Profit &amp; Loss'!$B$2:$C$390,2,0)</f>
        <v>#N/A</v>
      </c>
    </row>
    <row r="221" spans="1:6" x14ac:dyDescent="0.2">
      <c r="A221" s="3" t="s">
        <v>211</v>
      </c>
      <c r="B221" s="3" t="s">
        <v>217</v>
      </c>
      <c r="C221" s="4">
        <v>-228540.69</v>
      </c>
      <c r="D221" s="4">
        <v>-232404.39</v>
      </c>
      <c r="E221" s="4">
        <v>3863.7</v>
      </c>
      <c r="F221" s="3" t="e">
        <f>VLOOKUP(B221,'Profit &amp; Loss'!$B$2:$C$390,2,0)</f>
        <v>#N/A</v>
      </c>
    </row>
    <row r="222" spans="1:6" x14ac:dyDescent="0.2">
      <c r="A222" s="3" t="s">
        <v>211</v>
      </c>
      <c r="B222" s="3" t="s">
        <v>2</v>
      </c>
      <c r="C222" s="4">
        <v>-875092.64</v>
      </c>
      <c r="D222" s="4">
        <v>-952847.99</v>
      </c>
      <c r="E222" s="4">
        <v>77755.350000000006</v>
      </c>
      <c r="F222" s="3" t="e">
        <f>VLOOKUP(B222,'Profit &amp; Loss'!$B$2:$C$390,2,0)</f>
        <v>#N/A</v>
      </c>
    </row>
    <row r="223" spans="1:6" x14ac:dyDescent="0.2">
      <c r="A223" s="3" t="s">
        <v>218</v>
      </c>
      <c r="B223" s="3" t="s">
        <v>2</v>
      </c>
      <c r="C223" s="4">
        <v>-875092.64</v>
      </c>
      <c r="D223" s="4">
        <v>-952847.99</v>
      </c>
      <c r="E223" s="4">
        <v>77755.350000000006</v>
      </c>
      <c r="F223" s="3" t="e">
        <f>VLOOKUP(B223,'Profit &amp; Loss'!$B$2:$C$390,2,0)</f>
        <v>#N/A</v>
      </c>
    </row>
    <row r="224" spans="1:6" x14ac:dyDescent="0.2">
      <c r="A224" s="3" t="s">
        <v>219</v>
      </c>
      <c r="B224" s="3" t="s">
        <v>220</v>
      </c>
      <c r="C224" s="4">
        <v>120.57</v>
      </c>
      <c r="D224" s="4">
        <v>120.57</v>
      </c>
      <c r="E224" s="4">
        <v>0</v>
      </c>
      <c r="F224" s="3" t="e">
        <f>VLOOKUP(B224,'Profit &amp; Loss'!$B$2:$C$390,2,0)</f>
        <v>#N/A</v>
      </c>
    </row>
    <row r="225" spans="1:6" x14ac:dyDescent="0.2">
      <c r="A225" s="3" t="s">
        <v>219</v>
      </c>
      <c r="B225" s="3" t="s">
        <v>221</v>
      </c>
      <c r="C225" s="4">
        <v>596.78</v>
      </c>
      <c r="D225" s="4">
        <v>596.78</v>
      </c>
      <c r="E225" s="4">
        <v>0</v>
      </c>
      <c r="F225" s="3" t="e">
        <f>VLOOKUP(B225,'Profit &amp; Loss'!$B$2:$C$390,2,0)</f>
        <v>#N/A</v>
      </c>
    </row>
    <row r="226" spans="1:6" x14ac:dyDescent="0.2">
      <c r="A226" s="3" t="s">
        <v>219</v>
      </c>
      <c r="B226" s="3" t="s">
        <v>222</v>
      </c>
      <c r="C226" s="4">
        <v>44611538.149999999</v>
      </c>
      <c r="D226" s="4">
        <v>45277458.390000001</v>
      </c>
      <c r="E226" s="4">
        <v>-665920.24</v>
      </c>
      <c r="F226" s="3" t="e">
        <f>VLOOKUP(B226,'Profit &amp; Loss'!$B$2:$C$390,2,0)</f>
        <v>#N/A</v>
      </c>
    </row>
    <row r="227" spans="1:6" x14ac:dyDescent="0.2">
      <c r="A227" s="3" t="s">
        <v>219</v>
      </c>
      <c r="B227" s="3" t="s">
        <v>2</v>
      </c>
      <c r="C227" s="4">
        <v>44612255.5</v>
      </c>
      <c r="D227" s="4">
        <v>45278175.740000002</v>
      </c>
      <c r="E227" s="4">
        <v>-665920.24</v>
      </c>
      <c r="F227" s="3" t="e">
        <f>VLOOKUP(B227,'Profit &amp; Loss'!$B$2:$C$390,2,0)</f>
        <v>#N/A</v>
      </c>
    </row>
    <row r="228" spans="1:6" x14ac:dyDescent="0.2">
      <c r="A228" s="3" t="s">
        <v>223</v>
      </c>
      <c r="B228" s="3" t="s">
        <v>2</v>
      </c>
      <c r="C228" s="4">
        <v>44612255.5</v>
      </c>
      <c r="D228" s="4">
        <v>45278175.740000002</v>
      </c>
      <c r="E228" s="4">
        <v>-665920.24</v>
      </c>
      <c r="F228" s="3" t="e">
        <f>VLOOKUP(B228,'Profit &amp; Loss'!$B$2:$C$390,2,0)</f>
        <v>#N/A</v>
      </c>
    </row>
    <row r="229" spans="1:6" x14ac:dyDescent="0.2">
      <c r="A229" s="3" t="s">
        <v>224</v>
      </c>
      <c r="B229" s="3" t="s">
        <v>2</v>
      </c>
      <c r="C229" s="4">
        <v>37806733.909999996</v>
      </c>
      <c r="D229" s="4">
        <v>38886936.740000002</v>
      </c>
      <c r="E229" s="4">
        <v>-1080202.83</v>
      </c>
      <c r="F229" s="3" t="e">
        <f>VLOOKUP(B229,'Profit &amp; Loss'!$B$2:$C$390,2,0)</f>
        <v>#N/A</v>
      </c>
    </row>
    <row r="230" spans="1:6" x14ac:dyDescent="0.2">
      <c r="A230" s="3" t="s">
        <v>225</v>
      </c>
      <c r="B230" s="3" t="s">
        <v>226</v>
      </c>
      <c r="C230" s="4">
        <v>-85746371.450000003</v>
      </c>
      <c r="D230" s="4">
        <v>-85746371.450000003</v>
      </c>
      <c r="E230" s="4">
        <v>0</v>
      </c>
      <c r="F230" s="3" t="e">
        <f>VLOOKUP(B230,'Profit &amp; Loss'!$B$2:$C$390,2,0)</f>
        <v>#N/A</v>
      </c>
    </row>
    <row r="231" spans="1:6" x14ac:dyDescent="0.2">
      <c r="A231" s="3" t="s">
        <v>225</v>
      </c>
      <c r="B231" s="3" t="s">
        <v>2</v>
      </c>
      <c r="C231" s="4">
        <v>-85746371.450000003</v>
      </c>
      <c r="D231" s="4">
        <v>-85746371.450000003</v>
      </c>
      <c r="E231" s="4">
        <v>0</v>
      </c>
      <c r="F231" s="3" t="e">
        <f>VLOOKUP(B231,'Profit &amp; Loss'!$B$2:$C$390,2,0)</f>
        <v>#N/A</v>
      </c>
    </row>
    <row r="232" spans="1:6" x14ac:dyDescent="0.2">
      <c r="A232" s="3" t="s">
        <v>227</v>
      </c>
      <c r="B232" s="3" t="s">
        <v>2</v>
      </c>
      <c r="C232" s="4">
        <v>-85746371.450000003</v>
      </c>
      <c r="D232" s="4">
        <v>-85746371.450000003</v>
      </c>
      <c r="E232" s="4">
        <v>0</v>
      </c>
      <c r="F232" s="3" t="e">
        <f>VLOOKUP(B232,'Profit &amp; Loss'!$B$2:$C$390,2,0)</f>
        <v>#N/A</v>
      </c>
    </row>
    <row r="233" spans="1:6" x14ac:dyDescent="0.2">
      <c r="A233" s="3" t="s">
        <v>228</v>
      </c>
      <c r="B233" s="3" t="s">
        <v>2</v>
      </c>
      <c r="C233" s="4">
        <v>-85746371.450000003</v>
      </c>
      <c r="D233" s="4">
        <v>-85746371.450000003</v>
      </c>
      <c r="E233" s="4">
        <v>0</v>
      </c>
      <c r="F233" s="3" t="e">
        <f>VLOOKUP(B233,'Profit &amp; Loss'!$B$2:$C$390,2,0)</f>
        <v>#N/A</v>
      </c>
    </row>
    <row r="234" spans="1:6" x14ac:dyDescent="0.2">
      <c r="A234" s="3" t="s">
        <v>229</v>
      </c>
      <c r="B234" s="3" t="s">
        <v>230</v>
      </c>
      <c r="C234" s="4">
        <v>0</v>
      </c>
      <c r="D234" s="4">
        <v>0</v>
      </c>
      <c r="E234" s="4">
        <v>0</v>
      </c>
      <c r="F234" s="3" t="e">
        <f>VLOOKUP(B234,'Profit &amp; Loss'!$B$2:$C$390,2,0)</f>
        <v>#N/A</v>
      </c>
    </row>
    <row r="235" spans="1:6" x14ac:dyDescent="0.2">
      <c r="A235" s="3" t="s">
        <v>229</v>
      </c>
      <c r="B235" s="5" t="s">
        <v>231</v>
      </c>
      <c r="C235" s="4">
        <v>0</v>
      </c>
      <c r="D235" s="4">
        <v>0</v>
      </c>
      <c r="E235" s="4">
        <v>0</v>
      </c>
      <c r="F235" s="3" t="e">
        <f>VLOOKUP(B235,'Profit &amp; Loss'!$B$2:$C$390,2,0)</f>
        <v>#N/A</v>
      </c>
    </row>
    <row r="236" spans="1:6" x14ac:dyDescent="0.2">
      <c r="A236" s="3" t="s">
        <v>232</v>
      </c>
      <c r="B236" s="3" t="s">
        <v>2</v>
      </c>
      <c r="C236" s="4">
        <v>-13142418.859999999</v>
      </c>
      <c r="D236" s="4">
        <v>-12061999.539999999</v>
      </c>
      <c r="E236" s="4">
        <v>-1080419.32</v>
      </c>
      <c r="F236" s="3" t="e">
        <f>VLOOKUP(B236,'Profit &amp; Loss'!$B$2:$C$390,2,0)</f>
        <v>#N/A</v>
      </c>
    </row>
    <row r="237" spans="1:6" x14ac:dyDescent="0.2">
      <c r="A237" s="3" t="s">
        <v>229</v>
      </c>
      <c r="B237" s="3" t="s">
        <v>233</v>
      </c>
      <c r="C237" s="4">
        <v>-13142418.859999999</v>
      </c>
      <c r="D237" s="4">
        <v>-12061999.539999999</v>
      </c>
      <c r="E237" s="4">
        <v>-1080419.32</v>
      </c>
      <c r="F237" s="3" t="e">
        <f>VLOOKUP(B237,'Profit &amp; Loss'!$B$2:$C$390,2,0)</f>
        <v>#N/A</v>
      </c>
    </row>
    <row r="238" spans="1:6" x14ac:dyDescent="0.2">
      <c r="A238" s="3" t="s">
        <v>229</v>
      </c>
      <c r="B238" s="5" t="s">
        <v>234</v>
      </c>
      <c r="C238" s="4">
        <v>0</v>
      </c>
      <c r="D238" s="4">
        <v>0</v>
      </c>
      <c r="E238" s="4">
        <v>0</v>
      </c>
      <c r="F238" s="3" t="e">
        <f>VLOOKUP(B238,'Profit &amp; Loss'!$B$2:$C$390,2,0)</f>
        <v>#N/A</v>
      </c>
    </row>
    <row r="239" spans="1:6" x14ac:dyDescent="0.2">
      <c r="A239" s="3" t="s">
        <v>115</v>
      </c>
      <c r="B239" s="3" t="s">
        <v>235</v>
      </c>
      <c r="C239" s="4">
        <v>-61082056.399999999</v>
      </c>
      <c r="D239" s="4">
        <v>-58921434.25</v>
      </c>
      <c r="E239" s="4">
        <v>-2160622.15</v>
      </c>
      <c r="F239" s="3" t="e">
        <f>VLOOKUP(B239,'Profit &amp; Loss'!$B$2:$C$390,2,0)</f>
        <v>#N/A</v>
      </c>
    </row>
    <row r="240" spans="1:6" x14ac:dyDescent="0.2">
      <c r="A240" s="3" t="s">
        <v>115</v>
      </c>
      <c r="B240" s="5" t="s">
        <v>236</v>
      </c>
      <c r="C240" s="4">
        <v>0</v>
      </c>
      <c r="D240" s="4">
        <v>0</v>
      </c>
      <c r="E240" s="4">
        <v>0</v>
      </c>
      <c r="F240" s="3" t="e">
        <f>VLOOKUP(B240,'Profit &amp; Loss'!$B$2:$C$390,2,0)</f>
        <v>#N/A</v>
      </c>
    </row>
    <row r="241" spans="1:6" x14ac:dyDescent="0.2">
      <c r="A241" s="3" t="s">
        <v>237</v>
      </c>
      <c r="B241" s="3" t="s">
        <v>238</v>
      </c>
      <c r="C241" s="4">
        <v>0</v>
      </c>
      <c r="D241" s="4">
        <v>0</v>
      </c>
      <c r="E241" s="4">
        <v>0</v>
      </c>
      <c r="F241" s="3">
        <f>VLOOKUP(B241,'Profit &amp; Loss'!$B$2:$C$390,2,0)</f>
        <v>0</v>
      </c>
    </row>
    <row r="242" spans="1:6" x14ac:dyDescent="0.2">
      <c r="A242" s="3" t="s">
        <v>237</v>
      </c>
      <c r="B242" s="5" t="s">
        <v>239</v>
      </c>
      <c r="C242" s="4">
        <v>0</v>
      </c>
      <c r="D242" s="4">
        <v>0</v>
      </c>
      <c r="E242" s="4">
        <v>0</v>
      </c>
      <c r="F242" s="3" t="e">
        <f>VLOOKUP(B242,'Profit &amp; Loss'!$B$2:$C$390,2,0)</f>
        <v>#N/A</v>
      </c>
    </row>
    <row r="243" spans="1:6" x14ac:dyDescent="0.2">
      <c r="A243" s="3" t="s">
        <v>240</v>
      </c>
      <c r="B243" s="3" t="s">
        <v>241</v>
      </c>
      <c r="C243" s="4">
        <v>-1275526.67</v>
      </c>
      <c r="D243" s="4">
        <v>-58033.760000000002</v>
      </c>
      <c r="E243" s="4">
        <v>-1217492.9099999999</v>
      </c>
      <c r="F243" s="3">
        <f>VLOOKUP(B243,'Profit &amp; Loss'!$B$2:$C$390,2,0)</f>
        <v>-58033.760000000002</v>
      </c>
    </row>
    <row r="244" spans="1:6" x14ac:dyDescent="0.2">
      <c r="A244" s="3" t="s">
        <v>240</v>
      </c>
      <c r="B244" s="3" t="s">
        <v>824</v>
      </c>
      <c r="C244" s="4">
        <v>3837.96</v>
      </c>
      <c r="D244" s="4">
        <v>3837.96</v>
      </c>
      <c r="E244" s="4">
        <v>0</v>
      </c>
      <c r="F244" s="3">
        <f>VLOOKUP(B244,'Profit &amp; Loss'!$B$2:$C$390,2,0)</f>
        <v>3837.96</v>
      </c>
    </row>
    <row r="245" spans="1:6" s="18" customFormat="1" x14ac:dyDescent="0.2">
      <c r="A245" s="18" t="s">
        <v>240</v>
      </c>
      <c r="B245" s="18" t="s">
        <v>242</v>
      </c>
      <c r="C245" s="4">
        <v>-21410.81</v>
      </c>
      <c r="D245" s="4">
        <v>0</v>
      </c>
      <c r="E245" s="19">
        <v>-21410.81</v>
      </c>
      <c r="F245" s="18">
        <f>VLOOKUP(B245,'Profit &amp; Loss'!$B$2:$C$390,2,0)</f>
        <v>0</v>
      </c>
    </row>
    <row r="246" spans="1:6" x14ac:dyDescent="0.2">
      <c r="A246" s="3" t="s">
        <v>240</v>
      </c>
      <c r="B246" s="3" t="s">
        <v>2</v>
      </c>
      <c r="C246" s="4">
        <v>-1293099.52</v>
      </c>
      <c r="D246" s="4">
        <v>-54195.8</v>
      </c>
      <c r="E246" s="4">
        <v>-1238903.72</v>
      </c>
      <c r="F246" s="3" t="e">
        <f>VLOOKUP(B246,'Profit &amp; Loss'!$B$2:$C$390,2,0)</f>
        <v>#N/A</v>
      </c>
    </row>
    <row r="247" spans="1:6" x14ac:dyDescent="0.2">
      <c r="A247" s="3" t="s">
        <v>244</v>
      </c>
      <c r="B247" s="3" t="s">
        <v>245</v>
      </c>
      <c r="C247" s="4">
        <v>-40275557.109999999</v>
      </c>
      <c r="D247" s="4">
        <v>-36730990.950000003</v>
      </c>
      <c r="E247" s="4">
        <v>-3544566.16</v>
      </c>
      <c r="F247" s="3">
        <f>VLOOKUP(B247,'Profit &amp; Loss'!$B$2:$C$390,2,0)</f>
        <v>-4673022.7699999996</v>
      </c>
    </row>
    <row r="248" spans="1:6" x14ac:dyDescent="0.2">
      <c r="A248" s="3" t="s">
        <v>244</v>
      </c>
      <c r="B248" s="3" t="s">
        <v>536</v>
      </c>
      <c r="C248" s="4">
        <v>-936458.26</v>
      </c>
      <c r="D248" s="4">
        <v>-936458.26</v>
      </c>
      <c r="E248" s="4">
        <v>0</v>
      </c>
      <c r="F248" s="3">
        <f>VLOOKUP(B248,'Profit &amp; Loss'!$B$2:$C$390,2,0)</f>
        <v>-9457.2900000000009</v>
      </c>
    </row>
    <row r="249" spans="1:6" x14ac:dyDescent="0.2">
      <c r="A249" s="3" t="s">
        <v>244</v>
      </c>
      <c r="B249" s="3" t="s">
        <v>537</v>
      </c>
      <c r="C249" s="4">
        <v>57230.52</v>
      </c>
      <c r="D249" s="4">
        <v>57230.52</v>
      </c>
      <c r="E249" s="4">
        <v>0</v>
      </c>
      <c r="F249" s="3">
        <f>VLOOKUP(B249,'Profit &amp; Loss'!$B$2:$C$390,2,0)</f>
        <v>0.01</v>
      </c>
    </row>
    <row r="250" spans="1:6" x14ac:dyDescent="0.2">
      <c r="A250" s="3" t="s">
        <v>244</v>
      </c>
      <c r="B250" s="3" t="s">
        <v>246</v>
      </c>
      <c r="C250" s="4">
        <v>-687961.32</v>
      </c>
      <c r="D250" s="4">
        <v>-650921.66</v>
      </c>
      <c r="E250" s="4">
        <v>-37039.660000000003</v>
      </c>
      <c r="F250" s="3">
        <f>VLOOKUP(B250,'Profit &amp; Loss'!$B$2:$C$390,2,0)</f>
        <v>-49623.57</v>
      </c>
    </row>
    <row r="251" spans="1:6" x14ac:dyDescent="0.2">
      <c r="A251" s="3" t="s">
        <v>244</v>
      </c>
      <c r="B251" s="3" t="s">
        <v>247</v>
      </c>
      <c r="C251" s="4">
        <v>-244.34</v>
      </c>
      <c r="D251" s="4">
        <v>-216.25</v>
      </c>
      <c r="E251" s="4">
        <v>-28.09</v>
      </c>
      <c r="F251" s="3">
        <f>VLOOKUP(B251,'Profit &amp; Loss'!$B$2:$C$390,2,0)</f>
        <v>-27.12</v>
      </c>
    </row>
    <row r="252" spans="1:6" x14ac:dyDescent="0.2">
      <c r="A252" s="3" t="s">
        <v>244</v>
      </c>
      <c r="B252" s="3" t="s">
        <v>949</v>
      </c>
      <c r="C252" s="4">
        <v>-292659.53999999998</v>
      </c>
      <c r="D252" s="4">
        <v>-231712.84</v>
      </c>
      <c r="E252" s="4">
        <v>-60946.7</v>
      </c>
      <c r="F252" s="3">
        <f>VLOOKUP(B252,'Profit &amp; Loss'!$B$2:$C$390,2,0)</f>
        <v>-133950.59</v>
      </c>
    </row>
    <row r="253" spans="1:6" x14ac:dyDescent="0.2">
      <c r="A253" s="3" t="s">
        <v>244</v>
      </c>
      <c r="B253" s="3" t="s">
        <v>248</v>
      </c>
      <c r="C253" s="4">
        <v>-453761.79</v>
      </c>
      <c r="D253" s="4">
        <v>-377486.29</v>
      </c>
      <c r="E253" s="4">
        <v>-76275.5</v>
      </c>
      <c r="F253" s="3">
        <f>VLOOKUP(B253,'Profit &amp; Loss'!$B$2:$C$390,2,0)</f>
        <v>0</v>
      </c>
    </row>
    <row r="254" spans="1:6" x14ac:dyDescent="0.2">
      <c r="A254" s="3" t="s">
        <v>244</v>
      </c>
      <c r="B254" s="3" t="s">
        <v>249</v>
      </c>
      <c r="C254" s="4">
        <v>-729321.94</v>
      </c>
      <c r="D254" s="4">
        <v>-454868.9</v>
      </c>
      <c r="E254" s="4">
        <v>-274453.03999999998</v>
      </c>
      <c r="F254" s="3">
        <f>VLOOKUP(B254,'Profit &amp; Loss'!$B$2:$C$390,2,0)</f>
        <v>0</v>
      </c>
    </row>
    <row r="255" spans="1:6" x14ac:dyDescent="0.2">
      <c r="A255" s="3" t="s">
        <v>244</v>
      </c>
      <c r="B255" s="3" t="s">
        <v>250</v>
      </c>
      <c r="C255" s="4">
        <v>-25468.53</v>
      </c>
      <c r="D255" s="4">
        <v>-23492.23</v>
      </c>
      <c r="E255" s="4">
        <v>-1976.3</v>
      </c>
      <c r="F255" s="3">
        <f>VLOOKUP(B255,'Profit &amp; Loss'!$B$2:$C$390,2,0)</f>
        <v>-1606.18</v>
      </c>
    </row>
    <row r="256" spans="1:6" x14ac:dyDescent="0.2">
      <c r="A256" s="3" t="s">
        <v>244</v>
      </c>
      <c r="B256" s="3" t="s">
        <v>251</v>
      </c>
      <c r="C256" s="4">
        <v>111244.9</v>
      </c>
      <c r="D256" s="4">
        <v>94612.64</v>
      </c>
      <c r="E256" s="4">
        <v>16632.259999999998</v>
      </c>
      <c r="F256" s="3">
        <f>VLOOKUP(B256,'Profit &amp; Loss'!$B$2:$C$390,2,0)</f>
        <v>12361.59</v>
      </c>
    </row>
    <row r="257" spans="1:6" x14ac:dyDescent="0.2">
      <c r="A257" s="3" t="s">
        <v>244</v>
      </c>
      <c r="B257" s="3" t="s">
        <v>252</v>
      </c>
      <c r="C257" s="4">
        <v>-32440.38</v>
      </c>
      <c r="D257" s="4">
        <v>-24897.82</v>
      </c>
      <c r="E257" s="4">
        <v>-7542.56</v>
      </c>
      <c r="F257" s="3">
        <f>VLOOKUP(B257,'Profit &amp; Loss'!$B$2:$C$390,2,0)</f>
        <v>0</v>
      </c>
    </row>
    <row r="258" spans="1:6" x14ac:dyDescent="0.2">
      <c r="A258" s="3" t="s">
        <v>244</v>
      </c>
      <c r="B258" s="3" t="s">
        <v>2</v>
      </c>
      <c r="C258" s="4">
        <v>-43265397.789999999</v>
      </c>
      <c r="D258" s="4">
        <v>-39279202.039999999</v>
      </c>
      <c r="E258" s="4">
        <v>-3986195.75</v>
      </c>
      <c r="F258" s="3" t="e">
        <f>VLOOKUP(B258,'Profit &amp; Loss'!$B$2:$C$390,2,0)</f>
        <v>#N/A</v>
      </c>
    </row>
    <row r="259" spans="1:6" x14ac:dyDescent="0.2">
      <c r="A259" s="3" t="s">
        <v>253</v>
      </c>
      <c r="B259" s="3" t="s">
        <v>254</v>
      </c>
      <c r="C259" s="4">
        <v>327831.34000000003</v>
      </c>
      <c r="D259" s="4">
        <v>304001.5</v>
      </c>
      <c r="E259" s="4">
        <v>23829.84</v>
      </c>
      <c r="F259" s="3">
        <f>VLOOKUP(B259,'Profit &amp; Loss'!$B$2:$C$390,2,0)</f>
        <v>31846.94</v>
      </c>
    </row>
    <row r="260" spans="1:6" x14ac:dyDescent="0.2">
      <c r="A260" s="3" t="s">
        <v>253</v>
      </c>
      <c r="B260" s="3" t="s">
        <v>255</v>
      </c>
      <c r="C260" s="4">
        <v>-202431.95</v>
      </c>
      <c r="D260" s="4">
        <v>-187348.18</v>
      </c>
      <c r="E260" s="4">
        <v>-15083.77</v>
      </c>
      <c r="F260" s="3">
        <f>VLOOKUP(B260,'Profit &amp; Loss'!$B$2:$C$390,2,0)</f>
        <v>-31894.21</v>
      </c>
    </row>
    <row r="261" spans="1:6" x14ac:dyDescent="0.2">
      <c r="A261" s="3" t="s">
        <v>253</v>
      </c>
      <c r="B261" s="3" t="s">
        <v>256</v>
      </c>
      <c r="C261" s="4">
        <v>-125457.11</v>
      </c>
      <c r="D261" s="4">
        <v>-107576.11</v>
      </c>
      <c r="E261" s="4">
        <v>-17881</v>
      </c>
      <c r="F261" s="3">
        <f>VLOOKUP(B261,'Profit &amp; Loss'!$B$2:$C$390,2,0)</f>
        <v>-17785.87</v>
      </c>
    </row>
    <row r="262" spans="1:6" x14ac:dyDescent="0.2">
      <c r="A262" s="3" t="s">
        <v>253</v>
      </c>
      <c r="B262" s="3" t="s">
        <v>257</v>
      </c>
      <c r="C262" s="4">
        <v>-2546884.06</v>
      </c>
      <c r="D262" s="4">
        <v>-2168283.27</v>
      </c>
      <c r="E262" s="4">
        <v>-378600.79</v>
      </c>
      <c r="F262" s="3">
        <f>VLOOKUP(B262,'Profit &amp; Loss'!$B$2:$C$390,2,0)</f>
        <v>-222549.26</v>
      </c>
    </row>
    <row r="263" spans="1:6" x14ac:dyDescent="0.2">
      <c r="A263" s="3" t="s">
        <v>253</v>
      </c>
      <c r="B263" s="3" t="s">
        <v>258</v>
      </c>
      <c r="C263" s="4">
        <v>27468.09</v>
      </c>
      <c r="D263" s="4">
        <v>21505.919999999998</v>
      </c>
      <c r="E263" s="4">
        <v>5962.17</v>
      </c>
      <c r="F263" s="3">
        <f>VLOOKUP(B263,'Profit &amp; Loss'!$B$2:$C$390,2,0)</f>
        <v>4.93</v>
      </c>
    </row>
    <row r="264" spans="1:6" x14ac:dyDescent="0.2">
      <c r="A264" s="3" t="s">
        <v>253</v>
      </c>
      <c r="B264" s="3" t="s">
        <v>259</v>
      </c>
      <c r="C264" s="4">
        <v>-842.39</v>
      </c>
      <c r="D264" s="4">
        <v>-552.78</v>
      </c>
      <c r="E264" s="4">
        <v>-289.61</v>
      </c>
      <c r="F264" s="3">
        <f>VLOOKUP(B264,'Profit &amp; Loss'!$B$2:$C$390,2,0)</f>
        <v>0</v>
      </c>
    </row>
    <row r="265" spans="1:6" x14ac:dyDescent="0.2">
      <c r="A265" s="3" t="s">
        <v>253</v>
      </c>
      <c r="B265" s="3" t="s">
        <v>1227</v>
      </c>
      <c r="C265" s="4">
        <v>-142.18</v>
      </c>
      <c r="D265" s="4">
        <v>-142.18</v>
      </c>
      <c r="E265" s="4">
        <v>0</v>
      </c>
      <c r="F265" s="3">
        <f>VLOOKUP(B265,'Profit &amp; Loss'!$B$2:$C$390,2,0)</f>
        <v>0</v>
      </c>
    </row>
    <row r="266" spans="1:6" x14ac:dyDescent="0.2">
      <c r="A266" s="3" t="s">
        <v>253</v>
      </c>
      <c r="B266" s="3" t="s">
        <v>989</v>
      </c>
      <c r="C266" s="4">
        <v>5.01</v>
      </c>
      <c r="D266" s="4">
        <v>5.01</v>
      </c>
      <c r="E266" s="4">
        <v>0</v>
      </c>
      <c r="F266" s="3">
        <f>VLOOKUP(B266,'Profit &amp; Loss'!$B$2:$C$390,2,0)</f>
        <v>5.01</v>
      </c>
    </row>
    <row r="267" spans="1:6" x14ac:dyDescent="0.2">
      <c r="A267" s="3" t="s">
        <v>253</v>
      </c>
      <c r="B267" s="3" t="s">
        <v>2</v>
      </c>
      <c r="C267" s="4">
        <v>-2520453.25</v>
      </c>
      <c r="D267" s="4">
        <v>-2138390.09</v>
      </c>
      <c r="E267" s="4">
        <v>-382063.16</v>
      </c>
      <c r="F267" s="3" t="e">
        <f>VLOOKUP(B267,'Profit &amp; Loss'!$B$2:$C$390,2,0)</f>
        <v>#N/A</v>
      </c>
    </row>
    <row r="268" spans="1:6" x14ac:dyDescent="0.2">
      <c r="A268" s="3" t="s">
        <v>260</v>
      </c>
      <c r="B268" s="3" t="s">
        <v>261</v>
      </c>
      <c r="C268" s="4">
        <v>-5177477.01</v>
      </c>
      <c r="D268" s="4">
        <v>-4357708.75</v>
      </c>
      <c r="E268" s="4">
        <v>-819768.26</v>
      </c>
      <c r="F268" s="3">
        <f>VLOOKUP(B268,'Profit &amp; Loss'!$B$2:$C$390,2,0)</f>
        <v>-646517.02</v>
      </c>
    </row>
    <row r="269" spans="1:6" x14ac:dyDescent="0.2">
      <c r="A269" s="3" t="s">
        <v>260</v>
      </c>
      <c r="B269" s="3" t="s">
        <v>2</v>
      </c>
      <c r="C269" s="4">
        <v>-5177477.01</v>
      </c>
      <c r="D269" s="4">
        <v>-4357708.75</v>
      </c>
      <c r="E269" s="4">
        <v>-819768.26</v>
      </c>
      <c r="F269" s="3" t="e">
        <f>VLOOKUP(B269,'Profit &amp; Loss'!$B$2:$C$390,2,0)</f>
        <v>#N/A</v>
      </c>
    </row>
    <row r="270" spans="1:6" x14ac:dyDescent="0.2">
      <c r="A270" s="3" t="s">
        <v>263</v>
      </c>
      <c r="B270" s="3" t="s">
        <v>264</v>
      </c>
      <c r="C270" s="4">
        <v>-605592.44999999995</v>
      </c>
      <c r="D270" s="4">
        <v>-506742.43</v>
      </c>
      <c r="E270" s="4">
        <v>-98850.02</v>
      </c>
      <c r="F270" s="3">
        <f>VLOOKUP(B270,'Profit &amp; Loss'!$B$2:$C$390,2,0)</f>
        <v>-52009.78</v>
      </c>
    </row>
    <row r="271" spans="1:6" x14ac:dyDescent="0.2">
      <c r="A271" s="3" t="s">
        <v>263</v>
      </c>
      <c r="B271" s="3" t="s">
        <v>2</v>
      </c>
      <c r="C271" s="4">
        <v>-605592.44999999995</v>
      </c>
      <c r="D271" s="4">
        <v>-506742.43</v>
      </c>
      <c r="E271" s="4">
        <v>-98850.02</v>
      </c>
      <c r="F271" s="3" t="e">
        <f>VLOOKUP(B271,'Profit &amp; Loss'!$B$2:$C$390,2,0)</f>
        <v>#N/A</v>
      </c>
    </row>
    <row r="272" spans="1:6" x14ac:dyDescent="0.2">
      <c r="A272" s="3" t="s">
        <v>265</v>
      </c>
      <c r="B272" s="3" t="s">
        <v>2</v>
      </c>
      <c r="C272" s="4">
        <v>-52862020.020000003</v>
      </c>
      <c r="D272" s="4">
        <v>-46336239.109999999</v>
      </c>
      <c r="E272" s="4">
        <v>-6525780.9100000001</v>
      </c>
      <c r="F272" s="3" t="e">
        <f>VLOOKUP(B272,'Profit &amp; Loss'!$B$2:$C$390,2,0)</f>
        <v>#N/A</v>
      </c>
    </row>
    <row r="273" spans="1:6" x14ac:dyDescent="0.2">
      <c r="A273" s="3" t="s">
        <v>266</v>
      </c>
      <c r="B273" s="3" t="s">
        <v>267</v>
      </c>
      <c r="C273" s="4">
        <v>1016548.84</v>
      </c>
      <c r="D273" s="4">
        <v>36345.19</v>
      </c>
      <c r="E273" s="4">
        <v>980203.65</v>
      </c>
      <c r="F273" s="3">
        <f>VLOOKUP(B273,'Profit &amp; Loss'!$B$2:$C$390,2,0)</f>
        <v>35994.629999999997</v>
      </c>
    </row>
    <row r="274" spans="1:6" s="18" customFormat="1" x14ac:dyDescent="0.2">
      <c r="A274" s="18" t="s">
        <v>266</v>
      </c>
      <c r="B274" s="18" t="s">
        <v>268</v>
      </c>
      <c r="C274" s="4">
        <v>20484.939999999999</v>
      </c>
      <c r="D274" s="4">
        <v>0</v>
      </c>
      <c r="E274" s="19">
        <v>20484.939999999999</v>
      </c>
      <c r="F274" s="18">
        <f>VLOOKUP(B274,'Profit &amp; Loss'!$B$2:$C$390,2,0)</f>
        <v>0</v>
      </c>
    </row>
    <row r="275" spans="1:6" x14ac:dyDescent="0.2">
      <c r="A275" s="3" t="s">
        <v>266</v>
      </c>
      <c r="B275" s="3" t="s">
        <v>542</v>
      </c>
      <c r="C275" s="4">
        <v>70.900000000000006</v>
      </c>
      <c r="D275" s="4">
        <v>70.900000000000006</v>
      </c>
      <c r="E275" s="4">
        <v>0</v>
      </c>
      <c r="F275" s="3">
        <f>VLOOKUP(B275,'Profit &amp; Loss'!$B$2:$C$390,2,0)</f>
        <v>0</v>
      </c>
    </row>
    <row r="276" spans="1:6" x14ac:dyDescent="0.2">
      <c r="A276" s="3" t="s">
        <v>266</v>
      </c>
      <c r="B276" s="3" t="s">
        <v>270</v>
      </c>
      <c r="C276" s="4">
        <v>58803</v>
      </c>
      <c r="D276" s="4">
        <v>1700</v>
      </c>
      <c r="E276" s="4">
        <v>57103</v>
      </c>
      <c r="F276" s="3">
        <f>VLOOKUP(B276,'Profit &amp; Loss'!$B$2:$C$390,2,0)</f>
        <v>1700</v>
      </c>
    </row>
    <row r="277" spans="1:6" x14ac:dyDescent="0.2">
      <c r="A277" s="3" t="s">
        <v>266</v>
      </c>
      <c r="B277" s="3" t="s">
        <v>271</v>
      </c>
      <c r="C277" s="4">
        <v>1259.51</v>
      </c>
      <c r="D277" s="4">
        <v>1259.51</v>
      </c>
      <c r="E277" s="4">
        <v>0</v>
      </c>
      <c r="F277" s="3">
        <f>VLOOKUP(B277,'Profit &amp; Loss'!$B$2:$C$390,2,0)</f>
        <v>687.98</v>
      </c>
    </row>
    <row r="278" spans="1:6" x14ac:dyDescent="0.2">
      <c r="A278" s="3" t="s">
        <v>266</v>
      </c>
      <c r="B278" s="3" t="s">
        <v>272</v>
      </c>
      <c r="C278" s="4">
        <v>3744.15</v>
      </c>
      <c r="D278" s="4">
        <v>3744.15</v>
      </c>
      <c r="E278" s="4">
        <v>0</v>
      </c>
      <c r="F278" s="3">
        <f>VLOOKUP(B278,'Profit &amp; Loss'!$B$2:$C$390,2,0)</f>
        <v>3744.15</v>
      </c>
    </row>
    <row r="279" spans="1:6" x14ac:dyDescent="0.2">
      <c r="A279" s="3" t="s">
        <v>266</v>
      </c>
      <c r="B279" s="3" t="s">
        <v>273</v>
      </c>
      <c r="C279" s="4">
        <v>160.72</v>
      </c>
      <c r="D279" s="4">
        <v>160.72</v>
      </c>
      <c r="E279" s="4">
        <v>0</v>
      </c>
      <c r="F279" s="3">
        <f>VLOOKUP(B279,'Profit &amp; Loss'!$B$2:$C$390,2,0)</f>
        <v>0</v>
      </c>
    </row>
    <row r="280" spans="1:6" x14ac:dyDescent="0.2">
      <c r="A280" s="3" t="s">
        <v>266</v>
      </c>
      <c r="B280" s="3" t="s">
        <v>274</v>
      </c>
      <c r="C280" s="4">
        <v>1232.82</v>
      </c>
      <c r="D280" s="4">
        <v>54.02</v>
      </c>
      <c r="E280" s="4">
        <v>1178.8</v>
      </c>
      <c r="F280" s="3">
        <f>VLOOKUP(B280,'Profit &amp; Loss'!$B$2:$C$390,2,0)</f>
        <v>54.02</v>
      </c>
    </row>
    <row r="281" spans="1:6" x14ac:dyDescent="0.2">
      <c r="A281" s="3" t="s">
        <v>266</v>
      </c>
      <c r="B281" s="3" t="s">
        <v>641</v>
      </c>
      <c r="C281" s="4">
        <v>706.62</v>
      </c>
      <c r="D281" s="4">
        <v>706.62</v>
      </c>
      <c r="E281" s="4">
        <v>0</v>
      </c>
      <c r="F281" s="3">
        <f>VLOOKUP(B281,'Profit &amp; Loss'!$B$2:$C$390,2,0)</f>
        <v>0</v>
      </c>
    </row>
    <row r="282" spans="1:6" x14ac:dyDescent="0.2">
      <c r="A282" s="3" t="s">
        <v>266</v>
      </c>
      <c r="B282" s="3" t="s">
        <v>275</v>
      </c>
      <c r="C282" s="4">
        <v>5856.48</v>
      </c>
      <c r="D282" s="4">
        <v>-1130.9000000000001</v>
      </c>
      <c r="E282" s="4">
        <v>6987.38</v>
      </c>
      <c r="F282" s="3">
        <f>VLOOKUP(B282,'Profit &amp; Loss'!$B$2:$C$390,2,0)</f>
        <v>270.11</v>
      </c>
    </row>
    <row r="283" spans="1:6" x14ac:dyDescent="0.2">
      <c r="A283" s="3" t="s">
        <v>266</v>
      </c>
      <c r="B283" s="3" t="s">
        <v>276</v>
      </c>
      <c r="C283" s="4">
        <v>1857.54</v>
      </c>
      <c r="D283" s="4">
        <v>1857.54</v>
      </c>
      <c r="E283" s="4">
        <v>0</v>
      </c>
      <c r="F283" s="3">
        <f>VLOOKUP(B283,'Profit &amp; Loss'!$B$2:$C$390,2,0)</f>
        <v>1027.45</v>
      </c>
    </row>
    <row r="284" spans="1:6" s="18" customFormat="1" x14ac:dyDescent="0.2">
      <c r="A284" s="18" t="s">
        <v>266</v>
      </c>
      <c r="B284" s="18" t="s">
        <v>278</v>
      </c>
      <c r="C284" s="4">
        <v>34962.43</v>
      </c>
      <c r="D284" s="4">
        <v>0</v>
      </c>
      <c r="E284" s="19">
        <v>34962.43</v>
      </c>
      <c r="F284" s="18">
        <f>VLOOKUP(B284,'Profit &amp; Loss'!$B$2:$C$390,2,0)</f>
        <v>0</v>
      </c>
    </row>
    <row r="285" spans="1:6" x14ac:dyDescent="0.2">
      <c r="A285" s="3" t="s">
        <v>266</v>
      </c>
      <c r="B285" s="3" t="s">
        <v>279</v>
      </c>
      <c r="C285" s="4">
        <v>-1359.36</v>
      </c>
      <c r="D285" s="4">
        <v>-1344.92</v>
      </c>
      <c r="E285" s="4">
        <v>-14.44</v>
      </c>
      <c r="F285" s="3">
        <f>VLOOKUP(B285,'Profit &amp; Loss'!$B$2:$C$390,2,0)</f>
        <v>611.70000000000005</v>
      </c>
    </row>
    <row r="286" spans="1:6" x14ac:dyDescent="0.2">
      <c r="A286" s="3" t="s">
        <v>266</v>
      </c>
      <c r="B286" s="3" t="s">
        <v>280</v>
      </c>
      <c r="C286" s="4">
        <v>-1974.34</v>
      </c>
      <c r="D286" s="4">
        <v>-1974.34</v>
      </c>
      <c r="E286" s="4">
        <v>0</v>
      </c>
      <c r="F286" s="3">
        <f>VLOOKUP(B286,'Profit &amp; Loss'!$B$2:$C$390,2,0)</f>
        <v>0</v>
      </c>
    </row>
    <row r="287" spans="1:6" x14ac:dyDescent="0.2">
      <c r="A287" s="3" t="s">
        <v>266</v>
      </c>
      <c r="B287" s="3" t="s">
        <v>281</v>
      </c>
      <c r="C287" s="4">
        <v>9005.86</v>
      </c>
      <c r="D287" s="4">
        <v>-1251.47</v>
      </c>
      <c r="E287" s="4">
        <v>10257.33</v>
      </c>
      <c r="F287" s="3">
        <f>VLOOKUP(B287,'Profit &amp; Loss'!$B$2:$C$390,2,0)</f>
        <v>-195.89</v>
      </c>
    </row>
    <row r="288" spans="1:6" x14ac:dyDescent="0.2">
      <c r="A288" s="3" t="s">
        <v>266</v>
      </c>
      <c r="B288" s="3" t="s">
        <v>282</v>
      </c>
      <c r="C288" s="4">
        <v>-60.88</v>
      </c>
      <c r="D288" s="4">
        <v>-60.88</v>
      </c>
      <c r="E288" s="4">
        <v>0</v>
      </c>
      <c r="F288" s="3">
        <f>VLOOKUP(B288,'Profit &amp; Loss'!$B$2:$C$390,2,0)</f>
        <v>0</v>
      </c>
    </row>
    <row r="289" spans="1:6" x14ac:dyDescent="0.2">
      <c r="A289" s="3" t="s">
        <v>266</v>
      </c>
      <c r="B289" s="3" t="s">
        <v>829</v>
      </c>
      <c r="C289" s="4">
        <v>62523.8</v>
      </c>
      <c r="D289" s="4">
        <v>-476.2</v>
      </c>
      <c r="E289" s="4">
        <v>63000</v>
      </c>
      <c r="F289" s="3">
        <f>VLOOKUP(B289,'Profit &amp; Loss'!$B$2:$C$390,2,0)</f>
        <v>199.48</v>
      </c>
    </row>
    <row r="290" spans="1:6" x14ac:dyDescent="0.2">
      <c r="A290" s="3" t="s">
        <v>266</v>
      </c>
      <c r="B290" s="3" t="s">
        <v>283</v>
      </c>
      <c r="C290" s="4">
        <v>-1955.09</v>
      </c>
      <c r="D290" s="4">
        <v>-1955.09</v>
      </c>
      <c r="E290" s="4">
        <v>0</v>
      </c>
      <c r="F290" s="3">
        <f>VLOOKUP(B290,'Profit &amp; Loss'!$B$2:$C$390,2,0)</f>
        <v>1000</v>
      </c>
    </row>
    <row r="291" spans="1:6" x14ac:dyDescent="0.2">
      <c r="A291" s="3" t="s">
        <v>266</v>
      </c>
      <c r="B291" s="3" t="s">
        <v>284</v>
      </c>
      <c r="C291" s="4">
        <v>29831.01</v>
      </c>
      <c r="D291" s="4">
        <v>-455.7</v>
      </c>
      <c r="E291" s="4">
        <v>30286.71</v>
      </c>
      <c r="F291" s="3">
        <f>VLOOKUP(B291,'Profit &amp; Loss'!$B$2:$C$390,2,0)</f>
        <v>536.67999999999995</v>
      </c>
    </row>
    <row r="292" spans="1:6" x14ac:dyDescent="0.2">
      <c r="A292" s="3" t="s">
        <v>266</v>
      </c>
      <c r="B292" s="3" t="s">
        <v>285</v>
      </c>
      <c r="C292" s="4">
        <v>-400</v>
      </c>
      <c r="D292" s="4">
        <v>-400</v>
      </c>
      <c r="E292" s="4">
        <v>0</v>
      </c>
      <c r="F292" s="3">
        <f>VLOOKUP(B292,'Profit &amp; Loss'!$B$2:$C$390,2,0)</f>
        <v>200</v>
      </c>
    </row>
    <row r="293" spans="1:6" x14ac:dyDescent="0.2">
      <c r="A293" s="3" t="s">
        <v>266</v>
      </c>
      <c r="B293" s="3" t="s">
        <v>2</v>
      </c>
      <c r="C293" s="4">
        <v>1241298.95</v>
      </c>
      <c r="D293" s="4">
        <v>36849.15</v>
      </c>
      <c r="E293" s="4">
        <v>1204449.8</v>
      </c>
      <c r="F293" s="3" t="e">
        <f>VLOOKUP(B293,'Profit &amp; Loss'!$B$2:$C$390,2,0)</f>
        <v>#N/A</v>
      </c>
    </row>
    <row r="294" spans="1:6" x14ac:dyDescent="0.2">
      <c r="A294" s="3" t="s">
        <v>286</v>
      </c>
      <c r="B294" s="3" t="s">
        <v>287</v>
      </c>
      <c r="C294" s="4">
        <v>28152983.48</v>
      </c>
      <c r="D294" s="4">
        <v>25592698.809999999</v>
      </c>
      <c r="E294" s="4">
        <v>2560284.67</v>
      </c>
      <c r="F294" s="3">
        <f>VLOOKUP(B294,'Profit &amp; Loss'!$B$2:$C$390,2,0)</f>
        <v>3184835.62</v>
      </c>
    </row>
    <row r="295" spans="1:6" x14ac:dyDescent="0.2">
      <c r="A295" s="3" t="s">
        <v>286</v>
      </c>
      <c r="B295" s="3" t="s">
        <v>548</v>
      </c>
      <c r="C295" s="4">
        <v>791184.54</v>
      </c>
      <c r="D295" s="4">
        <v>791131.76</v>
      </c>
      <c r="E295" s="4">
        <v>52.78</v>
      </c>
      <c r="F295" s="3">
        <f>VLOOKUP(B295,'Profit &amp; Loss'!$B$2:$C$390,2,0)</f>
        <v>7169.99</v>
      </c>
    </row>
    <row r="296" spans="1:6" x14ac:dyDescent="0.2">
      <c r="A296" s="3" t="s">
        <v>286</v>
      </c>
      <c r="B296" s="3" t="s">
        <v>288</v>
      </c>
      <c r="C296" s="4">
        <v>553487.02</v>
      </c>
      <c r="D296" s="4">
        <v>518721.27</v>
      </c>
      <c r="E296" s="4">
        <v>34765.75</v>
      </c>
      <c r="F296" s="3">
        <f>VLOOKUP(B296,'Profit &amp; Loss'!$B$2:$C$390,2,0)</f>
        <v>28211.14</v>
      </c>
    </row>
    <row r="297" spans="1:6" x14ac:dyDescent="0.2">
      <c r="A297" s="3" t="s">
        <v>286</v>
      </c>
      <c r="B297" s="3" t="s">
        <v>289</v>
      </c>
      <c r="C297" s="4">
        <v>163.22</v>
      </c>
      <c r="D297" s="4">
        <v>144.09</v>
      </c>
      <c r="E297" s="4">
        <v>19.13</v>
      </c>
      <c r="F297" s="3">
        <f>VLOOKUP(B297,'Profit &amp; Loss'!$B$2:$C$390,2,0)</f>
        <v>18.079999999999998</v>
      </c>
    </row>
    <row r="298" spans="1:6" x14ac:dyDescent="0.2">
      <c r="A298" s="3" t="s">
        <v>286</v>
      </c>
      <c r="B298" s="3" t="s">
        <v>952</v>
      </c>
      <c r="C298" s="4">
        <v>17514.43</v>
      </c>
      <c r="D298" s="4">
        <v>12953.86</v>
      </c>
      <c r="E298" s="4">
        <v>4560.57</v>
      </c>
      <c r="F298" s="3">
        <f>VLOOKUP(B298,'Profit &amp; Loss'!$B$2:$C$390,2,0)</f>
        <v>8746</v>
      </c>
    </row>
    <row r="299" spans="1:6" x14ac:dyDescent="0.2">
      <c r="A299" s="3" t="s">
        <v>286</v>
      </c>
      <c r="B299" s="3" t="s">
        <v>290</v>
      </c>
      <c r="C299" s="4">
        <v>-487142.01</v>
      </c>
      <c r="D299" s="4">
        <v>-202403.86</v>
      </c>
      <c r="E299" s="4">
        <v>-284738.15000000002</v>
      </c>
      <c r="F299" s="3">
        <f>VLOOKUP(B299,'Profit &amp; Loss'!$B$2:$C$390,2,0)</f>
        <v>-21923.22</v>
      </c>
    </row>
    <row r="300" spans="1:6" x14ac:dyDescent="0.2">
      <c r="A300" s="3" t="s">
        <v>286</v>
      </c>
      <c r="B300" s="3" t="s">
        <v>291</v>
      </c>
      <c r="C300" s="4">
        <v>-1623907</v>
      </c>
      <c r="D300" s="4">
        <v>-1448830.81</v>
      </c>
      <c r="E300" s="4">
        <v>-175076.19</v>
      </c>
      <c r="F300" s="3">
        <f>VLOOKUP(B300,'Profit &amp; Loss'!$B$2:$C$390,2,0)</f>
        <v>-107667</v>
      </c>
    </row>
    <row r="301" spans="1:6" x14ac:dyDescent="0.2">
      <c r="A301" s="3" t="s">
        <v>286</v>
      </c>
      <c r="B301" s="3" t="s">
        <v>292</v>
      </c>
      <c r="C301" s="4">
        <v>764110.2</v>
      </c>
      <c r="D301" s="4">
        <v>485012.78</v>
      </c>
      <c r="E301" s="4">
        <v>279097.42</v>
      </c>
      <c r="F301" s="3">
        <f>VLOOKUP(B301,'Profit &amp; Loss'!$B$2:$C$390,2,0)</f>
        <v>0</v>
      </c>
    </row>
    <row r="302" spans="1:6" x14ac:dyDescent="0.2">
      <c r="A302" s="3" t="s">
        <v>286</v>
      </c>
      <c r="B302" s="3" t="s">
        <v>293</v>
      </c>
      <c r="C302" s="4">
        <v>301221.09000000003</v>
      </c>
      <c r="D302" s="4">
        <v>242964.82</v>
      </c>
      <c r="E302" s="4">
        <v>58256.27</v>
      </c>
      <c r="F302" s="3">
        <f>VLOOKUP(B302,'Profit &amp; Loss'!$B$2:$C$390,2,0)</f>
        <v>0</v>
      </c>
    </row>
    <row r="303" spans="1:6" x14ac:dyDescent="0.2">
      <c r="A303" s="3" t="s">
        <v>286</v>
      </c>
      <c r="B303" s="3" t="s">
        <v>294</v>
      </c>
      <c r="C303" s="4">
        <v>5076.58</v>
      </c>
      <c r="D303" s="4">
        <v>3395.48</v>
      </c>
      <c r="E303" s="4">
        <v>1681.1</v>
      </c>
      <c r="F303" s="3">
        <f>VLOOKUP(B303,'Profit &amp; Loss'!$B$2:$C$390,2,0)</f>
        <v>0</v>
      </c>
    </row>
    <row r="304" spans="1:6" s="18" customFormat="1" x14ac:dyDescent="0.2">
      <c r="A304" s="18" t="s">
        <v>286</v>
      </c>
      <c r="B304" s="18" t="s">
        <v>295</v>
      </c>
      <c r="C304" s="4">
        <v>132094.57999999999</v>
      </c>
      <c r="D304" s="4">
        <v>0</v>
      </c>
      <c r="E304" s="19">
        <v>132094.57999999999</v>
      </c>
      <c r="F304" s="18">
        <f>VLOOKUP(B304,'Profit &amp; Loss'!$B$2:$C$390,2,0)</f>
        <v>0</v>
      </c>
    </row>
    <row r="305" spans="1:6" x14ac:dyDescent="0.2">
      <c r="A305" s="3" t="s">
        <v>286</v>
      </c>
      <c r="B305" s="3" t="s">
        <v>296</v>
      </c>
      <c r="C305" s="4">
        <v>-675.87</v>
      </c>
      <c r="D305" s="4">
        <v>-1531.66</v>
      </c>
      <c r="E305" s="4">
        <v>855.79</v>
      </c>
      <c r="F305" s="3">
        <f>VLOOKUP(B305,'Profit &amp; Loss'!$B$2:$C$390,2,0)</f>
        <v>-1015.33</v>
      </c>
    </row>
    <row r="306" spans="1:6" x14ac:dyDescent="0.2">
      <c r="A306" s="3" t="s">
        <v>286</v>
      </c>
      <c r="B306" s="3" t="s">
        <v>2</v>
      </c>
      <c r="C306" s="4">
        <v>28606110.260000002</v>
      </c>
      <c r="D306" s="4">
        <v>25994256.539999999</v>
      </c>
      <c r="E306" s="4">
        <v>2611853.7200000002</v>
      </c>
      <c r="F306" s="3" t="e">
        <f>VLOOKUP(B306,'Profit &amp; Loss'!$B$2:$C$390,2,0)</f>
        <v>#N/A</v>
      </c>
    </row>
    <row r="307" spans="1:6" x14ac:dyDescent="0.2">
      <c r="A307" s="3" t="s">
        <v>297</v>
      </c>
      <c r="B307" s="3" t="s">
        <v>1443</v>
      </c>
      <c r="C307" s="4">
        <v>1308.42</v>
      </c>
      <c r="D307" s="4">
        <v>1308.42</v>
      </c>
      <c r="E307" s="4">
        <v>0</v>
      </c>
      <c r="F307" s="3">
        <f>VLOOKUP(B307,'Profit &amp; Loss'!$B$2:$C$390,2,0)</f>
        <v>0</v>
      </c>
    </row>
    <row r="308" spans="1:6" x14ac:dyDescent="0.2">
      <c r="A308" s="3" t="s">
        <v>297</v>
      </c>
      <c r="B308" s="3" t="s">
        <v>298</v>
      </c>
      <c r="C308" s="4">
        <v>195127.18</v>
      </c>
      <c r="D308" s="4">
        <v>175978.15</v>
      </c>
      <c r="E308" s="4">
        <v>19149.03</v>
      </c>
      <c r="F308" s="3">
        <f>VLOOKUP(B308,'Profit &amp; Loss'!$B$2:$C$390,2,0)</f>
        <v>28187.67</v>
      </c>
    </row>
    <row r="309" spans="1:6" x14ac:dyDescent="0.2">
      <c r="A309" s="3" t="s">
        <v>297</v>
      </c>
      <c r="B309" s="3" t="s">
        <v>299</v>
      </c>
      <c r="C309" s="4">
        <v>1268243.6000000001</v>
      </c>
      <c r="D309" s="4">
        <v>1079725.06</v>
      </c>
      <c r="E309" s="4">
        <v>188518.54</v>
      </c>
      <c r="F309" s="3">
        <f>VLOOKUP(B309,'Profit &amp; Loss'!$B$2:$C$390,2,0)</f>
        <v>111346.46</v>
      </c>
    </row>
    <row r="310" spans="1:6" x14ac:dyDescent="0.2">
      <c r="A310" s="3" t="s">
        <v>297</v>
      </c>
      <c r="B310" s="3" t="s">
        <v>300</v>
      </c>
      <c r="C310" s="4">
        <v>734.08</v>
      </c>
      <c r="D310" s="4">
        <v>521.98</v>
      </c>
      <c r="E310" s="4">
        <v>212.1</v>
      </c>
      <c r="F310" s="3">
        <f>VLOOKUP(B310,'Profit &amp; Loss'!$B$2:$C$390,2,0)</f>
        <v>0</v>
      </c>
    </row>
    <row r="311" spans="1:6" x14ac:dyDescent="0.2">
      <c r="A311" s="3" t="s">
        <v>297</v>
      </c>
      <c r="B311" s="3" t="s">
        <v>2</v>
      </c>
      <c r="C311" s="4">
        <v>1465413.28</v>
      </c>
      <c r="D311" s="4">
        <v>1257533.6100000001</v>
      </c>
      <c r="E311" s="4">
        <v>207879.67</v>
      </c>
      <c r="F311" s="3" t="e">
        <f>VLOOKUP(B311,'Profit &amp; Loss'!$B$2:$C$390,2,0)</f>
        <v>#N/A</v>
      </c>
    </row>
    <row r="312" spans="1:6" x14ac:dyDescent="0.2">
      <c r="A312" s="3" t="s">
        <v>301</v>
      </c>
      <c r="B312" s="3" t="s">
        <v>554</v>
      </c>
      <c r="C312" s="4">
        <v>103051.23</v>
      </c>
      <c r="D312" s="4">
        <v>0</v>
      </c>
      <c r="E312" s="4">
        <v>103051.23</v>
      </c>
      <c r="F312" s="3">
        <f>VLOOKUP(B312,'Profit &amp; Loss'!$B$2:$C$390,2,0)</f>
        <v>0</v>
      </c>
    </row>
    <row r="313" spans="1:6" x14ac:dyDescent="0.2">
      <c r="A313" s="3" t="s">
        <v>301</v>
      </c>
      <c r="B313" s="3" t="s">
        <v>1426</v>
      </c>
      <c r="C313" s="4">
        <v>10283.11</v>
      </c>
      <c r="D313" s="4">
        <v>10283.11</v>
      </c>
      <c r="E313" s="4">
        <v>0</v>
      </c>
      <c r="F313" s="3">
        <f>VLOOKUP(B313,'Profit &amp; Loss'!$B$2:$C$390,2,0)</f>
        <v>0</v>
      </c>
    </row>
    <row r="314" spans="1:6" s="18" customFormat="1" x14ac:dyDescent="0.2">
      <c r="A314" s="18" t="s">
        <v>301</v>
      </c>
      <c r="B314" s="18" t="s">
        <v>835</v>
      </c>
      <c r="C314" s="4">
        <v>7551.7</v>
      </c>
      <c r="D314" s="4">
        <v>0</v>
      </c>
      <c r="E314" s="19">
        <v>7551.7</v>
      </c>
      <c r="F314" s="18">
        <f>VLOOKUP(B314,'Profit &amp; Loss'!$B$2:$C$390,2,0)</f>
        <v>0</v>
      </c>
    </row>
    <row r="315" spans="1:6" x14ac:dyDescent="0.2">
      <c r="A315" s="3" t="s">
        <v>301</v>
      </c>
      <c r="B315" s="3" t="s">
        <v>302</v>
      </c>
      <c r="C315" s="4">
        <v>58881.4</v>
      </c>
      <c r="D315" s="4">
        <v>50707.9</v>
      </c>
      <c r="E315" s="4">
        <v>8173.5</v>
      </c>
      <c r="F315" s="3">
        <f>VLOOKUP(B315,'Profit &amp; Loss'!$B$2:$C$390,2,0)</f>
        <v>5793.22</v>
      </c>
    </row>
    <row r="316" spans="1:6" x14ac:dyDescent="0.2">
      <c r="A316" s="3" t="s">
        <v>301</v>
      </c>
      <c r="B316" s="3" t="s">
        <v>647</v>
      </c>
      <c r="C316" s="4">
        <v>14755.96</v>
      </c>
      <c r="D316" s="4">
        <v>14755.96</v>
      </c>
      <c r="E316" s="4">
        <v>0</v>
      </c>
      <c r="F316" s="3">
        <f>VLOOKUP(B316,'Profit &amp; Loss'!$B$2:$C$390,2,0)</f>
        <v>0</v>
      </c>
    </row>
    <row r="317" spans="1:6" x14ac:dyDescent="0.2">
      <c r="A317" s="3" t="s">
        <v>301</v>
      </c>
      <c r="B317" s="3" t="s">
        <v>303</v>
      </c>
      <c r="C317" s="4">
        <v>58242.45</v>
      </c>
      <c r="D317" s="4">
        <v>48999.45</v>
      </c>
      <c r="E317" s="4">
        <v>9243</v>
      </c>
      <c r="F317" s="3">
        <f>VLOOKUP(B317,'Profit &amp; Loss'!$B$2:$C$390,2,0)</f>
        <v>2303.9899999999998</v>
      </c>
    </row>
    <row r="318" spans="1:6" x14ac:dyDescent="0.2">
      <c r="A318" s="3" t="s">
        <v>301</v>
      </c>
      <c r="B318" s="3" t="s">
        <v>305</v>
      </c>
      <c r="C318" s="4">
        <v>108490.98</v>
      </c>
      <c r="D318" s="4">
        <v>85465.9</v>
      </c>
      <c r="E318" s="4">
        <v>23025.08</v>
      </c>
      <c r="F318" s="3">
        <f>VLOOKUP(B318,'Profit &amp; Loss'!$B$2:$C$390,2,0)</f>
        <v>9337.1200000000008</v>
      </c>
    </row>
    <row r="319" spans="1:6" x14ac:dyDescent="0.2">
      <c r="A319" s="3" t="s">
        <v>301</v>
      </c>
      <c r="B319" s="3" t="s">
        <v>306</v>
      </c>
      <c r="C319" s="4">
        <v>1107570.71</v>
      </c>
      <c r="D319" s="4">
        <v>970057.13</v>
      </c>
      <c r="E319" s="4">
        <v>137513.57999999999</v>
      </c>
      <c r="F319" s="3">
        <f>VLOOKUP(B319,'Profit &amp; Loss'!$B$2:$C$390,2,0)</f>
        <v>86638.62</v>
      </c>
    </row>
    <row r="320" spans="1:6" x14ac:dyDescent="0.2">
      <c r="A320" s="3" t="s">
        <v>301</v>
      </c>
      <c r="B320" s="3" t="s">
        <v>838</v>
      </c>
      <c r="C320" s="4">
        <v>9917.77</v>
      </c>
      <c r="D320" s="4">
        <v>-31</v>
      </c>
      <c r="E320" s="4">
        <v>9948.77</v>
      </c>
      <c r="F320" s="3">
        <f>VLOOKUP(B320,'Profit &amp; Loss'!$B$2:$C$390,2,0)</f>
        <v>0</v>
      </c>
    </row>
    <row r="321" spans="1:6" x14ac:dyDescent="0.2">
      <c r="A321" s="3" t="s">
        <v>301</v>
      </c>
      <c r="B321" s="3" t="s">
        <v>307</v>
      </c>
      <c r="C321" s="4">
        <v>1663428.59</v>
      </c>
      <c r="D321" s="4">
        <v>1428206.28</v>
      </c>
      <c r="E321" s="4">
        <v>235222.31</v>
      </c>
      <c r="F321" s="3">
        <f>VLOOKUP(B321,'Profit &amp; Loss'!$B$2:$C$390,2,0)</f>
        <v>155566</v>
      </c>
    </row>
    <row r="322" spans="1:6" x14ac:dyDescent="0.2">
      <c r="A322" s="3" t="s">
        <v>301</v>
      </c>
      <c r="B322" s="3" t="s">
        <v>308</v>
      </c>
      <c r="C322" s="4">
        <v>9058.57</v>
      </c>
      <c r="D322" s="4">
        <v>9218.93</v>
      </c>
      <c r="E322" s="4">
        <v>-160.36000000000001</v>
      </c>
      <c r="F322" s="3">
        <f>VLOOKUP(B322,'Profit &amp; Loss'!$B$2:$C$390,2,0)</f>
        <v>5356.12</v>
      </c>
    </row>
    <row r="323" spans="1:6" x14ac:dyDescent="0.2">
      <c r="A323" s="3" t="s">
        <v>301</v>
      </c>
      <c r="B323" s="3" t="s">
        <v>309</v>
      </c>
      <c r="C323" s="4">
        <v>21871.68</v>
      </c>
      <c r="D323" s="4">
        <v>36417.919999999998</v>
      </c>
      <c r="E323" s="4">
        <v>-14546.24</v>
      </c>
      <c r="F323" s="3">
        <f>VLOOKUP(B323,'Profit &amp; Loss'!$B$2:$C$390,2,0)</f>
        <v>0</v>
      </c>
    </row>
    <row r="324" spans="1:6" x14ac:dyDescent="0.2">
      <c r="A324" s="3" t="s">
        <v>301</v>
      </c>
      <c r="B324" s="3" t="s">
        <v>2</v>
      </c>
      <c r="C324" s="4">
        <v>3173104.15</v>
      </c>
      <c r="D324" s="4">
        <v>2654081.58</v>
      </c>
      <c r="E324" s="4">
        <v>519022.57</v>
      </c>
      <c r="F324" s="3" t="e">
        <f>VLOOKUP(B324,'Profit &amp; Loss'!$B$2:$C$390,2,0)</f>
        <v>#N/A</v>
      </c>
    </row>
    <row r="325" spans="1:6" x14ac:dyDescent="0.2">
      <c r="A325" s="3" t="s">
        <v>310</v>
      </c>
      <c r="B325" s="3" t="s">
        <v>311</v>
      </c>
      <c r="C325" s="4">
        <v>419918.1</v>
      </c>
      <c r="D325" s="4">
        <v>377085.61</v>
      </c>
      <c r="E325" s="4">
        <v>42832.49</v>
      </c>
      <c r="F325" s="3">
        <f>VLOOKUP(B325,'Profit &amp; Loss'!$B$2:$C$390,2,0)</f>
        <v>32947.410000000003</v>
      </c>
    </row>
    <row r="326" spans="1:6" x14ac:dyDescent="0.2">
      <c r="A326" s="3" t="s">
        <v>310</v>
      </c>
      <c r="B326" s="3" t="s">
        <v>2</v>
      </c>
      <c r="C326" s="4">
        <v>419918.1</v>
      </c>
      <c r="D326" s="4">
        <v>377085.61</v>
      </c>
      <c r="E326" s="4">
        <v>42832.49</v>
      </c>
      <c r="F326" s="3" t="e">
        <f>VLOOKUP(B326,'Profit &amp; Loss'!$B$2:$C$390,2,0)</f>
        <v>#N/A</v>
      </c>
    </row>
    <row r="327" spans="1:6" x14ac:dyDescent="0.2">
      <c r="A327" s="3" t="s">
        <v>312</v>
      </c>
      <c r="B327" s="3" t="s">
        <v>2</v>
      </c>
      <c r="C327" s="4">
        <v>34905844.740000002</v>
      </c>
      <c r="D327" s="4">
        <v>30319806.489999998</v>
      </c>
      <c r="E327" s="4">
        <v>4586038.25</v>
      </c>
      <c r="F327" s="3" t="e">
        <f>VLOOKUP(B327,'Profit &amp; Loss'!$B$2:$C$390,2,0)</f>
        <v>#N/A</v>
      </c>
    </row>
    <row r="328" spans="1:6" x14ac:dyDescent="0.2">
      <c r="A328" s="3" t="s">
        <v>313</v>
      </c>
      <c r="B328" s="3" t="s">
        <v>314</v>
      </c>
      <c r="C328" s="4">
        <v>466138.18</v>
      </c>
      <c r="D328" s="4">
        <v>405205.18</v>
      </c>
      <c r="E328" s="4">
        <v>60933</v>
      </c>
      <c r="F328" s="3">
        <f>VLOOKUP(B328,'Profit &amp; Loss'!$B$2:$C$390,2,0)</f>
        <v>47720.12</v>
      </c>
    </row>
    <row r="329" spans="1:6" x14ac:dyDescent="0.2">
      <c r="A329" s="3" t="s">
        <v>313</v>
      </c>
      <c r="B329" s="3" t="s">
        <v>315</v>
      </c>
      <c r="C329" s="4">
        <v>18917.07</v>
      </c>
      <c r="D329" s="4">
        <v>17791.55</v>
      </c>
      <c r="E329" s="4">
        <v>1125.52</v>
      </c>
      <c r="F329" s="3">
        <f>VLOOKUP(B329,'Profit &amp; Loss'!$B$2:$C$390,2,0)</f>
        <v>3030.51</v>
      </c>
    </row>
    <row r="330" spans="1:6" x14ac:dyDescent="0.2">
      <c r="A330" s="3" t="s">
        <v>313</v>
      </c>
      <c r="B330" s="3" t="s">
        <v>558</v>
      </c>
      <c r="C330" s="4">
        <v>51303</v>
      </c>
      <c r="D330" s="4">
        <v>51303</v>
      </c>
      <c r="E330" s="4">
        <v>0</v>
      </c>
      <c r="F330" s="3">
        <f>VLOOKUP(B330,'Profit &amp; Loss'!$B$2:$C$390,2,0)</f>
        <v>0</v>
      </c>
    </row>
    <row r="331" spans="1:6" x14ac:dyDescent="0.2">
      <c r="A331" s="3" t="s">
        <v>313</v>
      </c>
      <c r="B331" s="3" t="s">
        <v>559</v>
      </c>
      <c r="C331" s="4">
        <v>5295.43</v>
      </c>
      <c r="D331" s="4">
        <v>5295.43</v>
      </c>
      <c r="E331" s="4">
        <v>0</v>
      </c>
      <c r="F331" s="3">
        <f>VLOOKUP(B331,'Profit &amp; Loss'!$B$2:$C$390,2,0)</f>
        <v>3030.51</v>
      </c>
    </row>
    <row r="332" spans="1:6" x14ac:dyDescent="0.2">
      <c r="A332" s="3" t="s">
        <v>313</v>
      </c>
      <c r="B332" s="3" t="s">
        <v>316</v>
      </c>
      <c r="C332" s="4">
        <v>107852.38</v>
      </c>
      <c r="D332" s="4">
        <v>95046.64</v>
      </c>
      <c r="E332" s="4">
        <v>12805.74</v>
      </c>
      <c r="F332" s="3">
        <f>VLOOKUP(B332,'Profit &amp; Loss'!$B$2:$C$390,2,0)</f>
        <v>21674.33</v>
      </c>
    </row>
    <row r="333" spans="1:6" x14ac:dyDescent="0.2">
      <c r="A333" s="3" t="s">
        <v>313</v>
      </c>
      <c r="B333" s="3" t="s">
        <v>317</v>
      </c>
      <c r="C333" s="4">
        <v>1650.12</v>
      </c>
      <c r="D333" s="4">
        <v>1473.73</v>
      </c>
      <c r="E333" s="4">
        <v>176.39</v>
      </c>
      <c r="F333" s="3">
        <f>VLOOKUP(B333,'Profit &amp; Loss'!$B$2:$C$390,2,0)</f>
        <v>423.23</v>
      </c>
    </row>
    <row r="334" spans="1:6" x14ac:dyDescent="0.2">
      <c r="A334" s="3" t="s">
        <v>313</v>
      </c>
      <c r="B334" s="3" t="s">
        <v>318</v>
      </c>
      <c r="C334" s="4">
        <v>116268.49</v>
      </c>
      <c r="D334" s="4">
        <v>104289.09</v>
      </c>
      <c r="E334" s="4">
        <v>11979.4</v>
      </c>
      <c r="F334" s="3">
        <f>VLOOKUP(B334,'Profit &amp; Loss'!$B$2:$C$390,2,0)</f>
        <v>12048.91</v>
      </c>
    </row>
    <row r="335" spans="1:6" x14ac:dyDescent="0.2">
      <c r="A335" s="3" t="s">
        <v>313</v>
      </c>
      <c r="B335" s="3" t="s">
        <v>319</v>
      </c>
      <c r="C335" s="4">
        <v>353833.1</v>
      </c>
      <c r="D335" s="4">
        <v>309520.15999999997</v>
      </c>
      <c r="E335" s="4">
        <v>44312.94</v>
      </c>
      <c r="F335" s="3">
        <f>VLOOKUP(B335,'Profit &amp; Loss'!$B$2:$C$390,2,0)</f>
        <v>40731.18</v>
      </c>
    </row>
    <row r="336" spans="1:6" x14ac:dyDescent="0.2">
      <c r="A336" s="3" t="s">
        <v>313</v>
      </c>
      <c r="B336" s="3" t="s">
        <v>320</v>
      </c>
      <c r="C336" s="4">
        <v>-12290.55</v>
      </c>
      <c r="D336" s="4">
        <v>-17369.07</v>
      </c>
      <c r="E336" s="4">
        <v>5078.5200000000004</v>
      </c>
      <c r="F336" s="3">
        <f>VLOOKUP(B336,'Profit &amp; Loss'!$B$2:$C$390,2,0)</f>
        <v>4675.82</v>
      </c>
    </row>
    <row r="337" spans="1:6" x14ac:dyDescent="0.2">
      <c r="A337" s="3" t="s">
        <v>313</v>
      </c>
      <c r="B337" s="3" t="s">
        <v>321</v>
      </c>
      <c r="C337" s="4">
        <v>-1051424.52</v>
      </c>
      <c r="D337" s="4">
        <v>-900694.01</v>
      </c>
      <c r="E337" s="4">
        <v>-150730.51</v>
      </c>
      <c r="F337" s="3">
        <f>VLOOKUP(B337,'Profit &amp; Loss'!$B$2:$C$390,2,0)</f>
        <v>-127447.83</v>
      </c>
    </row>
    <row r="338" spans="1:6" x14ac:dyDescent="0.2">
      <c r="A338" s="3" t="s">
        <v>313</v>
      </c>
      <c r="B338" s="3" t="s">
        <v>841</v>
      </c>
      <c r="C338" s="4">
        <v>122923.35</v>
      </c>
      <c r="D338" s="4">
        <v>103105.89</v>
      </c>
      <c r="E338" s="4">
        <v>19817.46</v>
      </c>
      <c r="F338" s="3">
        <f>VLOOKUP(B338,'Profit &amp; Loss'!$B$2:$C$390,2,0)</f>
        <v>-27313.17</v>
      </c>
    </row>
    <row r="339" spans="1:6" x14ac:dyDescent="0.2">
      <c r="A339" s="3" t="s">
        <v>313</v>
      </c>
      <c r="B339" s="3" t="s">
        <v>560</v>
      </c>
      <c r="C339" s="4">
        <v>21627.38</v>
      </c>
      <c r="D339" s="4">
        <v>19799.240000000002</v>
      </c>
      <c r="E339" s="4">
        <v>1828.14</v>
      </c>
      <c r="F339" s="3">
        <f>VLOOKUP(B339,'Profit &amp; Loss'!$B$2:$C$390,2,0)</f>
        <v>1760.34</v>
      </c>
    </row>
    <row r="340" spans="1:6" x14ac:dyDescent="0.2">
      <c r="A340" s="3" t="s">
        <v>313</v>
      </c>
      <c r="B340" s="3" t="s">
        <v>1085</v>
      </c>
      <c r="C340" s="4">
        <v>575.25</v>
      </c>
      <c r="D340" s="4">
        <v>575.25</v>
      </c>
      <c r="E340" s="4">
        <v>0</v>
      </c>
      <c r="F340" s="3">
        <f>VLOOKUP(B340,'Profit &amp; Loss'!$B$2:$C$390,2,0)</f>
        <v>0</v>
      </c>
    </row>
    <row r="341" spans="1:6" x14ac:dyDescent="0.2">
      <c r="A341" s="3" t="s">
        <v>313</v>
      </c>
      <c r="B341" s="3" t="s">
        <v>990</v>
      </c>
      <c r="C341" s="4">
        <v>-238.03</v>
      </c>
      <c r="D341" s="4">
        <v>-160.66</v>
      </c>
      <c r="E341" s="4">
        <v>-77.37</v>
      </c>
      <c r="F341" s="3">
        <f>VLOOKUP(B341,'Profit &amp; Loss'!$B$2:$C$390,2,0)</f>
        <v>-40.28</v>
      </c>
    </row>
    <row r="342" spans="1:6" x14ac:dyDescent="0.2">
      <c r="A342" s="3" t="s">
        <v>313</v>
      </c>
      <c r="B342" s="3" t="s">
        <v>322</v>
      </c>
      <c r="C342" s="4">
        <v>1326.59</v>
      </c>
      <c r="D342" s="4">
        <v>998.57</v>
      </c>
      <c r="E342" s="4">
        <v>328.02</v>
      </c>
      <c r="F342" s="3">
        <f>VLOOKUP(B342,'Profit &amp; Loss'!$B$2:$C$390,2,0)</f>
        <v>2.09</v>
      </c>
    </row>
    <row r="343" spans="1:6" x14ac:dyDescent="0.2">
      <c r="A343" s="3" t="s">
        <v>313</v>
      </c>
      <c r="B343" s="3" t="s">
        <v>652</v>
      </c>
      <c r="C343" s="4">
        <v>148.80000000000001</v>
      </c>
      <c r="D343" s="4">
        <v>148.80000000000001</v>
      </c>
      <c r="E343" s="4">
        <v>0</v>
      </c>
      <c r="F343" s="3">
        <f>VLOOKUP(B343,'Profit &amp; Loss'!$B$2:$C$390,2,0)</f>
        <v>35.14</v>
      </c>
    </row>
    <row r="344" spans="1:6" x14ac:dyDescent="0.2">
      <c r="A344" s="3" t="s">
        <v>313</v>
      </c>
      <c r="B344" s="3" t="s">
        <v>323</v>
      </c>
      <c r="C344" s="4">
        <v>12995.74</v>
      </c>
      <c r="D344" s="4">
        <v>12171.7</v>
      </c>
      <c r="E344" s="4">
        <v>824.04</v>
      </c>
      <c r="F344" s="3">
        <f>VLOOKUP(B344,'Profit &amp; Loss'!$B$2:$C$390,2,0)</f>
        <v>3243.68</v>
      </c>
    </row>
    <row r="345" spans="1:6" x14ac:dyDescent="0.2">
      <c r="A345" s="3" t="s">
        <v>313</v>
      </c>
      <c r="B345" s="3" t="s">
        <v>324</v>
      </c>
      <c r="C345" s="4">
        <v>252542.06</v>
      </c>
      <c r="D345" s="4">
        <v>226796.79</v>
      </c>
      <c r="E345" s="4">
        <v>25745.27</v>
      </c>
      <c r="F345" s="3">
        <f>VLOOKUP(B345,'Profit &amp; Loss'!$B$2:$C$390,2,0)</f>
        <v>33298</v>
      </c>
    </row>
    <row r="346" spans="1:6" x14ac:dyDescent="0.2">
      <c r="A346" s="3" t="s">
        <v>313</v>
      </c>
      <c r="B346" s="3" t="s">
        <v>913</v>
      </c>
      <c r="C346" s="4">
        <v>329.26</v>
      </c>
      <c r="D346" s="4">
        <v>329.26</v>
      </c>
      <c r="E346" s="4">
        <v>0</v>
      </c>
      <c r="F346" s="3">
        <f>VLOOKUP(B346,'Profit &amp; Loss'!$B$2:$C$390,2,0)</f>
        <v>0</v>
      </c>
    </row>
    <row r="347" spans="1:6" x14ac:dyDescent="0.2">
      <c r="A347" s="3" t="s">
        <v>313</v>
      </c>
      <c r="B347" s="3" t="s">
        <v>561</v>
      </c>
      <c r="C347" s="4">
        <v>1287.6500000000001</v>
      </c>
      <c r="D347" s="4">
        <v>955.59</v>
      </c>
      <c r="E347" s="4">
        <v>332.06</v>
      </c>
      <c r="F347" s="3">
        <f>VLOOKUP(B347,'Profit &amp; Loss'!$B$2:$C$390,2,0)</f>
        <v>0</v>
      </c>
    </row>
    <row r="348" spans="1:6" x14ac:dyDescent="0.2">
      <c r="A348" s="3" t="s">
        <v>313</v>
      </c>
      <c r="B348" s="3" t="s">
        <v>654</v>
      </c>
      <c r="C348" s="4">
        <v>15021.75</v>
      </c>
      <c r="D348" s="4">
        <v>14880.21</v>
      </c>
      <c r="E348" s="4">
        <v>141.54</v>
      </c>
      <c r="F348" s="3">
        <f>VLOOKUP(B348,'Profit &amp; Loss'!$B$2:$C$390,2,0)</f>
        <v>36.44</v>
      </c>
    </row>
    <row r="349" spans="1:6" x14ac:dyDescent="0.2">
      <c r="A349" s="3" t="s">
        <v>313</v>
      </c>
      <c r="B349" s="3" t="s">
        <v>991</v>
      </c>
      <c r="C349" s="4">
        <v>469.21</v>
      </c>
      <c r="D349" s="4">
        <v>469.21</v>
      </c>
      <c r="E349" s="4">
        <v>0</v>
      </c>
      <c r="F349" s="3">
        <f>VLOOKUP(B349,'Profit &amp; Loss'!$B$2:$C$390,2,0)</f>
        <v>-28825.55</v>
      </c>
    </row>
    <row r="350" spans="1:6" x14ac:dyDescent="0.2">
      <c r="A350" s="3" t="s">
        <v>313</v>
      </c>
      <c r="B350" s="3" t="s">
        <v>326</v>
      </c>
      <c r="C350" s="4">
        <v>28362.65</v>
      </c>
      <c r="D350" s="4">
        <v>29052.400000000001</v>
      </c>
      <c r="E350" s="4">
        <v>-689.75</v>
      </c>
      <c r="F350" s="3">
        <f>VLOOKUP(B350,'Profit &amp; Loss'!$B$2:$C$390,2,0)</f>
        <v>-435.68</v>
      </c>
    </row>
    <row r="351" spans="1:6" x14ac:dyDescent="0.2">
      <c r="A351" s="3" t="s">
        <v>313</v>
      </c>
      <c r="B351" s="3" t="s">
        <v>1254</v>
      </c>
      <c r="C351" s="4">
        <v>124.19</v>
      </c>
      <c r="D351" s="4">
        <v>124.19</v>
      </c>
      <c r="E351" s="4">
        <v>0</v>
      </c>
      <c r="F351" s="3">
        <f>VLOOKUP(B351,'Profit &amp; Loss'!$B$2:$C$390,2,0)</f>
        <v>0</v>
      </c>
    </row>
    <row r="352" spans="1:6" x14ac:dyDescent="0.2">
      <c r="A352" s="3" t="s">
        <v>313</v>
      </c>
      <c r="B352" s="3" t="s">
        <v>327</v>
      </c>
      <c r="C352" s="4">
        <v>429.3</v>
      </c>
      <c r="D352" s="4">
        <v>429.3</v>
      </c>
      <c r="E352" s="4">
        <v>0</v>
      </c>
      <c r="F352" s="3">
        <f>VLOOKUP(B352,'Profit &amp; Loss'!$B$2:$C$390,2,0)</f>
        <v>286.14</v>
      </c>
    </row>
    <row r="353" spans="1:6" x14ac:dyDescent="0.2">
      <c r="A353" s="3" t="s">
        <v>313</v>
      </c>
      <c r="B353" s="3" t="s">
        <v>328</v>
      </c>
      <c r="C353" s="4">
        <v>-1423.86</v>
      </c>
      <c r="D353" s="4">
        <v>-1423.86</v>
      </c>
      <c r="E353" s="4">
        <v>0</v>
      </c>
      <c r="F353" s="3">
        <f>VLOOKUP(B353,'Profit &amp; Loss'!$B$2:$C$390,2,0)</f>
        <v>-756.63</v>
      </c>
    </row>
    <row r="354" spans="1:6" x14ac:dyDescent="0.2">
      <c r="A354" s="3" t="s">
        <v>313</v>
      </c>
      <c r="B354" s="3" t="s">
        <v>1433</v>
      </c>
      <c r="C354" s="4">
        <v>-3168.71</v>
      </c>
      <c r="D354" s="4">
        <v>-1294.23</v>
      </c>
      <c r="E354" s="4">
        <v>-1874.48</v>
      </c>
      <c r="F354" s="3">
        <f>VLOOKUP(B354,'Profit &amp; Loss'!$B$2:$C$390,2,0)</f>
        <v>0</v>
      </c>
    </row>
    <row r="355" spans="1:6" x14ac:dyDescent="0.2">
      <c r="A355" s="3" t="s">
        <v>313</v>
      </c>
      <c r="B355" s="3" t="s">
        <v>656</v>
      </c>
      <c r="C355" s="4">
        <v>55443.9</v>
      </c>
      <c r="D355" s="4">
        <v>44857.94</v>
      </c>
      <c r="E355" s="4">
        <v>10585.96</v>
      </c>
      <c r="F355" s="3">
        <f>VLOOKUP(B355,'Profit &amp; Loss'!$B$2:$C$390,2,0)</f>
        <v>0</v>
      </c>
    </row>
    <row r="356" spans="1:6" x14ac:dyDescent="0.2">
      <c r="A356" s="3" t="s">
        <v>313</v>
      </c>
      <c r="B356" s="3" t="s">
        <v>329</v>
      </c>
      <c r="C356" s="4">
        <v>42594.73</v>
      </c>
      <c r="D356" s="4">
        <v>37647.54</v>
      </c>
      <c r="E356" s="4">
        <v>4947.1899999999996</v>
      </c>
      <c r="F356" s="3">
        <f>VLOOKUP(B356,'Profit &amp; Loss'!$B$2:$C$390,2,0)</f>
        <v>6174.84</v>
      </c>
    </row>
    <row r="357" spans="1:6" x14ac:dyDescent="0.2">
      <c r="A357" s="3" t="s">
        <v>313</v>
      </c>
      <c r="B357" s="3" t="s">
        <v>330</v>
      </c>
      <c r="C357" s="4">
        <v>6090.36</v>
      </c>
      <c r="D357" s="4">
        <v>6090.36</v>
      </c>
      <c r="E357" s="4">
        <v>0</v>
      </c>
      <c r="F357" s="3">
        <f>VLOOKUP(B357,'Profit &amp; Loss'!$B$2:$C$390,2,0)</f>
        <v>890.78</v>
      </c>
    </row>
    <row r="358" spans="1:6" x14ac:dyDescent="0.2">
      <c r="A358" s="3" t="s">
        <v>313</v>
      </c>
      <c r="B358" s="3" t="s">
        <v>331</v>
      </c>
      <c r="C358" s="4">
        <v>66560.94</v>
      </c>
      <c r="D358" s="4">
        <v>56029.27</v>
      </c>
      <c r="E358" s="4">
        <v>10531.67</v>
      </c>
      <c r="F358" s="3">
        <f>VLOOKUP(B358,'Profit &amp; Loss'!$B$2:$C$390,2,0)</f>
        <v>-3008.88</v>
      </c>
    </row>
    <row r="359" spans="1:6" x14ac:dyDescent="0.2">
      <c r="A359" s="3" t="s">
        <v>313</v>
      </c>
      <c r="B359" s="3" t="s">
        <v>332</v>
      </c>
      <c r="C359" s="4">
        <v>518.23</v>
      </c>
      <c r="D359" s="4">
        <v>291.36</v>
      </c>
      <c r="E359" s="4">
        <v>226.87</v>
      </c>
      <c r="F359" s="3">
        <f>VLOOKUP(B359,'Profit &amp; Loss'!$B$2:$C$390,2,0)</f>
        <v>24.68</v>
      </c>
    </row>
    <row r="360" spans="1:6" x14ac:dyDescent="0.2">
      <c r="A360" s="3" t="s">
        <v>313</v>
      </c>
      <c r="B360" s="3" t="s">
        <v>657</v>
      </c>
      <c r="C360" s="4">
        <v>1123.31</v>
      </c>
      <c r="D360" s="4">
        <v>14978.01</v>
      </c>
      <c r="E360" s="4">
        <v>-13854.7</v>
      </c>
      <c r="F360" s="3">
        <f>VLOOKUP(B360,'Profit &amp; Loss'!$B$2:$C$390,2,0)</f>
        <v>0</v>
      </c>
    </row>
    <row r="361" spans="1:6" x14ac:dyDescent="0.2">
      <c r="A361" s="3" t="s">
        <v>313</v>
      </c>
      <c r="B361" s="3" t="s">
        <v>333</v>
      </c>
      <c r="C361" s="4">
        <v>18123.79</v>
      </c>
      <c r="D361" s="4">
        <v>16404.34</v>
      </c>
      <c r="E361" s="4">
        <v>1719.45</v>
      </c>
      <c r="F361" s="3">
        <f>VLOOKUP(B361,'Profit &amp; Loss'!$B$2:$C$390,2,0)</f>
        <v>3308.5</v>
      </c>
    </row>
    <row r="362" spans="1:6" x14ac:dyDescent="0.2">
      <c r="A362" s="3" t="s">
        <v>313</v>
      </c>
      <c r="B362" s="3" t="s">
        <v>658</v>
      </c>
      <c r="C362" s="4">
        <v>3391.84</v>
      </c>
      <c r="D362" s="4">
        <v>3390.97</v>
      </c>
      <c r="E362" s="4">
        <v>0.87</v>
      </c>
      <c r="F362" s="3">
        <f>VLOOKUP(B362,'Profit &amp; Loss'!$B$2:$C$390,2,0)</f>
        <v>2303.5500000000002</v>
      </c>
    </row>
    <row r="363" spans="1:6" x14ac:dyDescent="0.2">
      <c r="A363" s="3" t="s">
        <v>313</v>
      </c>
      <c r="B363" s="3" t="s">
        <v>1434</v>
      </c>
      <c r="C363" s="4">
        <v>111.08</v>
      </c>
      <c r="D363" s="4">
        <v>111.08</v>
      </c>
      <c r="E363" s="4">
        <v>0</v>
      </c>
      <c r="F363" s="3">
        <f>VLOOKUP(B363,'Profit &amp; Loss'!$B$2:$C$390,2,0)</f>
        <v>0</v>
      </c>
    </row>
    <row r="364" spans="1:6" x14ac:dyDescent="0.2">
      <c r="A364" s="3" t="s">
        <v>313</v>
      </c>
      <c r="B364" s="3" t="s">
        <v>2</v>
      </c>
      <c r="C364" s="4">
        <v>704833.46</v>
      </c>
      <c r="D364" s="4">
        <v>658620.22</v>
      </c>
      <c r="E364" s="4">
        <v>46213.24</v>
      </c>
      <c r="F364" s="3" t="e">
        <f>VLOOKUP(B364,'Profit &amp; Loss'!$B$2:$C$390,2,0)</f>
        <v>#N/A</v>
      </c>
    </row>
    <row r="365" spans="1:6" x14ac:dyDescent="0.2">
      <c r="A365" s="3" t="s">
        <v>334</v>
      </c>
      <c r="B365" s="3" t="s">
        <v>335</v>
      </c>
      <c r="C365" s="4">
        <v>591607.26</v>
      </c>
      <c r="D365" s="4">
        <v>517368.85</v>
      </c>
      <c r="E365" s="4">
        <v>74238.41</v>
      </c>
      <c r="F365" s="3">
        <f>VLOOKUP(B365,'Profit &amp; Loss'!$B$2:$C$390,2,0)</f>
        <v>55035.39</v>
      </c>
    </row>
    <row r="366" spans="1:6" x14ac:dyDescent="0.2">
      <c r="A366" s="3" t="s">
        <v>334</v>
      </c>
      <c r="B366" s="3" t="s">
        <v>562</v>
      </c>
      <c r="C366" s="4">
        <v>66390.5</v>
      </c>
      <c r="D366" s="4">
        <v>66390.5</v>
      </c>
      <c r="E366" s="4">
        <v>0</v>
      </c>
      <c r="F366" s="3">
        <f>VLOOKUP(B366,'Profit &amp; Loss'!$B$2:$C$390,2,0)</f>
        <v>0</v>
      </c>
    </row>
    <row r="367" spans="1:6" x14ac:dyDescent="0.2">
      <c r="A367" s="3" t="s">
        <v>334</v>
      </c>
      <c r="B367" s="3" t="s">
        <v>336</v>
      </c>
      <c r="C367" s="4">
        <v>-17077.3</v>
      </c>
      <c r="D367" s="4">
        <v>-23263.84</v>
      </c>
      <c r="E367" s="4">
        <v>6186.54</v>
      </c>
      <c r="F367" s="3">
        <f>VLOOKUP(B367,'Profit &amp; Loss'!$B$2:$C$390,2,0)</f>
        <v>5279.69</v>
      </c>
    </row>
    <row r="368" spans="1:6" x14ac:dyDescent="0.2">
      <c r="A368" s="3" t="s">
        <v>334</v>
      </c>
      <c r="B368" s="3" t="s">
        <v>337</v>
      </c>
      <c r="C368" s="4">
        <v>27933.91</v>
      </c>
      <c r="D368" s="4">
        <v>23695.52</v>
      </c>
      <c r="E368" s="4">
        <v>4238.3900000000003</v>
      </c>
      <c r="F368" s="3">
        <f>VLOOKUP(B368,'Profit &amp; Loss'!$B$2:$C$390,2,0)</f>
        <v>2800.93</v>
      </c>
    </row>
    <row r="369" spans="1:6" x14ac:dyDescent="0.2">
      <c r="A369" s="3" t="s">
        <v>334</v>
      </c>
      <c r="B369" s="3" t="s">
        <v>338</v>
      </c>
      <c r="C369" s="4">
        <v>170201.8</v>
      </c>
      <c r="D369" s="4">
        <v>159986.10999999999</v>
      </c>
      <c r="E369" s="4">
        <v>10215.69</v>
      </c>
      <c r="F369" s="3">
        <f>VLOOKUP(B369,'Profit &amp; Loss'!$B$2:$C$390,2,0)</f>
        <v>17648.05</v>
      </c>
    </row>
    <row r="370" spans="1:6" x14ac:dyDescent="0.2">
      <c r="A370" s="3" t="s">
        <v>334</v>
      </c>
      <c r="B370" s="3" t="s">
        <v>563</v>
      </c>
      <c r="C370" s="4">
        <v>165.75</v>
      </c>
      <c r="D370" s="4">
        <v>165.75</v>
      </c>
      <c r="E370" s="4">
        <v>0</v>
      </c>
      <c r="F370" s="3">
        <f>VLOOKUP(B370,'Profit &amp; Loss'!$B$2:$C$390,2,0)</f>
        <v>0</v>
      </c>
    </row>
    <row r="371" spans="1:6" x14ac:dyDescent="0.2">
      <c r="A371" s="3" t="s">
        <v>334</v>
      </c>
      <c r="B371" s="3" t="s">
        <v>339</v>
      </c>
      <c r="C371" s="4">
        <v>21825.41</v>
      </c>
      <c r="D371" s="4">
        <v>20145.53</v>
      </c>
      <c r="E371" s="4">
        <v>1679.88</v>
      </c>
      <c r="F371" s="3">
        <f>VLOOKUP(B371,'Profit &amp; Loss'!$B$2:$C$390,2,0)</f>
        <v>4180.01</v>
      </c>
    </row>
    <row r="372" spans="1:6" x14ac:dyDescent="0.2">
      <c r="A372" s="3" t="s">
        <v>334</v>
      </c>
      <c r="B372" s="3" t="s">
        <v>768</v>
      </c>
      <c r="C372" s="4">
        <v>96267.16</v>
      </c>
      <c r="D372" s="4">
        <v>96267.16</v>
      </c>
      <c r="E372" s="4">
        <v>0</v>
      </c>
      <c r="F372" s="3">
        <f>VLOOKUP(B372,'Profit &amp; Loss'!$B$2:$C$390,2,0)</f>
        <v>0</v>
      </c>
    </row>
    <row r="373" spans="1:6" x14ac:dyDescent="0.2">
      <c r="A373" s="3" t="s">
        <v>334</v>
      </c>
      <c r="B373" s="3" t="s">
        <v>340</v>
      </c>
      <c r="C373" s="4">
        <v>2359.3200000000002</v>
      </c>
      <c r="D373" s="4">
        <v>-10013.76</v>
      </c>
      <c r="E373" s="4">
        <v>12373.08</v>
      </c>
      <c r="F373" s="3">
        <f>VLOOKUP(B373,'Profit &amp; Loss'!$B$2:$C$390,2,0)</f>
        <v>10559.39</v>
      </c>
    </row>
    <row r="374" spans="1:6" x14ac:dyDescent="0.2">
      <c r="A374" s="3" t="s">
        <v>334</v>
      </c>
      <c r="B374" s="3" t="s">
        <v>341</v>
      </c>
      <c r="C374" s="4">
        <v>166427.91</v>
      </c>
      <c r="D374" s="4">
        <v>136752.26</v>
      </c>
      <c r="E374" s="4">
        <v>29675.65</v>
      </c>
      <c r="F374" s="3">
        <f>VLOOKUP(B374,'Profit &amp; Loss'!$B$2:$C$390,2,0)</f>
        <v>18487.189999999999</v>
      </c>
    </row>
    <row r="375" spans="1:6" x14ac:dyDescent="0.2">
      <c r="A375" s="3" t="s">
        <v>334</v>
      </c>
      <c r="B375" s="3" t="s">
        <v>342</v>
      </c>
      <c r="C375" s="4">
        <v>7628.37</v>
      </c>
      <c r="D375" s="4">
        <v>6438.41</v>
      </c>
      <c r="E375" s="4">
        <v>1189.96</v>
      </c>
      <c r="F375" s="3">
        <f>VLOOKUP(B375,'Profit &amp; Loss'!$B$2:$C$390,2,0)</f>
        <v>2577.34</v>
      </c>
    </row>
    <row r="376" spans="1:6" x14ac:dyDescent="0.2">
      <c r="A376" s="3" t="s">
        <v>334</v>
      </c>
      <c r="B376" s="3" t="s">
        <v>566</v>
      </c>
      <c r="C376" s="4">
        <v>16596.78</v>
      </c>
      <c r="D376" s="4">
        <v>16596.78</v>
      </c>
      <c r="E376" s="4">
        <v>0</v>
      </c>
      <c r="F376" s="3">
        <f>VLOOKUP(B376,'Profit &amp; Loss'!$B$2:$C$390,2,0)</f>
        <v>0</v>
      </c>
    </row>
    <row r="377" spans="1:6" x14ac:dyDescent="0.2">
      <c r="A377" s="3" t="s">
        <v>334</v>
      </c>
      <c r="B377" s="3" t="s">
        <v>343</v>
      </c>
      <c r="C377" s="4">
        <v>20901.82</v>
      </c>
      <c r="D377" s="4">
        <v>18021.02</v>
      </c>
      <c r="E377" s="4">
        <v>2880.8</v>
      </c>
      <c r="F377" s="3">
        <f>VLOOKUP(B377,'Profit &amp; Loss'!$B$2:$C$390,2,0)</f>
        <v>-203.37</v>
      </c>
    </row>
    <row r="378" spans="1:6" x14ac:dyDescent="0.2">
      <c r="A378" s="3" t="s">
        <v>334</v>
      </c>
      <c r="B378" s="3" t="s">
        <v>992</v>
      </c>
      <c r="C378" s="4">
        <v>733.43</v>
      </c>
      <c r="D378" s="4">
        <v>733.43</v>
      </c>
      <c r="E378" s="4">
        <v>0</v>
      </c>
      <c r="F378" s="3">
        <f>VLOOKUP(B378,'Profit &amp; Loss'!$B$2:$C$390,2,0)</f>
        <v>733.43</v>
      </c>
    </row>
    <row r="379" spans="1:6" x14ac:dyDescent="0.2">
      <c r="A379" s="3" t="s">
        <v>334</v>
      </c>
      <c r="B379" s="3" t="s">
        <v>344</v>
      </c>
      <c r="C379" s="4">
        <v>272.02</v>
      </c>
      <c r="D379" s="4">
        <v>6.87</v>
      </c>
      <c r="E379" s="4">
        <v>265.14999999999998</v>
      </c>
      <c r="F379" s="3">
        <f>VLOOKUP(B379,'Profit &amp; Loss'!$B$2:$C$390,2,0)</f>
        <v>0</v>
      </c>
    </row>
    <row r="380" spans="1:6" x14ac:dyDescent="0.2">
      <c r="A380" s="3" t="s">
        <v>334</v>
      </c>
      <c r="B380" s="3" t="s">
        <v>345</v>
      </c>
      <c r="C380" s="4">
        <v>109085.93</v>
      </c>
      <c r="D380" s="4">
        <v>96021.13</v>
      </c>
      <c r="E380" s="4">
        <v>13064.8</v>
      </c>
      <c r="F380" s="3">
        <f>VLOOKUP(B380,'Profit &amp; Loss'!$B$2:$C$390,2,0)</f>
        <v>11989.03</v>
      </c>
    </row>
    <row r="381" spans="1:6" x14ac:dyDescent="0.2">
      <c r="A381" s="3" t="s">
        <v>334</v>
      </c>
      <c r="B381" s="3" t="s">
        <v>346</v>
      </c>
      <c r="C381" s="4">
        <v>39216.61</v>
      </c>
      <c r="D381" s="4">
        <v>34214.92</v>
      </c>
      <c r="E381" s="4">
        <v>5001.6899999999996</v>
      </c>
      <c r="F381" s="3">
        <f>VLOOKUP(B381,'Profit &amp; Loss'!$B$2:$C$390,2,0)</f>
        <v>4420.24</v>
      </c>
    </row>
    <row r="382" spans="1:6" x14ac:dyDescent="0.2">
      <c r="A382" s="3" t="s">
        <v>334</v>
      </c>
      <c r="B382" s="3" t="s">
        <v>347</v>
      </c>
      <c r="C382" s="4">
        <v>19022.349999999999</v>
      </c>
      <c r="D382" s="4">
        <v>16596.77</v>
      </c>
      <c r="E382" s="4">
        <v>2425.58</v>
      </c>
      <c r="F382" s="3">
        <f>VLOOKUP(B382,'Profit &amp; Loss'!$B$2:$C$390,2,0)</f>
        <v>2182.88</v>
      </c>
    </row>
    <row r="383" spans="1:6" x14ac:dyDescent="0.2">
      <c r="A383" s="3" t="s">
        <v>334</v>
      </c>
      <c r="B383" s="3" t="s">
        <v>348</v>
      </c>
      <c r="C383" s="4">
        <v>53524.33</v>
      </c>
      <c r="D383" s="4">
        <v>46554.07</v>
      </c>
      <c r="E383" s="4">
        <v>6970.26</v>
      </c>
      <c r="F383" s="3">
        <f>VLOOKUP(B383,'Profit &amp; Loss'!$B$2:$C$390,2,0)</f>
        <v>5823.94</v>
      </c>
    </row>
    <row r="384" spans="1:6" x14ac:dyDescent="0.2">
      <c r="A384" s="3" t="s">
        <v>334</v>
      </c>
      <c r="B384" s="3" t="s">
        <v>349</v>
      </c>
      <c r="C384" s="4">
        <v>37227.97</v>
      </c>
      <c r="D384" s="4">
        <v>32844.21</v>
      </c>
      <c r="E384" s="4">
        <v>4383.76</v>
      </c>
      <c r="F384" s="3">
        <f>VLOOKUP(B384,'Profit &amp; Loss'!$B$2:$C$390,2,0)</f>
        <v>3750.29</v>
      </c>
    </row>
    <row r="385" spans="1:6" x14ac:dyDescent="0.2">
      <c r="A385" s="3" t="s">
        <v>334</v>
      </c>
      <c r="B385" s="3" t="s">
        <v>350</v>
      </c>
      <c r="C385" s="4">
        <v>32037.38</v>
      </c>
      <c r="D385" s="4">
        <v>26914.84</v>
      </c>
      <c r="E385" s="4">
        <v>5122.54</v>
      </c>
      <c r="F385" s="3">
        <f>VLOOKUP(B385,'Profit &amp; Loss'!$B$2:$C$390,2,0)</f>
        <v>5549.93</v>
      </c>
    </row>
    <row r="386" spans="1:6" x14ac:dyDescent="0.2">
      <c r="A386" s="3" t="s">
        <v>334</v>
      </c>
      <c r="B386" s="3" t="s">
        <v>351</v>
      </c>
      <c r="C386" s="4">
        <v>63639.94</v>
      </c>
      <c r="D386" s="4">
        <v>49259.7</v>
      </c>
      <c r="E386" s="4">
        <v>14380.24</v>
      </c>
      <c r="F386" s="3">
        <f>VLOOKUP(B386,'Profit &amp; Loss'!$B$2:$C$390,2,0)</f>
        <v>4678.2299999999996</v>
      </c>
    </row>
    <row r="387" spans="1:6" x14ac:dyDescent="0.2">
      <c r="A387" s="3" t="s">
        <v>334</v>
      </c>
      <c r="B387" s="3" t="s">
        <v>352</v>
      </c>
      <c r="C387" s="4">
        <v>4077.24</v>
      </c>
      <c r="D387" s="4">
        <v>3909.25</v>
      </c>
      <c r="E387" s="4">
        <v>167.99</v>
      </c>
      <c r="F387" s="3">
        <f>VLOOKUP(B387,'Profit &amp; Loss'!$B$2:$C$390,2,0)</f>
        <v>1184.21</v>
      </c>
    </row>
    <row r="388" spans="1:6" x14ac:dyDescent="0.2">
      <c r="A388" s="3" t="s">
        <v>334</v>
      </c>
      <c r="B388" s="3" t="s">
        <v>569</v>
      </c>
      <c r="C388" s="4">
        <v>2143.94</v>
      </c>
      <c r="D388" s="4">
        <v>2143.94</v>
      </c>
      <c r="E388" s="4">
        <v>0</v>
      </c>
      <c r="F388" s="3">
        <f>VLOOKUP(B388,'Profit &amp; Loss'!$B$2:$C$390,2,0)</f>
        <v>1388.56</v>
      </c>
    </row>
    <row r="389" spans="1:6" x14ac:dyDescent="0.2">
      <c r="A389" s="3" t="s">
        <v>334</v>
      </c>
      <c r="B389" s="3" t="s">
        <v>667</v>
      </c>
      <c r="C389" s="4">
        <v>2499.27</v>
      </c>
      <c r="D389" s="4">
        <v>1950.26</v>
      </c>
      <c r="E389" s="4">
        <v>549.01</v>
      </c>
      <c r="F389" s="3">
        <f>VLOOKUP(B389,'Profit &amp; Loss'!$B$2:$C$390,2,0)</f>
        <v>0</v>
      </c>
    </row>
    <row r="390" spans="1:6" x14ac:dyDescent="0.2">
      <c r="A390" s="3" t="s">
        <v>334</v>
      </c>
      <c r="B390" s="3" t="s">
        <v>353</v>
      </c>
      <c r="C390" s="4">
        <v>14708.19</v>
      </c>
      <c r="D390" s="4">
        <v>11663.09</v>
      </c>
      <c r="E390" s="4">
        <v>3045.1</v>
      </c>
      <c r="F390" s="3">
        <f>VLOOKUP(B390,'Profit &amp; Loss'!$B$2:$C$390,2,0)</f>
        <v>1304.8699999999999</v>
      </c>
    </row>
    <row r="391" spans="1:6" x14ac:dyDescent="0.2">
      <c r="A391" s="3" t="s">
        <v>334</v>
      </c>
      <c r="B391" s="3" t="s">
        <v>772</v>
      </c>
      <c r="C391" s="4">
        <v>1164.19</v>
      </c>
      <c r="D391" s="4">
        <v>1018.7</v>
      </c>
      <c r="E391" s="4">
        <v>145.49</v>
      </c>
      <c r="F391" s="3">
        <f>VLOOKUP(B391,'Profit &amp; Loss'!$B$2:$C$390,2,0)</f>
        <v>0</v>
      </c>
    </row>
    <row r="392" spans="1:6" x14ac:dyDescent="0.2">
      <c r="A392" s="3" t="s">
        <v>334</v>
      </c>
      <c r="B392" s="3" t="s">
        <v>354</v>
      </c>
      <c r="C392" s="4">
        <v>5723.53</v>
      </c>
      <c r="D392" s="4">
        <v>4993.54</v>
      </c>
      <c r="E392" s="4">
        <v>729.99</v>
      </c>
      <c r="F392" s="3">
        <f>VLOOKUP(B392,'Profit &amp; Loss'!$B$2:$C$390,2,0)</f>
        <v>645.12</v>
      </c>
    </row>
    <row r="393" spans="1:6" x14ac:dyDescent="0.2">
      <c r="A393" s="3" t="s">
        <v>334</v>
      </c>
      <c r="B393" s="3" t="s">
        <v>355</v>
      </c>
      <c r="C393" s="4">
        <v>39689.75</v>
      </c>
      <c r="D393" s="4">
        <v>34582.44</v>
      </c>
      <c r="E393" s="4">
        <v>5107.3100000000004</v>
      </c>
      <c r="F393" s="3">
        <f>VLOOKUP(B393,'Profit &amp; Loss'!$B$2:$C$390,2,0)</f>
        <v>4654.41</v>
      </c>
    </row>
    <row r="394" spans="1:6" x14ac:dyDescent="0.2">
      <c r="A394" s="3" t="s">
        <v>334</v>
      </c>
      <c r="B394" s="3" t="s">
        <v>356</v>
      </c>
      <c r="C394" s="4">
        <v>0</v>
      </c>
      <c r="D394" s="4">
        <v>34.130000000000003</v>
      </c>
      <c r="E394" s="4">
        <v>-34.130000000000003</v>
      </c>
      <c r="F394" s="3">
        <f>VLOOKUP(B394,'Profit &amp; Loss'!$B$2:$C$390,2,0)</f>
        <v>164.53</v>
      </c>
    </row>
    <row r="395" spans="1:6" x14ac:dyDescent="0.2">
      <c r="A395" s="3" t="s">
        <v>334</v>
      </c>
      <c r="B395" s="3" t="s">
        <v>357</v>
      </c>
      <c r="C395" s="4">
        <v>23714.74</v>
      </c>
      <c r="D395" s="4">
        <v>15496.45</v>
      </c>
      <c r="E395" s="4">
        <v>8218.2900000000009</v>
      </c>
      <c r="F395" s="3">
        <f>VLOOKUP(B395,'Profit &amp; Loss'!$B$2:$C$390,2,0)</f>
        <v>1147.27</v>
      </c>
    </row>
    <row r="396" spans="1:6" x14ac:dyDescent="0.2">
      <c r="A396" s="3" t="s">
        <v>334</v>
      </c>
      <c r="B396" s="3" t="s">
        <v>920</v>
      </c>
      <c r="C396" s="4">
        <v>6178.53</v>
      </c>
      <c r="D396" s="4">
        <v>6178.53</v>
      </c>
      <c r="E396" s="4">
        <v>0</v>
      </c>
      <c r="F396" s="3">
        <f>VLOOKUP(B396,'Profit &amp; Loss'!$B$2:$C$390,2,0)</f>
        <v>0</v>
      </c>
    </row>
    <row r="397" spans="1:6" x14ac:dyDescent="0.2">
      <c r="A397" s="3" t="s">
        <v>334</v>
      </c>
      <c r="B397" s="3" t="s">
        <v>358</v>
      </c>
      <c r="C397" s="4">
        <v>7440.46</v>
      </c>
      <c r="D397" s="4">
        <v>7416.76</v>
      </c>
      <c r="E397" s="4">
        <v>23.7</v>
      </c>
      <c r="F397" s="3">
        <f>VLOOKUP(B397,'Profit &amp; Loss'!$B$2:$C$390,2,0)</f>
        <v>3993.12</v>
      </c>
    </row>
    <row r="398" spans="1:6" x14ac:dyDescent="0.2">
      <c r="A398" s="3" t="s">
        <v>334</v>
      </c>
      <c r="B398" s="3" t="s">
        <v>359</v>
      </c>
      <c r="C398" s="4">
        <v>1270.6400000000001</v>
      </c>
      <c r="D398" s="4">
        <v>1270.6400000000001</v>
      </c>
      <c r="E398" s="4">
        <v>0</v>
      </c>
      <c r="F398" s="3">
        <f>VLOOKUP(B398,'Profit &amp; Loss'!$B$2:$C$390,2,0)</f>
        <v>1270.6400000000001</v>
      </c>
    </row>
    <row r="399" spans="1:6" x14ac:dyDescent="0.2">
      <c r="A399" s="3" t="s">
        <v>334</v>
      </c>
      <c r="B399" s="3" t="s">
        <v>360</v>
      </c>
      <c r="C399" s="4">
        <v>144285.10999999999</v>
      </c>
      <c r="D399" s="4">
        <v>125930.71</v>
      </c>
      <c r="E399" s="4">
        <v>18354.400000000001</v>
      </c>
      <c r="F399" s="3">
        <f>VLOOKUP(B399,'Profit &amp; Loss'!$B$2:$C$390,2,0)</f>
        <v>16594.689999999999</v>
      </c>
    </row>
    <row r="400" spans="1:6" x14ac:dyDescent="0.2">
      <c r="A400" s="3" t="s">
        <v>334</v>
      </c>
      <c r="B400" s="3" t="s">
        <v>571</v>
      </c>
      <c r="C400" s="4">
        <v>10916.21</v>
      </c>
      <c r="D400" s="4">
        <v>10916.21</v>
      </c>
      <c r="E400" s="4">
        <v>0</v>
      </c>
      <c r="F400" s="3">
        <f>VLOOKUP(B400,'Profit &amp; Loss'!$B$2:$C$390,2,0)</f>
        <v>7423.55</v>
      </c>
    </row>
    <row r="401" spans="1:6" x14ac:dyDescent="0.2">
      <c r="A401" s="3" t="s">
        <v>334</v>
      </c>
      <c r="B401" s="3" t="s">
        <v>361</v>
      </c>
      <c r="C401" s="4">
        <v>183.41</v>
      </c>
      <c r="D401" s="4">
        <v>107.69</v>
      </c>
      <c r="E401" s="4">
        <v>75.72</v>
      </c>
      <c r="F401" s="3">
        <f>VLOOKUP(B401,'Profit &amp; Loss'!$B$2:$C$390,2,0)</f>
        <v>0</v>
      </c>
    </row>
    <row r="402" spans="1:6" x14ac:dyDescent="0.2">
      <c r="A402" s="3" t="s">
        <v>334</v>
      </c>
      <c r="B402" s="3" t="s">
        <v>1427</v>
      </c>
      <c r="C402" s="4">
        <v>34.090000000000003</v>
      </c>
      <c r="D402" s="4">
        <v>34.090000000000003</v>
      </c>
      <c r="E402" s="4">
        <v>0</v>
      </c>
      <c r="F402" s="3">
        <f>VLOOKUP(B402,'Profit &amp; Loss'!$B$2:$C$390,2,0)</f>
        <v>0</v>
      </c>
    </row>
    <row r="403" spans="1:6" x14ac:dyDescent="0.2">
      <c r="A403" s="3" t="s">
        <v>334</v>
      </c>
      <c r="B403" s="3" t="s">
        <v>1446</v>
      </c>
      <c r="C403" s="4">
        <v>25.6</v>
      </c>
      <c r="D403" s="4">
        <v>25.6</v>
      </c>
      <c r="E403" s="4">
        <v>0</v>
      </c>
      <c r="F403" s="3">
        <f>VLOOKUP(B403,'Profit &amp; Loss'!$B$2:$C$390,2,0)</f>
        <v>0</v>
      </c>
    </row>
    <row r="404" spans="1:6" x14ac:dyDescent="0.2">
      <c r="A404" s="3" t="s">
        <v>334</v>
      </c>
      <c r="B404" s="3" t="s">
        <v>921</v>
      </c>
      <c r="C404" s="4">
        <v>88.71</v>
      </c>
      <c r="D404" s="4">
        <v>62</v>
      </c>
      <c r="E404" s="4">
        <v>26.71</v>
      </c>
      <c r="F404" s="3">
        <f>VLOOKUP(B404,'Profit &amp; Loss'!$B$2:$C$390,2,0)</f>
        <v>0</v>
      </c>
    </row>
    <row r="405" spans="1:6" x14ac:dyDescent="0.2">
      <c r="A405" s="3" t="s">
        <v>334</v>
      </c>
      <c r="B405" s="3" t="s">
        <v>363</v>
      </c>
      <c r="C405" s="4">
        <v>12140.56</v>
      </c>
      <c r="D405" s="4">
        <v>11994.01</v>
      </c>
      <c r="E405" s="4">
        <v>146.55000000000001</v>
      </c>
      <c r="F405" s="3">
        <f>VLOOKUP(B405,'Profit &amp; Loss'!$B$2:$C$390,2,0)</f>
        <v>1958.16</v>
      </c>
    </row>
    <row r="406" spans="1:6" x14ac:dyDescent="0.2">
      <c r="A406" s="3" t="s">
        <v>334</v>
      </c>
      <c r="B406" s="3" t="s">
        <v>2</v>
      </c>
      <c r="C406" s="4">
        <v>1802272.82</v>
      </c>
      <c r="D406" s="4">
        <v>1571424.27</v>
      </c>
      <c r="E406" s="4">
        <v>230848.55</v>
      </c>
      <c r="F406" s="3" t="e">
        <f>VLOOKUP(B406,'Profit &amp; Loss'!$B$2:$C$390,2,0)</f>
        <v>#N/A</v>
      </c>
    </row>
    <row r="407" spans="1:6" x14ac:dyDescent="0.2">
      <c r="A407" s="3" t="s">
        <v>364</v>
      </c>
      <c r="B407" s="3" t="s">
        <v>365</v>
      </c>
      <c r="C407" s="4">
        <v>1336.61</v>
      </c>
      <c r="D407" s="4">
        <v>50.03</v>
      </c>
      <c r="E407" s="4">
        <v>1286.58</v>
      </c>
      <c r="F407" s="3">
        <f>VLOOKUP(B407,'Profit &amp; Loss'!$B$2:$C$390,2,0)</f>
        <v>0</v>
      </c>
    </row>
    <row r="408" spans="1:6" x14ac:dyDescent="0.2">
      <c r="A408" s="3" t="s">
        <v>364</v>
      </c>
      <c r="B408" s="3" t="s">
        <v>366</v>
      </c>
      <c r="C408" s="4">
        <v>25851.95</v>
      </c>
      <c r="D408" s="4">
        <v>19484.419999999998</v>
      </c>
      <c r="E408" s="4">
        <v>6367.53</v>
      </c>
      <c r="F408" s="3">
        <f>VLOOKUP(B408,'Profit &amp; Loss'!$B$2:$C$390,2,0)</f>
        <v>223.34</v>
      </c>
    </row>
    <row r="409" spans="1:6" x14ac:dyDescent="0.2">
      <c r="A409" s="3" t="s">
        <v>364</v>
      </c>
      <c r="B409" s="3" t="s">
        <v>367</v>
      </c>
      <c r="C409" s="4">
        <v>4124.1000000000004</v>
      </c>
      <c r="D409" s="4">
        <v>2443.5300000000002</v>
      </c>
      <c r="E409" s="4">
        <v>1680.57</v>
      </c>
      <c r="F409" s="3">
        <f>VLOOKUP(B409,'Profit &amp; Loss'!$B$2:$C$390,2,0)</f>
        <v>462.09</v>
      </c>
    </row>
    <row r="410" spans="1:6" x14ac:dyDescent="0.2">
      <c r="A410" s="3" t="s">
        <v>364</v>
      </c>
      <c r="B410" s="3" t="s">
        <v>368</v>
      </c>
      <c r="C410" s="4">
        <v>1626.84</v>
      </c>
      <c r="D410" s="4">
        <v>920.88</v>
      </c>
      <c r="E410" s="4">
        <v>705.96</v>
      </c>
      <c r="F410" s="3">
        <f>VLOOKUP(B410,'Profit &amp; Loss'!$B$2:$C$390,2,0)</f>
        <v>120.24</v>
      </c>
    </row>
    <row r="411" spans="1:6" x14ac:dyDescent="0.2">
      <c r="A411" s="3" t="s">
        <v>364</v>
      </c>
      <c r="B411" s="3" t="s">
        <v>369</v>
      </c>
      <c r="C411" s="4">
        <v>855.37</v>
      </c>
      <c r="D411" s="4">
        <v>444.26</v>
      </c>
      <c r="E411" s="4">
        <v>411.11</v>
      </c>
      <c r="F411" s="3">
        <f>VLOOKUP(B411,'Profit &amp; Loss'!$B$2:$C$390,2,0)</f>
        <v>11.91</v>
      </c>
    </row>
    <row r="412" spans="1:6" s="18" customFormat="1" x14ac:dyDescent="0.2">
      <c r="A412" s="18" t="s">
        <v>364</v>
      </c>
      <c r="B412" s="18" t="s">
        <v>370</v>
      </c>
      <c r="C412" s="4">
        <v>25.99</v>
      </c>
      <c r="D412" s="4">
        <v>0</v>
      </c>
      <c r="E412" s="19">
        <v>25.99</v>
      </c>
      <c r="F412" s="18">
        <f>VLOOKUP(B412,'Profit &amp; Loss'!$B$2:$C$390,2,0)</f>
        <v>0</v>
      </c>
    </row>
    <row r="413" spans="1:6" x14ac:dyDescent="0.2">
      <c r="A413" s="3" t="s">
        <v>364</v>
      </c>
      <c r="B413" s="3" t="s">
        <v>371</v>
      </c>
      <c r="C413" s="4">
        <v>45.18</v>
      </c>
      <c r="D413" s="4">
        <v>16.920000000000002</v>
      </c>
      <c r="E413" s="4">
        <v>28.26</v>
      </c>
      <c r="F413" s="3">
        <f>VLOOKUP(B413,'Profit &amp; Loss'!$B$2:$C$390,2,0)</f>
        <v>0</v>
      </c>
    </row>
    <row r="414" spans="1:6" x14ac:dyDescent="0.2">
      <c r="A414" s="3" t="s">
        <v>364</v>
      </c>
      <c r="B414" s="3" t="s">
        <v>372</v>
      </c>
      <c r="C414" s="4">
        <v>2561.5700000000002</v>
      </c>
      <c r="D414" s="4">
        <v>2365.4899999999998</v>
      </c>
      <c r="E414" s="4">
        <v>196.08</v>
      </c>
      <c r="F414" s="3">
        <f>VLOOKUP(B414,'Profit &amp; Loss'!$B$2:$C$390,2,0)</f>
        <v>247.77</v>
      </c>
    </row>
    <row r="415" spans="1:6" x14ac:dyDescent="0.2">
      <c r="A415" s="3" t="s">
        <v>364</v>
      </c>
      <c r="B415" s="3" t="s">
        <v>572</v>
      </c>
      <c r="C415" s="4">
        <v>1174.08</v>
      </c>
      <c r="D415" s="4">
        <v>895.15</v>
      </c>
      <c r="E415" s="4">
        <v>278.93</v>
      </c>
      <c r="F415" s="3">
        <f>VLOOKUP(B415,'Profit &amp; Loss'!$B$2:$C$390,2,0)</f>
        <v>0</v>
      </c>
    </row>
    <row r="416" spans="1:6" x14ac:dyDescent="0.2">
      <c r="A416" s="3" t="s">
        <v>364</v>
      </c>
      <c r="B416" s="3" t="s">
        <v>2</v>
      </c>
      <c r="C416" s="4">
        <v>37601.69</v>
      </c>
      <c r="D416" s="4">
        <v>26620.68</v>
      </c>
      <c r="E416" s="4">
        <v>10981.01</v>
      </c>
      <c r="F416" s="3" t="e">
        <f>VLOOKUP(B416,'Profit &amp; Loss'!$B$2:$C$390,2,0)</f>
        <v>#N/A</v>
      </c>
    </row>
    <row r="417" spans="1:6" x14ac:dyDescent="0.2">
      <c r="A417" s="3" t="s">
        <v>373</v>
      </c>
      <c r="B417" s="3" t="s">
        <v>673</v>
      </c>
      <c r="C417" s="4">
        <v>14564.88</v>
      </c>
      <c r="D417" s="4">
        <v>11637.55</v>
      </c>
      <c r="E417" s="4">
        <v>2927.33</v>
      </c>
      <c r="F417" s="3">
        <f>VLOOKUP(B417,'Profit &amp; Loss'!$B$2:$C$390,2,0)</f>
        <v>0</v>
      </c>
    </row>
    <row r="418" spans="1:6" x14ac:dyDescent="0.2">
      <c r="A418" s="3" t="s">
        <v>373</v>
      </c>
      <c r="B418" s="3" t="s">
        <v>374</v>
      </c>
      <c r="C418" s="4">
        <v>1279.94</v>
      </c>
      <c r="D418" s="4">
        <v>938.79</v>
      </c>
      <c r="E418" s="4">
        <v>341.15</v>
      </c>
      <c r="F418" s="3">
        <f>VLOOKUP(B418,'Profit &amp; Loss'!$B$2:$C$390,2,0)</f>
        <v>2.44</v>
      </c>
    </row>
    <row r="419" spans="1:6" x14ac:dyDescent="0.2">
      <c r="A419" s="3" t="s">
        <v>373</v>
      </c>
      <c r="B419" s="3" t="s">
        <v>375</v>
      </c>
      <c r="C419" s="4">
        <v>10725.97</v>
      </c>
      <c r="D419" s="4">
        <v>8484.98</v>
      </c>
      <c r="E419" s="4">
        <v>2240.9899999999998</v>
      </c>
      <c r="F419" s="3">
        <f>VLOOKUP(B419,'Profit &amp; Loss'!$B$2:$C$390,2,0)</f>
        <v>-429.67</v>
      </c>
    </row>
    <row r="420" spans="1:6" x14ac:dyDescent="0.2">
      <c r="A420" s="3" t="s">
        <v>373</v>
      </c>
      <c r="B420" s="3" t="s">
        <v>573</v>
      </c>
      <c r="C420" s="4">
        <v>2451.62</v>
      </c>
      <c r="D420" s="4">
        <v>2451.62</v>
      </c>
      <c r="E420" s="4">
        <v>0</v>
      </c>
      <c r="F420" s="3">
        <f>VLOOKUP(B420,'Profit &amp; Loss'!$B$2:$C$390,2,0)</f>
        <v>939.64</v>
      </c>
    </row>
    <row r="421" spans="1:6" x14ac:dyDescent="0.2">
      <c r="A421" s="3" t="s">
        <v>373</v>
      </c>
      <c r="B421" s="3" t="s">
        <v>574</v>
      </c>
      <c r="C421" s="4">
        <v>540.29</v>
      </c>
      <c r="D421" s="4">
        <v>540.29</v>
      </c>
      <c r="E421" s="4">
        <v>0</v>
      </c>
      <c r="F421" s="3">
        <f>VLOOKUP(B421,'Profit &amp; Loss'!$B$2:$C$390,2,0)</f>
        <v>0</v>
      </c>
    </row>
    <row r="422" spans="1:6" x14ac:dyDescent="0.2">
      <c r="A422" s="3" t="s">
        <v>373</v>
      </c>
      <c r="B422" s="3" t="s">
        <v>376</v>
      </c>
      <c r="C422" s="4">
        <v>6225.99</v>
      </c>
      <c r="D422" s="4">
        <v>5778.67</v>
      </c>
      <c r="E422" s="4">
        <v>447.32</v>
      </c>
      <c r="F422" s="3">
        <f>VLOOKUP(B422,'Profit &amp; Loss'!$B$2:$C$390,2,0)</f>
        <v>654.64</v>
      </c>
    </row>
    <row r="423" spans="1:6" x14ac:dyDescent="0.2">
      <c r="A423" s="3" t="s">
        <v>373</v>
      </c>
      <c r="B423" s="3" t="s">
        <v>377</v>
      </c>
      <c r="C423" s="4">
        <v>8601.42</v>
      </c>
      <c r="D423" s="4">
        <v>7391.91</v>
      </c>
      <c r="E423" s="4">
        <v>1209.51</v>
      </c>
      <c r="F423" s="3">
        <f>VLOOKUP(B423,'Profit &amp; Loss'!$B$2:$C$390,2,0)</f>
        <v>0</v>
      </c>
    </row>
    <row r="424" spans="1:6" x14ac:dyDescent="0.2">
      <c r="A424" s="3" t="s">
        <v>373</v>
      </c>
      <c r="B424" s="3" t="s">
        <v>857</v>
      </c>
      <c r="C424" s="4">
        <v>55170.39</v>
      </c>
      <c r="D424" s="4">
        <v>51944.74</v>
      </c>
      <c r="E424" s="4">
        <v>3225.65</v>
      </c>
      <c r="F424" s="3">
        <f>VLOOKUP(B424,'Profit &amp; Loss'!$B$2:$C$390,2,0)</f>
        <v>0</v>
      </c>
    </row>
    <row r="425" spans="1:6" x14ac:dyDescent="0.2">
      <c r="A425" s="3" t="s">
        <v>373</v>
      </c>
      <c r="B425" s="3" t="s">
        <v>378</v>
      </c>
      <c r="C425" s="4">
        <v>49039.44</v>
      </c>
      <c r="D425" s="4">
        <v>40990.68</v>
      </c>
      <c r="E425" s="4">
        <v>8048.76</v>
      </c>
      <c r="F425" s="3">
        <f>VLOOKUP(B425,'Profit &amp; Loss'!$B$2:$C$390,2,0)</f>
        <v>679.62</v>
      </c>
    </row>
    <row r="426" spans="1:6" x14ac:dyDescent="0.2">
      <c r="A426" s="3" t="s">
        <v>373</v>
      </c>
      <c r="B426" s="3" t="s">
        <v>2</v>
      </c>
      <c r="C426" s="4">
        <v>148599.94</v>
      </c>
      <c r="D426" s="4">
        <v>130159.23</v>
      </c>
      <c r="E426" s="4">
        <v>18440.71</v>
      </c>
      <c r="F426" s="3" t="e">
        <f>VLOOKUP(B426,'Profit &amp; Loss'!$B$2:$C$390,2,0)</f>
        <v>#N/A</v>
      </c>
    </row>
    <row r="427" spans="1:6" x14ac:dyDescent="0.2">
      <c r="A427" s="3" t="s">
        <v>379</v>
      </c>
      <c r="B427" s="3" t="s">
        <v>380</v>
      </c>
      <c r="C427" s="4">
        <v>2230.36</v>
      </c>
      <c r="D427" s="4">
        <v>1989.81</v>
      </c>
      <c r="E427" s="4">
        <v>240.55</v>
      </c>
      <c r="F427" s="3">
        <f>VLOOKUP(B427,'Profit &amp; Loss'!$B$2:$C$390,2,0)</f>
        <v>94.24</v>
      </c>
    </row>
    <row r="428" spans="1:6" x14ac:dyDescent="0.2">
      <c r="A428" s="3" t="s">
        <v>379</v>
      </c>
      <c r="B428" s="3" t="s">
        <v>381</v>
      </c>
      <c r="C428" s="4">
        <v>19470.349999999999</v>
      </c>
      <c r="D428" s="4">
        <v>13824.72</v>
      </c>
      <c r="E428" s="4">
        <v>5645.63</v>
      </c>
      <c r="F428" s="3">
        <f>VLOOKUP(B428,'Profit &amp; Loss'!$B$2:$C$390,2,0)</f>
        <v>-870.15</v>
      </c>
    </row>
    <row r="429" spans="1:6" x14ac:dyDescent="0.2">
      <c r="A429" s="3" t="s">
        <v>379</v>
      </c>
      <c r="B429" s="3" t="s">
        <v>382</v>
      </c>
      <c r="C429" s="4">
        <v>10097.73</v>
      </c>
      <c r="D429" s="4">
        <v>4811.8900000000003</v>
      </c>
      <c r="E429" s="4">
        <v>5285.84</v>
      </c>
      <c r="F429" s="3">
        <f>VLOOKUP(B429,'Profit &amp; Loss'!$B$2:$C$390,2,0)</f>
        <v>-237.73</v>
      </c>
    </row>
    <row r="430" spans="1:6" x14ac:dyDescent="0.2">
      <c r="A430" s="3" t="s">
        <v>379</v>
      </c>
      <c r="B430" s="3" t="s">
        <v>2</v>
      </c>
      <c r="C430" s="4">
        <v>31798.44</v>
      </c>
      <c r="D430" s="4">
        <v>20626.419999999998</v>
      </c>
      <c r="E430" s="4">
        <v>11172.02</v>
      </c>
      <c r="F430" s="3" t="e">
        <f>VLOOKUP(B430,'Profit &amp; Loss'!$B$2:$C$390,2,0)</f>
        <v>#N/A</v>
      </c>
    </row>
    <row r="431" spans="1:6" x14ac:dyDescent="0.2">
      <c r="A431" s="3" t="s">
        <v>383</v>
      </c>
      <c r="B431" s="3" t="s">
        <v>384</v>
      </c>
      <c r="C431" s="4">
        <v>1124.5999999999999</v>
      </c>
      <c r="D431" s="4">
        <v>1115.0999999999999</v>
      </c>
      <c r="E431" s="4">
        <v>9.5</v>
      </c>
      <c r="F431" s="3">
        <f>VLOOKUP(B431,'Profit &amp; Loss'!$B$2:$C$390,2,0)</f>
        <v>152.97999999999999</v>
      </c>
    </row>
    <row r="432" spans="1:6" x14ac:dyDescent="0.2">
      <c r="A432" s="3" t="s">
        <v>383</v>
      </c>
      <c r="B432" s="3" t="s">
        <v>993</v>
      </c>
      <c r="C432" s="4">
        <v>-130594.91</v>
      </c>
      <c r="D432" s="4">
        <v>-130594.91</v>
      </c>
      <c r="E432" s="4">
        <v>0</v>
      </c>
      <c r="F432" s="3">
        <f>VLOOKUP(B432,'Profit &amp; Loss'!$B$2:$C$390,2,0)</f>
        <v>-130594.91</v>
      </c>
    </row>
    <row r="433" spans="1:6" x14ac:dyDescent="0.2">
      <c r="A433" s="3" t="s">
        <v>383</v>
      </c>
      <c r="B433" s="3" t="s">
        <v>385</v>
      </c>
      <c r="C433" s="4">
        <v>166126.79</v>
      </c>
      <c r="D433" s="4">
        <v>127112.41</v>
      </c>
      <c r="E433" s="4">
        <v>39014.379999999997</v>
      </c>
      <c r="F433" s="3">
        <f>VLOOKUP(B433,'Profit &amp; Loss'!$B$2:$C$390,2,0)</f>
        <v>3245.65</v>
      </c>
    </row>
    <row r="434" spans="1:6" x14ac:dyDescent="0.2">
      <c r="A434" s="3" t="s">
        <v>383</v>
      </c>
      <c r="B434" s="3" t="s">
        <v>386</v>
      </c>
      <c r="C434" s="4">
        <v>37225.53</v>
      </c>
      <c r="D434" s="4">
        <v>32692.81</v>
      </c>
      <c r="E434" s="4">
        <v>4532.72</v>
      </c>
      <c r="F434" s="3">
        <f>VLOOKUP(B434,'Profit &amp; Loss'!$B$2:$C$390,2,0)</f>
        <v>4774.8</v>
      </c>
    </row>
    <row r="435" spans="1:6" x14ac:dyDescent="0.2">
      <c r="A435" s="3" t="s">
        <v>383</v>
      </c>
      <c r="B435" s="3" t="s">
        <v>387</v>
      </c>
      <c r="C435" s="4">
        <v>46832.91</v>
      </c>
      <c r="D435" s="4">
        <v>40956.67</v>
      </c>
      <c r="E435" s="4">
        <v>5876.24</v>
      </c>
      <c r="F435" s="3">
        <f>VLOOKUP(B435,'Profit &amp; Loss'!$B$2:$C$390,2,0)</f>
        <v>5944.89</v>
      </c>
    </row>
    <row r="436" spans="1:6" x14ac:dyDescent="0.2">
      <c r="A436" s="3" t="s">
        <v>383</v>
      </c>
      <c r="B436" s="3" t="s">
        <v>2</v>
      </c>
      <c r="C436" s="4">
        <v>120714.92</v>
      </c>
      <c r="D436" s="4">
        <v>71282.080000000002</v>
      </c>
      <c r="E436" s="4">
        <v>49432.84</v>
      </c>
      <c r="F436" s="3" t="e">
        <f>VLOOKUP(B436,'Profit &amp; Loss'!$B$2:$C$390,2,0)</f>
        <v>#N/A</v>
      </c>
    </row>
    <row r="437" spans="1:6" x14ac:dyDescent="0.2">
      <c r="A437" s="3" t="s">
        <v>678</v>
      </c>
      <c r="B437" s="3" t="s">
        <v>994</v>
      </c>
      <c r="C437" s="4">
        <v>249.17</v>
      </c>
      <c r="D437" s="4">
        <v>249.17</v>
      </c>
      <c r="E437" s="4">
        <v>0</v>
      </c>
      <c r="F437" s="3">
        <f>VLOOKUP(B437,'Profit &amp; Loss'!$B$2:$C$390,2,0)</f>
        <v>1302.99</v>
      </c>
    </row>
    <row r="438" spans="1:6" x14ac:dyDescent="0.2">
      <c r="A438" s="3" t="s">
        <v>678</v>
      </c>
      <c r="B438" s="3" t="s">
        <v>679</v>
      </c>
      <c r="C438" s="4">
        <v>1741.22</v>
      </c>
      <c r="D438" s="4">
        <v>1741.22</v>
      </c>
      <c r="E438" s="4">
        <v>0</v>
      </c>
      <c r="F438" s="3" t="e">
        <f>VLOOKUP(B438,'Profit &amp; Loss'!$B$2:$C$390,2,0)</f>
        <v>#N/A</v>
      </c>
    </row>
    <row r="439" spans="1:6" x14ac:dyDescent="0.2">
      <c r="A439" s="3" t="s">
        <v>678</v>
      </c>
      <c r="B439" s="3" t="s">
        <v>2</v>
      </c>
      <c r="C439" s="4">
        <v>1990.39</v>
      </c>
      <c r="D439" s="4">
        <v>1990.39</v>
      </c>
      <c r="E439" s="4">
        <v>0</v>
      </c>
      <c r="F439" s="3" t="e">
        <f>VLOOKUP(B439,'Profit &amp; Loss'!$B$2:$C$390,2,0)</f>
        <v>#N/A</v>
      </c>
    </row>
    <row r="440" spans="1:6" x14ac:dyDescent="0.2">
      <c r="A440" s="3" t="s">
        <v>388</v>
      </c>
      <c r="B440" s="3" t="s">
        <v>390</v>
      </c>
      <c r="C440" s="4">
        <v>13513.06</v>
      </c>
      <c r="D440" s="4">
        <v>6550.02</v>
      </c>
      <c r="E440" s="4">
        <v>6963.04</v>
      </c>
      <c r="F440" s="3" t="e">
        <f>VLOOKUP(B440,'Profit &amp; Loss'!$B$2:$C$390,2,0)</f>
        <v>#N/A</v>
      </c>
    </row>
    <row r="441" spans="1:6" x14ac:dyDescent="0.2">
      <c r="A441" s="3" t="s">
        <v>388</v>
      </c>
      <c r="B441" s="3" t="s">
        <v>2</v>
      </c>
      <c r="C441" s="4">
        <v>13513.06</v>
      </c>
      <c r="D441" s="4">
        <v>6550.02</v>
      </c>
      <c r="E441" s="4">
        <v>6963.04</v>
      </c>
      <c r="F441" s="3" t="e">
        <f>VLOOKUP(B441,'Profit &amp; Loss'!$B$2:$C$390,2,0)</f>
        <v>#N/A</v>
      </c>
    </row>
    <row r="442" spans="1:6" x14ac:dyDescent="0.2">
      <c r="A442" s="3" t="s">
        <v>391</v>
      </c>
      <c r="B442" s="3" t="s">
        <v>579</v>
      </c>
      <c r="C442" s="4">
        <v>1399.27</v>
      </c>
      <c r="D442" s="4">
        <v>1036.8699999999999</v>
      </c>
      <c r="E442" s="4">
        <v>362.4</v>
      </c>
      <c r="F442" s="3">
        <f>VLOOKUP(B442,'Profit &amp; Loss'!$B$2:$C$390,2,0)</f>
        <v>2.69</v>
      </c>
    </row>
    <row r="443" spans="1:6" x14ac:dyDescent="0.2">
      <c r="A443" s="3" t="s">
        <v>391</v>
      </c>
      <c r="B443" s="3" t="s">
        <v>392</v>
      </c>
      <c r="C443" s="4">
        <v>40932.199999999997</v>
      </c>
      <c r="D443" s="4">
        <v>34606.89</v>
      </c>
      <c r="E443" s="4">
        <v>6325.31</v>
      </c>
      <c r="F443" s="3">
        <f>VLOOKUP(B443,'Profit &amp; Loss'!$B$2:$C$390,2,0)</f>
        <v>904.52</v>
      </c>
    </row>
    <row r="444" spans="1:6" x14ac:dyDescent="0.2">
      <c r="A444" s="3" t="s">
        <v>391</v>
      </c>
      <c r="B444" s="3" t="s">
        <v>967</v>
      </c>
      <c r="C444" s="4">
        <v>2062.6799999999998</v>
      </c>
      <c r="D444" s="4">
        <v>3778.68</v>
      </c>
      <c r="E444" s="4">
        <v>-1716</v>
      </c>
      <c r="F444" s="3">
        <f>VLOOKUP(B444,'Profit &amp; Loss'!$B$2:$C$390,2,0)</f>
        <v>0</v>
      </c>
    </row>
    <row r="445" spans="1:6" x14ac:dyDescent="0.2">
      <c r="A445" s="3" t="s">
        <v>391</v>
      </c>
      <c r="B445" s="3" t="s">
        <v>1435</v>
      </c>
      <c r="C445" s="4">
        <v>6489</v>
      </c>
      <c r="D445" s="4">
        <v>6489</v>
      </c>
      <c r="E445" s="4">
        <v>0</v>
      </c>
      <c r="F445" s="3">
        <f>VLOOKUP(B445,'Profit &amp; Loss'!$B$2:$C$390,2,0)</f>
        <v>0</v>
      </c>
    </row>
    <row r="446" spans="1:6" x14ac:dyDescent="0.2">
      <c r="A446" s="3" t="s">
        <v>391</v>
      </c>
      <c r="B446" s="3" t="s">
        <v>2</v>
      </c>
      <c r="C446" s="4">
        <v>50883.15</v>
      </c>
      <c r="D446" s="4">
        <v>45911.44</v>
      </c>
      <c r="E446" s="4">
        <v>4971.71</v>
      </c>
      <c r="F446" s="3" t="e">
        <f>VLOOKUP(B446,'Profit &amp; Loss'!$B$2:$C$390,2,0)</f>
        <v>#N/A</v>
      </c>
    </row>
    <row r="447" spans="1:6" x14ac:dyDescent="0.2">
      <c r="A447" s="3" t="s">
        <v>393</v>
      </c>
      <c r="B447" s="3" t="s">
        <v>394</v>
      </c>
      <c r="C447" s="4">
        <v>18791.240000000002</v>
      </c>
      <c r="D447" s="4">
        <v>17343.490000000002</v>
      </c>
      <c r="E447" s="4">
        <v>1447.75</v>
      </c>
      <c r="F447" s="3">
        <f>VLOOKUP(B447,'Profit &amp; Loss'!$B$2:$C$390,2,0)</f>
        <v>1534.08</v>
      </c>
    </row>
    <row r="448" spans="1:6" x14ac:dyDescent="0.2">
      <c r="A448" s="3" t="s">
        <v>393</v>
      </c>
      <c r="B448" s="3" t="s">
        <v>395</v>
      </c>
      <c r="C448" s="4">
        <v>15674.94</v>
      </c>
      <c r="D448" s="4">
        <v>13864.85</v>
      </c>
      <c r="E448" s="4">
        <v>1810.09</v>
      </c>
      <c r="F448" s="3">
        <f>VLOOKUP(B448,'Profit &amp; Loss'!$B$2:$C$390,2,0)</f>
        <v>2034.12</v>
      </c>
    </row>
    <row r="449" spans="1:6" x14ac:dyDescent="0.2">
      <c r="A449" s="3" t="s">
        <v>393</v>
      </c>
      <c r="B449" s="3" t="s">
        <v>2</v>
      </c>
      <c r="C449" s="4">
        <v>34466.18</v>
      </c>
      <c r="D449" s="4">
        <v>31208.34</v>
      </c>
      <c r="E449" s="4">
        <v>3257.84</v>
      </c>
      <c r="F449" s="3" t="e">
        <f>VLOOKUP(B449,'Profit &amp; Loss'!$B$2:$C$390,2,0)</f>
        <v>#N/A</v>
      </c>
    </row>
    <row r="450" spans="1:6" x14ac:dyDescent="0.2">
      <c r="A450" s="3" t="s">
        <v>582</v>
      </c>
      <c r="B450" s="3" t="s">
        <v>583</v>
      </c>
      <c r="C450" s="4">
        <v>149359.42000000001</v>
      </c>
      <c r="D450" s="4">
        <v>134051.12</v>
      </c>
      <c r="E450" s="4">
        <v>15308.3</v>
      </c>
      <c r="F450" s="3">
        <f>VLOOKUP(B450,'Profit &amp; Loss'!$B$2:$C$390,2,0)</f>
        <v>-54602.16</v>
      </c>
    </row>
    <row r="451" spans="1:6" x14ac:dyDescent="0.2">
      <c r="A451" s="3" t="s">
        <v>582</v>
      </c>
      <c r="B451" s="3" t="s">
        <v>584</v>
      </c>
      <c r="C451" s="4">
        <v>160761.66</v>
      </c>
      <c r="D451" s="4">
        <v>111450.07</v>
      </c>
      <c r="E451" s="4">
        <v>49311.59</v>
      </c>
      <c r="F451" s="3">
        <f>VLOOKUP(B451,'Profit &amp; Loss'!$B$2:$C$390,2,0)</f>
        <v>-28044.34</v>
      </c>
    </row>
    <row r="452" spans="1:6" x14ac:dyDescent="0.2">
      <c r="A452" s="3" t="s">
        <v>582</v>
      </c>
      <c r="B452" s="3" t="s">
        <v>684</v>
      </c>
      <c r="C452" s="4">
        <v>75954.81</v>
      </c>
      <c r="D452" s="4">
        <v>65317.4</v>
      </c>
      <c r="E452" s="4">
        <v>10637.41</v>
      </c>
      <c r="F452" s="3">
        <f>VLOOKUP(B452,'Profit &amp; Loss'!$B$2:$C$390,2,0)</f>
        <v>-37.07</v>
      </c>
    </row>
    <row r="453" spans="1:6" x14ac:dyDescent="0.2">
      <c r="A453" s="3" t="s">
        <v>582</v>
      </c>
      <c r="B453" s="3" t="s">
        <v>2</v>
      </c>
      <c r="C453" s="4">
        <v>386075.89</v>
      </c>
      <c r="D453" s="4">
        <v>310818.59000000003</v>
      </c>
      <c r="E453" s="4">
        <v>75257.3</v>
      </c>
      <c r="F453" s="3" t="e">
        <f>VLOOKUP(B453,'Profit &amp; Loss'!$B$2:$C$390,2,0)</f>
        <v>#N/A</v>
      </c>
    </row>
    <row r="454" spans="1:6" x14ac:dyDescent="0.2">
      <c r="A454" s="3" t="s">
        <v>396</v>
      </c>
      <c r="B454" s="3" t="s">
        <v>1403</v>
      </c>
      <c r="C454" s="4">
        <v>162.94</v>
      </c>
      <c r="D454" s="4">
        <v>162.94</v>
      </c>
      <c r="E454" s="4">
        <v>0</v>
      </c>
      <c r="F454" s="3">
        <f>VLOOKUP(B454,'Profit &amp; Loss'!$B$2:$C$390,2,0)</f>
        <v>0</v>
      </c>
    </row>
    <row r="455" spans="1:6" x14ac:dyDescent="0.2">
      <c r="A455" s="3" t="s">
        <v>396</v>
      </c>
      <c r="B455" s="3" t="s">
        <v>397</v>
      </c>
      <c r="C455" s="4">
        <v>16969.740000000002</v>
      </c>
      <c r="D455" s="4">
        <v>16227.9</v>
      </c>
      <c r="E455" s="4">
        <v>741.84</v>
      </c>
      <c r="F455" s="3">
        <f>VLOOKUP(B455,'Profit &amp; Loss'!$B$2:$C$390,2,0)</f>
        <v>4528.21</v>
      </c>
    </row>
    <row r="456" spans="1:6" x14ac:dyDescent="0.2">
      <c r="A456" s="3" t="s">
        <v>396</v>
      </c>
      <c r="B456" s="3" t="s">
        <v>2</v>
      </c>
      <c r="C456" s="4">
        <v>17132.68</v>
      </c>
      <c r="D456" s="4">
        <v>16390.84</v>
      </c>
      <c r="E456" s="4">
        <v>741.84</v>
      </c>
      <c r="F456" s="3" t="e">
        <f>VLOOKUP(B456,'Profit &amp; Loss'!$B$2:$C$390,2,0)</f>
        <v>#N/A</v>
      </c>
    </row>
    <row r="457" spans="1:6" x14ac:dyDescent="0.2">
      <c r="A457" s="3" t="s">
        <v>398</v>
      </c>
      <c r="B457" s="3" t="s">
        <v>399</v>
      </c>
      <c r="C457" s="4">
        <v>18275.61</v>
      </c>
      <c r="D457" s="4">
        <v>18371.849999999999</v>
      </c>
      <c r="E457" s="4">
        <v>-96.24</v>
      </c>
      <c r="F457" s="3">
        <f>VLOOKUP(B457,'Profit &amp; Loss'!$B$2:$C$390,2,0)</f>
        <v>6517.4</v>
      </c>
    </row>
    <row r="458" spans="1:6" x14ac:dyDescent="0.2">
      <c r="A458" s="3" t="s">
        <v>398</v>
      </c>
      <c r="B458" s="3" t="s">
        <v>400</v>
      </c>
      <c r="C458" s="4">
        <v>21958.11</v>
      </c>
      <c r="D458" s="4">
        <v>17547.2</v>
      </c>
      <c r="E458" s="4">
        <v>4410.91</v>
      </c>
      <c r="F458" s="3">
        <f>VLOOKUP(B458,'Profit &amp; Loss'!$B$2:$C$390,2,0)</f>
        <v>0</v>
      </c>
    </row>
    <row r="459" spans="1:6" x14ac:dyDescent="0.2">
      <c r="A459" s="3" t="s">
        <v>398</v>
      </c>
      <c r="B459" s="3" t="s">
        <v>2</v>
      </c>
      <c r="C459" s="4">
        <v>40233.72</v>
      </c>
      <c r="D459" s="4">
        <v>35919.050000000003</v>
      </c>
      <c r="E459" s="4">
        <v>4314.67</v>
      </c>
      <c r="F459" s="3" t="e">
        <f>VLOOKUP(B459,'Profit &amp; Loss'!$B$2:$C$390,2,0)</f>
        <v>#N/A</v>
      </c>
    </row>
    <row r="460" spans="1:6" x14ac:dyDescent="0.2">
      <c r="A460" s="3" t="s">
        <v>401</v>
      </c>
      <c r="B460" s="3" t="s">
        <v>402</v>
      </c>
      <c r="C460" s="4">
        <v>447.33</v>
      </c>
      <c r="D460" s="4">
        <v>379.99</v>
      </c>
      <c r="E460" s="4">
        <v>67.34</v>
      </c>
      <c r="F460" s="3">
        <f>VLOOKUP(B460,'Profit &amp; Loss'!$B$2:$C$390,2,0)</f>
        <v>139.75</v>
      </c>
    </row>
    <row r="461" spans="1:6" x14ac:dyDescent="0.2">
      <c r="A461" s="3" t="s">
        <v>401</v>
      </c>
      <c r="B461" s="3" t="s">
        <v>2</v>
      </c>
      <c r="C461" s="4">
        <v>447.33</v>
      </c>
      <c r="D461" s="4">
        <v>379.99</v>
      </c>
      <c r="E461" s="4">
        <v>67.34</v>
      </c>
      <c r="F461" s="3" t="e">
        <f>VLOOKUP(B461,'Profit &amp; Loss'!$B$2:$C$390,2,0)</f>
        <v>#N/A</v>
      </c>
    </row>
    <row r="462" spans="1:6" x14ac:dyDescent="0.2">
      <c r="A462" s="3" t="s">
        <v>403</v>
      </c>
      <c r="B462" s="3" t="s">
        <v>404</v>
      </c>
      <c r="C462" s="4">
        <v>11981.55</v>
      </c>
      <c r="D462" s="4">
        <v>11381.49</v>
      </c>
      <c r="E462" s="4">
        <v>600.05999999999995</v>
      </c>
      <c r="F462" s="3">
        <f>VLOOKUP(B462,'Profit &amp; Loss'!$B$2:$C$390,2,0)</f>
        <v>1539.76</v>
      </c>
    </row>
    <row r="463" spans="1:6" x14ac:dyDescent="0.2">
      <c r="A463" s="3" t="s">
        <v>403</v>
      </c>
      <c r="B463" s="3" t="s">
        <v>405</v>
      </c>
      <c r="C463" s="4">
        <v>150065.12</v>
      </c>
      <c r="D463" s="4">
        <v>128907.6</v>
      </c>
      <c r="E463" s="4">
        <v>21157.52</v>
      </c>
      <c r="F463" s="3">
        <f>VLOOKUP(B463,'Profit &amp; Loss'!$B$2:$C$390,2,0)</f>
        <v>2743.74</v>
      </c>
    </row>
    <row r="464" spans="1:6" x14ac:dyDescent="0.2">
      <c r="A464" s="3" t="s">
        <v>403</v>
      </c>
      <c r="B464" s="3" t="s">
        <v>406</v>
      </c>
      <c r="C464" s="4">
        <v>92.47</v>
      </c>
      <c r="D464" s="4">
        <v>80.89</v>
      </c>
      <c r="E464" s="4">
        <v>11.58</v>
      </c>
      <c r="F464" s="3">
        <f>VLOOKUP(B464,'Profit &amp; Loss'!$B$2:$C$390,2,0)</f>
        <v>28.84</v>
      </c>
    </row>
    <row r="465" spans="1:6" x14ac:dyDescent="0.2">
      <c r="A465" s="3" t="s">
        <v>403</v>
      </c>
      <c r="B465" s="3" t="s">
        <v>407</v>
      </c>
      <c r="C465" s="4">
        <v>174.21</v>
      </c>
      <c r="D465" s="4">
        <v>174.21</v>
      </c>
      <c r="E465" s="4">
        <v>0</v>
      </c>
      <c r="F465" s="3">
        <f>VLOOKUP(B465,'Profit &amp; Loss'!$B$2:$C$390,2,0)</f>
        <v>0</v>
      </c>
    </row>
    <row r="466" spans="1:6" x14ac:dyDescent="0.2">
      <c r="A466" s="3" t="s">
        <v>403</v>
      </c>
      <c r="B466" s="3" t="s">
        <v>686</v>
      </c>
      <c r="C466" s="4">
        <v>949.51</v>
      </c>
      <c r="D466" s="4">
        <v>564.88</v>
      </c>
      <c r="E466" s="4">
        <v>384.63</v>
      </c>
      <c r="F466" s="3">
        <f>VLOOKUP(B466,'Profit &amp; Loss'!$B$2:$C$390,2,0)</f>
        <v>494.67</v>
      </c>
    </row>
    <row r="467" spans="1:6" x14ac:dyDescent="0.2">
      <c r="A467" s="3" t="s">
        <v>403</v>
      </c>
      <c r="B467" s="3" t="s">
        <v>2</v>
      </c>
      <c r="C467" s="4">
        <v>163262.85999999999</v>
      </c>
      <c r="D467" s="4">
        <v>141109.07</v>
      </c>
      <c r="E467" s="4">
        <v>22153.79</v>
      </c>
      <c r="F467" s="3" t="e">
        <f>VLOOKUP(B467,'Profit &amp; Loss'!$B$2:$C$390,2,0)</f>
        <v>#N/A</v>
      </c>
    </row>
    <row r="468" spans="1:6" x14ac:dyDescent="0.2">
      <c r="A468" s="3" t="s">
        <v>408</v>
      </c>
      <c r="B468" s="3" t="s">
        <v>409</v>
      </c>
      <c r="C468" s="4">
        <v>42140.4</v>
      </c>
      <c r="D468" s="4">
        <v>36311.019999999997</v>
      </c>
      <c r="E468" s="4">
        <v>5829.38</v>
      </c>
      <c r="F468" s="3">
        <f>VLOOKUP(B468,'Profit &amp; Loss'!$B$2:$C$390,2,0)</f>
        <v>3504.81</v>
      </c>
    </row>
    <row r="469" spans="1:6" x14ac:dyDescent="0.2">
      <c r="A469" s="3" t="s">
        <v>408</v>
      </c>
      <c r="B469" s="3" t="s">
        <v>995</v>
      </c>
      <c r="C469" s="4">
        <v>33.01</v>
      </c>
      <c r="D469" s="4">
        <v>33.01</v>
      </c>
      <c r="E469" s="4">
        <v>0</v>
      </c>
      <c r="F469" s="3">
        <f>VLOOKUP(B469,'Profit &amp; Loss'!$B$2:$C$390,2,0)</f>
        <v>8.25</v>
      </c>
    </row>
    <row r="470" spans="1:6" x14ac:dyDescent="0.2">
      <c r="A470" s="3" t="s">
        <v>408</v>
      </c>
      <c r="B470" s="3" t="s">
        <v>410</v>
      </c>
      <c r="C470" s="4">
        <v>908.11</v>
      </c>
      <c r="D470" s="4">
        <v>467.94</v>
      </c>
      <c r="E470" s="4">
        <v>440.17</v>
      </c>
      <c r="F470" s="3">
        <f>VLOOKUP(B470,'Profit &amp; Loss'!$B$2:$C$390,2,0)</f>
        <v>34.97</v>
      </c>
    </row>
    <row r="471" spans="1:6" x14ac:dyDescent="0.2">
      <c r="A471" s="3" t="s">
        <v>408</v>
      </c>
      <c r="B471" s="3" t="s">
        <v>411</v>
      </c>
      <c r="C471" s="4">
        <v>18425</v>
      </c>
      <c r="D471" s="4">
        <v>16009.36</v>
      </c>
      <c r="E471" s="4">
        <v>2415.64</v>
      </c>
      <c r="F471" s="3">
        <f>VLOOKUP(B471,'Profit &amp; Loss'!$B$2:$C$390,2,0)</f>
        <v>2065.9299999999998</v>
      </c>
    </row>
    <row r="472" spans="1:6" x14ac:dyDescent="0.2">
      <c r="A472" s="3" t="s">
        <v>408</v>
      </c>
      <c r="B472" s="3" t="s">
        <v>412</v>
      </c>
      <c r="C472" s="4">
        <v>2331.0100000000002</v>
      </c>
      <c r="D472" s="4">
        <v>2056.5</v>
      </c>
      <c r="E472" s="4">
        <v>274.51</v>
      </c>
      <c r="F472" s="3">
        <f>VLOOKUP(B472,'Profit &amp; Loss'!$B$2:$C$390,2,0)</f>
        <v>409.3</v>
      </c>
    </row>
    <row r="473" spans="1:6" x14ac:dyDescent="0.2">
      <c r="A473" s="3" t="s">
        <v>408</v>
      </c>
      <c r="B473" s="3" t="s">
        <v>413</v>
      </c>
      <c r="C473" s="4">
        <v>16248.08</v>
      </c>
      <c r="D473" s="4">
        <v>13360.32</v>
      </c>
      <c r="E473" s="4">
        <v>2887.76</v>
      </c>
      <c r="F473" s="3">
        <f>VLOOKUP(B473,'Profit &amp; Loss'!$B$2:$C$390,2,0)</f>
        <v>1687.53</v>
      </c>
    </row>
    <row r="474" spans="1:6" x14ac:dyDescent="0.2">
      <c r="A474" s="3" t="s">
        <v>408</v>
      </c>
      <c r="B474" s="3" t="s">
        <v>414</v>
      </c>
      <c r="C474" s="4">
        <v>8918.17</v>
      </c>
      <c r="D474" s="4">
        <v>7803.41</v>
      </c>
      <c r="E474" s="4">
        <v>1114.76</v>
      </c>
      <c r="F474" s="3">
        <f>VLOOKUP(B474,'Profit &amp; Loss'!$B$2:$C$390,2,0)</f>
        <v>1114.78</v>
      </c>
    </row>
    <row r="475" spans="1:6" x14ac:dyDescent="0.2">
      <c r="A475" s="3" t="s">
        <v>408</v>
      </c>
      <c r="B475" s="3" t="s">
        <v>415</v>
      </c>
      <c r="C475" s="4">
        <v>444.67</v>
      </c>
      <c r="D475" s="4">
        <v>389.09</v>
      </c>
      <c r="E475" s="4">
        <v>55.58</v>
      </c>
      <c r="F475" s="3">
        <f>VLOOKUP(B475,'Profit &amp; Loss'!$B$2:$C$390,2,0)</f>
        <v>55.58</v>
      </c>
    </row>
    <row r="476" spans="1:6" x14ac:dyDescent="0.2">
      <c r="A476" s="3" t="s">
        <v>408</v>
      </c>
      <c r="B476" s="3" t="s">
        <v>416</v>
      </c>
      <c r="C476" s="4">
        <v>18069.080000000002</v>
      </c>
      <c r="D476" s="4">
        <v>16368.14</v>
      </c>
      <c r="E476" s="4">
        <v>1700.94</v>
      </c>
      <c r="F476" s="3">
        <f>VLOOKUP(B476,'Profit &amp; Loss'!$B$2:$C$390,2,0)</f>
        <v>5433.31</v>
      </c>
    </row>
    <row r="477" spans="1:6" x14ac:dyDescent="0.2">
      <c r="A477" s="3" t="s">
        <v>408</v>
      </c>
      <c r="B477" s="3" t="s">
        <v>417</v>
      </c>
      <c r="C477" s="4">
        <v>21889.39</v>
      </c>
      <c r="D477" s="4">
        <v>19453.66</v>
      </c>
      <c r="E477" s="4">
        <v>2435.73</v>
      </c>
      <c r="F477" s="3">
        <f>VLOOKUP(B477,'Profit &amp; Loss'!$B$2:$C$390,2,0)</f>
        <v>2916.44</v>
      </c>
    </row>
    <row r="478" spans="1:6" x14ac:dyDescent="0.2">
      <c r="A478" s="3" t="s">
        <v>408</v>
      </c>
      <c r="B478" s="3" t="s">
        <v>689</v>
      </c>
      <c r="C478" s="4">
        <v>526125.47</v>
      </c>
      <c r="D478" s="4">
        <v>467937</v>
      </c>
      <c r="E478" s="4">
        <v>58188.47</v>
      </c>
      <c r="F478" s="3">
        <f>VLOOKUP(B478,'Profit &amp; Loss'!$B$2:$C$390,2,0)</f>
        <v>60617.71</v>
      </c>
    </row>
    <row r="479" spans="1:6" x14ac:dyDescent="0.2">
      <c r="A479" s="3" t="s">
        <v>408</v>
      </c>
      <c r="B479" s="3" t="s">
        <v>418</v>
      </c>
      <c r="C479" s="4">
        <v>86827.42</v>
      </c>
      <c r="D479" s="4">
        <v>75971.47</v>
      </c>
      <c r="E479" s="4">
        <v>10855.95</v>
      </c>
      <c r="F479" s="3">
        <f>VLOOKUP(B479,'Profit &amp; Loss'!$B$2:$C$390,2,0)</f>
        <v>10835.77</v>
      </c>
    </row>
    <row r="480" spans="1:6" x14ac:dyDescent="0.2">
      <c r="A480" s="3" t="s">
        <v>408</v>
      </c>
      <c r="B480" s="3" t="s">
        <v>419</v>
      </c>
      <c r="C480" s="4">
        <v>43736.34</v>
      </c>
      <c r="D480" s="4">
        <v>38559.75</v>
      </c>
      <c r="E480" s="4">
        <v>5176.59</v>
      </c>
      <c r="F480" s="3">
        <f>VLOOKUP(B480,'Profit &amp; Loss'!$B$2:$C$390,2,0)</f>
        <v>5356.49</v>
      </c>
    </row>
    <row r="481" spans="1:6" x14ac:dyDescent="0.2">
      <c r="A481" s="3" t="s">
        <v>408</v>
      </c>
      <c r="B481" s="3" t="s">
        <v>2</v>
      </c>
      <c r="C481" s="4">
        <v>786096.15</v>
      </c>
      <c r="D481" s="4">
        <v>694720.67</v>
      </c>
      <c r="E481" s="4">
        <v>91375.48</v>
      </c>
      <c r="F481" s="3" t="e">
        <f>VLOOKUP(B481,'Profit &amp; Loss'!$B$2:$C$390,2,0)</f>
        <v>#N/A</v>
      </c>
    </row>
    <row r="482" spans="1:6" x14ac:dyDescent="0.2">
      <c r="A482" s="3" t="s">
        <v>420</v>
      </c>
      <c r="B482" s="3" t="s">
        <v>421</v>
      </c>
      <c r="C482" s="4">
        <v>65922.64</v>
      </c>
      <c r="D482" s="4">
        <v>54900.43</v>
      </c>
      <c r="E482" s="4">
        <v>11022.21</v>
      </c>
      <c r="F482" s="3">
        <f>VLOOKUP(B482,'Profit &amp; Loss'!$B$2:$C$390,2,0)</f>
        <v>9127.73</v>
      </c>
    </row>
    <row r="483" spans="1:6" x14ac:dyDescent="0.2">
      <c r="A483" s="3" t="s">
        <v>420</v>
      </c>
      <c r="B483" s="3" t="s">
        <v>422</v>
      </c>
      <c r="C483" s="4">
        <v>36207.67</v>
      </c>
      <c r="D483" s="4">
        <v>30332.94</v>
      </c>
      <c r="E483" s="4">
        <v>5874.73</v>
      </c>
      <c r="F483" s="3">
        <f>VLOOKUP(B483,'Profit &amp; Loss'!$B$2:$C$390,2,0)</f>
        <v>4172.96</v>
      </c>
    </row>
    <row r="484" spans="1:6" x14ac:dyDescent="0.2">
      <c r="A484" s="3" t="s">
        <v>420</v>
      </c>
      <c r="B484" s="3" t="s">
        <v>423</v>
      </c>
      <c r="C484" s="4">
        <v>26291.24</v>
      </c>
      <c r="D484" s="4">
        <v>23584.85</v>
      </c>
      <c r="E484" s="4">
        <v>2706.39</v>
      </c>
      <c r="F484" s="3">
        <f>VLOOKUP(B484,'Profit &amp; Loss'!$B$2:$C$390,2,0)</f>
        <v>6431.37</v>
      </c>
    </row>
    <row r="485" spans="1:6" x14ac:dyDescent="0.2">
      <c r="A485" s="3" t="s">
        <v>420</v>
      </c>
      <c r="B485" s="3" t="s">
        <v>424</v>
      </c>
      <c r="C485" s="4">
        <v>28459.14</v>
      </c>
      <c r="D485" s="4">
        <v>25443.91</v>
      </c>
      <c r="E485" s="4">
        <v>3015.23</v>
      </c>
      <c r="F485" s="3">
        <f>VLOOKUP(B485,'Profit &amp; Loss'!$B$2:$C$390,2,0)</f>
        <v>2832.61</v>
      </c>
    </row>
    <row r="486" spans="1:6" x14ac:dyDescent="0.2">
      <c r="A486" s="3" t="s">
        <v>420</v>
      </c>
      <c r="B486" s="3" t="s">
        <v>588</v>
      </c>
      <c r="C486" s="4">
        <v>2053.86</v>
      </c>
      <c r="D486" s="4">
        <v>1891.93</v>
      </c>
      <c r="E486" s="4">
        <v>161.93</v>
      </c>
      <c r="F486" s="3">
        <f>VLOOKUP(B486,'Profit &amp; Loss'!$B$2:$C$390,2,0)</f>
        <v>104.5</v>
      </c>
    </row>
    <row r="487" spans="1:6" x14ac:dyDescent="0.2">
      <c r="A487" s="3" t="s">
        <v>420</v>
      </c>
      <c r="B487" s="3" t="s">
        <v>425</v>
      </c>
      <c r="C487" s="4">
        <v>6497.7</v>
      </c>
      <c r="D487" s="4">
        <v>5169.2</v>
      </c>
      <c r="E487" s="4">
        <v>1328.5</v>
      </c>
      <c r="F487" s="3">
        <f>VLOOKUP(B487,'Profit &amp; Loss'!$B$2:$C$390,2,0)</f>
        <v>330.94</v>
      </c>
    </row>
    <row r="488" spans="1:6" x14ac:dyDescent="0.2">
      <c r="A488" s="3" t="s">
        <v>420</v>
      </c>
      <c r="B488" s="3" t="s">
        <v>795</v>
      </c>
      <c r="C488" s="4">
        <v>62976.42</v>
      </c>
      <c r="D488" s="4">
        <v>54280.75</v>
      </c>
      <c r="E488" s="4">
        <v>8695.67</v>
      </c>
      <c r="F488" s="3">
        <f>VLOOKUP(B488,'Profit &amp; Loss'!$B$2:$C$390,2,0)</f>
        <v>-7152.42</v>
      </c>
    </row>
    <row r="489" spans="1:6" x14ac:dyDescent="0.2">
      <c r="A489" s="3" t="s">
        <v>420</v>
      </c>
      <c r="B489" s="3" t="s">
        <v>2</v>
      </c>
      <c r="C489" s="4">
        <v>228408.67</v>
      </c>
      <c r="D489" s="4">
        <v>195604.01</v>
      </c>
      <c r="E489" s="4">
        <v>32804.660000000003</v>
      </c>
      <c r="F489" s="3" t="e">
        <f>VLOOKUP(B489,'Profit &amp; Loss'!$B$2:$C$390,2,0)</f>
        <v>#N/A</v>
      </c>
    </row>
    <row r="490" spans="1:6" x14ac:dyDescent="0.2">
      <c r="A490" s="3" t="s">
        <v>426</v>
      </c>
      <c r="B490" s="3" t="s">
        <v>427</v>
      </c>
      <c r="C490" s="4">
        <v>999.09</v>
      </c>
      <c r="D490" s="4">
        <v>373.59</v>
      </c>
      <c r="E490" s="4">
        <v>625.5</v>
      </c>
      <c r="F490" s="3">
        <f>VLOOKUP(B490,'Profit &amp; Loss'!$B$2:$C$390,2,0)</f>
        <v>0</v>
      </c>
    </row>
    <row r="491" spans="1:6" x14ac:dyDescent="0.2">
      <c r="A491" s="3" t="s">
        <v>426</v>
      </c>
      <c r="B491" s="3" t="s">
        <v>428</v>
      </c>
      <c r="C491" s="4">
        <v>4648.45</v>
      </c>
      <c r="D491" s="4">
        <v>3624.36</v>
      </c>
      <c r="E491" s="4">
        <v>1024.0899999999999</v>
      </c>
      <c r="F491" s="3">
        <f>VLOOKUP(B491,'Profit &amp; Loss'!$B$2:$C$390,2,0)</f>
        <v>-347.23</v>
      </c>
    </row>
    <row r="492" spans="1:6" x14ac:dyDescent="0.2">
      <c r="A492" s="3" t="s">
        <v>426</v>
      </c>
      <c r="B492" s="3" t="s">
        <v>429</v>
      </c>
      <c r="C492" s="4">
        <v>44027.35</v>
      </c>
      <c r="D492" s="4">
        <v>44027.35</v>
      </c>
      <c r="E492" s="4">
        <v>0</v>
      </c>
      <c r="F492" s="3">
        <f>VLOOKUP(B492,'Profit &amp; Loss'!$B$2:$C$390,2,0)</f>
        <v>7237.53</v>
      </c>
    </row>
    <row r="493" spans="1:6" x14ac:dyDescent="0.2">
      <c r="A493" s="3" t="s">
        <v>426</v>
      </c>
      <c r="B493" s="3" t="s">
        <v>430</v>
      </c>
      <c r="C493" s="4">
        <v>18069.04</v>
      </c>
      <c r="D493" s="4">
        <v>11000.12</v>
      </c>
      <c r="E493" s="4">
        <v>7068.92</v>
      </c>
      <c r="F493" s="3">
        <f>VLOOKUP(B493,'Profit &amp; Loss'!$B$2:$C$390,2,0)</f>
        <v>378.03</v>
      </c>
    </row>
    <row r="494" spans="1:6" x14ac:dyDescent="0.2">
      <c r="A494" s="3" t="s">
        <v>426</v>
      </c>
      <c r="B494" s="3" t="s">
        <v>2</v>
      </c>
      <c r="C494" s="4">
        <v>67743.929999999993</v>
      </c>
      <c r="D494" s="4">
        <v>59025.42</v>
      </c>
      <c r="E494" s="4">
        <v>8718.51</v>
      </c>
      <c r="F494" s="3" t="e">
        <f>VLOOKUP(B494,'Profit &amp; Loss'!$B$2:$C$390,2,0)</f>
        <v>#N/A</v>
      </c>
    </row>
    <row r="495" spans="1:6" x14ac:dyDescent="0.2">
      <c r="A495" s="3" t="s">
        <v>431</v>
      </c>
      <c r="B495" s="3" t="s">
        <v>432</v>
      </c>
      <c r="C495" s="4">
        <v>-861052.25</v>
      </c>
      <c r="D495" s="4">
        <v>-736864.53</v>
      </c>
      <c r="E495" s="4">
        <v>-124187.72</v>
      </c>
      <c r="F495" s="3">
        <f>VLOOKUP(B495,'Profit &amp; Loss'!$B$2:$C$390,2,0)</f>
        <v>-104275.76</v>
      </c>
    </row>
    <row r="496" spans="1:6" x14ac:dyDescent="0.2">
      <c r="A496" s="3" t="s">
        <v>431</v>
      </c>
      <c r="B496" s="3" t="s">
        <v>2</v>
      </c>
      <c r="C496" s="4">
        <v>-861052.25</v>
      </c>
      <c r="D496" s="4">
        <v>-736864.53</v>
      </c>
      <c r="E496" s="4">
        <v>-124187.72</v>
      </c>
      <c r="F496" s="3" t="e">
        <f>VLOOKUP(B496,'Profit &amp; Loss'!$B$2:$C$390,2,0)</f>
        <v>#N/A</v>
      </c>
    </row>
    <row r="497" spans="1:6" x14ac:dyDescent="0.2">
      <c r="A497" s="3" t="s">
        <v>433</v>
      </c>
      <c r="B497" s="3" t="s">
        <v>2</v>
      </c>
      <c r="C497" s="4">
        <v>3070189.57</v>
      </c>
      <c r="D497" s="4">
        <v>2622875.98</v>
      </c>
      <c r="E497" s="4">
        <v>447313.59</v>
      </c>
      <c r="F497" s="3" t="e">
        <f>VLOOKUP(B497,'Profit &amp; Loss'!$B$2:$C$390,2,0)</f>
        <v>#N/A</v>
      </c>
    </row>
    <row r="498" spans="1:6" x14ac:dyDescent="0.2">
      <c r="A498" s="3" t="s">
        <v>434</v>
      </c>
      <c r="B498" s="3" t="s">
        <v>796</v>
      </c>
      <c r="C498" s="4">
        <v>-39432.78</v>
      </c>
      <c r="D498" s="4">
        <v>-39432.78</v>
      </c>
      <c r="E498" s="4">
        <v>0</v>
      </c>
      <c r="F498" s="3">
        <f>VLOOKUP(B498,'Profit &amp; Loss'!$B$2:$C$390,2,0)</f>
        <v>0</v>
      </c>
    </row>
    <row r="499" spans="1:6" x14ac:dyDescent="0.2">
      <c r="A499" s="3" t="s">
        <v>434</v>
      </c>
      <c r="B499" s="3" t="s">
        <v>870</v>
      </c>
      <c r="C499" s="4">
        <v>13508.62</v>
      </c>
      <c r="D499" s="4">
        <v>13508.62</v>
      </c>
      <c r="E499" s="4">
        <v>0</v>
      </c>
      <c r="F499" s="3">
        <f>VLOOKUP(B499,'Profit &amp; Loss'!$B$2:$C$390,2,0)</f>
        <v>0</v>
      </c>
    </row>
    <row r="500" spans="1:6" x14ac:dyDescent="0.2">
      <c r="A500" s="3" t="s">
        <v>434</v>
      </c>
      <c r="B500" s="3" t="s">
        <v>590</v>
      </c>
      <c r="C500" s="4">
        <v>-7261.59</v>
      </c>
      <c r="D500" s="4">
        <v>-4920.34</v>
      </c>
      <c r="E500" s="4">
        <v>-2341.25</v>
      </c>
      <c r="F500" s="3">
        <f>VLOOKUP(B500,'Profit &amp; Loss'!$B$2:$C$390,2,0)</f>
        <v>-98.26</v>
      </c>
    </row>
    <row r="501" spans="1:6" x14ac:dyDescent="0.2">
      <c r="A501" s="3" t="s">
        <v>434</v>
      </c>
      <c r="B501" s="3" t="s">
        <v>1310</v>
      </c>
      <c r="C501" s="4">
        <v>5598.32</v>
      </c>
      <c r="D501" s="4">
        <v>5598.32</v>
      </c>
      <c r="E501" s="4">
        <v>0</v>
      </c>
      <c r="F501" s="3">
        <f>VLOOKUP(B501,'Profit &amp; Loss'!$B$2:$C$390,2,0)</f>
        <v>0</v>
      </c>
    </row>
    <row r="502" spans="1:6" x14ac:dyDescent="0.2">
      <c r="A502" s="3" t="s">
        <v>434</v>
      </c>
      <c r="B502" s="3" t="s">
        <v>436</v>
      </c>
      <c r="C502" s="4">
        <v>572471.04000000004</v>
      </c>
      <c r="D502" s="4">
        <v>382849.38</v>
      </c>
      <c r="E502" s="4">
        <v>189621.66</v>
      </c>
      <c r="F502" s="3">
        <f>VLOOKUP(B502,'Profit &amp; Loss'!$B$2:$C$390,2,0)</f>
        <v>26750</v>
      </c>
    </row>
    <row r="503" spans="1:6" x14ac:dyDescent="0.2">
      <c r="A503" s="3" t="s">
        <v>434</v>
      </c>
      <c r="B503" s="3" t="s">
        <v>2</v>
      </c>
      <c r="C503" s="4">
        <v>544883.61</v>
      </c>
      <c r="D503" s="4">
        <v>357603.2</v>
      </c>
      <c r="E503" s="4">
        <v>187280.41</v>
      </c>
      <c r="F503" s="3" t="e">
        <f>VLOOKUP(B503,'Profit &amp; Loss'!$B$2:$C$390,2,0)</f>
        <v>#N/A</v>
      </c>
    </row>
    <row r="504" spans="1:6" x14ac:dyDescent="0.2">
      <c r="A504" s="3" t="s">
        <v>437</v>
      </c>
      <c r="B504" s="3" t="s">
        <v>592</v>
      </c>
      <c r="C504" s="4">
        <v>9845.8700000000008</v>
      </c>
      <c r="D504" s="4">
        <v>9845.8700000000008</v>
      </c>
      <c r="E504" s="4">
        <v>0</v>
      </c>
      <c r="F504" s="3">
        <f>VLOOKUP(B504,'Profit &amp; Loss'!$B$2:$C$390,2,0)</f>
        <v>0</v>
      </c>
    </row>
    <row r="505" spans="1:6" x14ac:dyDescent="0.2">
      <c r="A505" s="3" t="s">
        <v>437</v>
      </c>
      <c r="B505" s="3" t="s">
        <v>1438</v>
      </c>
      <c r="C505" s="4">
        <v>8.1</v>
      </c>
      <c r="D505" s="4">
        <v>8.1</v>
      </c>
      <c r="E505" s="4">
        <v>0</v>
      </c>
      <c r="F505" s="3">
        <f>VLOOKUP(B505,'Profit &amp; Loss'!$B$2:$C$390,2,0)</f>
        <v>0</v>
      </c>
    </row>
    <row r="506" spans="1:6" x14ac:dyDescent="0.2">
      <c r="A506" s="3" t="s">
        <v>437</v>
      </c>
      <c r="B506" s="3" t="s">
        <v>1311</v>
      </c>
      <c r="C506" s="4">
        <v>1673.69</v>
      </c>
      <c r="D506" s="4">
        <v>1673.69</v>
      </c>
      <c r="E506" s="4">
        <v>0</v>
      </c>
      <c r="F506" s="3">
        <f>VLOOKUP(B506,'Profit &amp; Loss'!$B$2:$C$390,2,0)</f>
        <v>0</v>
      </c>
    </row>
    <row r="507" spans="1:6" x14ac:dyDescent="0.2">
      <c r="A507" s="3" t="s">
        <v>437</v>
      </c>
      <c r="B507" s="3" t="s">
        <v>438</v>
      </c>
      <c r="C507" s="4">
        <v>121028.04</v>
      </c>
      <c r="D507" s="4">
        <v>108447.77</v>
      </c>
      <c r="E507" s="4">
        <v>12580.27</v>
      </c>
      <c r="F507" s="3">
        <f>VLOOKUP(B507,'Profit &amp; Loss'!$B$2:$C$390,2,0)</f>
        <v>9806.14</v>
      </c>
    </row>
    <row r="508" spans="1:6" x14ac:dyDescent="0.2">
      <c r="A508" s="3" t="s">
        <v>437</v>
      </c>
      <c r="B508" s="3" t="s">
        <v>439</v>
      </c>
      <c r="C508" s="4">
        <v>2804.86</v>
      </c>
      <c r="D508" s="4">
        <v>8438.48</v>
      </c>
      <c r="E508" s="4">
        <v>-5633.62</v>
      </c>
      <c r="F508" s="3">
        <f>VLOOKUP(B508,'Profit &amp; Loss'!$B$2:$C$390,2,0)</f>
        <v>1430.38</v>
      </c>
    </row>
    <row r="509" spans="1:6" x14ac:dyDescent="0.2">
      <c r="A509" s="3" t="s">
        <v>437</v>
      </c>
      <c r="B509" s="3" t="s">
        <v>440</v>
      </c>
      <c r="C509" s="4">
        <v>59919.71</v>
      </c>
      <c r="D509" s="4">
        <v>34090.07</v>
      </c>
      <c r="E509" s="4">
        <v>25829.64</v>
      </c>
      <c r="F509" s="3">
        <f>VLOOKUP(B509,'Profit &amp; Loss'!$B$2:$C$390,2,0)</f>
        <v>7785.86</v>
      </c>
    </row>
    <row r="510" spans="1:6" x14ac:dyDescent="0.2">
      <c r="A510" s="3" t="s">
        <v>437</v>
      </c>
      <c r="B510" s="3" t="s">
        <v>2</v>
      </c>
      <c r="C510" s="4">
        <v>195280.27</v>
      </c>
      <c r="D510" s="4">
        <v>162503.98000000001</v>
      </c>
      <c r="E510" s="4">
        <v>32776.29</v>
      </c>
      <c r="F510" s="3" t="e">
        <f>VLOOKUP(B510,'Profit &amp; Loss'!$B$2:$C$390,2,0)</f>
        <v>#N/A</v>
      </c>
    </row>
    <row r="511" spans="1:6" x14ac:dyDescent="0.2">
      <c r="A511" s="3" t="s">
        <v>441</v>
      </c>
      <c r="B511" s="3" t="s">
        <v>2</v>
      </c>
      <c r="C511" s="4">
        <v>740163.88</v>
      </c>
      <c r="D511" s="4">
        <v>520107.18</v>
      </c>
      <c r="E511" s="4">
        <v>220056.7</v>
      </c>
      <c r="F511" s="3" t="e">
        <f>VLOOKUP(B511,'Profit &amp; Loss'!$B$2:$C$390,2,0)</f>
        <v>#N/A</v>
      </c>
    </row>
    <row r="512" spans="1:6" x14ac:dyDescent="0.2">
      <c r="A512" s="3" t="s">
        <v>442</v>
      </c>
      <c r="B512" s="3" t="s">
        <v>443</v>
      </c>
      <c r="C512" s="4">
        <v>-9</v>
      </c>
      <c r="D512" s="4">
        <v>-8.77</v>
      </c>
      <c r="E512" s="4">
        <v>-0.23</v>
      </c>
      <c r="F512" s="3">
        <f>VLOOKUP(B512,'Profit &amp; Loss'!$B$2:$C$390,2,0)</f>
        <v>-0.33</v>
      </c>
    </row>
    <row r="513" spans="1:6" x14ac:dyDescent="0.2">
      <c r="A513" s="3" t="s">
        <v>442</v>
      </c>
      <c r="B513" s="3" t="s">
        <v>2</v>
      </c>
      <c r="C513" s="4">
        <v>-9</v>
      </c>
      <c r="D513" s="4">
        <v>-8.77</v>
      </c>
      <c r="E513" s="4">
        <v>-0.23</v>
      </c>
      <c r="F513" s="3" t="e">
        <f>VLOOKUP(B513,'Profit &amp; Loss'!$B$2:$C$390,2,0)</f>
        <v>#N/A</v>
      </c>
    </row>
    <row r="514" spans="1:6" x14ac:dyDescent="0.2">
      <c r="A514" s="3" t="s">
        <v>444</v>
      </c>
      <c r="B514" s="3" t="s">
        <v>2</v>
      </c>
      <c r="C514" s="4">
        <v>-9</v>
      </c>
      <c r="D514" s="4">
        <v>-8.77</v>
      </c>
      <c r="E514" s="4">
        <v>-0.23</v>
      </c>
      <c r="F514" s="3" t="e">
        <f>VLOOKUP(B514,'Profit &amp; Loss'!$B$2:$C$390,2,0)</f>
        <v>#N/A</v>
      </c>
    </row>
    <row r="515" spans="1:6" x14ac:dyDescent="0.2">
      <c r="A515" s="3" t="s">
        <v>445</v>
      </c>
      <c r="B515" s="3" t="s">
        <v>692</v>
      </c>
      <c r="C515" s="4">
        <v>223.16</v>
      </c>
      <c r="D515" s="4">
        <v>223.16</v>
      </c>
      <c r="E515" s="4">
        <v>0</v>
      </c>
      <c r="F515" s="3">
        <f>VLOOKUP(B515,'Profit &amp; Loss'!$B$2:$C$390,2,0)</f>
        <v>69.52</v>
      </c>
    </row>
    <row r="516" spans="1:6" x14ac:dyDescent="0.2">
      <c r="A516" s="3" t="s">
        <v>445</v>
      </c>
      <c r="B516" s="3" t="s">
        <v>1161</v>
      </c>
      <c r="C516" s="4">
        <v>3.48</v>
      </c>
      <c r="D516" s="4">
        <v>3.48</v>
      </c>
      <c r="E516" s="4">
        <v>0</v>
      </c>
      <c r="F516" s="3">
        <f>VLOOKUP(B516,'Profit &amp; Loss'!$B$2:$C$390,2,0)</f>
        <v>0</v>
      </c>
    </row>
    <row r="517" spans="1:6" x14ac:dyDescent="0.2">
      <c r="A517" s="3" t="s">
        <v>445</v>
      </c>
      <c r="B517" s="3" t="s">
        <v>446</v>
      </c>
      <c r="C517" s="4">
        <v>53174.66</v>
      </c>
      <c r="D517" s="4">
        <v>48744.67</v>
      </c>
      <c r="E517" s="4">
        <v>4429.99</v>
      </c>
      <c r="F517" s="3">
        <f>VLOOKUP(B517,'Profit &amp; Loss'!$B$2:$C$390,2,0)</f>
        <v>2583.69</v>
      </c>
    </row>
    <row r="518" spans="1:6" x14ac:dyDescent="0.2">
      <c r="A518" s="3" t="s">
        <v>445</v>
      </c>
      <c r="B518" s="3" t="s">
        <v>996</v>
      </c>
      <c r="C518" s="4">
        <v>-4183</v>
      </c>
      <c r="D518" s="4">
        <v>-4183</v>
      </c>
      <c r="E518" s="4">
        <v>0</v>
      </c>
      <c r="F518" s="3">
        <f>VLOOKUP(B518,'Profit &amp; Loss'!$B$2:$C$390,2,0)</f>
        <v>-2863.58</v>
      </c>
    </row>
    <row r="519" spans="1:6" x14ac:dyDescent="0.2">
      <c r="A519" s="3" t="s">
        <v>445</v>
      </c>
      <c r="B519" s="3" t="s">
        <v>2</v>
      </c>
      <c r="C519" s="4">
        <v>49218.3</v>
      </c>
      <c r="D519" s="4">
        <v>44788.31</v>
      </c>
      <c r="E519" s="4">
        <v>4429.99</v>
      </c>
      <c r="F519" s="3" t="e">
        <f>VLOOKUP(B519,'Profit &amp; Loss'!$B$2:$C$390,2,0)</f>
        <v>#N/A</v>
      </c>
    </row>
    <row r="520" spans="1:6" x14ac:dyDescent="0.2">
      <c r="A520" s="3" t="s">
        <v>447</v>
      </c>
      <c r="B520" s="3" t="s">
        <v>2</v>
      </c>
      <c r="C520" s="4">
        <v>49218.3</v>
      </c>
      <c r="D520" s="4">
        <v>44788.31</v>
      </c>
      <c r="E520" s="4">
        <v>4429.99</v>
      </c>
      <c r="F520" s="3" t="e">
        <f>VLOOKUP(B520,'Profit &amp; Loss'!$B$2:$C$390,2,0)</f>
        <v>#N/A</v>
      </c>
    </row>
    <row r="521" spans="1:6" x14ac:dyDescent="0.2">
      <c r="A521" s="3" t="s">
        <v>237</v>
      </c>
      <c r="B521" s="3" t="s">
        <v>448</v>
      </c>
      <c r="C521" s="4">
        <v>-13391779.07</v>
      </c>
      <c r="D521" s="4">
        <v>-12170049.699999999</v>
      </c>
      <c r="E521" s="4">
        <v>-1221729.3700000001</v>
      </c>
      <c r="F521" s="3">
        <f>VLOOKUP(B521,'Profit &amp; Loss'!$B$2:$C$390,2,0)</f>
        <v>-2188985.1399999992</v>
      </c>
    </row>
    <row r="522" spans="1:6" x14ac:dyDescent="0.2">
      <c r="A522" s="3" t="s">
        <v>237</v>
      </c>
      <c r="B522" s="5" t="s">
        <v>449</v>
      </c>
      <c r="C522" s="4">
        <v>0</v>
      </c>
      <c r="D522" s="4">
        <v>0</v>
      </c>
      <c r="E522" s="4">
        <v>0</v>
      </c>
      <c r="F522" s="3" t="e">
        <f>VLOOKUP(B522,'Profit &amp; Loss'!$B$2:$C$390,2,0)</f>
        <v>#N/A</v>
      </c>
    </row>
    <row r="523" spans="1:6" x14ac:dyDescent="0.2">
      <c r="A523" s="3" t="s">
        <v>450</v>
      </c>
      <c r="B523" s="3" t="s">
        <v>451</v>
      </c>
      <c r="C523" s="4">
        <v>0</v>
      </c>
      <c r="D523" s="4">
        <v>0</v>
      </c>
      <c r="E523" s="4">
        <v>0</v>
      </c>
      <c r="F523" s="3" t="e">
        <f>VLOOKUP(B523,'Profit &amp; Loss'!$B$2:$C$390,2,0)</f>
        <v>#N/A</v>
      </c>
    </row>
    <row r="524" spans="1:6" x14ac:dyDescent="0.2">
      <c r="A524" s="3" t="s">
        <v>450</v>
      </c>
      <c r="B524" s="5" t="s">
        <v>234</v>
      </c>
      <c r="C524" s="4">
        <v>0</v>
      </c>
      <c r="D524" s="4">
        <v>0</v>
      </c>
      <c r="E524" s="4">
        <v>0</v>
      </c>
      <c r="F524" s="3" t="e">
        <f>VLOOKUP(B524,'Profit &amp; Loss'!$B$2:$C$390,2,0)</f>
        <v>#N/A</v>
      </c>
    </row>
    <row r="525" spans="1:6" x14ac:dyDescent="0.2">
      <c r="A525" s="3" t="s">
        <v>452</v>
      </c>
      <c r="B525" s="3" t="s">
        <v>453</v>
      </c>
      <c r="C525" s="4">
        <v>0</v>
      </c>
      <c r="D525" s="4">
        <v>0</v>
      </c>
      <c r="E525" s="4">
        <v>0</v>
      </c>
      <c r="F525" s="3" t="e">
        <f>VLOOKUP(B525,'Profit &amp; Loss'!$B$2:$C$390,2,0)</f>
        <v>#N/A</v>
      </c>
    </row>
    <row r="526" spans="1:6" x14ac:dyDescent="0.2">
      <c r="A526" s="3" t="s">
        <v>452</v>
      </c>
      <c r="B526" s="3" t="s">
        <v>2</v>
      </c>
      <c r="C526" s="4">
        <v>13391779.07</v>
      </c>
      <c r="D526" s="4">
        <v>12170049.699999999</v>
      </c>
      <c r="E526" s="4">
        <v>1221729.3700000001</v>
      </c>
      <c r="F526" s="3" t="e">
        <f>VLOOKUP(B526,'Profit &amp; Loss'!$B$2:$C$390,2,0)</f>
        <v>#N/A</v>
      </c>
    </row>
    <row r="527" spans="1:6" x14ac:dyDescent="0.2">
      <c r="A527" s="3" t="s">
        <v>450</v>
      </c>
      <c r="B527" s="3" t="s">
        <v>2</v>
      </c>
      <c r="C527" s="4">
        <v>13391779.07</v>
      </c>
      <c r="D527" s="4">
        <v>12170049.699999999</v>
      </c>
      <c r="E527" s="4">
        <v>1221729.3700000001</v>
      </c>
      <c r="F527" s="3" t="e">
        <f>VLOOKUP(B527,'Profit &amp; Loss'!$B$2:$C$390,2,0)</f>
        <v>#N/A</v>
      </c>
    </row>
    <row r="528" spans="1:6" x14ac:dyDescent="0.2">
      <c r="A528" s="3" t="s">
        <v>454</v>
      </c>
      <c r="B528" s="3" t="s">
        <v>455</v>
      </c>
      <c r="C528" s="4">
        <v>0</v>
      </c>
      <c r="D528" s="4">
        <v>0</v>
      </c>
      <c r="E528" s="4">
        <v>0</v>
      </c>
      <c r="F528" s="3" t="e">
        <f>VLOOKUP(B528,'Profit &amp; Loss'!$B$2:$C$390,2,0)</f>
        <v>#N/A</v>
      </c>
    </row>
    <row r="529" spans="1:6" x14ac:dyDescent="0.2">
      <c r="A529" s="3" t="s">
        <v>454</v>
      </c>
      <c r="B529" s="5" t="s">
        <v>456</v>
      </c>
      <c r="C529" s="4">
        <v>0</v>
      </c>
      <c r="D529" s="4">
        <v>0</v>
      </c>
      <c r="E529" s="4">
        <v>0</v>
      </c>
      <c r="F529" s="3" t="e">
        <f>VLOOKUP(B529,'Profit &amp; Loss'!$B$2:$C$390,2,0)</f>
        <v>#N/A</v>
      </c>
    </row>
    <row r="530" spans="1:6" x14ac:dyDescent="0.2">
      <c r="A530" s="3" t="s">
        <v>454</v>
      </c>
      <c r="B530" s="3" t="s">
        <v>457</v>
      </c>
      <c r="C530" s="4">
        <v>-56758.99</v>
      </c>
      <c r="D530" s="4">
        <v>-62066.9</v>
      </c>
      <c r="E530" s="4">
        <v>5307.91</v>
      </c>
      <c r="F530" s="3" t="e">
        <f>VLOOKUP(B530,'Profit &amp; Loss'!$B$2:$C$390,2,0)</f>
        <v>#N/A</v>
      </c>
    </row>
    <row r="531" spans="1:6" x14ac:dyDescent="0.2">
      <c r="A531" s="3" t="s">
        <v>454</v>
      </c>
      <c r="B531" s="3" t="s">
        <v>458</v>
      </c>
      <c r="C531" s="4">
        <v>-29092.53</v>
      </c>
      <c r="D531" s="4">
        <v>-127683.75</v>
      </c>
      <c r="E531" s="4">
        <v>98591.22</v>
      </c>
      <c r="F531" s="3" t="e">
        <f>VLOOKUP(B531,'Profit &amp; Loss'!$B$2:$C$390,2,0)</f>
        <v>#N/A</v>
      </c>
    </row>
    <row r="532" spans="1:6" x14ac:dyDescent="0.2">
      <c r="A532" s="3" t="s">
        <v>454</v>
      </c>
      <c r="B532" s="3" t="s">
        <v>694</v>
      </c>
      <c r="C532" s="4">
        <v>-264.33999999999997</v>
      </c>
      <c r="D532" s="4">
        <v>-879.05</v>
      </c>
      <c r="E532" s="4">
        <v>614.71</v>
      </c>
      <c r="F532" s="3" t="e">
        <f>VLOOKUP(B532,'Profit &amp; Loss'!$B$2:$C$390,2,0)</f>
        <v>#N/A</v>
      </c>
    </row>
    <row r="533" spans="1:6" x14ac:dyDescent="0.2">
      <c r="A533" s="3" t="s">
        <v>454</v>
      </c>
      <c r="B533" s="3" t="s">
        <v>459</v>
      </c>
      <c r="C533" s="4">
        <v>20843.09</v>
      </c>
      <c r="D533" s="4">
        <v>24494.22</v>
      </c>
      <c r="E533" s="4">
        <v>-3651.13</v>
      </c>
      <c r="F533" s="3" t="e">
        <f>VLOOKUP(B533,'Profit &amp; Loss'!$B$2:$C$390,2,0)</f>
        <v>#N/A</v>
      </c>
    </row>
    <row r="534" spans="1:6" x14ac:dyDescent="0.2">
      <c r="A534" s="3" t="s">
        <v>454</v>
      </c>
      <c r="B534" s="3" t="s">
        <v>460</v>
      </c>
      <c r="C534" s="4">
        <v>-40507.79</v>
      </c>
      <c r="D534" s="4">
        <v>-40507.79</v>
      </c>
      <c r="E534" s="4">
        <v>0</v>
      </c>
      <c r="F534" s="3" t="e">
        <f>VLOOKUP(B534,'Profit &amp; Loss'!$B$2:$C$390,2,0)</f>
        <v>#N/A</v>
      </c>
    </row>
    <row r="535" spans="1:6" x14ac:dyDescent="0.2">
      <c r="A535" s="3" t="s">
        <v>454</v>
      </c>
      <c r="B535" s="3" t="s">
        <v>1439</v>
      </c>
      <c r="C535" s="4">
        <v>9732.08</v>
      </c>
      <c r="D535" s="4">
        <v>8109.05</v>
      </c>
      <c r="E535" s="4">
        <v>1623.03</v>
      </c>
      <c r="F535" s="3">
        <f>VLOOKUP(B535,'Profit &amp; Loss'!$B$2:$C$390,2,0)</f>
        <v>0</v>
      </c>
    </row>
    <row r="536" spans="1:6" x14ac:dyDescent="0.2">
      <c r="A536" s="3" t="s">
        <v>454</v>
      </c>
      <c r="B536" s="3" t="s">
        <v>874</v>
      </c>
      <c r="C536" s="4">
        <v>201039.23</v>
      </c>
      <c r="D536" s="4">
        <v>162214.92000000001</v>
      </c>
      <c r="E536" s="4">
        <v>38824.31</v>
      </c>
      <c r="F536" s="3">
        <f>VLOOKUP(B536,'Profit &amp; Loss'!$B$2:$C$390,2,0)</f>
        <v>0</v>
      </c>
    </row>
    <row r="537" spans="1:6" x14ac:dyDescent="0.2">
      <c r="A537" s="3" t="s">
        <v>454</v>
      </c>
      <c r="B537" s="3" t="s">
        <v>461</v>
      </c>
      <c r="C537" s="4">
        <v>104990.75</v>
      </c>
      <c r="D537" s="4">
        <v>-36319.300000000003</v>
      </c>
      <c r="E537" s="4">
        <v>141310.04999999999</v>
      </c>
      <c r="F537" s="3" t="e">
        <f>VLOOKUP(B537,'Profit &amp; Loss'!$B$2:$C$390,2,0)</f>
        <v>#N/A</v>
      </c>
    </row>
    <row r="538" spans="1:6" x14ac:dyDescent="0.2">
      <c r="A538" s="3" t="s">
        <v>454</v>
      </c>
      <c r="B538" s="5" t="s">
        <v>462</v>
      </c>
      <c r="C538" s="4">
        <v>0</v>
      </c>
      <c r="D538" s="4">
        <v>0</v>
      </c>
      <c r="E538" s="4">
        <v>0</v>
      </c>
      <c r="F538" s="3" t="e">
        <f>VLOOKUP(B538,'Profit &amp; Loss'!$B$2:$C$390,2,0)</f>
        <v>#N/A</v>
      </c>
    </row>
  </sheetData>
  <autoFilter ref="A1:F538" xr:uid="{2E66C485-C052-41BF-AE06-8F42FC1F770C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6BC9-097A-45E9-A501-CF5E782501FB}">
  <dimension ref="A1:F548"/>
  <sheetViews>
    <sheetView topLeftCell="A343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4.85546875" style="3" bestFit="1" customWidth="1"/>
    <col min="4" max="4" width="16.14062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s">
        <v>2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s">
        <v>2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s">
        <v>6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s">
        <v>6</v>
      </c>
    </row>
    <row r="6" spans="1:6" x14ac:dyDescent="0.2">
      <c r="A6" s="3" t="s">
        <v>4</v>
      </c>
      <c r="B6" s="3" t="s">
        <v>8</v>
      </c>
      <c r="C6" s="4">
        <v>23627.01</v>
      </c>
      <c r="D6" s="4">
        <v>25295.65</v>
      </c>
      <c r="E6" s="4">
        <v>-1668.64</v>
      </c>
      <c r="F6" s="3" t="s">
        <v>608</v>
      </c>
    </row>
    <row r="7" spans="1:6" x14ac:dyDescent="0.2">
      <c r="A7" s="3" t="s">
        <v>4</v>
      </c>
      <c r="B7" s="3" t="s">
        <v>9</v>
      </c>
      <c r="C7" s="4">
        <v>-23556.25</v>
      </c>
      <c r="D7" s="4">
        <v>-23482.43</v>
      </c>
      <c r="E7" s="4">
        <v>-73.819999999999993</v>
      </c>
      <c r="F7" s="3" t="s">
        <v>521</v>
      </c>
    </row>
    <row r="8" spans="1:6" x14ac:dyDescent="0.2">
      <c r="A8" s="3" t="s">
        <v>4</v>
      </c>
      <c r="B8" s="3" t="s">
        <v>10</v>
      </c>
      <c r="C8" s="4">
        <v>68.7</v>
      </c>
      <c r="D8" s="4">
        <v>68.66</v>
      </c>
      <c r="E8" s="4">
        <v>0.04</v>
      </c>
      <c r="F8" s="3" t="s">
        <v>471</v>
      </c>
    </row>
    <row r="9" spans="1:6" x14ac:dyDescent="0.2">
      <c r="A9" s="3" t="s">
        <v>4</v>
      </c>
      <c r="B9" s="3" t="s">
        <v>11</v>
      </c>
      <c r="C9" s="4">
        <v>-1.47</v>
      </c>
      <c r="D9" s="4">
        <v>0.25</v>
      </c>
      <c r="E9" s="4">
        <v>-1.72</v>
      </c>
      <c r="F9" s="3" t="s">
        <v>1453</v>
      </c>
    </row>
    <row r="10" spans="1:6" x14ac:dyDescent="0.2">
      <c r="A10" s="3" t="s">
        <v>4</v>
      </c>
      <c r="B10" s="3" t="s">
        <v>2</v>
      </c>
      <c r="C10" s="4">
        <v>1077.51</v>
      </c>
      <c r="D10" s="4">
        <v>2821.65</v>
      </c>
      <c r="E10" s="4">
        <v>-1744.14</v>
      </c>
      <c r="F10" s="3" t="s">
        <v>1454</v>
      </c>
    </row>
    <row r="11" spans="1:6" x14ac:dyDescent="0.2">
      <c r="A11" s="3" t="s">
        <v>12</v>
      </c>
      <c r="B11" s="3" t="s">
        <v>2</v>
      </c>
      <c r="C11" s="4">
        <v>1077.51</v>
      </c>
      <c r="D11" s="4">
        <v>2821.65</v>
      </c>
      <c r="E11" s="4">
        <v>-1744.14</v>
      </c>
      <c r="F11" s="3" t="s">
        <v>1454</v>
      </c>
    </row>
    <row r="12" spans="1:6" x14ac:dyDescent="0.2">
      <c r="A12" s="3" t="s">
        <v>13</v>
      </c>
      <c r="B12" s="3" t="s">
        <v>14</v>
      </c>
      <c r="C12" s="4">
        <v>21104102.039999999</v>
      </c>
      <c r="D12" s="4">
        <v>15765905.550000001</v>
      </c>
      <c r="E12" s="4">
        <v>5338196.49</v>
      </c>
      <c r="F12" s="3" t="s">
        <v>932</v>
      </c>
    </row>
    <row r="13" spans="1:6" x14ac:dyDescent="0.2">
      <c r="A13" s="3" t="s">
        <v>13</v>
      </c>
      <c r="B13" s="3" t="s">
        <v>15</v>
      </c>
      <c r="C13" s="4">
        <v>-438632.65</v>
      </c>
      <c r="D13" s="4">
        <v>13102.79</v>
      </c>
      <c r="E13" s="4">
        <v>-451735.44</v>
      </c>
      <c r="F13" s="3" t="s">
        <v>1455</v>
      </c>
    </row>
    <row r="14" spans="1:6" x14ac:dyDescent="0.2">
      <c r="A14" s="3" t="s">
        <v>13</v>
      </c>
      <c r="B14" s="3" t="s">
        <v>16</v>
      </c>
      <c r="C14" s="4">
        <v>1596085.9</v>
      </c>
      <c r="D14" s="4">
        <v>1601815.61</v>
      </c>
      <c r="E14" s="4">
        <v>-5729.71</v>
      </c>
      <c r="F14" s="3" t="s">
        <v>470</v>
      </c>
    </row>
    <row r="15" spans="1:6" x14ac:dyDescent="0.2">
      <c r="A15" s="3" t="s">
        <v>13</v>
      </c>
      <c r="B15" s="3" t="s">
        <v>17</v>
      </c>
      <c r="C15" s="4">
        <v>-184873.97</v>
      </c>
      <c r="D15" s="4">
        <v>-150454.84</v>
      </c>
      <c r="E15" s="4">
        <v>-34419.129999999997</v>
      </c>
      <c r="F15" s="3" t="s">
        <v>745</v>
      </c>
    </row>
    <row r="16" spans="1:6" x14ac:dyDescent="0.2">
      <c r="A16" s="3" t="s">
        <v>13</v>
      </c>
      <c r="B16" s="3" t="s">
        <v>2</v>
      </c>
      <c r="C16" s="4">
        <v>22076681.32</v>
      </c>
      <c r="D16" s="4">
        <v>17230369.109999999</v>
      </c>
      <c r="E16" s="4">
        <v>4846312.21</v>
      </c>
      <c r="F16" s="3" t="s">
        <v>690</v>
      </c>
    </row>
    <row r="17" spans="1:6" x14ac:dyDescent="0.2">
      <c r="A17" s="3" t="s">
        <v>18</v>
      </c>
      <c r="B17" s="3" t="s">
        <v>19</v>
      </c>
      <c r="C17" s="4">
        <v>-51297.85</v>
      </c>
      <c r="D17" s="4">
        <v>-39764.089999999997</v>
      </c>
      <c r="E17" s="4">
        <v>-11533.76</v>
      </c>
      <c r="F17" s="3" t="s">
        <v>897</v>
      </c>
    </row>
    <row r="18" spans="1:6" x14ac:dyDescent="0.2">
      <c r="A18" s="3" t="s">
        <v>18</v>
      </c>
      <c r="B18" s="3" t="s">
        <v>2</v>
      </c>
      <c r="C18" s="4">
        <v>-51297.85</v>
      </c>
      <c r="D18" s="4">
        <v>-39764.089999999997</v>
      </c>
      <c r="E18" s="4">
        <v>-11533.76</v>
      </c>
      <c r="F18" s="3" t="s">
        <v>897</v>
      </c>
    </row>
    <row r="19" spans="1:6" x14ac:dyDescent="0.2">
      <c r="A19" s="3" t="s">
        <v>20</v>
      </c>
      <c r="B19" s="3" t="s">
        <v>2</v>
      </c>
      <c r="C19" s="4">
        <v>22025383.469999999</v>
      </c>
      <c r="D19" s="4">
        <v>17190605.02</v>
      </c>
      <c r="E19" s="4">
        <v>4834778.45</v>
      </c>
      <c r="F19" s="3" t="s">
        <v>690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s">
        <v>6</v>
      </c>
    </row>
    <row r="21" spans="1:6" x14ac:dyDescent="0.2">
      <c r="A21" s="3" t="s">
        <v>21</v>
      </c>
      <c r="B21" s="3" t="s">
        <v>23</v>
      </c>
      <c r="C21" s="4">
        <v>-64.38</v>
      </c>
      <c r="D21" s="4">
        <v>-70103.490000000005</v>
      </c>
      <c r="E21" s="4">
        <v>70039.11</v>
      </c>
      <c r="F21" s="3" t="s">
        <v>1456</v>
      </c>
    </row>
    <row r="22" spans="1:6" x14ac:dyDescent="0.2">
      <c r="A22" s="3" t="s">
        <v>21</v>
      </c>
      <c r="B22" s="3" t="s">
        <v>25</v>
      </c>
      <c r="C22" s="4">
        <v>66031.509999999995</v>
      </c>
      <c r="D22" s="4">
        <v>66031.509999999995</v>
      </c>
      <c r="E22" s="4">
        <v>0</v>
      </c>
      <c r="F22" s="3" t="s">
        <v>6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s">
        <v>6</v>
      </c>
    </row>
    <row r="24" spans="1:6" x14ac:dyDescent="0.2">
      <c r="A24" s="3" t="s">
        <v>21</v>
      </c>
      <c r="B24" s="3" t="s">
        <v>27</v>
      </c>
      <c r="C24" s="4">
        <v>158102.93</v>
      </c>
      <c r="D24" s="4">
        <v>95361.09</v>
      </c>
      <c r="E24" s="4">
        <v>62741.84</v>
      </c>
      <c r="F24" s="3" t="s">
        <v>1436</v>
      </c>
    </row>
    <row r="25" spans="1:6" x14ac:dyDescent="0.2">
      <c r="A25" s="3" t="s">
        <v>21</v>
      </c>
      <c r="B25" s="3" t="s">
        <v>28</v>
      </c>
      <c r="C25" s="4">
        <v>4781.17</v>
      </c>
      <c r="D25" s="4">
        <v>54736.59</v>
      </c>
      <c r="E25" s="4">
        <v>-49955.42</v>
      </c>
      <c r="F25" s="3" t="s">
        <v>1423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s">
        <v>6</v>
      </c>
    </row>
    <row r="27" spans="1:6" x14ac:dyDescent="0.2">
      <c r="A27" s="3" t="s">
        <v>21</v>
      </c>
      <c r="B27" s="3" t="s">
        <v>2</v>
      </c>
      <c r="C27" s="4">
        <v>228870.6</v>
      </c>
      <c r="D27" s="4">
        <v>146045.07</v>
      </c>
      <c r="E27" s="4">
        <v>82825.53</v>
      </c>
      <c r="F27" s="3" t="s">
        <v>687</v>
      </c>
    </row>
    <row r="28" spans="1:6" x14ac:dyDescent="0.2">
      <c r="A28" s="3" t="s">
        <v>30</v>
      </c>
      <c r="B28" s="3" t="s">
        <v>31</v>
      </c>
      <c r="C28" s="4">
        <v>0</v>
      </c>
      <c r="D28" s="4">
        <v>54446.01</v>
      </c>
      <c r="E28" s="4">
        <v>-54446.01</v>
      </c>
      <c r="F28" s="3" t="s">
        <v>475</v>
      </c>
    </row>
    <row r="29" spans="1:6" x14ac:dyDescent="0.2">
      <c r="A29" s="3" t="s">
        <v>30</v>
      </c>
      <c r="B29" s="3" t="s">
        <v>2</v>
      </c>
      <c r="C29" s="4">
        <v>0</v>
      </c>
      <c r="D29" s="4">
        <v>54446.01</v>
      </c>
      <c r="E29" s="4">
        <v>-54446.01</v>
      </c>
      <c r="F29" s="3" t="s">
        <v>475</v>
      </c>
    </row>
    <row r="30" spans="1:6" x14ac:dyDescent="0.2">
      <c r="A30" s="3" t="s">
        <v>32</v>
      </c>
      <c r="B30" s="3" t="s">
        <v>33</v>
      </c>
      <c r="C30" s="4">
        <v>66875.03</v>
      </c>
      <c r="D30" s="4">
        <v>64885.88</v>
      </c>
      <c r="E30" s="4">
        <v>1989.15</v>
      </c>
      <c r="F30" s="3" t="s">
        <v>644</v>
      </c>
    </row>
    <row r="31" spans="1:6" x14ac:dyDescent="0.2">
      <c r="A31" s="3" t="s">
        <v>32</v>
      </c>
      <c r="B31" s="3" t="s">
        <v>34</v>
      </c>
      <c r="C31" s="4">
        <v>-1132.44</v>
      </c>
      <c r="D31" s="4">
        <v>44.36</v>
      </c>
      <c r="E31" s="4">
        <v>-1176.8</v>
      </c>
      <c r="F31" s="3" t="s">
        <v>1457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s">
        <v>6</v>
      </c>
    </row>
    <row r="33" spans="1:6" x14ac:dyDescent="0.2">
      <c r="A33" s="3" t="s">
        <v>32</v>
      </c>
      <c r="B33" s="3" t="s">
        <v>477</v>
      </c>
      <c r="C33" s="4">
        <v>2598.79</v>
      </c>
      <c r="D33" s="4">
        <v>2598.79</v>
      </c>
      <c r="E33" s="4">
        <v>0</v>
      </c>
      <c r="F33" s="3" t="s">
        <v>6</v>
      </c>
    </row>
    <row r="34" spans="1:6" x14ac:dyDescent="0.2">
      <c r="A34" s="3" t="s">
        <v>32</v>
      </c>
      <c r="B34" s="3" t="s">
        <v>478</v>
      </c>
      <c r="C34" s="4">
        <v>-68.97</v>
      </c>
      <c r="D34" s="4">
        <v>-5.71</v>
      </c>
      <c r="E34" s="4">
        <v>-63.26</v>
      </c>
      <c r="F34" s="3" t="s">
        <v>1458</v>
      </c>
    </row>
    <row r="35" spans="1:6" x14ac:dyDescent="0.2">
      <c r="A35" s="3" t="s">
        <v>32</v>
      </c>
      <c r="B35" s="3" t="s">
        <v>36</v>
      </c>
      <c r="C35" s="4">
        <v>4415.72</v>
      </c>
      <c r="D35" s="4">
        <v>2161.88</v>
      </c>
      <c r="E35" s="4">
        <v>2253.84</v>
      </c>
      <c r="F35" s="3" t="s">
        <v>1459</v>
      </c>
    </row>
    <row r="36" spans="1:6" x14ac:dyDescent="0.2">
      <c r="A36" s="3" t="s">
        <v>32</v>
      </c>
      <c r="B36" s="3" t="s">
        <v>39</v>
      </c>
      <c r="C36" s="4">
        <v>18.22</v>
      </c>
      <c r="D36" s="4">
        <v>167.55</v>
      </c>
      <c r="E36" s="4">
        <v>-149.33000000000001</v>
      </c>
      <c r="F36" s="3" t="s">
        <v>1460</v>
      </c>
    </row>
    <row r="37" spans="1:6" x14ac:dyDescent="0.2">
      <c r="A37" s="3" t="s">
        <v>32</v>
      </c>
      <c r="B37" s="3" t="s">
        <v>42</v>
      </c>
      <c r="C37" s="4">
        <v>53.22</v>
      </c>
      <c r="D37" s="4">
        <v>47.89</v>
      </c>
      <c r="E37" s="4">
        <v>5.33</v>
      </c>
      <c r="F37" s="3" t="s">
        <v>951</v>
      </c>
    </row>
    <row r="38" spans="1:6" x14ac:dyDescent="0.2">
      <c r="A38" s="3" t="s">
        <v>32</v>
      </c>
      <c r="B38" s="3" t="s">
        <v>2</v>
      </c>
      <c r="C38" s="4">
        <v>75357.09</v>
      </c>
      <c r="D38" s="4">
        <v>72498.16</v>
      </c>
      <c r="E38" s="4">
        <v>2858.93</v>
      </c>
      <c r="F38" s="3" t="s">
        <v>1285</v>
      </c>
    </row>
    <row r="39" spans="1:6" x14ac:dyDescent="0.2">
      <c r="A39" s="3" t="s">
        <v>43</v>
      </c>
      <c r="B39" s="3" t="s">
        <v>2</v>
      </c>
      <c r="C39" s="4">
        <v>304227.69</v>
      </c>
      <c r="D39" s="4">
        <v>272989.24</v>
      </c>
      <c r="E39" s="4">
        <v>31238.45</v>
      </c>
      <c r="F39" s="3" t="s">
        <v>914</v>
      </c>
    </row>
    <row r="40" spans="1:6" x14ac:dyDescent="0.2">
      <c r="A40" s="3" t="s">
        <v>44</v>
      </c>
      <c r="B40" s="3" t="s">
        <v>1440</v>
      </c>
      <c r="C40" s="4">
        <v>0</v>
      </c>
      <c r="D40" s="4">
        <v>861247.02</v>
      </c>
      <c r="E40" s="4">
        <v>-861247.02</v>
      </c>
      <c r="F40" s="3" t="s">
        <v>475</v>
      </c>
    </row>
    <row r="41" spans="1:6" x14ac:dyDescent="0.2">
      <c r="A41" s="3" t="s">
        <v>44</v>
      </c>
      <c r="B41" s="3" t="s">
        <v>973</v>
      </c>
      <c r="C41" s="4">
        <v>-0.1</v>
      </c>
      <c r="D41" s="4">
        <v>-0.1</v>
      </c>
      <c r="E41" s="4">
        <v>0</v>
      </c>
      <c r="F41" s="3" t="s">
        <v>6</v>
      </c>
    </row>
    <row r="42" spans="1:6" x14ac:dyDescent="0.2">
      <c r="A42" s="3" t="s">
        <v>44</v>
      </c>
      <c r="B42" s="3" t="s">
        <v>45</v>
      </c>
      <c r="C42" s="4">
        <v>0</v>
      </c>
      <c r="D42" s="4">
        <v>13784.74</v>
      </c>
      <c r="E42" s="4">
        <v>-13784.74</v>
      </c>
      <c r="F42" s="3" t="s">
        <v>475</v>
      </c>
    </row>
    <row r="43" spans="1:6" x14ac:dyDescent="0.2">
      <c r="A43" s="3" t="s">
        <v>44</v>
      </c>
      <c r="B43" s="3" t="s">
        <v>2</v>
      </c>
      <c r="C43" s="4">
        <v>-0.1</v>
      </c>
      <c r="D43" s="4">
        <v>875031.66</v>
      </c>
      <c r="E43" s="4">
        <v>-875031.76</v>
      </c>
      <c r="F43" s="3" t="s">
        <v>475</v>
      </c>
    </row>
    <row r="44" spans="1:6" x14ac:dyDescent="0.2">
      <c r="A44" s="3" t="s">
        <v>47</v>
      </c>
      <c r="B44" s="3" t="s">
        <v>48</v>
      </c>
      <c r="C44" s="4">
        <v>17916173.120000001</v>
      </c>
      <c r="D44" s="4">
        <v>15019677.85</v>
      </c>
      <c r="E44" s="4">
        <v>2896495.27</v>
      </c>
      <c r="F44" s="3" t="s">
        <v>910</v>
      </c>
    </row>
    <row r="45" spans="1:6" x14ac:dyDescent="0.2">
      <c r="A45" s="3" t="s">
        <v>47</v>
      </c>
      <c r="B45" s="3" t="s">
        <v>599</v>
      </c>
      <c r="C45" s="4">
        <v>0</v>
      </c>
      <c r="D45" s="4">
        <v>1391.71</v>
      </c>
      <c r="E45" s="4">
        <v>-1391.71</v>
      </c>
      <c r="F45" s="3" t="s">
        <v>475</v>
      </c>
    </row>
    <row r="46" spans="1:6" x14ac:dyDescent="0.2">
      <c r="A46" s="3" t="s">
        <v>47</v>
      </c>
      <c r="B46" s="3" t="s">
        <v>49</v>
      </c>
      <c r="C46" s="4">
        <v>-118276.45</v>
      </c>
      <c r="D46" s="4">
        <v>-122396.81</v>
      </c>
      <c r="E46" s="4">
        <v>4120.3599999999997</v>
      </c>
      <c r="F46" s="3" t="s">
        <v>480</v>
      </c>
    </row>
    <row r="47" spans="1:6" x14ac:dyDescent="0.2">
      <c r="A47" s="3" t="s">
        <v>47</v>
      </c>
      <c r="B47" s="3" t="s">
        <v>50</v>
      </c>
      <c r="C47" s="4">
        <v>2648306.27</v>
      </c>
      <c r="D47" s="4">
        <v>2104317.85</v>
      </c>
      <c r="E47" s="4">
        <v>543988.42000000004</v>
      </c>
      <c r="F47" s="3" t="s">
        <v>1461</v>
      </c>
    </row>
    <row r="48" spans="1:6" x14ac:dyDescent="0.2">
      <c r="A48" s="3" t="s">
        <v>47</v>
      </c>
      <c r="B48" s="3" t="s">
        <v>51</v>
      </c>
      <c r="C48" s="4">
        <v>3536296.25</v>
      </c>
      <c r="D48" s="4">
        <v>4462869.9800000004</v>
      </c>
      <c r="E48" s="4">
        <v>-926573.73</v>
      </c>
      <c r="F48" s="3" t="s">
        <v>820</v>
      </c>
    </row>
    <row r="49" spans="1:6" x14ac:dyDescent="0.2">
      <c r="A49" s="3" t="s">
        <v>47</v>
      </c>
      <c r="B49" s="3" t="s">
        <v>52</v>
      </c>
      <c r="C49" s="4">
        <v>6657944.71</v>
      </c>
      <c r="D49" s="4">
        <v>8981704.1300000008</v>
      </c>
      <c r="E49" s="4">
        <v>-2323759.42</v>
      </c>
      <c r="F49" s="3" t="s">
        <v>1430</v>
      </c>
    </row>
    <row r="50" spans="1:6" x14ac:dyDescent="0.2">
      <c r="A50" s="3" t="s">
        <v>47</v>
      </c>
      <c r="B50" s="3" t="s">
        <v>53</v>
      </c>
      <c r="C50" s="4">
        <v>-27.65</v>
      </c>
      <c r="D50" s="4">
        <v>-27.65</v>
      </c>
      <c r="E50" s="4">
        <v>0</v>
      </c>
      <c r="F50" s="3" t="s">
        <v>6</v>
      </c>
    </row>
    <row r="51" spans="1:6" x14ac:dyDescent="0.2">
      <c r="A51" s="3" t="s">
        <v>47</v>
      </c>
      <c r="B51" s="3" t="s">
        <v>54</v>
      </c>
      <c r="C51" s="4">
        <v>24494.15</v>
      </c>
      <c r="D51" s="4">
        <v>28152.81</v>
      </c>
      <c r="E51" s="4">
        <v>-3658.66</v>
      </c>
      <c r="F51" s="3" t="s">
        <v>810</v>
      </c>
    </row>
    <row r="52" spans="1:6" x14ac:dyDescent="0.2">
      <c r="A52" s="3" t="s">
        <v>47</v>
      </c>
      <c r="B52" s="3" t="s">
        <v>55</v>
      </c>
      <c r="C52" s="4">
        <v>-1495864.91</v>
      </c>
      <c r="D52" s="4">
        <v>-1501447.11</v>
      </c>
      <c r="E52" s="4">
        <v>5582.2</v>
      </c>
      <c r="F52" s="3" t="s">
        <v>576</v>
      </c>
    </row>
    <row r="53" spans="1:6" x14ac:dyDescent="0.2">
      <c r="A53" s="3" t="s">
        <v>47</v>
      </c>
      <c r="B53" s="3" t="s">
        <v>56</v>
      </c>
      <c r="C53" s="4">
        <v>2222.1</v>
      </c>
      <c r="D53" s="4">
        <v>11762.37</v>
      </c>
      <c r="E53" s="4">
        <v>-9540.27</v>
      </c>
      <c r="F53" s="3" t="s">
        <v>1462</v>
      </c>
    </row>
    <row r="54" spans="1:6" x14ac:dyDescent="0.2">
      <c r="A54" s="3" t="s">
        <v>47</v>
      </c>
      <c r="B54" s="3" t="s">
        <v>57</v>
      </c>
      <c r="C54" s="4">
        <v>-19226.11</v>
      </c>
      <c r="D54" s="4">
        <v>-22424.2</v>
      </c>
      <c r="E54" s="4">
        <v>3198.09</v>
      </c>
      <c r="F54" s="3" t="s">
        <v>862</v>
      </c>
    </row>
    <row r="55" spans="1:6" x14ac:dyDescent="0.2">
      <c r="A55" s="3" t="s">
        <v>47</v>
      </c>
      <c r="B55" s="3" t="s">
        <v>58</v>
      </c>
      <c r="C55" s="4">
        <v>-14272.25</v>
      </c>
      <c r="D55" s="4">
        <v>-14272.25</v>
      </c>
      <c r="E55" s="4">
        <v>0</v>
      </c>
      <c r="F55" s="3" t="s">
        <v>6</v>
      </c>
    </row>
    <row r="56" spans="1:6" x14ac:dyDescent="0.2">
      <c r="A56" s="3" t="s">
        <v>47</v>
      </c>
      <c r="B56" s="3" t="s">
        <v>2</v>
      </c>
      <c r="C56" s="4">
        <v>29137769.23</v>
      </c>
      <c r="D56" s="4">
        <v>28949308.68</v>
      </c>
      <c r="E56" s="4">
        <v>188460.55</v>
      </c>
      <c r="F56" s="3" t="s">
        <v>487</v>
      </c>
    </row>
    <row r="57" spans="1:6" x14ac:dyDescent="0.2">
      <c r="A57" s="3" t="s">
        <v>59</v>
      </c>
      <c r="B57" s="3" t="s">
        <v>60</v>
      </c>
      <c r="C57" s="4">
        <v>276913.69</v>
      </c>
      <c r="D57" s="4">
        <v>307031.21000000002</v>
      </c>
      <c r="E57" s="4">
        <v>-30117.52</v>
      </c>
      <c r="F57" s="3" t="s">
        <v>1463</v>
      </c>
    </row>
    <row r="58" spans="1:6" x14ac:dyDescent="0.2">
      <c r="A58" s="3" t="s">
        <v>59</v>
      </c>
      <c r="B58" s="3" t="s">
        <v>975</v>
      </c>
      <c r="C58" s="4">
        <v>100.78</v>
      </c>
      <c r="D58" s="4">
        <v>100.78</v>
      </c>
      <c r="E58" s="4">
        <v>0</v>
      </c>
      <c r="F58" s="3" t="s">
        <v>6</v>
      </c>
    </row>
    <row r="59" spans="1:6" x14ac:dyDescent="0.2">
      <c r="A59" s="3" t="s">
        <v>59</v>
      </c>
      <c r="B59" s="3" t="s">
        <v>883</v>
      </c>
      <c r="C59" s="4">
        <v>946.22</v>
      </c>
      <c r="D59" s="4">
        <v>946.22</v>
      </c>
      <c r="E59" s="4">
        <v>0</v>
      </c>
      <c r="F59" s="3" t="s">
        <v>6</v>
      </c>
    </row>
    <row r="60" spans="1:6" x14ac:dyDescent="0.2">
      <c r="A60" s="3" t="s">
        <v>59</v>
      </c>
      <c r="B60" s="3" t="s">
        <v>61</v>
      </c>
      <c r="C60" s="4">
        <v>382.2</v>
      </c>
      <c r="D60" s="4">
        <v>383.16</v>
      </c>
      <c r="E60" s="4">
        <v>-0.96</v>
      </c>
      <c r="F60" s="3" t="s">
        <v>521</v>
      </c>
    </row>
    <row r="61" spans="1:6" x14ac:dyDescent="0.2">
      <c r="A61" s="3" t="s">
        <v>59</v>
      </c>
      <c r="B61" s="3" t="s">
        <v>62</v>
      </c>
      <c r="C61" s="4">
        <v>221183.82</v>
      </c>
      <c r="D61" s="4">
        <v>235476.35</v>
      </c>
      <c r="E61" s="4">
        <v>-14292.53</v>
      </c>
      <c r="F61" s="3" t="s">
        <v>884</v>
      </c>
    </row>
    <row r="62" spans="1:6" x14ac:dyDescent="0.2">
      <c r="A62" s="3" t="s">
        <v>59</v>
      </c>
      <c r="B62" s="3" t="s">
        <v>63</v>
      </c>
      <c r="C62" s="4">
        <v>43753.85</v>
      </c>
      <c r="D62" s="4">
        <v>48339.39</v>
      </c>
      <c r="E62" s="4">
        <v>-4585.54</v>
      </c>
      <c r="F62" s="3" t="s">
        <v>637</v>
      </c>
    </row>
    <row r="63" spans="1:6" x14ac:dyDescent="0.2">
      <c r="A63" s="3" t="s">
        <v>59</v>
      </c>
      <c r="B63" s="3" t="s">
        <v>64</v>
      </c>
      <c r="C63" s="4">
        <v>594.16</v>
      </c>
      <c r="D63" s="4">
        <v>593.03</v>
      </c>
      <c r="E63" s="4">
        <v>1.1299999999999999</v>
      </c>
      <c r="F63" s="3" t="s">
        <v>488</v>
      </c>
    </row>
    <row r="64" spans="1:6" x14ac:dyDescent="0.2">
      <c r="A64" s="3" t="s">
        <v>59</v>
      </c>
      <c r="B64" s="3" t="s">
        <v>2</v>
      </c>
      <c r="C64" s="4">
        <v>543874.72</v>
      </c>
      <c r="D64" s="4">
        <v>592870.14</v>
      </c>
      <c r="E64" s="4">
        <v>-48995.42</v>
      </c>
      <c r="F64" s="3" t="s">
        <v>877</v>
      </c>
    </row>
    <row r="65" spans="1:6" x14ac:dyDescent="0.2">
      <c r="A65" s="3" t="s">
        <v>65</v>
      </c>
      <c r="B65" s="3" t="s">
        <v>2</v>
      </c>
      <c r="C65" s="4">
        <v>29681643.850000001</v>
      </c>
      <c r="D65" s="4">
        <v>30417210.48</v>
      </c>
      <c r="E65" s="4">
        <v>-735566.63</v>
      </c>
      <c r="F65" s="3" t="s">
        <v>717</v>
      </c>
    </row>
    <row r="66" spans="1:6" x14ac:dyDescent="0.2">
      <c r="A66" s="3" t="s">
        <v>66</v>
      </c>
      <c r="B66" s="3" t="s">
        <v>67</v>
      </c>
      <c r="C66" s="4">
        <v>-6135.39</v>
      </c>
      <c r="D66" s="4">
        <v>-6135.39</v>
      </c>
      <c r="E66" s="4">
        <v>0</v>
      </c>
      <c r="F66" s="3" t="s">
        <v>6</v>
      </c>
    </row>
    <row r="67" spans="1:6" x14ac:dyDescent="0.2">
      <c r="A67" s="3" t="s">
        <v>66</v>
      </c>
      <c r="B67" s="3" t="s">
        <v>68</v>
      </c>
      <c r="C67" s="4">
        <v>6871.22</v>
      </c>
      <c r="D67" s="4">
        <v>7447.93</v>
      </c>
      <c r="E67" s="4">
        <v>-576.71</v>
      </c>
      <c r="F67" s="3" t="s">
        <v>622</v>
      </c>
    </row>
    <row r="68" spans="1:6" x14ac:dyDescent="0.2">
      <c r="A68" s="3" t="s">
        <v>66</v>
      </c>
      <c r="B68" s="3" t="s">
        <v>979</v>
      </c>
      <c r="C68" s="4">
        <v>6329.17</v>
      </c>
      <c r="D68" s="4">
        <v>6329.17</v>
      </c>
      <c r="E68" s="4">
        <v>0</v>
      </c>
      <c r="F68" s="3" t="s">
        <v>6</v>
      </c>
    </row>
    <row r="69" spans="1:6" x14ac:dyDescent="0.2">
      <c r="A69" s="3" t="s">
        <v>66</v>
      </c>
      <c r="B69" s="3" t="s">
        <v>491</v>
      </c>
      <c r="C69" s="4">
        <v>1653.55</v>
      </c>
      <c r="D69" s="4">
        <v>67.17</v>
      </c>
      <c r="E69" s="4">
        <v>1586.38</v>
      </c>
      <c r="F69" s="3" t="s">
        <v>1464</v>
      </c>
    </row>
    <row r="70" spans="1:6" x14ac:dyDescent="0.2">
      <c r="A70" s="3" t="s">
        <v>66</v>
      </c>
      <c r="B70" s="3" t="s">
        <v>492</v>
      </c>
      <c r="C70" s="4">
        <v>-13.8</v>
      </c>
      <c r="D70" s="4">
        <v>0.06</v>
      </c>
      <c r="E70" s="4">
        <v>-13.86</v>
      </c>
      <c r="F70" s="3" t="s">
        <v>1465</v>
      </c>
    </row>
    <row r="71" spans="1:6" x14ac:dyDescent="0.2">
      <c r="A71" s="3" t="s">
        <v>66</v>
      </c>
      <c r="B71" s="3" t="s">
        <v>493</v>
      </c>
      <c r="C71" s="4">
        <v>-417.35</v>
      </c>
      <c r="D71" s="4">
        <v>-242.48</v>
      </c>
      <c r="E71" s="4">
        <v>-174.87</v>
      </c>
      <c r="F71" s="3" t="s">
        <v>1466</v>
      </c>
    </row>
    <row r="72" spans="1:6" x14ac:dyDescent="0.2">
      <c r="A72" s="3" t="s">
        <v>66</v>
      </c>
      <c r="B72" s="3" t="s">
        <v>494</v>
      </c>
      <c r="C72" s="4">
        <v>7.2</v>
      </c>
      <c r="D72" s="4">
        <v>0.79</v>
      </c>
      <c r="E72" s="4">
        <v>6.41</v>
      </c>
      <c r="F72" s="3" t="s">
        <v>1467</v>
      </c>
    </row>
    <row r="73" spans="1:6" x14ac:dyDescent="0.2">
      <c r="A73" s="3" t="s">
        <v>66</v>
      </c>
      <c r="B73" s="3" t="s">
        <v>2</v>
      </c>
      <c r="C73" s="4">
        <v>8294.6</v>
      </c>
      <c r="D73" s="4">
        <v>7467.25</v>
      </c>
      <c r="E73" s="4">
        <v>827.35</v>
      </c>
      <c r="F73" s="3" t="s">
        <v>951</v>
      </c>
    </row>
    <row r="74" spans="1:6" x14ac:dyDescent="0.2">
      <c r="A74" s="3" t="s">
        <v>69</v>
      </c>
      <c r="B74" s="3" t="s">
        <v>2</v>
      </c>
      <c r="C74" s="4">
        <v>8294.6</v>
      </c>
      <c r="D74" s="4">
        <v>7467.25</v>
      </c>
      <c r="E74" s="4">
        <v>827.35</v>
      </c>
      <c r="F74" s="3" t="s">
        <v>951</v>
      </c>
    </row>
    <row r="75" spans="1:6" x14ac:dyDescent="0.2">
      <c r="A75" s="3" t="s">
        <v>70</v>
      </c>
      <c r="B75" s="3" t="s">
        <v>71</v>
      </c>
      <c r="C75" s="4">
        <v>359163.46</v>
      </c>
      <c r="D75" s="4">
        <v>359163.46</v>
      </c>
      <c r="E75" s="4">
        <v>0</v>
      </c>
      <c r="F75" s="3" t="s">
        <v>6</v>
      </c>
    </row>
    <row r="76" spans="1:6" x14ac:dyDescent="0.2">
      <c r="A76" s="3" t="s">
        <v>70</v>
      </c>
      <c r="B76" s="3" t="s">
        <v>72</v>
      </c>
      <c r="C76" s="4">
        <v>-265955.65000000002</v>
      </c>
      <c r="D76" s="4">
        <v>-264840.87</v>
      </c>
      <c r="E76" s="4">
        <v>-1114.78</v>
      </c>
      <c r="F76" s="3" t="s">
        <v>470</v>
      </c>
    </row>
    <row r="77" spans="1:6" x14ac:dyDescent="0.2">
      <c r="A77" s="3" t="s">
        <v>70</v>
      </c>
      <c r="B77" s="3" t="s">
        <v>2</v>
      </c>
      <c r="C77" s="4">
        <v>93207.81</v>
      </c>
      <c r="D77" s="4">
        <v>94322.59</v>
      </c>
      <c r="E77" s="4">
        <v>-1114.78</v>
      </c>
      <c r="F77" s="3" t="s">
        <v>482</v>
      </c>
    </row>
    <row r="78" spans="1:6" x14ac:dyDescent="0.2">
      <c r="A78" s="3" t="s">
        <v>73</v>
      </c>
      <c r="B78" s="3" t="s">
        <v>74</v>
      </c>
      <c r="C78" s="4">
        <v>132848.63</v>
      </c>
      <c r="D78" s="4">
        <v>132848.63</v>
      </c>
      <c r="E78" s="4">
        <v>0</v>
      </c>
      <c r="F78" s="3" t="s">
        <v>6</v>
      </c>
    </row>
    <row r="79" spans="1:6" x14ac:dyDescent="0.2">
      <c r="A79" s="3" t="s">
        <v>73</v>
      </c>
      <c r="B79" s="3" t="s">
        <v>75</v>
      </c>
      <c r="C79" s="4">
        <v>776143.57</v>
      </c>
      <c r="D79" s="4">
        <v>773272.12</v>
      </c>
      <c r="E79" s="4">
        <v>2871.45</v>
      </c>
      <c r="F79" s="3" t="s">
        <v>576</v>
      </c>
    </row>
    <row r="80" spans="1:6" x14ac:dyDescent="0.2">
      <c r="A80" s="3" t="s">
        <v>73</v>
      </c>
      <c r="B80" s="3" t="s">
        <v>76</v>
      </c>
      <c r="C80" s="4">
        <v>395079.95</v>
      </c>
      <c r="D80" s="4">
        <v>390555.42</v>
      </c>
      <c r="E80" s="4">
        <v>4524.53</v>
      </c>
      <c r="F80" s="3" t="s">
        <v>507</v>
      </c>
    </row>
    <row r="81" spans="1:6" x14ac:dyDescent="0.2">
      <c r="A81" s="3" t="s">
        <v>73</v>
      </c>
      <c r="B81" s="3" t="s">
        <v>77</v>
      </c>
      <c r="C81" s="4">
        <v>495.24</v>
      </c>
      <c r="D81" s="4">
        <v>495.24</v>
      </c>
      <c r="E81" s="4">
        <v>0</v>
      </c>
      <c r="F81" s="3" t="s">
        <v>6</v>
      </c>
    </row>
    <row r="82" spans="1:6" x14ac:dyDescent="0.2">
      <c r="A82" s="3" t="s">
        <v>73</v>
      </c>
      <c r="B82" s="3" t="s">
        <v>78</v>
      </c>
      <c r="C82" s="4">
        <v>266816.33</v>
      </c>
      <c r="D82" s="4">
        <v>265200.03999999998</v>
      </c>
      <c r="E82" s="4">
        <v>1616.29</v>
      </c>
      <c r="F82" s="3" t="s">
        <v>523</v>
      </c>
    </row>
    <row r="83" spans="1:6" x14ac:dyDescent="0.2">
      <c r="A83" s="3" t="s">
        <v>73</v>
      </c>
      <c r="B83" s="3" t="s">
        <v>79</v>
      </c>
      <c r="C83" s="4">
        <v>-127467.59</v>
      </c>
      <c r="D83" s="4">
        <v>-127193.05</v>
      </c>
      <c r="E83" s="4">
        <v>-274.54000000000002</v>
      </c>
      <c r="F83" s="3" t="s">
        <v>498</v>
      </c>
    </row>
    <row r="84" spans="1:6" x14ac:dyDescent="0.2">
      <c r="A84" s="3" t="s">
        <v>73</v>
      </c>
      <c r="B84" s="3" t="s">
        <v>80</v>
      </c>
      <c r="C84" s="4">
        <v>-460436</v>
      </c>
      <c r="D84" s="4">
        <v>-454427.4</v>
      </c>
      <c r="E84" s="4">
        <v>-6008.6</v>
      </c>
      <c r="F84" s="3" t="s">
        <v>495</v>
      </c>
    </row>
    <row r="85" spans="1:6" x14ac:dyDescent="0.2">
      <c r="A85" s="3" t="s">
        <v>73</v>
      </c>
      <c r="B85" s="3" t="s">
        <v>81</v>
      </c>
      <c r="C85" s="4">
        <v>-309940.40999999997</v>
      </c>
      <c r="D85" s="4">
        <v>-307433.61</v>
      </c>
      <c r="E85" s="4">
        <v>-2506.8000000000002</v>
      </c>
      <c r="F85" s="3" t="s">
        <v>615</v>
      </c>
    </row>
    <row r="86" spans="1:6" x14ac:dyDescent="0.2">
      <c r="A86" s="3" t="s">
        <v>73</v>
      </c>
      <c r="B86" s="3" t="s">
        <v>82</v>
      </c>
      <c r="C86" s="4">
        <v>-495.24</v>
      </c>
      <c r="D86" s="4">
        <v>-495.24</v>
      </c>
      <c r="E86" s="4">
        <v>0</v>
      </c>
      <c r="F86" s="3" t="s">
        <v>6</v>
      </c>
    </row>
    <row r="87" spans="1:6" x14ac:dyDescent="0.2">
      <c r="A87" s="3" t="s">
        <v>73</v>
      </c>
      <c r="B87" s="3" t="s">
        <v>83</v>
      </c>
      <c r="C87" s="4">
        <v>-211137.9</v>
      </c>
      <c r="D87" s="4">
        <v>-209538.08</v>
      </c>
      <c r="E87" s="4">
        <v>-1599.82</v>
      </c>
      <c r="F87" s="3" t="s">
        <v>615</v>
      </c>
    </row>
    <row r="88" spans="1:6" x14ac:dyDescent="0.2">
      <c r="A88" s="3" t="s">
        <v>73</v>
      </c>
      <c r="B88" s="3" t="s">
        <v>2</v>
      </c>
      <c r="C88" s="4">
        <v>461906.58</v>
      </c>
      <c r="D88" s="4">
        <v>463284.07</v>
      </c>
      <c r="E88" s="4">
        <v>-1377.49</v>
      </c>
      <c r="F88" s="3" t="s">
        <v>521</v>
      </c>
    </row>
    <row r="89" spans="1:6" x14ac:dyDescent="0.2">
      <c r="A89" s="3" t="s">
        <v>84</v>
      </c>
      <c r="B89" s="3" t="s">
        <v>85</v>
      </c>
      <c r="C89" s="4">
        <v>19408662.899999999</v>
      </c>
      <c r="D89" s="4">
        <v>18964434.25</v>
      </c>
      <c r="E89" s="4">
        <v>444228.65</v>
      </c>
      <c r="F89" s="3" t="s">
        <v>479</v>
      </c>
    </row>
    <row r="90" spans="1:6" x14ac:dyDescent="0.2">
      <c r="A90" s="3" t="s">
        <v>84</v>
      </c>
      <c r="B90" s="3" t="s">
        <v>86</v>
      </c>
      <c r="C90" s="4">
        <v>-7040225.9500000002</v>
      </c>
      <c r="D90" s="4">
        <v>-6760906.1699999999</v>
      </c>
      <c r="E90" s="4">
        <v>-279319.78000000003</v>
      </c>
      <c r="F90" s="3" t="s">
        <v>1450</v>
      </c>
    </row>
    <row r="91" spans="1:6" x14ac:dyDescent="0.2">
      <c r="A91" s="3" t="s">
        <v>84</v>
      </c>
      <c r="B91" s="3" t="s">
        <v>2</v>
      </c>
      <c r="C91" s="4">
        <v>12368436.949999999</v>
      </c>
      <c r="D91" s="4">
        <v>12203528.08</v>
      </c>
      <c r="E91" s="4">
        <v>164908.87</v>
      </c>
      <c r="F91" s="3" t="s">
        <v>936</v>
      </c>
    </row>
    <row r="92" spans="1:6" x14ac:dyDescent="0.2">
      <c r="A92" s="3" t="s">
        <v>87</v>
      </c>
      <c r="B92" s="3" t="s">
        <v>88</v>
      </c>
      <c r="C92" s="4">
        <v>103060.72</v>
      </c>
      <c r="D92" s="4">
        <v>103060.72</v>
      </c>
      <c r="E92" s="4">
        <v>0</v>
      </c>
      <c r="F92" s="3" t="s">
        <v>6</v>
      </c>
    </row>
    <row r="93" spans="1:6" x14ac:dyDescent="0.2">
      <c r="A93" s="3" t="s">
        <v>87</v>
      </c>
      <c r="B93" s="3" t="s">
        <v>89</v>
      </c>
      <c r="C93" s="4">
        <v>655044.07999999996</v>
      </c>
      <c r="D93" s="4">
        <v>655044.07999999996</v>
      </c>
      <c r="E93" s="4">
        <v>0</v>
      </c>
      <c r="F93" s="3" t="s">
        <v>6</v>
      </c>
    </row>
    <row r="94" spans="1:6" x14ac:dyDescent="0.2">
      <c r="A94" s="3" t="s">
        <v>87</v>
      </c>
      <c r="B94" s="3" t="s">
        <v>90</v>
      </c>
      <c r="C94" s="4">
        <v>-102226.96</v>
      </c>
      <c r="D94" s="4">
        <v>-102171.38</v>
      </c>
      <c r="E94" s="4">
        <v>-55.58</v>
      </c>
      <c r="F94" s="3" t="s">
        <v>625</v>
      </c>
    </row>
    <row r="95" spans="1:6" x14ac:dyDescent="0.2">
      <c r="A95" s="3" t="s">
        <v>87</v>
      </c>
      <c r="B95" s="3" t="s">
        <v>91</v>
      </c>
      <c r="C95" s="4">
        <v>-679727.4</v>
      </c>
      <c r="D95" s="4">
        <v>-678026.48</v>
      </c>
      <c r="E95" s="4">
        <v>-1700.92</v>
      </c>
      <c r="F95" s="3" t="s">
        <v>521</v>
      </c>
    </row>
    <row r="96" spans="1:6" x14ac:dyDescent="0.2">
      <c r="A96" s="3" t="s">
        <v>87</v>
      </c>
      <c r="B96" s="3" t="s">
        <v>2</v>
      </c>
      <c r="C96" s="4">
        <v>-23849.56</v>
      </c>
      <c r="D96" s="4">
        <v>-22093.06</v>
      </c>
      <c r="E96" s="4">
        <v>-1756.5</v>
      </c>
      <c r="F96" s="3" t="s">
        <v>1442</v>
      </c>
    </row>
    <row r="97" spans="1:6" x14ac:dyDescent="0.2">
      <c r="A97" s="3" t="s">
        <v>92</v>
      </c>
      <c r="B97" s="3" t="s">
        <v>93</v>
      </c>
      <c r="C97" s="4">
        <v>7861.74</v>
      </c>
      <c r="D97" s="4">
        <v>7861.74</v>
      </c>
      <c r="E97" s="4">
        <v>0</v>
      </c>
      <c r="F97" s="3" t="s">
        <v>6</v>
      </c>
    </row>
    <row r="98" spans="1:6" x14ac:dyDescent="0.2">
      <c r="A98" s="3" t="s">
        <v>92</v>
      </c>
      <c r="B98" s="3" t="s">
        <v>94</v>
      </c>
      <c r="C98" s="4">
        <v>255044.67</v>
      </c>
      <c r="D98" s="4">
        <v>255044.67</v>
      </c>
      <c r="E98" s="4">
        <v>0</v>
      </c>
      <c r="F98" s="3" t="s">
        <v>6</v>
      </c>
    </row>
    <row r="99" spans="1:6" x14ac:dyDescent="0.2">
      <c r="A99" s="3" t="s">
        <v>92</v>
      </c>
      <c r="B99" s="3" t="s">
        <v>95</v>
      </c>
      <c r="C99" s="4">
        <v>-4234.76</v>
      </c>
      <c r="D99" s="4">
        <v>-4080.41</v>
      </c>
      <c r="E99" s="4">
        <v>-154.35</v>
      </c>
      <c r="F99" s="3" t="s">
        <v>712</v>
      </c>
    </row>
    <row r="100" spans="1:6" x14ac:dyDescent="0.2">
      <c r="A100" s="3" t="s">
        <v>92</v>
      </c>
      <c r="B100" s="3" t="s">
        <v>96</v>
      </c>
      <c r="C100" s="4">
        <v>-188127.4</v>
      </c>
      <c r="D100" s="4">
        <v>-183076.13</v>
      </c>
      <c r="E100" s="4">
        <v>-5051.2700000000004</v>
      </c>
      <c r="F100" s="3" t="s">
        <v>505</v>
      </c>
    </row>
    <row r="101" spans="1:6" x14ac:dyDescent="0.2">
      <c r="A101" s="3" t="s">
        <v>92</v>
      </c>
      <c r="B101" s="3" t="s">
        <v>2</v>
      </c>
      <c r="C101" s="4">
        <v>70544.25</v>
      </c>
      <c r="D101" s="4">
        <v>75749.87</v>
      </c>
      <c r="E101" s="4">
        <v>-5205.62</v>
      </c>
      <c r="F101" s="3" t="s">
        <v>1000</v>
      </c>
    </row>
    <row r="102" spans="1:6" x14ac:dyDescent="0.2">
      <c r="A102" s="3" t="s">
        <v>97</v>
      </c>
      <c r="B102" s="3" t="s">
        <v>98</v>
      </c>
      <c r="C102" s="4">
        <v>146144.09</v>
      </c>
      <c r="D102" s="4">
        <v>146144.09</v>
      </c>
      <c r="E102" s="4">
        <v>0</v>
      </c>
      <c r="F102" s="3" t="s">
        <v>6</v>
      </c>
    </row>
    <row r="103" spans="1:6" x14ac:dyDescent="0.2">
      <c r="A103" s="3" t="s">
        <v>97</v>
      </c>
      <c r="B103" s="3" t="s">
        <v>99</v>
      </c>
      <c r="C103" s="4">
        <v>-91992.99</v>
      </c>
      <c r="D103" s="4">
        <v>-89557.25</v>
      </c>
      <c r="E103" s="4">
        <v>-2435.7399999999998</v>
      </c>
      <c r="F103" s="3" t="s">
        <v>727</v>
      </c>
    </row>
    <row r="104" spans="1:6" x14ac:dyDescent="0.2">
      <c r="A104" s="3" t="s">
        <v>97</v>
      </c>
      <c r="B104" s="3" t="s">
        <v>2</v>
      </c>
      <c r="C104" s="4">
        <v>54151.1</v>
      </c>
      <c r="D104" s="4">
        <v>56586.84</v>
      </c>
      <c r="E104" s="4">
        <v>-2435.7399999999998</v>
      </c>
      <c r="F104" s="3" t="s">
        <v>934</v>
      </c>
    </row>
    <row r="105" spans="1:6" x14ac:dyDescent="0.2">
      <c r="A105" s="3" t="s">
        <v>100</v>
      </c>
      <c r="B105" s="3" t="s">
        <v>101</v>
      </c>
      <c r="C105" s="4">
        <v>126094.79</v>
      </c>
      <c r="D105" s="4">
        <v>125787.82</v>
      </c>
      <c r="E105" s="4">
        <v>306.97000000000003</v>
      </c>
      <c r="F105" s="3" t="s">
        <v>488</v>
      </c>
    </row>
    <row r="106" spans="1:6" x14ac:dyDescent="0.2">
      <c r="A106" s="3" t="s">
        <v>100</v>
      </c>
      <c r="B106" s="3" t="s">
        <v>980</v>
      </c>
      <c r="C106" s="4">
        <v>99779.96</v>
      </c>
      <c r="D106" s="4">
        <v>100332.35</v>
      </c>
      <c r="E106" s="4">
        <v>-552.39</v>
      </c>
      <c r="F106" s="3" t="s">
        <v>610</v>
      </c>
    </row>
    <row r="107" spans="1:6" x14ac:dyDescent="0.2">
      <c r="A107" s="3" t="s">
        <v>100</v>
      </c>
      <c r="B107" s="3" t="s">
        <v>102</v>
      </c>
      <c r="C107" s="4">
        <v>-109018.24000000001</v>
      </c>
      <c r="D107" s="4">
        <v>-108386.52</v>
      </c>
      <c r="E107" s="4">
        <v>-631.72</v>
      </c>
      <c r="F107" s="3" t="s">
        <v>610</v>
      </c>
    </row>
    <row r="108" spans="1:6" x14ac:dyDescent="0.2">
      <c r="A108" s="3" t="s">
        <v>100</v>
      </c>
      <c r="B108" s="3" t="s">
        <v>981</v>
      </c>
      <c r="C108" s="4">
        <v>-99779.96</v>
      </c>
      <c r="D108" s="4">
        <v>-100332.35</v>
      </c>
      <c r="E108" s="4">
        <v>552.39</v>
      </c>
      <c r="F108" s="3" t="s">
        <v>523</v>
      </c>
    </row>
    <row r="109" spans="1:6" x14ac:dyDescent="0.2">
      <c r="A109" s="3" t="s">
        <v>100</v>
      </c>
      <c r="B109" s="3" t="s">
        <v>2</v>
      </c>
      <c r="C109" s="4">
        <v>17076.55</v>
      </c>
      <c r="D109" s="4">
        <v>17401.3</v>
      </c>
      <c r="E109" s="4">
        <v>-324.75</v>
      </c>
      <c r="F109" s="3" t="s">
        <v>635</v>
      </c>
    </row>
    <row r="110" spans="1:6" x14ac:dyDescent="0.2">
      <c r="A110" s="3" t="s">
        <v>103</v>
      </c>
      <c r="B110" s="3" t="s">
        <v>2</v>
      </c>
      <c r="C110" s="4">
        <v>13041473.68</v>
      </c>
      <c r="D110" s="4">
        <v>12888779.689999999</v>
      </c>
      <c r="E110" s="4">
        <v>152693.99</v>
      </c>
      <c r="F110" s="3" t="s">
        <v>507</v>
      </c>
    </row>
    <row r="111" spans="1:6" x14ac:dyDescent="0.2">
      <c r="A111" s="3" t="s">
        <v>104</v>
      </c>
      <c r="B111" s="3" t="s">
        <v>105</v>
      </c>
      <c r="C111" s="4">
        <v>2811368.31</v>
      </c>
      <c r="D111" s="4">
        <v>2811368.31</v>
      </c>
      <c r="E111" s="4">
        <v>0</v>
      </c>
      <c r="F111" s="3" t="s">
        <v>6</v>
      </c>
    </row>
    <row r="112" spans="1:6" x14ac:dyDescent="0.2">
      <c r="A112" s="3" t="s">
        <v>104</v>
      </c>
      <c r="B112" s="3" t="s">
        <v>106</v>
      </c>
      <c r="C112" s="4">
        <v>751020.44</v>
      </c>
      <c r="D112" s="4">
        <v>751020.44</v>
      </c>
      <c r="E112" s="4">
        <v>0</v>
      </c>
      <c r="F112" s="3" t="s">
        <v>6</v>
      </c>
    </row>
    <row r="113" spans="1:6" x14ac:dyDescent="0.2">
      <c r="A113" s="3" t="s">
        <v>104</v>
      </c>
      <c r="B113" s="3" t="s">
        <v>107</v>
      </c>
      <c r="C113" s="4">
        <v>-2636802.83</v>
      </c>
      <c r="D113" s="4">
        <v>-2578614.36</v>
      </c>
      <c r="E113" s="4">
        <v>-58188.47</v>
      </c>
      <c r="F113" s="3" t="s">
        <v>501</v>
      </c>
    </row>
    <row r="114" spans="1:6" x14ac:dyDescent="0.2">
      <c r="A114" s="3" t="s">
        <v>104</v>
      </c>
      <c r="B114" s="3" t="s">
        <v>108</v>
      </c>
      <c r="C114" s="4">
        <v>-624166.40000000002</v>
      </c>
      <c r="D114" s="4">
        <v>-613310.44999999995</v>
      </c>
      <c r="E114" s="4">
        <v>-10855.95</v>
      </c>
      <c r="F114" s="3" t="s">
        <v>716</v>
      </c>
    </row>
    <row r="115" spans="1:6" x14ac:dyDescent="0.2">
      <c r="A115" s="3" t="s">
        <v>104</v>
      </c>
      <c r="B115" s="3" t="s">
        <v>109</v>
      </c>
      <c r="C115" s="4">
        <v>-80257.42</v>
      </c>
      <c r="D115" s="4">
        <v>-80257.42</v>
      </c>
      <c r="E115" s="4">
        <v>0</v>
      </c>
      <c r="F115" s="3" t="s">
        <v>6</v>
      </c>
    </row>
    <row r="116" spans="1:6" x14ac:dyDescent="0.2">
      <c r="A116" s="3" t="s">
        <v>104</v>
      </c>
      <c r="B116" s="3" t="s">
        <v>110</v>
      </c>
      <c r="C116" s="4">
        <v>11976.55</v>
      </c>
      <c r="D116" s="4">
        <v>11976.55</v>
      </c>
      <c r="E116" s="4">
        <v>0</v>
      </c>
      <c r="F116" s="3" t="s">
        <v>6</v>
      </c>
    </row>
    <row r="117" spans="1:6" x14ac:dyDescent="0.2">
      <c r="A117" s="3" t="s">
        <v>104</v>
      </c>
      <c r="B117" s="3" t="s">
        <v>111</v>
      </c>
      <c r="C117" s="4">
        <v>10624.89</v>
      </c>
      <c r="D117" s="4">
        <v>0</v>
      </c>
      <c r="E117" s="4">
        <v>10624.89</v>
      </c>
      <c r="F117" s="3" t="s">
        <v>2</v>
      </c>
    </row>
    <row r="118" spans="1:6" x14ac:dyDescent="0.2">
      <c r="A118" s="3" t="s">
        <v>104</v>
      </c>
      <c r="B118" s="3" t="s">
        <v>2</v>
      </c>
      <c r="C118" s="4">
        <v>243763.54</v>
      </c>
      <c r="D118" s="4">
        <v>302183.07</v>
      </c>
      <c r="E118" s="4">
        <v>-58419.53</v>
      </c>
      <c r="F118" s="3" t="s">
        <v>761</v>
      </c>
    </row>
    <row r="119" spans="1:6" x14ac:dyDescent="0.2">
      <c r="A119" s="3" t="s">
        <v>112</v>
      </c>
      <c r="B119" s="3" t="s">
        <v>2</v>
      </c>
      <c r="C119" s="4">
        <v>243763.54</v>
      </c>
      <c r="D119" s="4">
        <v>302183.07</v>
      </c>
      <c r="E119" s="4">
        <v>-58419.53</v>
      </c>
      <c r="F119" s="3" t="s">
        <v>761</v>
      </c>
    </row>
    <row r="120" spans="1:6" x14ac:dyDescent="0.2">
      <c r="A120" s="3" t="s">
        <v>0</v>
      </c>
      <c r="B120" s="3" t="s">
        <v>113</v>
      </c>
      <c r="C120" s="4">
        <v>65305864.340000004</v>
      </c>
      <c r="D120" s="4">
        <v>61082056.399999999</v>
      </c>
      <c r="E120" s="4">
        <v>4223807.9400000004</v>
      </c>
      <c r="F120" s="3" t="s">
        <v>710</v>
      </c>
    </row>
    <row r="121" spans="1:6" x14ac:dyDescent="0.2">
      <c r="A121" s="3" t="s">
        <v>0</v>
      </c>
      <c r="B121" s="5" t="s">
        <v>114</v>
      </c>
      <c r="C121" s="4">
        <v>0</v>
      </c>
      <c r="D121" s="4">
        <v>0</v>
      </c>
      <c r="E121" s="4">
        <v>0</v>
      </c>
      <c r="F121" s="3" t="s">
        <v>2</v>
      </c>
    </row>
    <row r="122" spans="1:6" x14ac:dyDescent="0.2">
      <c r="A122" s="3" t="s">
        <v>115</v>
      </c>
      <c r="B122" s="3" t="s">
        <v>116</v>
      </c>
      <c r="C122" s="4">
        <v>0</v>
      </c>
      <c r="D122" s="4">
        <v>0</v>
      </c>
      <c r="E122" s="4">
        <v>0</v>
      </c>
      <c r="F122" s="3" t="s">
        <v>2</v>
      </c>
    </row>
    <row r="123" spans="1:6" x14ac:dyDescent="0.2">
      <c r="A123" s="3" t="s">
        <v>115</v>
      </c>
      <c r="B123" s="5" t="s">
        <v>117</v>
      </c>
      <c r="C123" s="4">
        <v>0</v>
      </c>
      <c r="D123" s="4">
        <v>0</v>
      </c>
      <c r="E123" s="4">
        <v>0</v>
      </c>
      <c r="F123" s="3" t="s">
        <v>2</v>
      </c>
    </row>
    <row r="124" spans="1:6" x14ac:dyDescent="0.2">
      <c r="A124" s="3" t="s">
        <v>118</v>
      </c>
      <c r="B124" s="3" t="s">
        <v>119</v>
      </c>
      <c r="C124" s="4">
        <v>-16687.990000000002</v>
      </c>
      <c r="D124" s="4">
        <v>-35840.94</v>
      </c>
      <c r="E124" s="4">
        <v>19152.95</v>
      </c>
      <c r="F124" s="3" t="s">
        <v>1468</v>
      </c>
    </row>
    <row r="125" spans="1:6" x14ac:dyDescent="0.2">
      <c r="A125" s="3" t="s">
        <v>118</v>
      </c>
      <c r="B125" s="3" t="s">
        <v>120</v>
      </c>
      <c r="C125" s="4">
        <v>346.72</v>
      </c>
      <c r="D125" s="4">
        <v>-15.15</v>
      </c>
      <c r="E125" s="4">
        <v>361.87</v>
      </c>
      <c r="F125" s="3" t="s">
        <v>1469</v>
      </c>
    </row>
    <row r="126" spans="1:6" x14ac:dyDescent="0.2">
      <c r="A126" s="3" t="s">
        <v>118</v>
      </c>
      <c r="B126" s="3" t="s">
        <v>2</v>
      </c>
      <c r="C126" s="4">
        <v>-16341.27</v>
      </c>
      <c r="D126" s="4">
        <v>-35856.089999999997</v>
      </c>
      <c r="E126" s="4">
        <v>19514.82</v>
      </c>
      <c r="F126" s="3" t="s">
        <v>1470</v>
      </c>
    </row>
    <row r="127" spans="1:6" x14ac:dyDescent="0.2">
      <c r="A127" s="3" t="s">
        <v>121</v>
      </c>
      <c r="B127" s="3" t="s">
        <v>2</v>
      </c>
      <c r="C127" s="4">
        <v>-16341.27</v>
      </c>
      <c r="D127" s="4">
        <v>-35856.089999999997</v>
      </c>
      <c r="E127" s="4">
        <v>19514.82</v>
      </c>
      <c r="F127" s="3" t="s">
        <v>1470</v>
      </c>
    </row>
    <row r="128" spans="1:6" x14ac:dyDescent="0.2">
      <c r="A128" s="3" t="s">
        <v>122</v>
      </c>
      <c r="B128" s="3" t="s">
        <v>123</v>
      </c>
      <c r="C128" s="4">
        <v>-337281.53</v>
      </c>
      <c r="D128" s="4">
        <v>-549716.19999999995</v>
      </c>
      <c r="E128" s="4">
        <v>212434.67</v>
      </c>
      <c r="F128" s="3" t="s">
        <v>670</v>
      </c>
    </row>
    <row r="129" spans="1:6" x14ac:dyDescent="0.2">
      <c r="A129" s="3" t="s">
        <v>122</v>
      </c>
      <c r="B129" s="3" t="s">
        <v>124</v>
      </c>
      <c r="C129" s="4">
        <v>6600.16</v>
      </c>
      <c r="D129" s="4">
        <v>560.30999999999995</v>
      </c>
      <c r="E129" s="4">
        <v>6039.85</v>
      </c>
      <c r="F129" s="3" t="s">
        <v>1471</v>
      </c>
    </row>
    <row r="130" spans="1:6" x14ac:dyDescent="0.2">
      <c r="A130" s="3" t="s">
        <v>122</v>
      </c>
      <c r="B130" s="3" t="s">
        <v>126</v>
      </c>
      <c r="C130" s="4">
        <v>6411490.6100000003</v>
      </c>
      <c r="D130" s="4">
        <v>8475409.3399999999</v>
      </c>
      <c r="E130" s="4">
        <v>-2063918.73</v>
      </c>
      <c r="F130" s="3" t="s">
        <v>1472</v>
      </c>
    </row>
    <row r="131" spans="1:6" x14ac:dyDescent="0.2">
      <c r="A131" s="3" t="s">
        <v>122</v>
      </c>
      <c r="B131" s="3" t="s">
        <v>127</v>
      </c>
      <c r="C131" s="4">
        <v>13172.38</v>
      </c>
      <c r="D131" s="4">
        <v>9773.23</v>
      </c>
      <c r="E131" s="4">
        <v>3399.15</v>
      </c>
      <c r="F131" s="3" t="s">
        <v>626</v>
      </c>
    </row>
    <row r="132" spans="1:6" x14ac:dyDescent="0.2">
      <c r="A132" s="3" t="s">
        <v>122</v>
      </c>
      <c r="B132" s="3" t="s">
        <v>128</v>
      </c>
      <c r="C132" s="4">
        <v>65219.26</v>
      </c>
      <c r="D132" s="4">
        <v>106739.7</v>
      </c>
      <c r="E132" s="4">
        <v>-41520.44</v>
      </c>
      <c r="F132" s="3" t="s">
        <v>539</v>
      </c>
    </row>
    <row r="133" spans="1:6" x14ac:dyDescent="0.2">
      <c r="A133" s="3" t="s">
        <v>122</v>
      </c>
      <c r="B133" s="3" t="s">
        <v>129</v>
      </c>
      <c r="C133" s="4">
        <v>-6411490.6100000003</v>
      </c>
      <c r="D133" s="4">
        <v>-8475409.3399999999</v>
      </c>
      <c r="E133" s="4">
        <v>2063918.73</v>
      </c>
      <c r="F133" s="3" t="s">
        <v>1428</v>
      </c>
    </row>
    <row r="134" spans="1:6" x14ac:dyDescent="0.2">
      <c r="A134" s="3" t="s">
        <v>122</v>
      </c>
      <c r="B134" s="3" t="s">
        <v>130</v>
      </c>
      <c r="C134" s="4">
        <v>-13172.38</v>
      </c>
      <c r="D134" s="4">
        <v>-9773.23</v>
      </c>
      <c r="E134" s="4">
        <v>-3399.15</v>
      </c>
      <c r="F134" s="3" t="s">
        <v>1473</v>
      </c>
    </row>
    <row r="135" spans="1:6" x14ac:dyDescent="0.2">
      <c r="A135" s="3" t="s">
        <v>122</v>
      </c>
      <c r="B135" s="3" t="s">
        <v>131</v>
      </c>
      <c r="C135" s="4">
        <v>-65219.26</v>
      </c>
      <c r="D135" s="4">
        <v>-106739.7</v>
      </c>
      <c r="E135" s="4">
        <v>41520.44</v>
      </c>
      <c r="F135" s="3" t="s">
        <v>938</v>
      </c>
    </row>
    <row r="136" spans="1:6" x14ac:dyDescent="0.2">
      <c r="A136" s="3" t="s">
        <v>122</v>
      </c>
      <c r="B136" s="3" t="s">
        <v>132</v>
      </c>
      <c r="C136" s="4">
        <v>22191.23</v>
      </c>
      <c r="D136" s="4">
        <v>2273.65</v>
      </c>
      <c r="E136" s="4">
        <v>19917.580000000002</v>
      </c>
      <c r="F136" s="3" t="s">
        <v>1474</v>
      </c>
    </row>
    <row r="137" spans="1:6" x14ac:dyDescent="0.2">
      <c r="A137" s="3" t="s">
        <v>122</v>
      </c>
      <c r="B137" s="3" t="s">
        <v>133</v>
      </c>
      <c r="C137" s="4">
        <v>-22191.23</v>
      </c>
      <c r="D137" s="4">
        <v>-2273.65</v>
      </c>
      <c r="E137" s="4">
        <v>-19917.580000000002</v>
      </c>
      <c r="F137" s="3" t="s">
        <v>1475</v>
      </c>
    </row>
    <row r="138" spans="1:6" x14ac:dyDescent="0.2">
      <c r="A138" s="3" t="s">
        <v>122</v>
      </c>
      <c r="B138" s="3" t="s">
        <v>134</v>
      </c>
      <c r="C138" s="4">
        <v>-30.46</v>
      </c>
      <c r="D138" s="4">
        <v>-3741.75</v>
      </c>
      <c r="E138" s="4">
        <v>3711.29</v>
      </c>
      <c r="F138" s="3" t="s">
        <v>1476</v>
      </c>
    </row>
    <row r="139" spans="1:6" x14ac:dyDescent="0.2">
      <c r="A139" s="3" t="s">
        <v>122</v>
      </c>
      <c r="B139" s="3" t="s">
        <v>135</v>
      </c>
      <c r="C139" s="4">
        <v>30.46</v>
      </c>
      <c r="D139" s="4">
        <v>3741.75</v>
      </c>
      <c r="E139" s="4">
        <v>-3711.29</v>
      </c>
      <c r="F139" s="3" t="s">
        <v>1477</v>
      </c>
    </row>
    <row r="140" spans="1:6" x14ac:dyDescent="0.2">
      <c r="A140" s="3" t="s">
        <v>122</v>
      </c>
      <c r="B140" s="3" t="s">
        <v>136</v>
      </c>
      <c r="C140" s="4">
        <v>-45332.54</v>
      </c>
      <c r="D140" s="4">
        <v>-23498.36</v>
      </c>
      <c r="E140" s="4">
        <v>-21834.18</v>
      </c>
      <c r="F140" s="3" t="s">
        <v>1478</v>
      </c>
    </row>
    <row r="141" spans="1:6" x14ac:dyDescent="0.2">
      <c r="A141" s="3" t="s">
        <v>122</v>
      </c>
      <c r="B141" s="3" t="s">
        <v>137</v>
      </c>
      <c r="C141" s="4">
        <v>45332.54</v>
      </c>
      <c r="D141" s="4">
        <v>23498.36</v>
      </c>
      <c r="E141" s="4">
        <v>21834.18</v>
      </c>
      <c r="F141" s="3" t="s">
        <v>1479</v>
      </c>
    </row>
    <row r="142" spans="1:6" x14ac:dyDescent="0.2">
      <c r="A142" s="3" t="s">
        <v>122</v>
      </c>
      <c r="B142" s="3" t="s">
        <v>138</v>
      </c>
      <c r="C142" s="4">
        <v>-6818.91</v>
      </c>
      <c r="D142" s="4">
        <v>-15820.68</v>
      </c>
      <c r="E142" s="4">
        <v>9001.77</v>
      </c>
      <c r="F142" s="3" t="s">
        <v>1480</v>
      </c>
    </row>
    <row r="143" spans="1:6" x14ac:dyDescent="0.2">
      <c r="A143" s="3" t="s">
        <v>122</v>
      </c>
      <c r="B143" s="3" t="s">
        <v>139</v>
      </c>
      <c r="C143" s="4">
        <v>6818.91</v>
      </c>
      <c r="D143" s="4">
        <v>15820.68</v>
      </c>
      <c r="E143" s="4">
        <v>-9001.77</v>
      </c>
      <c r="F143" s="3" t="s">
        <v>1404</v>
      </c>
    </row>
    <row r="144" spans="1:6" x14ac:dyDescent="0.2">
      <c r="A144" s="3" t="s">
        <v>122</v>
      </c>
      <c r="B144" s="3" t="s">
        <v>985</v>
      </c>
      <c r="C144" s="4">
        <v>-1827.26</v>
      </c>
      <c r="D144" s="4">
        <v>-2721.21</v>
      </c>
      <c r="E144" s="4">
        <v>893.95</v>
      </c>
      <c r="F144" s="3" t="s">
        <v>815</v>
      </c>
    </row>
    <row r="145" spans="1:6" x14ac:dyDescent="0.2">
      <c r="A145" s="3" t="s">
        <v>122</v>
      </c>
      <c r="B145" s="3" t="s">
        <v>986</v>
      </c>
      <c r="C145" s="4">
        <v>1827.26</v>
      </c>
      <c r="D145" s="4">
        <v>2721.21</v>
      </c>
      <c r="E145" s="4">
        <v>-893.95</v>
      </c>
      <c r="F145" s="3" t="s">
        <v>1481</v>
      </c>
    </row>
    <row r="146" spans="1:6" x14ac:dyDescent="0.2">
      <c r="A146" s="3" t="s">
        <v>122</v>
      </c>
      <c r="B146" s="3" t="s">
        <v>140</v>
      </c>
      <c r="C146" s="4">
        <v>-64132.44</v>
      </c>
      <c r="D146" s="4">
        <v>-30906.75</v>
      </c>
      <c r="E146" s="4">
        <v>-33225.69</v>
      </c>
      <c r="F146" s="3" t="s">
        <v>1482</v>
      </c>
    </row>
    <row r="147" spans="1:6" x14ac:dyDescent="0.2">
      <c r="A147" s="3" t="s">
        <v>122</v>
      </c>
      <c r="B147" s="3" t="s">
        <v>141</v>
      </c>
      <c r="C147" s="4">
        <v>64132.44</v>
      </c>
      <c r="D147" s="4">
        <v>30906.75</v>
      </c>
      <c r="E147" s="4">
        <v>33225.69</v>
      </c>
      <c r="F147" s="3" t="s">
        <v>564</v>
      </c>
    </row>
    <row r="148" spans="1:6" x14ac:dyDescent="0.2">
      <c r="A148" s="3" t="s">
        <v>122</v>
      </c>
      <c r="B148" s="3" t="s">
        <v>142</v>
      </c>
      <c r="C148" s="4">
        <v>-38627.01</v>
      </c>
      <c r="D148" s="4">
        <v>-29356.87</v>
      </c>
      <c r="E148" s="4">
        <v>-9270.14</v>
      </c>
      <c r="F148" s="3" t="s">
        <v>1425</v>
      </c>
    </row>
    <row r="149" spans="1:6" x14ac:dyDescent="0.2">
      <c r="A149" s="3" t="s">
        <v>122</v>
      </c>
      <c r="B149" s="3" t="s">
        <v>143</v>
      </c>
      <c r="C149" s="4">
        <v>38627.01</v>
      </c>
      <c r="D149" s="4">
        <v>29356.87</v>
      </c>
      <c r="E149" s="4">
        <v>9270.14</v>
      </c>
      <c r="F149" s="3" t="s">
        <v>928</v>
      </c>
    </row>
    <row r="150" spans="1:6" x14ac:dyDescent="0.2">
      <c r="A150" s="3" t="s">
        <v>122</v>
      </c>
      <c r="B150" s="3" t="s">
        <v>144</v>
      </c>
      <c r="C150" s="4">
        <v>176731.45</v>
      </c>
      <c r="D150" s="4">
        <v>176731.45</v>
      </c>
      <c r="E150" s="4">
        <v>0</v>
      </c>
      <c r="F150" s="3" t="s">
        <v>6</v>
      </c>
    </row>
    <row r="151" spans="1:6" x14ac:dyDescent="0.2">
      <c r="A151" s="3" t="s">
        <v>122</v>
      </c>
      <c r="B151" s="3" t="s">
        <v>145</v>
      </c>
      <c r="C151" s="4">
        <v>-0.48</v>
      </c>
      <c r="D151" s="4">
        <v>-0.48</v>
      </c>
      <c r="E151" s="4">
        <v>0</v>
      </c>
      <c r="F151" s="3" t="s">
        <v>6</v>
      </c>
    </row>
    <row r="152" spans="1:6" x14ac:dyDescent="0.2">
      <c r="A152" s="3" t="s">
        <v>122</v>
      </c>
      <c r="B152" s="3" t="s">
        <v>146</v>
      </c>
      <c r="C152" s="4">
        <v>0.48</v>
      </c>
      <c r="D152" s="4">
        <v>0.48</v>
      </c>
      <c r="E152" s="4">
        <v>0</v>
      </c>
      <c r="F152" s="3" t="s">
        <v>6</v>
      </c>
    </row>
    <row r="153" spans="1:6" x14ac:dyDescent="0.2">
      <c r="A153" s="3" t="s">
        <v>122</v>
      </c>
      <c r="B153" s="3" t="s">
        <v>147</v>
      </c>
      <c r="C153" s="4">
        <v>-2869113.8</v>
      </c>
      <c r="D153" s="4">
        <v>-2883905.53</v>
      </c>
      <c r="E153" s="4">
        <v>14791.73</v>
      </c>
      <c r="F153" s="3" t="s">
        <v>497</v>
      </c>
    </row>
    <row r="154" spans="1:6" x14ac:dyDescent="0.2">
      <c r="A154" s="3" t="s">
        <v>122</v>
      </c>
      <c r="B154" s="3" t="s">
        <v>2</v>
      </c>
      <c r="C154" s="4">
        <v>-3023063.72</v>
      </c>
      <c r="D154" s="4">
        <v>-3256329.97</v>
      </c>
      <c r="E154" s="4">
        <v>233266.25</v>
      </c>
      <c r="F154" s="3" t="s">
        <v>663</v>
      </c>
    </row>
    <row r="155" spans="1:6" x14ac:dyDescent="0.2">
      <c r="A155" s="3" t="s">
        <v>148</v>
      </c>
      <c r="B155" s="3" t="s">
        <v>2</v>
      </c>
      <c r="C155" s="4">
        <v>-3023063.72</v>
      </c>
      <c r="D155" s="4">
        <v>-3256329.97</v>
      </c>
      <c r="E155" s="4">
        <v>233266.25</v>
      </c>
      <c r="F155" s="3" t="s">
        <v>663</v>
      </c>
    </row>
    <row r="156" spans="1:6" x14ac:dyDescent="0.2">
      <c r="A156" s="3" t="s">
        <v>149</v>
      </c>
      <c r="B156" s="3" t="s">
        <v>150</v>
      </c>
      <c r="C156" s="4">
        <v>108.76</v>
      </c>
      <c r="D156" s="4">
        <v>108.76</v>
      </c>
      <c r="E156" s="4">
        <v>0</v>
      </c>
      <c r="F156" s="3" t="s">
        <v>6</v>
      </c>
    </row>
    <row r="157" spans="1:6" x14ac:dyDescent="0.2">
      <c r="A157" s="3" t="s">
        <v>149</v>
      </c>
      <c r="B157" s="3" t="s">
        <v>151</v>
      </c>
      <c r="C157" s="4">
        <v>-20.14</v>
      </c>
      <c r="D157" s="4">
        <v>0.54</v>
      </c>
      <c r="E157" s="4">
        <v>-20.68</v>
      </c>
      <c r="F157" s="3" t="s">
        <v>1483</v>
      </c>
    </row>
    <row r="158" spans="1:6" x14ac:dyDescent="0.2">
      <c r="A158" s="3" t="s">
        <v>149</v>
      </c>
      <c r="B158" s="3" t="s">
        <v>152</v>
      </c>
      <c r="C158" s="4">
        <v>4855.91</v>
      </c>
      <c r="D158" s="4">
        <v>4855.91</v>
      </c>
      <c r="E158" s="4">
        <v>0</v>
      </c>
      <c r="F158" s="3" t="s">
        <v>6</v>
      </c>
    </row>
    <row r="159" spans="1:6" x14ac:dyDescent="0.2">
      <c r="A159" s="3" t="s">
        <v>149</v>
      </c>
      <c r="B159" s="3" t="s">
        <v>153</v>
      </c>
      <c r="C159" s="4">
        <v>-248.8</v>
      </c>
      <c r="D159" s="4">
        <v>-248.8</v>
      </c>
      <c r="E159" s="4">
        <v>0</v>
      </c>
      <c r="F159" s="3" t="s">
        <v>6</v>
      </c>
    </row>
    <row r="160" spans="1:6" x14ac:dyDescent="0.2">
      <c r="A160" s="3" t="s">
        <v>149</v>
      </c>
      <c r="B160" s="3" t="s">
        <v>154</v>
      </c>
      <c r="C160" s="4">
        <v>-3627.46</v>
      </c>
      <c r="D160" s="4">
        <v>-3624.32</v>
      </c>
      <c r="E160" s="4">
        <v>-3.14</v>
      </c>
      <c r="F160" s="3" t="s">
        <v>625</v>
      </c>
    </row>
    <row r="161" spans="1:6" x14ac:dyDescent="0.2">
      <c r="A161" s="3" t="s">
        <v>149</v>
      </c>
      <c r="B161" s="3" t="s">
        <v>2</v>
      </c>
      <c r="C161" s="4">
        <v>1068.27</v>
      </c>
      <c r="D161" s="4">
        <v>1092.0899999999999</v>
      </c>
      <c r="E161" s="4">
        <v>-23.82</v>
      </c>
      <c r="F161" s="3" t="s">
        <v>506</v>
      </c>
    </row>
    <row r="162" spans="1:6" x14ac:dyDescent="0.2">
      <c r="A162" s="3" t="s">
        <v>155</v>
      </c>
      <c r="B162" s="3" t="s">
        <v>2</v>
      </c>
      <c r="C162" s="4">
        <v>1068.27</v>
      </c>
      <c r="D162" s="4">
        <v>1092.0899999999999</v>
      </c>
      <c r="E162" s="4">
        <v>-23.82</v>
      </c>
      <c r="F162" s="3" t="s">
        <v>506</v>
      </c>
    </row>
    <row r="163" spans="1:6" x14ac:dyDescent="0.2">
      <c r="A163" s="3" t="s">
        <v>156</v>
      </c>
      <c r="B163" s="3" t="s">
        <v>157</v>
      </c>
      <c r="C163" s="4">
        <v>-17057.75</v>
      </c>
      <c r="D163" s="4">
        <v>-8607.81</v>
      </c>
      <c r="E163" s="4">
        <v>-8449.94</v>
      </c>
      <c r="F163" s="3" t="s">
        <v>1224</v>
      </c>
    </row>
    <row r="164" spans="1:6" x14ac:dyDescent="0.2">
      <c r="A164" s="3" t="s">
        <v>156</v>
      </c>
      <c r="B164" s="3" t="s">
        <v>158</v>
      </c>
      <c r="C164" s="4">
        <v>1168.55</v>
      </c>
      <c r="D164" s="4">
        <v>1168.55</v>
      </c>
      <c r="E164" s="4">
        <v>0</v>
      </c>
      <c r="F164" s="3" t="s">
        <v>6</v>
      </c>
    </row>
    <row r="165" spans="1:6" x14ac:dyDescent="0.2">
      <c r="A165" s="3" t="s">
        <v>156</v>
      </c>
      <c r="B165" s="3" t="s">
        <v>159</v>
      </c>
      <c r="C165" s="4">
        <v>-45587.32</v>
      </c>
      <c r="D165" s="4">
        <v>-34962.43</v>
      </c>
      <c r="E165" s="4">
        <v>-10624.89</v>
      </c>
      <c r="F165" s="3" t="s">
        <v>1484</v>
      </c>
    </row>
    <row r="166" spans="1:6" x14ac:dyDescent="0.2">
      <c r="A166" s="3" t="s">
        <v>156</v>
      </c>
      <c r="B166" s="3" t="s">
        <v>160</v>
      </c>
      <c r="C166" s="4">
        <v>-556.95000000000005</v>
      </c>
      <c r="D166" s="4">
        <v>-556.95000000000005</v>
      </c>
      <c r="E166" s="4">
        <v>0</v>
      </c>
      <c r="F166" s="3" t="s">
        <v>6</v>
      </c>
    </row>
    <row r="167" spans="1:6" x14ac:dyDescent="0.2">
      <c r="A167" s="3" t="s">
        <v>156</v>
      </c>
      <c r="B167" s="3" t="s">
        <v>161</v>
      </c>
      <c r="C167" s="4">
        <v>7495.37</v>
      </c>
      <c r="D167" s="4">
        <v>3446.57</v>
      </c>
      <c r="E167" s="4">
        <v>4048.8</v>
      </c>
      <c r="F167" s="3" t="s">
        <v>1485</v>
      </c>
    </row>
    <row r="168" spans="1:6" x14ac:dyDescent="0.2">
      <c r="A168" s="3" t="s">
        <v>156</v>
      </c>
      <c r="B168" s="3" t="s">
        <v>2</v>
      </c>
      <c r="C168" s="4">
        <v>-54538.1</v>
      </c>
      <c r="D168" s="4">
        <v>-39512.07</v>
      </c>
      <c r="E168" s="4">
        <v>-15026.03</v>
      </c>
      <c r="F168" s="3" t="s">
        <v>940</v>
      </c>
    </row>
    <row r="169" spans="1:6" x14ac:dyDescent="0.2">
      <c r="A169" s="3" t="s">
        <v>162</v>
      </c>
      <c r="B169" s="3" t="s">
        <v>163</v>
      </c>
      <c r="C169" s="4">
        <v>-68234.289999999994</v>
      </c>
      <c r="D169" s="4">
        <v>-68234.289999999994</v>
      </c>
      <c r="E169" s="4">
        <v>0</v>
      </c>
      <c r="F169" s="3" t="s">
        <v>6</v>
      </c>
    </row>
    <row r="170" spans="1:6" x14ac:dyDescent="0.2">
      <c r="A170" s="3" t="s">
        <v>162</v>
      </c>
      <c r="B170" s="3" t="s">
        <v>164</v>
      </c>
      <c r="C170" s="4">
        <v>-308449.25</v>
      </c>
      <c r="D170" s="4">
        <v>-315574.65999999997</v>
      </c>
      <c r="E170" s="4">
        <v>7125.41</v>
      </c>
      <c r="F170" s="3" t="s">
        <v>479</v>
      </c>
    </row>
    <row r="171" spans="1:6" x14ac:dyDescent="0.2">
      <c r="A171" s="3" t="s">
        <v>162</v>
      </c>
      <c r="B171" s="3" t="s">
        <v>165</v>
      </c>
      <c r="C171" s="4">
        <v>-274850.36</v>
      </c>
      <c r="D171" s="4">
        <v>-275172.98</v>
      </c>
      <c r="E171" s="4">
        <v>322.62</v>
      </c>
      <c r="F171" s="3" t="s">
        <v>471</v>
      </c>
    </row>
    <row r="172" spans="1:6" x14ac:dyDescent="0.2">
      <c r="A172" s="3" t="s">
        <v>162</v>
      </c>
      <c r="B172" s="3" t="s">
        <v>166</v>
      </c>
      <c r="C172" s="4">
        <v>-33805.47</v>
      </c>
      <c r="D172" s="4">
        <v>-23516.18</v>
      </c>
      <c r="E172" s="4">
        <v>-10289.290000000001</v>
      </c>
      <c r="F172" s="3" t="s">
        <v>892</v>
      </c>
    </row>
    <row r="173" spans="1:6" x14ac:dyDescent="0.2">
      <c r="A173" s="3" t="s">
        <v>162</v>
      </c>
      <c r="B173" s="3" t="s">
        <v>167</v>
      </c>
      <c r="C173" s="4">
        <v>-517830.45</v>
      </c>
      <c r="D173" s="4">
        <v>-529670.75</v>
      </c>
      <c r="E173" s="4">
        <v>11840.3</v>
      </c>
      <c r="F173" s="3" t="s">
        <v>530</v>
      </c>
    </row>
    <row r="174" spans="1:6" x14ac:dyDescent="0.2">
      <c r="A174" s="3" t="s">
        <v>162</v>
      </c>
      <c r="B174" s="3" t="s">
        <v>168</v>
      </c>
      <c r="C174" s="4">
        <v>-50762.15</v>
      </c>
      <c r="D174" s="4">
        <v>-52019.53</v>
      </c>
      <c r="E174" s="4">
        <v>1257.3800000000001</v>
      </c>
      <c r="F174" s="3" t="s">
        <v>817</v>
      </c>
    </row>
    <row r="175" spans="1:6" x14ac:dyDescent="0.2">
      <c r="A175" s="3" t="s">
        <v>162</v>
      </c>
      <c r="B175" s="3" t="s">
        <v>169</v>
      </c>
      <c r="C175" s="4">
        <v>-444.37</v>
      </c>
      <c r="D175" s="4">
        <v>-455.48</v>
      </c>
      <c r="E175" s="4">
        <v>11.11</v>
      </c>
      <c r="F175" s="3" t="s">
        <v>817</v>
      </c>
    </row>
    <row r="176" spans="1:6" x14ac:dyDescent="0.2">
      <c r="A176" s="3" t="s">
        <v>162</v>
      </c>
      <c r="B176" s="3" t="s">
        <v>170</v>
      </c>
      <c r="C176" s="4">
        <v>-291916.68</v>
      </c>
      <c r="D176" s="4">
        <v>-298703.96999999997</v>
      </c>
      <c r="E176" s="4">
        <v>6787.29</v>
      </c>
      <c r="F176" s="3" t="s">
        <v>479</v>
      </c>
    </row>
    <row r="177" spans="1:6" x14ac:dyDescent="0.2">
      <c r="A177" s="3" t="s">
        <v>162</v>
      </c>
      <c r="B177" s="3" t="s">
        <v>171</v>
      </c>
      <c r="C177" s="4">
        <v>-245047.67</v>
      </c>
      <c r="D177" s="4">
        <v>-250721.29</v>
      </c>
      <c r="E177" s="4">
        <v>5673.62</v>
      </c>
      <c r="F177" s="3" t="s">
        <v>479</v>
      </c>
    </row>
    <row r="178" spans="1:6" x14ac:dyDescent="0.2">
      <c r="A178" s="3" t="s">
        <v>162</v>
      </c>
      <c r="B178" s="3" t="s">
        <v>2</v>
      </c>
      <c r="C178" s="4">
        <v>-1791340.69</v>
      </c>
      <c r="D178" s="4">
        <v>-1814069.13</v>
      </c>
      <c r="E178" s="4">
        <v>22728.44</v>
      </c>
      <c r="F178" s="3" t="s">
        <v>816</v>
      </c>
    </row>
    <row r="179" spans="1:6" x14ac:dyDescent="0.2">
      <c r="A179" s="3" t="s">
        <v>172</v>
      </c>
      <c r="B179" s="3" t="s">
        <v>173</v>
      </c>
      <c r="C179" s="4">
        <v>-717.15</v>
      </c>
      <c r="D179" s="4">
        <v>-823.97</v>
      </c>
      <c r="E179" s="4">
        <v>106.82</v>
      </c>
      <c r="F179" s="3" t="s">
        <v>822</v>
      </c>
    </row>
    <row r="180" spans="1:6" x14ac:dyDescent="0.2">
      <c r="A180" s="3" t="s">
        <v>172</v>
      </c>
      <c r="B180" s="3" t="s">
        <v>2</v>
      </c>
      <c r="C180" s="4">
        <v>-717.15</v>
      </c>
      <c r="D180" s="4">
        <v>-823.97</v>
      </c>
      <c r="E180" s="4">
        <v>106.82</v>
      </c>
      <c r="F180" s="3" t="s">
        <v>822</v>
      </c>
    </row>
    <row r="181" spans="1:6" x14ac:dyDescent="0.2">
      <c r="A181" s="3" t="s">
        <v>174</v>
      </c>
      <c r="B181" s="3" t="s">
        <v>175</v>
      </c>
      <c r="C181" s="4">
        <v>5319.59</v>
      </c>
      <c r="D181" s="4">
        <v>4055.11</v>
      </c>
      <c r="E181" s="4">
        <v>1264.48</v>
      </c>
      <c r="F181" s="3" t="s">
        <v>762</v>
      </c>
    </row>
    <row r="182" spans="1:6" x14ac:dyDescent="0.2">
      <c r="A182" s="3" t="s">
        <v>174</v>
      </c>
      <c r="B182" s="3" t="s">
        <v>176</v>
      </c>
      <c r="C182" s="4">
        <v>-638302.49</v>
      </c>
      <c r="D182" s="4">
        <v>-649918.11</v>
      </c>
      <c r="E182" s="4">
        <v>11615.62</v>
      </c>
      <c r="F182" s="3" t="s">
        <v>520</v>
      </c>
    </row>
    <row r="183" spans="1:6" x14ac:dyDescent="0.2">
      <c r="A183" s="3" t="s">
        <v>174</v>
      </c>
      <c r="B183" s="3" t="s">
        <v>177</v>
      </c>
      <c r="C183" s="4">
        <v>-62426.45</v>
      </c>
      <c r="D183" s="4">
        <v>-62517.47</v>
      </c>
      <c r="E183" s="4">
        <v>91.02</v>
      </c>
      <c r="F183" s="3" t="s">
        <v>471</v>
      </c>
    </row>
    <row r="184" spans="1:6" x14ac:dyDescent="0.2">
      <c r="A184" s="3" t="s">
        <v>174</v>
      </c>
      <c r="B184" s="3" t="s">
        <v>2</v>
      </c>
      <c r="C184" s="4">
        <v>-695409.35</v>
      </c>
      <c r="D184" s="4">
        <v>-708380.47</v>
      </c>
      <c r="E184" s="4">
        <v>12971.12</v>
      </c>
      <c r="F184" s="3" t="s">
        <v>520</v>
      </c>
    </row>
    <row r="185" spans="1:6" x14ac:dyDescent="0.2">
      <c r="A185" s="3" t="s">
        <v>178</v>
      </c>
      <c r="B185" s="3" t="s">
        <v>179</v>
      </c>
      <c r="C185" s="4">
        <v>-193817.82</v>
      </c>
      <c r="D185" s="4">
        <v>-407437.97</v>
      </c>
      <c r="E185" s="4">
        <v>213620.15</v>
      </c>
      <c r="F185" s="3" t="s">
        <v>587</v>
      </c>
    </row>
    <row r="186" spans="1:6" x14ac:dyDescent="0.2">
      <c r="A186" s="3" t="s">
        <v>178</v>
      </c>
      <c r="B186" s="3" t="s">
        <v>180</v>
      </c>
      <c r="C186" s="4">
        <v>-50347.14</v>
      </c>
      <c r="D186" s="4">
        <v>-40728.68</v>
      </c>
      <c r="E186" s="4">
        <v>-9618.4599999999991</v>
      </c>
      <c r="F186" s="3" t="s">
        <v>1432</v>
      </c>
    </row>
    <row r="187" spans="1:6" x14ac:dyDescent="0.2">
      <c r="A187" s="3" t="s">
        <v>178</v>
      </c>
      <c r="B187" s="3" t="s">
        <v>181</v>
      </c>
      <c r="C187" s="4">
        <v>-64819.1</v>
      </c>
      <c r="D187" s="4">
        <v>-62100.42</v>
      </c>
      <c r="E187" s="4">
        <v>-2718.68</v>
      </c>
      <c r="F187" s="3" t="s">
        <v>933</v>
      </c>
    </row>
    <row r="188" spans="1:6" x14ac:dyDescent="0.2">
      <c r="A188" s="3" t="s">
        <v>178</v>
      </c>
      <c r="B188" s="3" t="s">
        <v>182</v>
      </c>
      <c r="C188" s="4">
        <v>-22778.11</v>
      </c>
      <c r="D188" s="4">
        <v>-10532.27</v>
      </c>
      <c r="E188" s="4">
        <v>-12245.84</v>
      </c>
      <c r="F188" s="3" t="s">
        <v>1486</v>
      </c>
    </row>
    <row r="189" spans="1:6" x14ac:dyDescent="0.2">
      <c r="A189" s="3" t="s">
        <v>178</v>
      </c>
      <c r="B189" s="3" t="s">
        <v>183</v>
      </c>
      <c r="C189" s="4">
        <v>-145.35</v>
      </c>
      <c r="D189" s="4">
        <v>0</v>
      </c>
      <c r="E189" s="4">
        <v>-145.35</v>
      </c>
      <c r="F189" s="3" t="s">
        <v>2</v>
      </c>
    </row>
    <row r="190" spans="1:6" x14ac:dyDescent="0.2">
      <c r="A190" s="3" t="s">
        <v>178</v>
      </c>
      <c r="B190" s="3" t="s">
        <v>184</v>
      </c>
      <c r="C190" s="4">
        <v>-2130.6799999999998</v>
      </c>
      <c r="D190" s="4">
        <v>-1002</v>
      </c>
      <c r="E190" s="4">
        <v>-1128.68</v>
      </c>
      <c r="F190" s="3" t="s">
        <v>1487</v>
      </c>
    </row>
    <row r="191" spans="1:6" x14ac:dyDescent="0.2">
      <c r="A191" s="3" t="s">
        <v>178</v>
      </c>
      <c r="B191" s="3" t="s">
        <v>185</v>
      </c>
      <c r="C191" s="4">
        <v>-31988.53</v>
      </c>
      <c r="D191" s="4">
        <v>-21871.68</v>
      </c>
      <c r="E191" s="4">
        <v>-10116.85</v>
      </c>
      <c r="F191" s="3" t="s">
        <v>540</v>
      </c>
    </row>
    <row r="192" spans="1:6" x14ac:dyDescent="0.2">
      <c r="A192" s="3" t="s">
        <v>178</v>
      </c>
      <c r="B192" s="3" t="s">
        <v>186</v>
      </c>
      <c r="C192" s="4">
        <v>-200</v>
      </c>
      <c r="D192" s="4">
        <v>-200</v>
      </c>
      <c r="E192" s="4">
        <v>0</v>
      </c>
      <c r="F192" s="3" t="s">
        <v>6</v>
      </c>
    </row>
    <row r="193" spans="1:6" x14ac:dyDescent="0.2">
      <c r="A193" s="3" t="s">
        <v>178</v>
      </c>
      <c r="B193" s="3" t="s">
        <v>187</v>
      </c>
      <c r="C193" s="4">
        <v>282.58</v>
      </c>
      <c r="D193" s="4">
        <v>374.73</v>
      </c>
      <c r="E193" s="4">
        <v>-92.15</v>
      </c>
      <c r="F193" s="3" t="s">
        <v>1201</v>
      </c>
    </row>
    <row r="194" spans="1:6" x14ac:dyDescent="0.2">
      <c r="A194" s="3" t="s">
        <v>178</v>
      </c>
      <c r="B194" s="3" t="s">
        <v>188</v>
      </c>
      <c r="C194" s="4">
        <v>-1949.75</v>
      </c>
      <c r="D194" s="4">
        <v>-1949.75</v>
      </c>
      <c r="E194" s="4">
        <v>0</v>
      </c>
      <c r="F194" s="3" t="s">
        <v>6</v>
      </c>
    </row>
    <row r="195" spans="1:6" x14ac:dyDescent="0.2">
      <c r="A195" s="3" t="s">
        <v>178</v>
      </c>
      <c r="B195" s="3" t="s">
        <v>189</v>
      </c>
      <c r="C195" s="4">
        <v>135.4</v>
      </c>
      <c r="D195" s="4">
        <v>240.88</v>
      </c>
      <c r="E195" s="4">
        <v>-105.48</v>
      </c>
      <c r="F195" s="3" t="s">
        <v>892</v>
      </c>
    </row>
    <row r="196" spans="1:6" x14ac:dyDescent="0.2">
      <c r="A196" s="3" t="s">
        <v>178</v>
      </c>
      <c r="B196" s="3" t="s">
        <v>190</v>
      </c>
      <c r="C196" s="4">
        <v>721.71</v>
      </c>
      <c r="D196" s="4">
        <v>634.38</v>
      </c>
      <c r="E196" s="4">
        <v>87.33</v>
      </c>
      <c r="F196" s="3" t="s">
        <v>677</v>
      </c>
    </row>
    <row r="197" spans="1:6" x14ac:dyDescent="0.2">
      <c r="A197" s="3" t="s">
        <v>178</v>
      </c>
      <c r="B197" s="3" t="s">
        <v>191</v>
      </c>
      <c r="C197" s="4">
        <v>-28.4</v>
      </c>
      <c r="D197" s="4">
        <v>0</v>
      </c>
      <c r="E197" s="4">
        <v>-28.4</v>
      </c>
      <c r="F197" s="3" t="s">
        <v>2</v>
      </c>
    </row>
    <row r="198" spans="1:6" x14ac:dyDescent="0.2">
      <c r="A198" s="3" t="s">
        <v>178</v>
      </c>
      <c r="B198" s="3" t="s">
        <v>192</v>
      </c>
      <c r="C198" s="4">
        <v>16507.419999999998</v>
      </c>
      <c r="D198" s="4">
        <v>9043.6200000000008</v>
      </c>
      <c r="E198" s="4">
        <v>7463.8</v>
      </c>
      <c r="F198" s="3" t="s">
        <v>1424</v>
      </c>
    </row>
    <row r="199" spans="1:6" x14ac:dyDescent="0.2">
      <c r="A199" s="3" t="s">
        <v>178</v>
      </c>
      <c r="B199" s="3" t="s">
        <v>193</v>
      </c>
      <c r="C199" s="4">
        <v>532.41</v>
      </c>
      <c r="D199" s="4">
        <v>709.55</v>
      </c>
      <c r="E199" s="4">
        <v>-177.14</v>
      </c>
      <c r="F199" s="3" t="s">
        <v>1488</v>
      </c>
    </row>
    <row r="200" spans="1:6" x14ac:dyDescent="0.2">
      <c r="A200" s="3" t="s">
        <v>178</v>
      </c>
      <c r="B200" s="3" t="s">
        <v>194</v>
      </c>
      <c r="C200" s="4">
        <v>-23879.94</v>
      </c>
      <c r="D200" s="4">
        <v>-23828.74</v>
      </c>
      <c r="E200" s="4">
        <v>-51.2</v>
      </c>
      <c r="F200" s="3" t="s">
        <v>498</v>
      </c>
    </row>
    <row r="201" spans="1:6" x14ac:dyDescent="0.2">
      <c r="A201" s="3" t="s">
        <v>178</v>
      </c>
      <c r="B201" s="3" t="s">
        <v>195</v>
      </c>
      <c r="C201" s="4">
        <v>-36341.440000000002</v>
      </c>
      <c r="D201" s="4">
        <v>-37250.11</v>
      </c>
      <c r="E201" s="4">
        <v>908.67</v>
      </c>
      <c r="F201" s="3" t="s">
        <v>817</v>
      </c>
    </row>
    <row r="202" spans="1:6" x14ac:dyDescent="0.2">
      <c r="A202" s="3" t="s">
        <v>178</v>
      </c>
      <c r="B202" s="3" t="s">
        <v>196</v>
      </c>
      <c r="C202" s="4">
        <v>-21600.1</v>
      </c>
      <c r="D202" s="4">
        <v>-24427.61</v>
      </c>
      <c r="E202" s="4">
        <v>2827.51</v>
      </c>
      <c r="F202" s="3" t="s">
        <v>898</v>
      </c>
    </row>
    <row r="203" spans="1:6" x14ac:dyDescent="0.2">
      <c r="A203" s="3" t="s">
        <v>178</v>
      </c>
      <c r="B203" s="3" t="s">
        <v>2</v>
      </c>
      <c r="C203" s="4">
        <v>-431846.84</v>
      </c>
      <c r="D203" s="4">
        <v>-620326.06999999995</v>
      </c>
      <c r="E203" s="4">
        <v>188479.23</v>
      </c>
      <c r="F203" s="3" t="s">
        <v>871</v>
      </c>
    </row>
    <row r="204" spans="1:6" x14ac:dyDescent="0.2">
      <c r="A204" s="3" t="s">
        <v>197</v>
      </c>
      <c r="B204" s="3" t="s">
        <v>2</v>
      </c>
      <c r="C204" s="4">
        <v>-2973852.13</v>
      </c>
      <c r="D204" s="4">
        <v>-3183111.71</v>
      </c>
      <c r="E204" s="4">
        <v>209259.58</v>
      </c>
      <c r="F204" s="3" t="s">
        <v>720</v>
      </c>
    </row>
    <row r="205" spans="1:6" x14ac:dyDescent="0.2">
      <c r="A205" s="3" t="s">
        <v>198</v>
      </c>
      <c r="B205" s="3" t="s">
        <v>199</v>
      </c>
      <c r="C205" s="4">
        <v>632833.36</v>
      </c>
      <c r="D205" s="4">
        <v>605592.44999999995</v>
      </c>
      <c r="E205" s="4">
        <v>27240.91</v>
      </c>
      <c r="F205" s="3" t="s">
        <v>783</v>
      </c>
    </row>
    <row r="206" spans="1:6" x14ac:dyDescent="0.2">
      <c r="A206" s="3" t="s">
        <v>198</v>
      </c>
      <c r="B206" s="3" t="s">
        <v>2</v>
      </c>
      <c r="C206" s="4">
        <v>632833.36</v>
      </c>
      <c r="D206" s="4">
        <v>605592.44999999995</v>
      </c>
      <c r="E206" s="4">
        <v>27240.91</v>
      </c>
      <c r="F206" s="3" t="s">
        <v>783</v>
      </c>
    </row>
    <row r="207" spans="1:6" x14ac:dyDescent="0.2">
      <c r="A207" s="3" t="s">
        <v>200</v>
      </c>
      <c r="B207" s="3" t="s">
        <v>201</v>
      </c>
      <c r="C207" s="4">
        <v>-5252.67</v>
      </c>
      <c r="D207" s="4">
        <v>-5252.67</v>
      </c>
      <c r="E207" s="4">
        <v>0</v>
      </c>
      <c r="F207" s="3" t="s">
        <v>6</v>
      </c>
    </row>
    <row r="208" spans="1:6" x14ac:dyDescent="0.2">
      <c r="A208" s="3" t="s">
        <v>200</v>
      </c>
      <c r="B208" s="3" t="s">
        <v>202</v>
      </c>
      <c r="C208" s="4">
        <v>-8772.99</v>
      </c>
      <c r="D208" s="4">
        <v>0</v>
      </c>
      <c r="E208" s="4">
        <v>-8772.99</v>
      </c>
      <c r="F208" s="3" t="s">
        <v>2</v>
      </c>
    </row>
    <row r="209" spans="1:6" x14ac:dyDescent="0.2">
      <c r="A209" s="3" t="s">
        <v>200</v>
      </c>
      <c r="B209" s="3" t="s">
        <v>203</v>
      </c>
      <c r="C209" s="4">
        <v>-10671.57</v>
      </c>
      <c r="D209" s="4">
        <v>-10671.57</v>
      </c>
      <c r="E209" s="4">
        <v>0</v>
      </c>
      <c r="F209" s="3" t="s">
        <v>6</v>
      </c>
    </row>
    <row r="210" spans="1:6" x14ac:dyDescent="0.2">
      <c r="A210" s="3" t="s">
        <v>200</v>
      </c>
      <c r="B210" s="3" t="s">
        <v>204</v>
      </c>
      <c r="C210" s="4">
        <v>-20871.29</v>
      </c>
      <c r="D210" s="4">
        <v>-20871.29</v>
      </c>
      <c r="E210" s="4">
        <v>0</v>
      </c>
      <c r="F210" s="3" t="s">
        <v>6</v>
      </c>
    </row>
    <row r="211" spans="1:6" x14ac:dyDescent="0.2">
      <c r="A211" s="3" t="s">
        <v>200</v>
      </c>
      <c r="B211" s="3" t="s">
        <v>205</v>
      </c>
      <c r="C211" s="4">
        <v>-5.01</v>
      </c>
      <c r="D211" s="4">
        <v>-5.01</v>
      </c>
      <c r="E211" s="4">
        <v>0</v>
      </c>
      <c r="F211" s="3" t="s">
        <v>6</v>
      </c>
    </row>
    <row r="212" spans="1:6" x14ac:dyDescent="0.2">
      <c r="A212" s="3" t="s">
        <v>200</v>
      </c>
      <c r="B212" s="3" t="s">
        <v>206</v>
      </c>
      <c r="C212" s="4">
        <v>0</v>
      </c>
      <c r="D212" s="4">
        <v>-25054.41</v>
      </c>
      <c r="E212" s="4">
        <v>25054.41</v>
      </c>
      <c r="F212" s="3" t="s">
        <v>531</v>
      </c>
    </row>
    <row r="213" spans="1:6" x14ac:dyDescent="0.2">
      <c r="A213" s="3" t="s">
        <v>200</v>
      </c>
      <c r="B213" s="3" t="s">
        <v>207</v>
      </c>
      <c r="C213" s="4">
        <v>0</v>
      </c>
      <c r="D213" s="4">
        <v>39.26</v>
      </c>
      <c r="E213" s="4">
        <v>-39.26</v>
      </c>
      <c r="F213" s="3" t="s">
        <v>475</v>
      </c>
    </row>
    <row r="214" spans="1:6" x14ac:dyDescent="0.2">
      <c r="A214" s="3" t="s">
        <v>200</v>
      </c>
      <c r="B214" s="3" t="s">
        <v>208</v>
      </c>
      <c r="C214" s="4">
        <v>-61497.45</v>
      </c>
      <c r="D214" s="4">
        <v>0</v>
      </c>
      <c r="E214" s="4">
        <v>-61497.45</v>
      </c>
      <c r="F214" s="3" t="s">
        <v>2</v>
      </c>
    </row>
    <row r="215" spans="1:6" x14ac:dyDescent="0.2">
      <c r="A215" s="3" t="s">
        <v>200</v>
      </c>
      <c r="B215" s="3" t="s">
        <v>209</v>
      </c>
      <c r="C215" s="4">
        <v>-0.03</v>
      </c>
      <c r="D215" s="4">
        <v>-0.03</v>
      </c>
      <c r="E215" s="4">
        <v>0</v>
      </c>
      <c r="F215" s="3" t="s">
        <v>6</v>
      </c>
    </row>
    <row r="216" spans="1:6" x14ac:dyDescent="0.2">
      <c r="A216" s="3" t="s">
        <v>200</v>
      </c>
      <c r="B216" s="3" t="s">
        <v>2</v>
      </c>
      <c r="C216" s="4">
        <v>-107071.01</v>
      </c>
      <c r="D216" s="4">
        <v>-61815.72</v>
      </c>
      <c r="E216" s="4">
        <v>-45255.29</v>
      </c>
      <c r="F216" s="3" t="s">
        <v>1489</v>
      </c>
    </row>
    <row r="217" spans="1:6" x14ac:dyDescent="0.2">
      <c r="A217" s="3" t="s">
        <v>210</v>
      </c>
      <c r="B217" s="3" t="s">
        <v>2</v>
      </c>
      <c r="C217" s="4">
        <v>525762.35</v>
      </c>
      <c r="D217" s="4">
        <v>543776.73</v>
      </c>
      <c r="E217" s="4">
        <v>-18014.38</v>
      </c>
      <c r="F217" s="3" t="s">
        <v>601</v>
      </c>
    </row>
    <row r="218" spans="1:6" x14ac:dyDescent="0.2">
      <c r="A218" s="3" t="s">
        <v>211</v>
      </c>
      <c r="B218" s="3" t="s">
        <v>212</v>
      </c>
      <c r="C218" s="4">
        <v>-285455.59999999998</v>
      </c>
      <c r="D218" s="4">
        <v>-348659.8</v>
      </c>
      <c r="E218" s="4">
        <v>63204.2</v>
      </c>
      <c r="F218" s="3" t="s">
        <v>788</v>
      </c>
    </row>
    <row r="219" spans="1:6" x14ac:dyDescent="0.2">
      <c r="A219" s="3" t="s">
        <v>211</v>
      </c>
      <c r="B219" s="3" t="s">
        <v>213</v>
      </c>
      <c r="C219" s="4">
        <v>-114429.08</v>
      </c>
      <c r="D219" s="4">
        <v>-116819.44</v>
      </c>
      <c r="E219" s="4">
        <v>2390.36</v>
      </c>
      <c r="F219" s="3" t="s">
        <v>662</v>
      </c>
    </row>
    <row r="220" spans="1:6" x14ac:dyDescent="0.2">
      <c r="A220" s="3" t="s">
        <v>211</v>
      </c>
      <c r="B220" s="3" t="s">
        <v>214</v>
      </c>
      <c r="C220" s="4">
        <v>-69756.800000000003</v>
      </c>
      <c r="D220" s="4">
        <v>-71997.45</v>
      </c>
      <c r="E220" s="4">
        <v>2240.65</v>
      </c>
      <c r="F220" s="3" t="s">
        <v>644</v>
      </c>
    </row>
    <row r="221" spans="1:6" x14ac:dyDescent="0.2">
      <c r="A221" s="3" t="s">
        <v>211</v>
      </c>
      <c r="B221" s="3" t="s">
        <v>215</v>
      </c>
      <c r="C221" s="4">
        <v>-81661.3</v>
      </c>
      <c r="D221" s="4">
        <v>-81661.3</v>
      </c>
      <c r="E221" s="4">
        <v>0</v>
      </c>
      <c r="F221" s="3" t="s">
        <v>6</v>
      </c>
    </row>
    <row r="222" spans="1:6" x14ac:dyDescent="0.2">
      <c r="A222" s="3" t="s">
        <v>211</v>
      </c>
      <c r="B222" s="3" t="s">
        <v>216</v>
      </c>
      <c r="C222" s="4">
        <v>-19345.599999999999</v>
      </c>
      <c r="D222" s="4">
        <v>-27413.96</v>
      </c>
      <c r="E222" s="4">
        <v>8068.36</v>
      </c>
      <c r="F222" s="3" t="s">
        <v>915</v>
      </c>
    </row>
    <row r="223" spans="1:6" x14ac:dyDescent="0.2">
      <c r="A223" s="3" t="s">
        <v>211</v>
      </c>
      <c r="B223" s="3" t="s">
        <v>217</v>
      </c>
      <c r="C223" s="4">
        <v>-225733.67</v>
      </c>
      <c r="D223" s="4">
        <v>-228540.69</v>
      </c>
      <c r="E223" s="4">
        <v>2807.02</v>
      </c>
      <c r="F223" s="3" t="s">
        <v>507</v>
      </c>
    </row>
    <row r="224" spans="1:6" x14ac:dyDescent="0.2">
      <c r="A224" s="3" t="s">
        <v>211</v>
      </c>
      <c r="B224" s="3" t="s">
        <v>2</v>
      </c>
      <c r="C224" s="4">
        <v>-796382.05</v>
      </c>
      <c r="D224" s="4">
        <v>-875092.64</v>
      </c>
      <c r="E224" s="4">
        <v>78710.59</v>
      </c>
      <c r="F224" s="3" t="s">
        <v>1429</v>
      </c>
    </row>
    <row r="225" spans="1:6" x14ac:dyDescent="0.2">
      <c r="A225" s="3" t="s">
        <v>218</v>
      </c>
      <c r="B225" s="3" t="s">
        <v>2</v>
      </c>
      <c r="C225" s="4">
        <v>-796382.05</v>
      </c>
      <c r="D225" s="4">
        <v>-875092.64</v>
      </c>
      <c r="E225" s="4">
        <v>78710.59</v>
      </c>
      <c r="F225" s="3" t="s">
        <v>1429</v>
      </c>
    </row>
    <row r="226" spans="1:6" x14ac:dyDescent="0.2">
      <c r="A226" s="3" t="s">
        <v>219</v>
      </c>
      <c r="B226" s="3" t="s">
        <v>220</v>
      </c>
      <c r="C226" s="4">
        <v>120.57</v>
      </c>
      <c r="D226" s="4">
        <v>120.57</v>
      </c>
      <c r="E226" s="4">
        <v>0</v>
      </c>
      <c r="F226" s="3" t="s">
        <v>6</v>
      </c>
    </row>
    <row r="227" spans="1:6" x14ac:dyDescent="0.2">
      <c r="A227" s="3" t="s">
        <v>219</v>
      </c>
      <c r="B227" s="3" t="s">
        <v>221</v>
      </c>
      <c r="C227" s="4">
        <v>596.78</v>
      </c>
      <c r="D227" s="4">
        <v>596.78</v>
      </c>
      <c r="E227" s="4">
        <v>0</v>
      </c>
      <c r="F227" s="3" t="s">
        <v>6</v>
      </c>
    </row>
    <row r="228" spans="1:6" x14ac:dyDescent="0.2">
      <c r="A228" s="3" t="s">
        <v>219</v>
      </c>
      <c r="B228" s="3" t="s">
        <v>222</v>
      </c>
      <c r="C228" s="4">
        <v>42695382.200000003</v>
      </c>
      <c r="D228" s="4">
        <v>44611538.149999999</v>
      </c>
      <c r="E228" s="4">
        <v>-1916155.95</v>
      </c>
      <c r="F228" s="3" t="s">
        <v>934</v>
      </c>
    </row>
    <row r="229" spans="1:6" x14ac:dyDescent="0.2">
      <c r="A229" s="3" t="s">
        <v>219</v>
      </c>
      <c r="B229" s="3" t="s">
        <v>2</v>
      </c>
      <c r="C229" s="4">
        <v>42696099.549999997</v>
      </c>
      <c r="D229" s="4">
        <v>44612255.5</v>
      </c>
      <c r="E229" s="4">
        <v>-1916155.95</v>
      </c>
      <c r="F229" s="3" t="s">
        <v>934</v>
      </c>
    </row>
    <row r="230" spans="1:6" x14ac:dyDescent="0.2">
      <c r="A230" s="3" t="s">
        <v>223</v>
      </c>
      <c r="B230" s="3" t="s">
        <v>2</v>
      </c>
      <c r="C230" s="4">
        <v>42696099.549999997</v>
      </c>
      <c r="D230" s="4">
        <v>44612255.5</v>
      </c>
      <c r="E230" s="4">
        <v>-1916155.95</v>
      </c>
      <c r="F230" s="3" t="s">
        <v>934</v>
      </c>
    </row>
    <row r="231" spans="1:6" x14ac:dyDescent="0.2">
      <c r="A231" s="3" t="s">
        <v>224</v>
      </c>
      <c r="B231" s="3" t="s">
        <v>2</v>
      </c>
      <c r="C231" s="4">
        <v>36413291</v>
      </c>
      <c r="D231" s="4">
        <v>37806733.909999996</v>
      </c>
      <c r="E231" s="4">
        <v>-1393442.91</v>
      </c>
      <c r="F231" s="3" t="s">
        <v>629</v>
      </c>
    </row>
    <row r="232" spans="1:6" x14ac:dyDescent="0.2">
      <c r="A232" s="3" t="s">
        <v>225</v>
      </c>
      <c r="B232" s="3" t="s">
        <v>226</v>
      </c>
      <c r="C232" s="4">
        <v>-85746371.450000003</v>
      </c>
      <c r="D232" s="4">
        <v>-85746371.450000003</v>
      </c>
      <c r="E232" s="4">
        <v>0</v>
      </c>
      <c r="F232" s="3" t="s">
        <v>6</v>
      </c>
    </row>
    <row r="233" spans="1:6" x14ac:dyDescent="0.2">
      <c r="A233" s="3" t="s">
        <v>225</v>
      </c>
      <c r="B233" s="3" t="s">
        <v>2</v>
      </c>
      <c r="C233" s="4">
        <v>-85746371.450000003</v>
      </c>
      <c r="D233" s="4">
        <v>-85746371.450000003</v>
      </c>
      <c r="E233" s="4">
        <v>0</v>
      </c>
      <c r="F233" s="3" t="s">
        <v>6</v>
      </c>
    </row>
    <row r="234" spans="1:6" x14ac:dyDescent="0.2">
      <c r="A234" s="3" t="s">
        <v>227</v>
      </c>
      <c r="B234" s="3" t="s">
        <v>2</v>
      </c>
      <c r="C234" s="4">
        <v>-85746371.450000003</v>
      </c>
      <c r="D234" s="4">
        <v>-85746371.450000003</v>
      </c>
      <c r="E234" s="4">
        <v>0</v>
      </c>
      <c r="F234" s="3" t="s">
        <v>6</v>
      </c>
    </row>
    <row r="235" spans="1:6" x14ac:dyDescent="0.2">
      <c r="A235" s="3" t="s">
        <v>228</v>
      </c>
      <c r="B235" s="3" t="s">
        <v>2</v>
      </c>
      <c r="C235" s="4">
        <v>-85746371.450000003</v>
      </c>
      <c r="D235" s="4">
        <v>-85746371.450000003</v>
      </c>
      <c r="E235" s="4">
        <v>0</v>
      </c>
      <c r="F235" s="3" t="s">
        <v>6</v>
      </c>
    </row>
    <row r="236" spans="1:6" x14ac:dyDescent="0.2">
      <c r="A236" s="3" t="s">
        <v>229</v>
      </c>
      <c r="B236" s="3" t="s">
        <v>230</v>
      </c>
      <c r="C236" s="4">
        <v>0</v>
      </c>
      <c r="D236" s="4">
        <v>0</v>
      </c>
      <c r="E236" s="4">
        <v>0</v>
      </c>
      <c r="F236" s="3" t="s">
        <v>2</v>
      </c>
    </row>
    <row r="237" spans="1:6" x14ac:dyDescent="0.2">
      <c r="A237" s="3" t="s">
        <v>229</v>
      </c>
      <c r="B237" s="5" t="s">
        <v>231</v>
      </c>
      <c r="C237" s="4">
        <v>0</v>
      </c>
      <c r="D237" s="4">
        <v>0</v>
      </c>
      <c r="E237" s="4">
        <v>0</v>
      </c>
      <c r="F237" s="3" t="s">
        <v>2</v>
      </c>
    </row>
    <row r="238" spans="1:6" x14ac:dyDescent="0.2">
      <c r="A238" s="3" t="s">
        <v>232</v>
      </c>
      <c r="B238" s="3" t="s">
        <v>2</v>
      </c>
      <c r="C238" s="4">
        <v>-15972783.890000001</v>
      </c>
      <c r="D238" s="4">
        <v>-13142418.859999999</v>
      </c>
      <c r="E238" s="4">
        <v>-2830365.03</v>
      </c>
      <c r="F238" s="3" t="s">
        <v>744</v>
      </c>
    </row>
    <row r="239" spans="1:6" x14ac:dyDescent="0.2">
      <c r="A239" s="3" t="s">
        <v>229</v>
      </c>
      <c r="B239" s="3" t="s">
        <v>233</v>
      </c>
      <c r="C239" s="4">
        <v>-15972783.890000001</v>
      </c>
      <c r="D239" s="4">
        <v>-13142418.859999999</v>
      </c>
      <c r="E239" s="4">
        <v>-2830365.03</v>
      </c>
      <c r="F239" s="3" t="s">
        <v>744</v>
      </c>
    </row>
    <row r="240" spans="1:6" x14ac:dyDescent="0.2">
      <c r="A240" s="3" t="s">
        <v>229</v>
      </c>
      <c r="B240" s="5" t="s">
        <v>234</v>
      </c>
      <c r="C240" s="4">
        <v>0</v>
      </c>
      <c r="D240" s="4">
        <v>0</v>
      </c>
      <c r="E240" s="4">
        <v>0</v>
      </c>
      <c r="F240" s="3" t="s">
        <v>2</v>
      </c>
    </row>
    <row r="241" spans="1:6" x14ac:dyDescent="0.2">
      <c r="A241" s="3" t="s">
        <v>115</v>
      </c>
      <c r="B241" s="3" t="s">
        <v>235</v>
      </c>
      <c r="C241" s="4">
        <v>-65305864.340000004</v>
      </c>
      <c r="D241" s="4">
        <v>-61082056.399999999</v>
      </c>
      <c r="E241" s="4">
        <v>-4223807.9400000004</v>
      </c>
      <c r="F241" s="3" t="s">
        <v>1000</v>
      </c>
    </row>
    <row r="242" spans="1:6" x14ac:dyDescent="0.2">
      <c r="A242" s="3" t="s">
        <v>115</v>
      </c>
      <c r="B242" s="5" t="s">
        <v>236</v>
      </c>
      <c r="C242" s="4">
        <v>0</v>
      </c>
      <c r="D242" s="4">
        <v>0</v>
      </c>
      <c r="E242" s="4">
        <v>0</v>
      </c>
      <c r="F242" s="3" t="s">
        <v>2</v>
      </c>
    </row>
    <row r="243" spans="1:6" x14ac:dyDescent="0.2">
      <c r="A243" s="3" t="s">
        <v>237</v>
      </c>
      <c r="B243" s="3" t="s">
        <v>238</v>
      </c>
      <c r="C243" s="4">
        <v>0</v>
      </c>
      <c r="D243" s="4">
        <v>0</v>
      </c>
      <c r="E243" s="4">
        <v>0</v>
      </c>
      <c r="F243" s="3" t="s">
        <v>2</v>
      </c>
    </row>
    <row r="244" spans="1:6" x14ac:dyDescent="0.2">
      <c r="A244" s="3" t="s">
        <v>237</v>
      </c>
      <c r="B244" s="5" t="s">
        <v>239</v>
      </c>
      <c r="C244" s="4">
        <v>0</v>
      </c>
      <c r="D244" s="4">
        <v>0</v>
      </c>
      <c r="E244" s="4">
        <v>0</v>
      </c>
      <c r="F244" s="3" t="s">
        <v>2</v>
      </c>
    </row>
    <row r="245" spans="1:6" x14ac:dyDescent="0.2">
      <c r="A245" s="3" t="s">
        <v>240</v>
      </c>
      <c r="B245" s="3" t="s">
        <v>241</v>
      </c>
      <c r="C245" s="4">
        <v>-3125325.22</v>
      </c>
      <c r="D245" s="4">
        <v>-1275526.67</v>
      </c>
      <c r="E245" s="4">
        <v>-1849798.55</v>
      </c>
      <c r="F245" s="3" t="s">
        <v>1490</v>
      </c>
    </row>
    <row r="246" spans="1:6" x14ac:dyDescent="0.2">
      <c r="A246" s="3" t="s">
        <v>240</v>
      </c>
      <c r="B246" s="3" t="s">
        <v>824</v>
      </c>
      <c r="C246" s="4">
        <v>3837.96</v>
      </c>
      <c r="D246" s="4">
        <v>3837.96</v>
      </c>
      <c r="E246" s="4">
        <v>0</v>
      </c>
      <c r="F246" s="3" t="s">
        <v>6</v>
      </c>
    </row>
    <row r="247" spans="1:6" x14ac:dyDescent="0.2">
      <c r="A247" s="3" t="s">
        <v>240</v>
      </c>
      <c r="B247" s="3" t="s">
        <v>242</v>
      </c>
      <c r="C247" s="4">
        <v>-41269.47</v>
      </c>
      <c r="D247" s="4">
        <v>-21410.81</v>
      </c>
      <c r="E247" s="4">
        <v>-19858.66</v>
      </c>
      <c r="F247" s="3" t="s">
        <v>1491</v>
      </c>
    </row>
    <row r="248" spans="1:6" s="18" customFormat="1" x14ac:dyDescent="0.2">
      <c r="A248" s="18" t="s">
        <v>240</v>
      </c>
      <c r="B248" s="18" t="s">
        <v>1492</v>
      </c>
      <c r="C248" s="4">
        <v>-61497.45</v>
      </c>
      <c r="D248" s="4">
        <v>0</v>
      </c>
      <c r="E248" s="19">
        <v>-61497.45</v>
      </c>
      <c r="F248" s="18" t="s">
        <v>2</v>
      </c>
    </row>
    <row r="249" spans="1:6" s="18" customFormat="1" x14ac:dyDescent="0.2">
      <c r="A249" s="18" t="s">
        <v>240</v>
      </c>
      <c r="B249" s="18" t="s">
        <v>243</v>
      </c>
      <c r="C249" s="4">
        <v>61497.45</v>
      </c>
      <c r="D249" s="4">
        <v>0</v>
      </c>
      <c r="E249" s="19">
        <v>61497.45</v>
      </c>
      <c r="F249" s="18" t="s">
        <v>2</v>
      </c>
    </row>
    <row r="250" spans="1:6" s="18" customFormat="1" x14ac:dyDescent="0.2">
      <c r="A250" s="18" t="s">
        <v>240</v>
      </c>
      <c r="B250" s="18" t="s">
        <v>1493</v>
      </c>
      <c r="C250" s="4">
        <v>-986368.35</v>
      </c>
      <c r="D250" s="4">
        <v>0</v>
      </c>
      <c r="E250" s="19">
        <v>-986368.35</v>
      </c>
      <c r="F250" s="18" t="s">
        <v>2</v>
      </c>
    </row>
    <row r="251" spans="1:6" s="18" customFormat="1" x14ac:dyDescent="0.2">
      <c r="A251" s="18" t="s">
        <v>240</v>
      </c>
      <c r="B251" s="18" t="s">
        <v>1494</v>
      </c>
      <c r="C251" s="4">
        <v>995141.34</v>
      </c>
      <c r="D251" s="4">
        <v>0</v>
      </c>
      <c r="E251" s="19">
        <v>995141.34</v>
      </c>
      <c r="F251" s="18" t="s">
        <v>2</v>
      </c>
    </row>
    <row r="252" spans="1:6" x14ac:dyDescent="0.2">
      <c r="A252" s="3" t="s">
        <v>240</v>
      </c>
      <c r="B252" s="3" t="s">
        <v>2</v>
      </c>
      <c r="C252" s="4">
        <v>-3153983.74</v>
      </c>
      <c r="D252" s="4">
        <v>-1293099.52</v>
      </c>
      <c r="E252" s="4">
        <v>-1860884.22</v>
      </c>
      <c r="F252" s="3" t="s">
        <v>1495</v>
      </c>
    </row>
    <row r="253" spans="1:6" x14ac:dyDescent="0.2">
      <c r="A253" s="3" t="s">
        <v>244</v>
      </c>
      <c r="B253" s="3" t="s">
        <v>245</v>
      </c>
      <c r="C253" s="4">
        <v>-49056988.219999999</v>
      </c>
      <c r="D253" s="4">
        <v>-40275557.109999999</v>
      </c>
      <c r="E253" s="4">
        <v>-8781431.1099999994</v>
      </c>
      <c r="F253" s="3" t="s">
        <v>1496</v>
      </c>
    </row>
    <row r="254" spans="1:6" x14ac:dyDescent="0.2">
      <c r="A254" s="3" t="s">
        <v>244</v>
      </c>
      <c r="B254" s="3" t="s">
        <v>536</v>
      </c>
      <c r="C254" s="4">
        <v>-936458.26</v>
      </c>
      <c r="D254" s="4">
        <v>-936458.26</v>
      </c>
      <c r="E254" s="4">
        <v>0</v>
      </c>
      <c r="F254" s="3" t="s">
        <v>6</v>
      </c>
    </row>
    <row r="255" spans="1:6" x14ac:dyDescent="0.2">
      <c r="A255" s="3" t="s">
        <v>244</v>
      </c>
      <c r="B255" s="3" t="s">
        <v>537</v>
      </c>
      <c r="C255" s="4">
        <v>57230.52</v>
      </c>
      <c r="D255" s="4">
        <v>57230.52</v>
      </c>
      <c r="E255" s="4">
        <v>0</v>
      </c>
      <c r="F255" s="3" t="s">
        <v>6</v>
      </c>
    </row>
    <row r="256" spans="1:6" x14ac:dyDescent="0.2">
      <c r="A256" s="3" t="s">
        <v>244</v>
      </c>
      <c r="B256" s="3" t="s">
        <v>246</v>
      </c>
      <c r="C256" s="4">
        <v>-751571.15</v>
      </c>
      <c r="D256" s="4">
        <v>-687961.32</v>
      </c>
      <c r="E256" s="4">
        <v>-63609.83</v>
      </c>
      <c r="F256" s="3" t="s">
        <v>754</v>
      </c>
    </row>
    <row r="257" spans="1:6" x14ac:dyDescent="0.2">
      <c r="A257" s="3" t="s">
        <v>244</v>
      </c>
      <c r="B257" s="3" t="s">
        <v>247</v>
      </c>
      <c r="C257" s="4">
        <v>-297.7</v>
      </c>
      <c r="D257" s="4">
        <v>-244.34</v>
      </c>
      <c r="E257" s="4">
        <v>-53.36</v>
      </c>
      <c r="F257" s="3" t="s">
        <v>1496</v>
      </c>
    </row>
    <row r="258" spans="1:6" x14ac:dyDescent="0.2">
      <c r="A258" s="3" t="s">
        <v>244</v>
      </c>
      <c r="B258" s="3" t="s">
        <v>949</v>
      </c>
      <c r="C258" s="4">
        <v>-316188.95</v>
      </c>
      <c r="D258" s="4">
        <v>-292659.53999999998</v>
      </c>
      <c r="E258" s="4">
        <v>-23529.41</v>
      </c>
      <c r="F258" s="3" t="s">
        <v>1442</v>
      </c>
    </row>
    <row r="259" spans="1:6" x14ac:dyDescent="0.2">
      <c r="A259" s="3" t="s">
        <v>244</v>
      </c>
      <c r="B259" s="3" t="s">
        <v>248</v>
      </c>
      <c r="C259" s="4">
        <v>-498333.73</v>
      </c>
      <c r="D259" s="4">
        <v>-453761.79</v>
      </c>
      <c r="E259" s="4">
        <v>-44571.94</v>
      </c>
      <c r="F259" s="3" t="s">
        <v>1463</v>
      </c>
    </row>
    <row r="260" spans="1:6" x14ac:dyDescent="0.2">
      <c r="A260" s="3" t="s">
        <v>244</v>
      </c>
      <c r="B260" s="3" t="s">
        <v>249</v>
      </c>
      <c r="C260" s="4">
        <v>-916711.56</v>
      </c>
      <c r="D260" s="4">
        <v>-729321.94</v>
      </c>
      <c r="E260" s="4">
        <v>-187389.62</v>
      </c>
      <c r="F260" s="3" t="s">
        <v>747</v>
      </c>
    </row>
    <row r="261" spans="1:6" x14ac:dyDescent="0.2">
      <c r="A261" s="3" t="s">
        <v>244</v>
      </c>
      <c r="B261" s="3" t="s">
        <v>250</v>
      </c>
      <c r="C261" s="4">
        <v>-50969.91</v>
      </c>
      <c r="D261" s="4">
        <v>-25468.53</v>
      </c>
      <c r="E261" s="4">
        <v>-25501.38</v>
      </c>
      <c r="F261" s="3" t="s">
        <v>1497</v>
      </c>
    </row>
    <row r="262" spans="1:6" x14ac:dyDescent="0.2">
      <c r="A262" s="3" t="s">
        <v>244</v>
      </c>
      <c r="B262" s="3" t="s">
        <v>251</v>
      </c>
      <c r="C262" s="4">
        <v>134304.41</v>
      </c>
      <c r="D262" s="4">
        <v>111244.9</v>
      </c>
      <c r="E262" s="4">
        <v>23059.51</v>
      </c>
      <c r="F262" s="3" t="s">
        <v>919</v>
      </c>
    </row>
    <row r="263" spans="1:6" x14ac:dyDescent="0.2">
      <c r="A263" s="3" t="s">
        <v>244</v>
      </c>
      <c r="B263" s="3" t="s">
        <v>252</v>
      </c>
      <c r="C263" s="4">
        <v>-37428.800000000003</v>
      </c>
      <c r="D263" s="4">
        <v>-32440.38</v>
      </c>
      <c r="E263" s="4">
        <v>-4988.42</v>
      </c>
      <c r="F263" s="3" t="s">
        <v>818</v>
      </c>
    </row>
    <row r="264" spans="1:6" x14ac:dyDescent="0.2">
      <c r="A264" s="3" t="s">
        <v>244</v>
      </c>
      <c r="B264" s="3" t="s">
        <v>2</v>
      </c>
      <c r="C264" s="4">
        <v>-52373413.350000001</v>
      </c>
      <c r="D264" s="4">
        <v>-43265397.789999999</v>
      </c>
      <c r="E264" s="4">
        <v>-9108015.5600000005</v>
      </c>
      <c r="F264" s="3" t="s">
        <v>1498</v>
      </c>
    </row>
    <row r="265" spans="1:6" x14ac:dyDescent="0.2">
      <c r="A265" s="3" t="s">
        <v>253</v>
      </c>
      <c r="B265" s="3" t="s">
        <v>254</v>
      </c>
      <c r="C265" s="4">
        <v>384935.26</v>
      </c>
      <c r="D265" s="4">
        <v>327831.34000000003</v>
      </c>
      <c r="E265" s="4">
        <v>57103.92</v>
      </c>
      <c r="F265" s="3" t="s">
        <v>902</v>
      </c>
    </row>
    <row r="266" spans="1:6" x14ac:dyDescent="0.2">
      <c r="A266" s="3" t="s">
        <v>253</v>
      </c>
      <c r="B266" s="3" t="s">
        <v>255</v>
      </c>
      <c r="C266" s="4">
        <v>-235881.16</v>
      </c>
      <c r="D266" s="4">
        <v>-202431.95</v>
      </c>
      <c r="E266" s="4">
        <v>-33449.21</v>
      </c>
      <c r="F266" s="3" t="s">
        <v>472</v>
      </c>
    </row>
    <row r="267" spans="1:6" x14ac:dyDescent="0.2">
      <c r="A267" s="3" t="s">
        <v>253</v>
      </c>
      <c r="B267" s="3" t="s">
        <v>256</v>
      </c>
      <c r="C267" s="4">
        <v>-203324.08</v>
      </c>
      <c r="D267" s="4">
        <v>-125457.11</v>
      </c>
      <c r="E267" s="4">
        <v>-77866.97</v>
      </c>
      <c r="F267" s="3" t="s">
        <v>1499</v>
      </c>
    </row>
    <row r="268" spans="1:6" x14ac:dyDescent="0.2">
      <c r="A268" s="3" t="s">
        <v>253</v>
      </c>
      <c r="B268" s="3" t="s">
        <v>257</v>
      </c>
      <c r="C268" s="4">
        <v>-2931597.11</v>
      </c>
      <c r="D268" s="4">
        <v>-2546884.06</v>
      </c>
      <c r="E268" s="4">
        <v>-384713.05</v>
      </c>
      <c r="F268" s="3" t="s">
        <v>1500</v>
      </c>
    </row>
    <row r="269" spans="1:6" x14ac:dyDescent="0.2">
      <c r="A269" s="3" t="s">
        <v>253</v>
      </c>
      <c r="B269" s="3" t="s">
        <v>258</v>
      </c>
      <c r="C269" s="4">
        <v>80770.880000000005</v>
      </c>
      <c r="D269" s="4">
        <v>27468.09</v>
      </c>
      <c r="E269" s="4">
        <v>53302.79</v>
      </c>
      <c r="F269" s="3" t="s">
        <v>1501</v>
      </c>
    </row>
    <row r="270" spans="1:6" x14ac:dyDescent="0.2">
      <c r="A270" s="3" t="s">
        <v>253</v>
      </c>
      <c r="B270" s="3" t="s">
        <v>259</v>
      </c>
      <c r="C270" s="4">
        <v>-1083.6400000000001</v>
      </c>
      <c r="D270" s="4">
        <v>-842.39</v>
      </c>
      <c r="E270" s="4">
        <v>-241.25</v>
      </c>
      <c r="F270" s="3" t="s">
        <v>607</v>
      </c>
    </row>
    <row r="271" spans="1:6" x14ac:dyDescent="0.2">
      <c r="A271" s="3" t="s">
        <v>253</v>
      </c>
      <c r="B271" s="3" t="s">
        <v>1227</v>
      </c>
      <c r="C271" s="4">
        <v>-142.18</v>
      </c>
      <c r="D271" s="4">
        <v>-142.18</v>
      </c>
      <c r="E271" s="4">
        <v>0</v>
      </c>
      <c r="F271" s="3" t="s">
        <v>6</v>
      </c>
    </row>
    <row r="272" spans="1:6" x14ac:dyDescent="0.2">
      <c r="A272" s="3" t="s">
        <v>253</v>
      </c>
      <c r="B272" s="3" t="s">
        <v>989</v>
      </c>
      <c r="C272" s="4">
        <v>5.01</v>
      </c>
      <c r="D272" s="4">
        <v>5.01</v>
      </c>
      <c r="E272" s="4">
        <v>0</v>
      </c>
      <c r="F272" s="3" t="s">
        <v>6</v>
      </c>
    </row>
    <row r="273" spans="1:6" x14ac:dyDescent="0.2">
      <c r="A273" s="3" t="s">
        <v>253</v>
      </c>
      <c r="B273" s="3" t="s">
        <v>2</v>
      </c>
      <c r="C273" s="4">
        <v>-2906317.02</v>
      </c>
      <c r="D273" s="4">
        <v>-2520453.25</v>
      </c>
      <c r="E273" s="4">
        <v>-385863.77</v>
      </c>
      <c r="F273" s="3" t="s">
        <v>518</v>
      </c>
    </row>
    <row r="274" spans="1:6" x14ac:dyDescent="0.2">
      <c r="A274" s="3" t="s">
        <v>260</v>
      </c>
      <c r="B274" s="3" t="s">
        <v>261</v>
      </c>
      <c r="C274" s="4">
        <v>-5922245.29</v>
      </c>
      <c r="D274" s="4">
        <v>-5177477.01</v>
      </c>
      <c r="E274" s="4">
        <v>-744768.28</v>
      </c>
      <c r="F274" s="3" t="s">
        <v>732</v>
      </c>
    </row>
    <row r="275" spans="1:6" x14ac:dyDescent="0.2">
      <c r="A275" s="3" t="s">
        <v>260</v>
      </c>
      <c r="B275" s="3" t="s">
        <v>2</v>
      </c>
      <c r="C275" s="4">
        <v>-5922245.29</v>
      </c>
      <c r="D275" s="4">
        <v>-5177477.01</v>
      </c>
      <c r="E275" s="4">
        <v>-744768.28</v>
      </c>
      <c r="F275" s="3" t="s">
        <v>732</v>
      </c>
    </row>
    <row r="276" spans="1:6" x14ac:dyDescent="0.2">
      <c r="A276" s="3" t="s">
        <v>263</v>
      </c>
      <c r="B276" s="3" t="s">
        <v>264</v>
      </c>
      <c r="C276" s="4">
        <v>-632833.36</v>
      </c>
      <c r="D276" s="4">
        <v>-605592.44999999995</v>
      </c>
      <c r="E276" s="4">
        <v>-27240.91</v>
      </c>
      <c r="F276" s="3" t="s">
        <v>729</v>
      </c>
    </row>
    <row r="277" spans="1:6" x14ac:dyDescent="0.2">
      <c r="A277" s="3" t="s">
        <v>263</v>
      </c>
      <c r="B277" s="3" t="s">
        <v>2</v>
      </c>
      <c r="C277" s="4">
        <v>-632833.36</v>
      </c>
      <c r="D277" s="4">
        <v>-605592.44999999995</v>
      </c>
      <c r="E277" s="4">
        <v>-27240.91</v>
      </c>
      <c r="F277" s="3" t="s">
        <v>729</v>
      </c>
    </row>
    <row r="278" spans="1:6" x14ac:dyDescent="0.2">
      <c r="A278" s="3" t="s">
        <v>265</v>
      </c>
      <c r="B278" s="3" t="s">
        <v>2</v>
      </c>
      <c r="C278" s="4">
        <v>-64988792.759999998</v>
      </c>
      <c r="D278" s="4">
        <v>-52862020.020000003</v>
      </c>
      <c r="E278" s="4">
        <v>-12126772.74</v>
      </c>
      <c r="F278" s="3" t="s">
        <v>745</v>
      </c>
    </row>
    <row r="279" spans="1:6" x14ac:dyDescent="0.2">
      <c r="A279" s="3" t="s">
        <v>266</v>
      </c>
      <c r="B279" s="3" t="s">
        <v>267</v>
      </c>
      <c r="C279" s="4">
        <v>2368320.73</v>
      </c>
      <c r="D279" s="4">
        <v>1016548.84</v>
      </c>
      <c r="E279" s="4">
        <v>1351771.89</v>
      </c>
      <c r="F279" s="3" t="s">
        <v>1502</v>
      </c>
    </row>
    <row r="280" spans="1:6" x14ac:dyDescent="0.2">
      <c r="A280" s="3" t="s">
        <v>266</v>
      </c>
      <c r="B280" s="3" t="s">
        <v>268</v>
      </c>
      <c r="C280" s="4">
        <v>34269.68</v>
      </c>
      <c r="D280" s="4">
        <v>20484.939999999999</v>
      </c>
      <c r="E280" s="4">
        <v>13784.74</v>
      </c>
      <c r="F280" s="3" t="s">
        <v>1503</v>
      </c>
    </row>
    <row r="281" spans="1:6" x14ac:dyDescent="0.2">
      <c r="A281" s="3" t="s">
        <v>266</v>
      </c>
      <c r="B281" s="3" t="s">
        <v>542</v>
      </c>
      <c r="C281" s="4">
        <v>70.900000000000006</v>
      </c>
      <c r="D281" s="4">
        <v>70.900000000000006</v>
      </c>
      <c r="E281" s="4">
        <v>0</v>
      </c>
      <c r="F281" s="3" t="s">
        <v>6</v>
      </c>
    </row>
    <row r="282" spans="1:6" x14ac:dyDescent="0.2">
      <c r="A282" s="3" t="s">
        <v>266</v>
      </c>
      <c r="B282" s="3" t="s">
        <v>270</v>
      </c>
      <c r="C282" s="4">
        <v>132619</v>
      </c>
      <c r="D282" s="4">
        <v>58803</v>
      </c>
      <c r="E282" s="4">
        <v>73816</v>
      </c>
      <c r="F282" s="3" t="s">
        <v>1504</v>
      </c>
    </row>
    <row r="283" spans="1:6" x14ac:dyDescent="0.2">
      <c r="A283" s="3" t="s">
        <v>266</v>
      </c>
      <c r="B283" s="3" t="s">
        <v>271</v>
      </c>
      <c r="C283" s="4">
        <v>10923.75</v>
      </c>
      <c r="D283" s="4">
        <v>1259.51</v>
      </c>
      <c r="E283" s="4">
        <v>9664.24</v>
      </c>
      <c r="F283" s="3" t="s">
        <v>1505</v>
      </c>
    </row>
    <row r="284" spans="1:6" x14ac:dyDescent="0.2">
      <c r="A284" s="3" t="s">
        <v>266</v>
      </c>
      <c r="B284" s="3" t="s">
        <v>272</v>
      </c>
      <c r="C284" s="4">
        <v>102487.55</v>
      </c>
      <c r="D284" s="4">
        <v>3744.15</v>
      </c>
      <c r="E284" s="4">
        <v>98743.4</v>
      </c>
      <c r="F284" s="3" t="s">
        <v>1506</v>
      </c>
    </row>
    <row r="285" spans="1:6" x14ac:dyDescent="0.2">
      <c r="A285" s="3" t="s">
        <v>266</v>
      </c>
      <c r="B285" s="3" t="s">
        <v>273</v>
      </c>
      <c r="C285" s="4">
        <v>275.66000000000003</v>
      </c>
      <c r="D285" s="4">
        <v>160.72</v>
      </c>
      <c r="E285" s="4">
        <v>114.94</v>
      </c>
      <c r="F285" s="3" t="s">
        <v>1507</v>
      </c>
    </row>
    <row r="286" spans="1:6" x14ac:dyDescent="0.2">
      <c r="A286" s="3" t="s">
        <v>266</v>
      </c>
      <c r="B286" s="3" t="s">
        <v>274</v>
      </c>
      <c r="C286" s="4">
        <v>3050.48</v>
      </c>
      <c r="D286" s="4">
        <v>1232.82</v>
      </c>
      <c r="E286" s="4">
        <v>1817.66</v>
      </c>
      <c r="F286" s="3" t="s">
        <v>1508</v>
      </c>
    </row>
    <row r="287" spans="1:6" x14ac:dyDescent="0.2">
      <c r="A287" s="3" t="s">
        <v>266</v>
      </c>
      <c r="B287" s="3" t="s">
        <v>641</v>
      </c>
      <c r="C287" s="4">
        <v>833.94</v>
      </c>
      <c r="D287" s="4">
        <v>706.62</v>
      </c>
      <c r="E287" s="4">
        <v>127.32</v>
      </c>
      <c r="F287" s="3" t="s">
        <v>918</v>
      </c>
    </row>
    <row r="288" spans="1:6" x14ac:dyDescent="0.2">
      <c r="A288" s="3" t="s">
        <v>266</v>
      </c>
      <c r="B288" s="3" t="s">
        <v>275</v>
      </c>
      <c r="C288" s="4">
        <v>14896.57</v>
      </c>
      <c r="D288" s="4">
        <v>5856.48</v>
      </c>
      <c r="E288" s="4">
        <v>9040.09</v>
      </c>
      <c r="F288" s="3" t="s">
        <v>1509</v>
      </c>
    </row>
    <row r="289" spans="1:6" x14ac:dyDescent="0.2">
      <c r="A289" s="3" t="s">
        <v>266</v>
      </c>
      <c r="B289" s="3" t="s">
        <v>276</v>
      </c>
      <c r="C289" s="4">
        <v>22091.49</v>
      </c>
      <c r="D289" s="4">
        <v>1857.54</v>
      </c>
      <c r="E289" s="4">
        <v>20233.95</v>
      </c>
      <c r="F289" s="3" t="s">
        <v>1510</v>
      </c>
    </row>
    <row r="290" spans="1:6" x14ac:dyDescent="0.2">
      <c r="A290" s="3" t="s">
        <v>266</v>
      </c>
      <c r="B290" s="3" t="s">
        <v>278</v>
      </c>
      <c r="C290" s="4">
        <v>45587.32</v>
      </c>
      <c r="D290" s="4">
        <v>34962.43</v>
      </c>
      <c r="E290" s="4">
        <v>10624.89</v>
      </c>
      <c r="F290" s="3" t="s">
        <v>871</v>
      </c>
    </row>
    <row r="291" spans="1:6" s="18" customFormat="1" x14ac:dyDescent="0.2">
      <c r="A291" s="18" t="s">
        <v>266</v>
      </c>
      <c r="B291" s="18" t="s">
        <v>1511</v>
      </c>
      <c r="C291" s="4">
        <v>-10624.89</v>
      </c>
      <c r="D291" s="4">
        <v>0</v>
      </c>
      <c r="E291" s="19">
        <v>-10624.89</v>
      </c>
      <c r="F291" s="18" t="s">
        <v>2</v>
      </c>
    </row>
    <row r="292" spans="1:6" x14ac:dyDescent="0.2">
      <c r="A292" s="3" t="s">
        <v>266</v>
      </c>
      <c r="B292" s="3" t="s">
        <v>279</v>
      </c>
      <c r="C292" s="4">
        <v>10886.48</v>
      </c>
      <c r="D292" s="4">
        <v>-1359.36</v>
      </c>
      <c r="E292" s="4">
        <v>12245.84</v>
      </c>
      <c r="F292" s="3" t="s">
        <v>1512</v>
      </c>
    </row>
    <row r="293" spans="1:6" x14ac:dyDescent="0.2">
      <c r="A293" s="3" t="s">
        <v>266</v>
      </c>
      <c r="B293" s="3" t="s">
        <v>280</v>
      </c>
      <c r="C293" s="4">
        <v>-1973.97</v>
      </c>
      <c r="D293" s="4">
        <v>-1974.34</v>
      </c>
      <c r="E293" s="4">
        <v>0.37</v>
      </c>
      <c r="F293" s="3" t="s">
        <v>6</v>
      </c>
    </row>
    <row r="294" spans="1:6" x14ac:dyDescent="0.2">
      <c r="A294" s="3" t="s">
        <v>266</v>
      </c>
      <c r="B294" s="3" t="s">
        <v>281</v>
      </c>
      <c r="C294" s="4">
        <v>10094.719999999999</v>
      </c>
      <c r="D294" s="4">
        <v>9005.86</v>
      </c>
      <c r="E294" s="4">
        <v>1088.8599999999999</v>
      </c>
      <c r="F294" s="3" t="s">
        <v>965</v>
      </c>
    </row>
    <row r="295" spans="1:6" x14ac:dyDescent="0.2">
      <c r="A295" s="3" t="s">
        <v>266</v>
      </c>
      <c r="B295" s="3" t="s">
        <v>282</v>
      </c>
      <c r="C295" s="4">
        <v>84.47</v>
      </c>
      <c r="D295" s="4">
        <v>-60.88</v>
      </c>
      <c r="E295" s="4">
        <v>145.35</v>
      </c>
      <c r="F295" s="3" t="s">
        <v>1513</v>
      </c>
    </row>
    <row r="296" spans="1:6" x14ac:dyDescent="0.2">
      <c r="A296" s="3" t="s">
        <v>266</v>
      </c>
      <c r="B296" s="3" t="s">
        <v>829</v>
      </c>
      <c r="C296" s="4">
        <v>65242.48</v>
      </c>
      <c r="D296" s="4">
        <v>62523.8</v>
      </c>
      <c r="E296" s="4">
        <v>2718.68</v>
      </c>
      <c r="F296" s="3" t="s">
        <v>748</v>
      </c>
    </row>
    <row r="297" spans="1:6" x14ac:dyDescent="0.2">
      <c r="A297" s="3" t="s">
        <v>266</v>
      </c>
      <c r="B297" s="3" t="s">
        <v>283</v>
      </c>
      <c r="C297" s="4">
        <v>-826.41</v>
      </c>
      <c r="D297" s="4">
        <v>-1955.09</v>
      </c>
      <c r="E297" s="4">
        <v>1128.68</v>
      </c>
      <c r="F297" s="3" t="s">
        <v>1195</v>
      </c>
    </row>
    <row r="298" spans="1:6" x14ac:dyDescent="0.2">
      <c r="A298" s="3" t="s">
        <v>266</v>
      </c>
      <c r="B298" s="3" t="s">
        <v>284</v>
      </c>
      <c r="C298" s="4">
        <v>38360.239999999998</v>
      </c>
      <c r="D298" s="4">
        <v>29831.01</v>
      </c>
      <c r="E298" s="4">
        <v>8529.23</v>
      </c>
      <c r="F298" s="3" t="s">
        <v>957</v>
      </c>
    </row>
    <row r="299" spans="1:6" x14ac:dyDescent="0.2">
      <c r="A299" s="3" t="s">
        <v>266</v>
      </c>
      <c r="B299" s="3" t="s">
        <v>285</v>
      </c>
      <c r="C299" s="4">
        <v>-400</v>
      </c>
      <c r="D299" s="4">
        <v>-400</v>
      </c>
      <c r="E299" s="4">
        <v>0</v>
      </c>
      <c r="F299" s="3" t="s">
        <v>6</v>
      </c>
    </row>
    <row r="300" spans="1:6" x14ac:dyDescent="0.2">
      <c r="A300" s="3" t="s">
        <v>266</v>
      </c>
      <c r="B300" s="3" t="s">
        <v>2</v>
      </c>
      <c r="C300" s="4">
        <v>2846270.19</v>
      </c>
      <c r="D300" s="4">
        <v>1241298.95</v>
      </c>
      <c r="E300" s="4">
        <v>1604971.24</v>
      </c>
      <c r="F300" s="3" t="s">
        <v>1514</v>
      </c>
    </row>
    <row r="301" spans="1:6" x14ac:dyDescent="0.2">
      <c r="A301" s="3" t="s">
        <v>286</v>
      </c>
      <c r="B301" s="3" t="s">
        <v>287</v>
      </c>
      <c r="C301" s="4">
        <v>34494421.590000004</v>
      </c>
      <c r="D301" s="4">
        <v>28152983.48</v>
      </c>
      <c r="E301" s="4">
        <v>6341438.1100000003</v>
      </c>
      <c r="F301" s="3" t="s">
        <v>525</v>
      </c>
    </row>
    <row r="302" spans="1:6" x14ac:dyDescent="0.2">
      <c r="A302" s="3" t="s">
        <v>286</v>
      </c>
      <c r="B302" s="3" t="s">
        <v>548</v>
      </c>
      <c r="C302" s="4">
        <v>791451.73</v>
      </c>
      <c r="D302" s="4">
        <v>791184.54</v>
      </c>
      <c r="E302" s="4">
        <v>267.19</v>
      </c>
      <c r="F302" s="3" t="s">
        <v>6</v>
      </c>
    </row>
    <row r="303" spans="1:6" x14ac:dyDescent="0.2">
      <c r="A303" s="3" t="s">
        <v>286</v>
      </c>
      <c r="B303" s="3" t="s">
        <v>288</v>
      </c>
      <c r="C303" s="4">
        <v>595699.80000000005</v>
      </c>
      <c r="D303" s="4">
        <v>553487.02</v>
      </c>
      <c r="E303" s="4">
        <v>42212.78</v>
      </c>
      <c r="F303" s="3" t="s">
        <v>997</v>
      </c>
    </row>
    <row r="304" spans="1:6" x14ac:dyDescent="0.2">
      <c r="A304" s="3" t="s">
        <v>286</v>
      </c>
      <c r="B304" s="3" t="s">
        <v>289</v>
      </c>
      <c r="C304" s="4">
        <v>199.7</v>
      </c>
      <c r="D304" s="4">
        <v>163.22</v>
      </c>
      <c r="E304" s="4">
        <v>36.479999999999997</v>
      </c>
      <c r="F304" s="3" t="s">
        <v>661</v>
      </c>
    </row>
    <row r="305" spans="1:6" x14ac:dyDescent="0.2">
      <c r="A305" s="3" t="s">
        <v>286</v>
      </c>
      <c r="B305" s="3" t="s">
        <v>952</v>
      </c>
      <c r="C305" s="4">
        <v>18512.990000000002</v>
      </c>
      <c r="D305" s="4">
        <v>17514.43</v>
      </c>
      <c r="E305" s="4">
        <v>998.56</v>
      </c>
      <c r="F305" s="3" t="s">
        <v>532</v>
      </c>
    </row>
    <row r="306" spans="1:6" x14ac:dyDescent="0.2">
      <c r="A306" s="3" t="s">
        <v>286</v>
      </c>
      <c r="B306" s="3" t="s">
        <v>290</v>
      </c>
      <c r="C306" s="4">
        <v>-550434.67000000004</v>
      </c>
      <c r="D306" s="4">
        <v>-487142.01</v>
      </c>
      <c r="E306" s="4">
        <v>-63292.66</v>
      </c>
      <c r="F306" s="3" t="s">
        <v>810</v>
      </c>
    </row>
    <row r="307" spans="1:6" x14ac:dyDescent="0.2">
      <c r="A307" s="3" t="s">
        <v>286</v>
      </c>
      <c r="B307" s="3" t="s">
        <v>291</v>
      </c>
      <c r="C307" s="4">
        <v>-1942353.35</v>
      </c>
      <c r="D307" s="4">
        <v>-1623907</v>
      </c>
      <c r="E307" s="4">
        <v>-318446.34999999998</v>
      </c>
      <c r="F307" s="3" t="s">
        <v>721</v>
      </c>
    </row>
    <row r="308" spans="1:6" x14ac:dyDescent="0.2">
      <c r="A308" s="3" t="s">
        <v>286</v>
      </c>
      <c r="B308" s="3" t="s">
        <v>292</v>
      </c>
      <c r="C308" s="4">
        <v>947846.27</v>
      </c>
      <c r="D308" s="4">
        <v>764110.2</v>
      </c>
      <c r="E308" s="4">
        <v>183736.07</v>
      </c>
      <c r="F308" s="3" t="s">
        <v>756</v>
      </c>
    </row>
    <row r="309" spans="1:6" x14ac:dyDescent="0.2">
      <c r="A309" s="3" t="s">
        <v>286</v>
      </c>
      <c r="B309" s="3" t="s">
        <v>293</v>
      </c>
      <c r="C309" s="4">
        <v>335057.90000000002</v>
      </c>
      <c r="D309" s="4">
        <v>301221.09000000003</v>
      </c>
      <c r="E309" s="4">
        <v>33836.81</v>
      </c>
      <c r="F309" s="3" t="s">
        <v>836</v>
      </c>
    </row>
    <row r="310" spans="1:6" x14ac:dyDescent="0.2">
      <c r="A310" s="3" t="s">
        <v>286</v>
      </c>
      <c r="B310" s="3" t="s">
        <v>294</v>
      </c>
      <c r="C310" s="4">
        <v>6468.29</v>
      </c>
      <c r="D310" s="4">
        <v>5076.58</v>
      </c>
      <c r="E310" s="4">
        <v>1391.71</v>
      </c>
      <c r="F310" s="3" t="s">
        <v>833</v>
      </c>
    </row>
    <row r="311" spans="1:6" x14ac:dyDescent="0.2">
      <c r="A311" s="3" t="s">
        <v>286</v>
      </c>
      <c r="B311" s="3" t="s">
        <v>295</v>
      </c>
      <c r="C311" s="4">
        <v>132094.57999999999</v>
      </c>
      <c r="D311" s="4">
        <v>132094.57999999999</v>
      </c>
      <c r="E311" s="4">
        <v>0</v>
      </c>
      <c r="F311" s="3" t="s">
        <v>6</v>
      </c>
    </row>
    <row r="312" spans="1:6" x14ac:dyDescent="0.2">
      <c r="A312" s="3" t="s">
        <v>286</v>
      </c>
      <c r="B312" s="3" t="s">
        <v>296</v>
      </c>
      <c r="C312" s="4">
        <v>-178.93</v>
      </c>
      <c r="D312" s="4">
        <v>-675.87</v>
      </c>
      <c r="E312" s="4">
        <v>496.94</v>
      </c>
      <c r="F312" s="3" t="s">
        <v>1298</v>
      </c>
    </row>
    <row r="313" spans="1:6" x14ac:dyDescent="0.2">
      <c r="A313" s="3" t="s">
        <v>286</v>
      </c>
      <c r="B313" s="3" t="s">
        <v>2</v>
      </c>
      <c r="C313" s="4">
        <v>34828785.899999999</v>
      </c>
      <c r="D313" s="4">
        <v>28606110.260000002</v>
      </c>
      <c r="E313" s="4">
        <v>6222675.6399999997</v>
      </c>
      <c r="F313" s="3" t="s">
        <v>840</v>
      </c>
    </row>
    <row r="314" spans="1:6" x14ac:dyDescent="0.2">
      <c r="A314" s="3" t="s">
        <v>297</v>
      </c>
      <c r="B314" s="3" t="s">
        <v>1443</v>
      </c>
      <c r="C314" s="4">
        <v>1308.42</v>
      </c>
      <c r="D314" s="4">
        <v>1308.42</v>
      </c>
      <c r="E314" s="4">
        <v>0</v>
      </c>
      <c r="F314" s="3" t="s">
        <v>6</v>
      </c>
    </row>
    <row r="315" spans="1:6" x14ac:dyDescent="0.2">
      <c r="A315" s="3" t="s">
        <v>297</v>
      </c>
      <c r="B315" s="3" t="s">
        <v>298</v>
      </c>
      <c r="C315" s="4">
        <v>217974.53</v>
      </c>
      <c r="D315" s="4">
        <v>195127.18</v>
      </c>
      <c r="E315" s="4">
        <v>22847.35</v>
      </c>
      <c r="F315" s="3" t="s">
        <v>675</v>
      </c>
    </row>
    <row r="316" spans="1:6" x14ac:dyDescent="0.2">
      <c r="A316" s="3" t="s">
        <v>297</v>
      </c>
      <c r="B316" s="3" t="s">
        <v>299</v>
      </c>
      <c r="C316" s="4">
        <v>1454639.35</v>
      </c>
      <c r="D316" s="4">
        <v>1268243.6000000001</v>
      </c>
      <c r="E316" s="4">
        <v>186395.75</v>
      </c>
      <c r="F316" s="3" t="s">
        <v>954</v>
      </c>
    </row>
    <row r="317" spans="1:6" x14ac:dyDescent="0.2">
      <c r="A317" s="3" t="s">
        <v>297</v>
      </c>
      <c r="B317" s="3" t="s">
        <v>300</v>
      </c>
      <c r="C317" s="4">
        <v>911.49</v>
      </c>
      <c r="D317" s="4">
        <v>734.08</v>
      </c>
      <c r="E317" s="4">
        <v>177.41</v>
      </c>
      <c r="F317" s="3" t="s">
        <v>847</v>
      </c>
    </row>
    <row r="318" spans="1:6" x14ac:dyDescent="0.2">
      <c r="A318" s="3" t="s">
        <v>297</v>
      </c>
      <c r="B318" s="3" t="s">
        <v>2</v>
      </c>
      <c r="C318" s="4">
        <v>1674833.79</v>
      </c>
      <c r="D318" s="4">
        <v>1465413.28</v>
      </c>
      <c r="E318" s="4">
        <v>209420.51</v>
      </c>
      <c r="F318" s="3" t="s">
        <v>862</v>
      </c>
    </row>
    <row r="319" spans="1:6" x14ac:dyDescent="0.2">
      <c r="A319" s="3" t="s">
        <v>301</v>
      </c>
      <c r="B319" s="3" t="s">
        <v>554</v>
      </c>
      <c r="C319" s="4">
        <v>103051.23</v>
      </c>
      <c r="D319" s="4">
        <v>103051.23</v>
      </c>
      <c r="E319" s="4">
        <v>0</v>
      </c>
      <c r="F319" s="3" t="s">
        <v>6</v>
      </c>
    </row>
    <row r="320" spans="1:6" x14ac:dyDescent="0.2">
      <c r="A320" s="3" t="s">
        <v>301</v>
      </c>
      <c r="B320" s="3" t="s">
        <v>1426</v>
      </c>
      <c r="C320" s="4">
        <v>10283.11</v>
      </c>
      <c r="D320" s="4">
        <v>10283.11</v>
      </c>
      <c r="E320" s="4">
        <v>0</v>
      </c>
      <c r="F320" s="3" t="s">
        <v>6</v>
      </c>
    </row>
    <row r="321" spans="1:6" x14ac:dyDescent="0.2">
      <c r="A321" s="3" t="s">
        <v>301</v>
      </c>
      <c r="B321" s="3" t="s">
        <v>835</v>
      </c>
      <c r="C321" s="4">
        <v>7551.7</v>
      </c>
      <c r="D321" s="4">
        <v>7551.7</v>
      </c>
      <c r="E321" s="4">
        <v>0</v>
      </c>
      <c r="F321" s="3" t="s">
        <v>6</v>
      </c>
    </row>
    <row r="322" spans="1:6" x14ac:dyDescent="0.2">
      <c r="A322" s="3" t="s">
        <v>301</v>
      </c>
      <c r="B322" s="3" t="s">
        <v>302</v>
      </c>
      <c r="C322" s="4">
        <v>67659.399999999994</v>
      </c>
      <c r="D322" s="4">
        <v>58881.4</v>
      </c>
      <c r="E322" s="4">
        <v>8778</v>
      </c>
      <c r="F322" s="3" t="s">
        <v>937</v>
      </c>
    </row>
    <row r="323" spans="1:6" x14ac:dyDescent="0.2">
      <c r="A323" s="3" t="s">
        <v>301</v>
      </c>
      <c r="B323" s="3" t="s">
        <v>647</v>
      </c>
      <c r="C323" s="4">
        <v>14755.96</v>
      </c>
      <c r="D323" s="4">
        <v>14755.96</v>
      </c>
      <c r="E323" s="4">
        <v>0</v>
      </c>
      <c r="F323" s="3" t="s">
        <v>6</v>
      </c>
    </row>
    <row r="324" spans="1:6" x14ac:dyDescent="0.2">
      <c r="A324" s="3" t="s">
        <v>301</v>
      </c>
      <c r="B324" s="3" t="s">
        <v>303</v>
      </c>
      <c r="C324" s="4">
        <v>64760.25</v>
      </c>
      <c r="D324" s="4">
        <v>58242.45</v>
      </c>
      <c r="E324" s="4">
        <v>6517.8</v>
      </c>
      <c r="F324" s="3" t="s">
        <v>836</v>
      </c>
    </row>
    <row r="325" spans="1:6" x14ac:dyDescent="0.2">
      <c r="A325" s="3" t="s">
        <v>301</v>
      </c>
      <c r="B325" s="3" t="s">
        <v>305</v>
      </c>
      <c r="C325" s="4">
        <v>132327.95000000001</v>
      </c>
      <c r="D325" s="4">
        <v>108490.98</v>
      </c>
      <c r="E325" s="4">
        <v>23836.97</v>
      </c>
      <c r="F325" s="3" t="s">
        <v>598</v>
      </c>
    </row>
    <row r="326" spans="1:6" x14ac:dyDescent="0.2">
      <c r="A326" s="3" t="s">
        <v>301</v>
      </c>
      <c r="B326" s="3" t="s">
        <v>306</v>
      </c>
      <c r="C326" s="4">
        <v>1296731.6299999999</v>
      </c>
      <c r="D326" s="4">
        <v>1107570.71</v>
      </c>
      <c r="E326" s="4">
        <v>189160.92</v>
      </c>
      <c r="F326" s="3" t="s">
        <v>1406</v>
      </c>
    </row>
    <row r="327" spans="1:6" x14ac:dyDescent="0.2">
      <c r="A327" s="3" t="s">
        <v>301</v>
      </c>
      <c r="B327" s="3" t="s">
        <v>838</v>
      </c>
      <c r="C327" s="4">
        <v>9917.77</v>
      </c>
      <c r="D327" s="4">
        <v>9917.77</v>
      </c>
      <c r="E327" s="4">
        <v>0</v>
      </c>
      <c r="F327" s="3" t="s">
        <v>6</v>
      </c>
    </row>
    <row r="328" spans="1:6" x14ac:dyDescent="0.2">
      <c r="A328" s="3" t="s">
        <v>301</v>
      </c>
      <c r="B328" s="3" t="s">
        <v>307</v>
      </c>
      <c r="C328" s="4">
        <v>1918911.4</v>
      </c>
      <c r="D328" s="4">
        <v>1663428.59</v>
      </c>
      <c r="E328" s="4">
        <v>255482.81</v>
      </c>
      <c r="F328" s="3" t="s">
        <v>473</v>
      </c>
    </row>
    <row r="329" spans="1:6" x14ac:dyDescent="0.2">
      <c r="A329" s="3" t="s">
        <v>301</v>
      </c>
      <c r="B329" s="3" t="s">
        <v>308</v>
      </c>
      <c r="C329" s="4">
        <v>10659.06</v>
      </c>
      <c r="D329" s="4">
        <v>9058.57</v>
      </c>
      <c r="E329" s="4">
        <v>1600.49</v>
      </c>
      <c r="F329" s="3" t="s">
        <v>1448</v>
      </c>
    </row>
    <row r="330" spans="1:6" x14ac:dyDescent="0.2">
      <c r="A330" s="3" t="s">
        <v>301</v>
      </c>
      <c r="B330" s="3" t="s">
        <v>309</v>
      </c>
      <c r="C330" s="4">
        <v>31988.53</v>
      </c>
      <c r="D330" s="4">
        <v>21871.68</v>
      </c>
      <c r="E330" s="4">
        <v>10116.85</v>
      </c>
      <c r="F330" s="3" t="s">
        <v>1515</v>
      </c>
    </row>
    <row r="331" spans="1:6" x14ac:dyDescent="0.2">
      <c r="A331" s="3" t="s">
        <v>301</v>
      </c>
      <c r="B331" s="3" t="s">
        <v>2</v>
      </c>
      <c r="C331" s="4">
        <v>3668597.99</v>
      </c>
      <c r="D331" s="4">
        <v>3173104.15</v>
      </c>
      <c r="E331" s="4">
        <v>495493.84</v>
      </c>
      <c r="F331" s="3" t="s">
        <v>779</v>
      </c>
    </row>
    <row r="332" spans="1:6" x14ac:dyDescent="0.2">
      <c r="A332" s="3" t="s">
        <v>310</v>
      </c>
      <c r="B332" s="3" t="s">
        <v>311</v>
      </c>
      <c r="C332" s="4">
        <v>438466.14</v>
      </c>
      <c r="D332" s="4">
        <v>419918.1</v>
      </c>
      <c r="E332" s="4">
        <v>18548.04</v>
      </c>
      <c r="F332" s="3" t="s">
        <v>639</v>
      </c>
    </row>
    <row r="333" spans="1:6" x14ac:dyDescent="0.2">
      <c r="A333" s="3" t="s">
        <v>310</v>
      </c>
      <c r="B333" s="3" t="s">
        <v>2</v>
      </c>
      <c r="C333" s="4">
        <v>438466.14</v>
      </c>
      <c r="D333" s="4">
        <v>419918.1</v>
      </c>
      <c r="E333" s="4">
        <v>18548.04</v>
      </c>
      <c r="F333" s="3" t="s">
        <v>639</v>
      </c>
    </row>
    <row r="334" spans="1:6" x14ac:dyDescent="0.2">
      <c r="A334" s="3" t="s">
        <v>312</v>
      </c>
      <c r="B334" s="3" t="s">
        <v>2</v>
      </c>
      <c r="C334" s="4">
        <v>43456954.009999998</v>
      </c>
      <c r="D334" s="4">
        <v>34905844.740000002</v>
      </c>
      <c r="E334" s="4">
        <v>8551109.2699999996</v>
      </c>
      <c r="F334" s="3" t="s">
        <v>859</v>
      </c>
    </row>
    <row r="335" spans="1:6" x14ac:dyDescent="0.2">
      <c r="A335" s="3" t="s">
        <v>313</v>
      </c>
      <c r="B335" s="3" t="s">
        <v>314</v>
      </c>
      <c r="C335" s="4">
        <v>527559.67000000004</v>
      </c>
      <c r="D335" s="4">
        <v>466138.18</v>
      </c>
      <c r="E335" s="4">
        <v>61421.49</v>
      </c>
      <c r="F335" s="3" t="s">
        <v>621</v>
      </c>
    </row>
    <row r="336" spans="1:6" x14ac:dyDescent="0.2">
      <c r="A336" s="3" t="s">
        <v>313</v>
      </c>
      <c r="B336" s="3" t="s">
        <v>315</v>
      </c>
      <c r="C336" s="4">
        <v>21437.94</v>
      </c>
      <c r="D336" s="4">
        <v>18917.07</v>
      </c>
      <c r="E336" s="4">
        <v>2520.87</v>
      </c>
      <c r="F336" s="3" t="s">
        <v>759</v>
      </c>
    </row>
    <row r="337" spans="1:6" x14ac:dyDescent="0.2">
      <c r="A337" s="3" t="s">
        <v>313</v>
      </c>
      <c r="B337" s="3" t="s">
        <v>558</v>
      </c>
      <c r="C337" s="4">
        <v>51303</v>
      </c>
      <c r="D337" s="4">
        <v>51303</v>
      </c>
      <c r="E337" s="4">
        <v>0</v>
      </c>
      <c r="F337" s="3" t="s">
        <v>6</v>
      </c>
    </row>
    <row r="338" spans="1:6" x14ac:dyDescent="0.2">
      <c r="A338" s="3" t="s">
        <v>313</v>
      </c>
      <c r="B338" s="3" t="s">
        <v>559</v>
      </c>
      <c r="C338" s="4">
        <v>5295.43</v>
      </c>
      <c r="D338" s="4">
        <v>5295.43</v>
      </c>
      <c r="E338" s="4">
        <v>0</v>
      </c>
      <c r="F338" s="3" t="s">
        <v>6</v>
      </c>
    </row>
    <row r="339" spans="1:6" x14ac:dyDescent="0.2">
      <c r="A339" s="3" t="s">
        <v>313</v>
      </c>
      <c r="B339" s="3" t="s">
        <v>316</v>
      </c>
      <c r="C339" s="4">
        <v>122594.28</v>
      </c>
      <c r="D339" s="4">
        <v>107852.38</v>
      </c>
      <c r="E339" s="4">
        <v>14741.9</v>
      </c>
      <c r="F339" s="3" t="s">
        <v>1416</v>
      </c>
    </row>
    <row r="340" spans="1:6" x14ac:dyDescent="0.2">
      <c r="A340" s="3" t="s">
        <v>313</v>
      </c>
      <c r="B340" s="3" t="s">
        <v>317</v>
      </c>
      <c r="C340" s="4">
        <v>1903.88</v>
      </c>
      <c r="D340" s="4">
        <v>1650.12</v>
      </c>
      <c r="E340" s="4">
        <v>253.76</v>
      </c>
      <c r="F340" s="3" t="s">
        <v>473</v>
      </c>
    </row>
    <row r="341" spans="1:6" x14ac:dyDescent="0.2">
      <c r="A341" s="3" t="s">
        <v>313</v>
      </c>
      <c r="B341" s="3" t="s">
        <v>318</v>
      </c>
      <c r="C341" s="4">
        <v>122429.36</v>
      </c>
      <c r="D341" s="4">
        <v>116268.49</v>
      </c>
      <c r="E341" s="4">
        <v>6160.87</v>
      </c>
      <c r="F341" s="3" t="s">
        <v>611</v>
      </c>
    </row>
    <row r="342" spans="1:6" x14ac:dyDescent="0.2">
      <c r="A342" s="3" t="s">
        <v>313</v>
      </c>
      <c r="B342" s="3" t="s">
        <v>319</v>
      </c>
      <c r="C342" s="4">
        <v>409493.82</v>
      </c>
      <c r="D342" s="4">
        <v>353833.1</v>
      </c>
      <c r="E342" s="4">
        <v>55660.72</v>
      </c>
      <c r="F342" s="3" t="s">
        <v>956</v>
      </c>
    </row>
    <row r="343" spans="1:6" x14ac:dyDescent="0.2">
      <c r="A343" s="3" t="s">
        <v>313</v>
      </c>
      <c r="B343" s="3" t="s">
        <v>320</v>
      </c>
      <c r="C343" s="4">
        <v>-7030.37</v>
      </c>
      <c r="D343" s="4">
        <v>-12290.55</v>
      </c>
      <c r="E343" s="4">
        <v>5260.18</v>
      </c>
      <c r="F343" s="3" t="s">
        <v>649</v>
      </c>
    </row>
    <row r="344" spans="1:6" x14ac:dyDescent="0.2">
      <c r="A344" s="3" t="s">
        <v>313</v>
      </c>
      <c r="B344" s="3" t="s">
        <v>321</v>
      </c>
      <c r="C344" s="4">
        <v>-1200922.31</v>
      </c>
      <c r="D344" s="4">
        <v>-1051424.52</v>
      </c>
      <c r="E344" s="4">
        <v>-149497.79</v>
      </c>
      <c r="F344" s="3" t="s">
        <v>713</v>
      </c>
    </row>
    <row r="345" spans="1:6" x14ac:dyDescent="0.2">
      <c r="A345" s="3" t="s">
        <v>313</v>
      </c>
      <c r="B345" s="3" t="s">
        <v>841</v>
      </c>
      <c r="C345" s="4">
        <v>142652.24</v>
      </c>
      <c r="D345" s="4">
        <v>122923.35</v>
      </c>
      <c r="E345" s="4">
        <v>19728.89</v>
      </c>
      <c r="F345" s="3" t="s">
        <v>642</v>
      </c>
    </row>
    <row r="346" spans="1:6" x14ac:dyDescent="0.2">
      <c r="A346" s="3" t="s">
        <v>313</v>
      </c>
      <c r="B346" s="3" t="s">
        <v>560</v>
      </c>
      <c r="C346" s="4">
        <v>21627.38</v>
      </c>
      <c r="D346" s="4">
        <v>21627.38</v>
      </c>
      <c r="E346" s="4">
        <v>0</v>
      </c>
      <c r="F346" s="3" t="s">
        <v>6</v>
      </c>
    </row>
    <row r="347" spans="1:6" x14ac:dyDescent="0.2">
      <c r="A347" s="3" t="s">
        <v>313</v>
      </c>
      <c r="B347" s="3" t="s">
        <v>1085</v>
      </c>
      <c r="C347" s="4">
        <v>575.25</v>
      </c>
      <c r="D347" s="4">
        <v>575.25</v>
      </c>
      <c r="E347" s="4">
        <v>0</v>
      </c>
      <c r="F347" s="3" t="s">
        <v>6</v>
      </c>
    </row>
    <row r="348" spans="1:6" x14ac:dyDescent="0.2">
      <c r="A348" s="3" t="s">
        <v>313</v>
      </c>
      <c r="B348" s="3" t="s">
        <v>990</v>
      </c>
      <c r="C348" s="4">
        <v>-354.04</v>
      </c>
      <c r="D348" s="4">
        <v>-238.03</v>
      </c>
      <c r="E348" s="4">
        <v>-116.01</v>
      </c>
      <c r="F348" s="3" t="s">
        <v>1444</v>
      </c>
    </row>
    <row r="349" spans="1:6" x14ac:dyDescent="0.2">
      <c r="A349" s="3" t="s">
        <v>313</v>
      </c>
      <c r="B349" s="3" t="s">
        <v>322</v>
      </c>
      <c r="C349" s="4">
        <v>2465.9899999999998</v>
      </c>
      <c r="D349" s="4">
        <v>1326.59</v>
      </c>
      <c r="E349" s="4">
        <v>1139.4000000000001</v>
      </c>
      <c r="F349" s="3" t="s">
        <v>1516</v>
      </c>
    </row>
    <row r="350" spans="1:6" x14ac:dyDescent="0.2">
      <c r="A350" s="3" t="s">
        <v>313</v>
      </c>
      <c r="B350" s="3" t="s">
        <v>652</v>
      </c>
      <c r="C350" s="4">
        <v>174.16</v>
      </c>
      <c r="D350" s="4">
        <v>148.80000000000001</v>
      </c>
      <c r="E350" s="4">
        <v>25.36</v>
      </c>
      <c r="F350" s="3" t="s">
        <v>963</v>
      </c>
    </row>
    <row r="351" spans="1:6" x14ac:dyDescent="0.2">
      <c r="A351" s="3" t="s">
        <v>313</v>
      </c>
      <c r="B351" s="3" t="s">
        <v>323</v>
      </c>
      <c r="C351" s="4">
        <v>18836.97</v>
      </c>
      <c r="D351" s="4">
        <v>12995.74</v>
      </c>
      <c r="E351" s="4">
        <v>5841.23</v>
      </c>
      <c r="F351" s="3" t="s">
        <v>749</v>
      </c>
    </row>
    <row r="352" spans="1:6" x14ac:dyDescent="0.2">
      <c r="A352" s="3" t="s">
        <v>313</v>
      </c>
      <c r="B352" s="3" t="s">
        <v>324</v>
      </c>
      <c r="C352" s="4">
        <v>292353.44</v>
      </c>
      <c r="D352" s="4">
        <v>252542.06</v>
      </c>
      <c r="E352" s="4">
        <v>39811.379999999997</v>
      </c>
      <c r="F352" s="3" t="s">
        <v>778</v>
      </c>
    </row>
    <row r="353" spans="1:6" x14ac:dyDescent="0.2">
      <c r="A353" s="3" t="s">
        <v>313</v>
      </c>
      <c r="B353" s="3" t="s">
        <v>913</v>
      </c>
      <c r="C353" s="4">
        <v>329.26</v>
      </c>
      <c r="D353" s="4">
        <v>329.26</v>
      </c>
      <c r="E353" s="4">
        <v>0</v>
      </c>
      <c r="F353" s="3" t="s">
        <v>6</v>
      </c>
    </row>
    <row r="354" spans="1:6" x14ac:dyDescent="0.2">
      <c r="A354" s="3" t="s">
        <v>313</v>
      </c>
      <c r="B354" s="3" t="s">
        <v>561</v>
      </c>
      <c r="C354" s="4">
        <v>1287.6500000000001</v>
      </c>
      <c r="D354" s="4">
        <v>1287.6500000000001</v>
      </c>
      <c r="E354" s="4">
        <v>0</v>
      </c>
      <c r="F354" s="3" t="s">
        <v>6</v>
      </c>
    </row>
    <row r="355" spans="1:6" x14ac:dyDescent="0.2">
      <c r="A355" s="3" t="s">
        <v>313</v>
      </c>
      <c r="B355" s="3" t="s">
        <v>654</v>
      </c>
      <c r="C355" s="4">
        <v>15858.83</v>
      </c>
      <c r="D355" s="4">
        <v>15021.75</v>
      </c>
      <c r="E355" s="4">
        <v>837.08</v>
      </c>
      <c r="F355" s="3" t="s">
        <v>706</v>
      </c>
    </row>
    <row r="356" spans="1:6" x14ac:dyDescent="0.2">
      <c r="A356" s="3" t="s">
        <v>313</v>
      </c>
      <c r="B356" s="3" t="s">
        <v>991</v>
      </c>
      <c r="C356" s="4">
        <v>469.21</v>
      </c>
      <c r="D356" s="4">
        <v>469.21</v>
      </c>
      <c r="E356" s="4">
        <v>0</v>
      </c>
      <c r="F356" s="3" t="s">
        <v>6</v>
      </c>
    </row>
    <row r="357" spans="1:6" x14ac:dyDescent="0.2">
      <c r="A357" s="3" t="s">
        <v>313</v>
      </c>
      <c r="B357" s="3" t="s">
        <v>326</v>
      </c>
      <c r="C357" s="4">
        <v>54754.91</v>
      </c>
      <c r="D357" s="4">
        <v>28362.65</v>
      </c>
      <c r="E357" s="4">
        <v>26392.26</v>
      </c>
      <c r="F357" s="3" t="s">
        <v>553</v>
      </c>
    </row>
    <row r="358" spans="1:6" x14ac:dyDescent="0.2">
      <c r="A358" s="3" t="s">
        <v>313</v>
      </c>
      <c r="B358" s="3" t="s">
        <v>1254</v>
      </c>
      <c r="C358" s="4">
        <v>124.19</v>
      </c>
      <c r="D358" s="4">
        <v>124.19</v>
      </c>
      <c r="E358" s="4">
        <v>0</v>
      </c>
      <c r="F358" s="3" t="s">
        <v>6</v>
      </c>
    </row>
    <row r="359" spans="1:6" x14ac:dyDescent="0.2">
      <c r="A359" s="3" t="s">
        <v>313</v>
      </c>
      <c r="B359" s="3" t="s">
        <v>327</v>
      </c>
      <c r="C359" s="4">
        <v>429.3</v>
      </c>
      <c r="D359" s="4">
        <v>429.3</v>
      </c>
      <c r="E359" s="4">
        <v>0</v>
      </c>
      <c r="F359" s="3" t="s">
        <v>6</v>
      </c>
    </row>
    <row r="360" spans="1:6" x14ac:dyDescent="0.2">
      <c r="A360" s="3" t="s">
        <v>313</v>
      </c>
      <c r="B360" s="3" t="s">
        <v>328</v>
      </c>
      <c r="C360" s="4">
        <v>-1423.86</v>
      </c>
      <c r="D360" s="4">
        <v>-1423.86</v>
      </c>
      <c r="E360" s="4">
        <v>0</v>
      </c>
      <c r="F360" s="3" t="s">
        <v>6</v>
      </c>
    </row>
    <row r="361" spans="1:6" x14ac:dyDescent="0.2">
      <c r="A361" s="3" t="s">
        <v>313</v>
      </c>
      <c r="B361" s="3" t="s">
        <v>1433</v>
      </c>
      <c r="C361" s="4">
        <v>-3168.71</v>
      </c>
      <c r="D361" s="4">
        <v>-3168.71</v>
      </c>
      <c r="E361" s="4">
        <v>0</v>
      </c>
      <c r="F361" s="3" t="s">
        <v>6</v>
      </c>
    </row>
    <row r="362" spans="1:6" x14ac:dyDescent="0.2">
      <c r="A362" s="3" t="s">
        <v>313</v>
      </c>
      <c r="B362" s="3" t="s">
        <v>656</v>
      </c>
      <c r="C362" s="4">
        <v>62287.33</v>
      </c>
      <c r="D362" s="4">
        <v>55443.9</v>
      </c>
      <c r="E362" s="4">
        <v>6843.43</v>
      </c>
      <c r="F362" s="3" t="s">
        <v>1422</v>
      </c>
    </row>
    <row r="363" spans="1:6" x14ac:dyDescent="0.2">
      <c r="A363" s="3" t="s">
        <v>313</v>
      </c>
      <c r="B363" s="3" t="s">
        <v>329</v>
      </c>
      <c r="C363" s="4">
        <v>50764.71</v>
      </c>
      <c r="D363" s="4">
        <v>42594.73</v>
      </c>
      <c r="E363" s="4">
        <v>8169.98</v>
      </c>
      <c r="F363" s="3" t="s">
        <v>854</v>
      </c>
    </row>
    <row r="364" spans="1:6" x14ac:dyDescent="0.2">
      <c r="A364" s="3" t="s">
        <v>313</v>
      </c>
      <c r="B364" s="3" t="s">
        <v>330</v>
      </c>
      <c r="C364" s="4">
        <v>6090.36</v>
      </c>
      <c r="D364" s="4">
        <v>6090.36</v>
      </c>
      <c r="E364" s="4">
        <v>0</v>
      </c>
      <c r="F364" s="3" t="s">
        <v>6</v>
      </c>
    </row>
    <row r="365" spans="1:6" x14ac:dyDescent="0.2">
      <c r="A365" s="3" t="s">
        <v>313</v>
      </c>
      <c r="B365" s="3" t="s">
        <v>331</v>
      </c>
      <c r="C365" s="4">
        <v>76741.94</v>
      </c>
      <c r="D365" s="4">
        <v>66560.94</v>
      </c>
      <c r="E365" s="4">
        <v>10181</v>
      </c>
      <c r="F365" s="3" t="s">
        <v>1217</v>
      </c>
    </row>
    <row r="366" spans="1:6" x14ac:dyDescent="0.2">
      <c r="A366" s="3" t="s">
        <v>313</v>
      </c>
      <c r="B366" s="3" t="s">
        <v>332</v>
      </c>
      <c r="C366" s="4">
        <v>864.86</v>
      </c>
      <c r="D366" s="4">
        <v>518.23</v>
      </c>
      <c r="E366" s="4">
        <v>346.63</v>
      </c>
      <c r="F366" s="3" t="s">
        <v>1517</v>
      </c>
    </row>
    <row r="367" spans="1:6" x14ac:dyDescent="0.2">
      <c r="A367" s="3" t="s">
        <v>313</v>
      </c>
      <c r="B367" s="3" t="s">
        <v>657</v>
      </c>
      <c r="C367" s="4">
        <v>1123.31</v>
      </c>
      <c r="D367" s="4">
        <v>1123.31</v>
      </c>
      <c r="E367" s="4">
        <v>0</v>
      </c>
      <c r="F367" s="3" t="s">
        <v>6</v>
      </c>
    </row>
    <row r="368" spans="1:6" x14ac:dyDescent="0.2">
      <c r="A368" s="3" t="s">
        <v>313</v>
      </c>
      <c r="B368" s="3" t="s">
        <v>333</v>
      </c>
      <c r="C368" s="4">
        <v>20478.98</v>
      </c>
      <c r="D368" s="4">
        <v>18123.79</v>
      </c>
      <c r="E368" s="4">
        <v>2355.19</v>
      </c>
      <c r="F368" s="3" t="s">
        <v>822</v>
      </c>
    </row>
    <row r="369" spans="1:6" x14ac:dyDescent="0.2">
      <c r="A369" s="3" t="s">
        <v>313</v>
      </c>
      <c r="B369" s="3" t="s">
        <v>658</v>
      </c>
      <c r="C369" s="4">
        <v>3391.84</v>
      </c>
      <c r="D369" s="4">
        <v>3391.84</v>
      </c>
      <c r="E369" s="4">
        <v>0</v>
      </c>
      <c r="F369" s="3" t="s">
        <v>6</v>
      </c>
    </row>
    <row r="370" spans="1:6" s="18" customFormat="1" x14ac:dyDescent="0.2">
      <c r="A370" s="18" t="s">
        <v>313</v>
      </c>
      <c r="B370" s="18" t="s">
        <v>1518</v>
      </c>
      <c r="C370" s="4">
        <v>534.74</v>
      </c>
      <c r="D370" s="4">
        <v>0</v>
      </c>
      <c r="E370" s="19">
        <v>534.74</v>
      </c>
      <c r="F370" s="18" t="s">
        <v>2</v>
      </c>
    </row>
    <row r="371" spans="1:6" x14ac:dyDescent="0.2">
      <c r="A371" s="3" t="s">
        <v>313</v>
      </c>
      <c r="B371" s="3" t="s">
        <v>1434</v>
      </c>
      <c r="C371" s="4">
        <v>111.08</v>
      </c>
      <c r="D371" s="4">
        <v>111.08</v>
      </c>
      <c r="E371" s="4">
        <v>0</v>
      </c>
      <c r="F371" s="3" t="s">
        <v>6</v>
      </c>
    </row>
    <row r="372" spans="1:6" x14ac:dyDescent="0.2">
      <c r="A372" s="3" t="s">
        <v>313</v>
      </c>
      <c r="B372" s="3" t="s">
        <v>2</v>
      </c>
      <c r="C372" s="4">
        <v>823446.02</v>
      </c>
      <c r="D372" s="4">
        <v>704833.46</v>
      </c>
      <c r="E372" s="4">
        <v>118612.56</v>
      </c>
      <c r="F372" s="3" t="s">
        <v>962</v>
      </c>
    </row>
    <row r="373" spans="1:6" x14ac:dyDescent="0.2">
      <c r="A373" s="3" t="s">
        <v>334</v>
      </c>
      <c r="B373" s="3" t="s">
        <v>335</v>
      </c>
      <c r="C373" s="4">
        <v>665448.75</v>
      </c>
      <c r="D373" s="4">
        <v>591607.26</v>
      </c>
      <c r="E373" s="4">
        <v>73841.490000000005</v>
      </c>
      <c r="F373" s="3" t="s">
        <v>943</v>
      </c>
    </row>
    <row r="374" spans="1:6" x14ac:dyDescent="0.2">
      <c r="A374" s="3" t="s">
        <v>334</v>
      </c>
      <c r="B374" s="3" t="s">
        <v>562</v>
      </c>
      <c r="C374" s="4">
        <v>66390.5</v>
      </c>
      <c r="D374" s="4">
        <v>66390.5</v>
      </c>
      <c r="E374" s="4">
        <v>0</v>
      </c>
      <c r="F374" s="3" t="s">
        <v>6</v>
      </c>
    </row>
    <row r="375" spans="1:6" x14ac:dyDescent="0.2">
      <c r="A375" s="3" t="s">
        <v>334</v>
      </c>
      <c r="B375" s="3" t="s">
        <v>336</v>
      </c>
      <c r="C375" s="4">
        <v>-10873.67</v>
      </c>
      <c r="D375" s="4">
        <v>-17077.3</v>
      </c>
      <c r="E375" s="4">
        <v>6203.63</v>
      </c>
      <c r="F375" s="3" t="s">
        <v>1451</v>
      </c>
    </row>
    <row r="376" spans="1:6" x14ac:dyDescent="0.2">
      <c r="A376" s="3" t="s">
        <v>334</v>
      </c>
      <c r="B376" s="3" t="s">
        <v>337</v>
      </c>
      <c r="C376" s="4">
        <v>30330.66</v>
      </c>
      <c r="D376" s="4">
        <v>27933.91</v>
      </c>
      <c r="E376" s="4">
        <v>2396.75</v>
      </c>
      <c r="F376" s="3" t="s">
        <v>899</v>
      </c>
    </row>
    <row r="377" spans="1:6" x14ac:dyDescent="0.2">
      <c r="A377" s="3" t="s">
        <v>334</v>
      </c>
      <c r="B377" s="3" t="s">
        <v>338</v>
      </c>
      <c r="C377" s="4">
        <v>224320.99</v>
      </c>
      <c r="D377" s="4">
        <v>170201.8</v>
      </c>
      <c r="E377" s="4">
        <v>54119.19</v>
      </c>
      <c r="F377" s="3" t="s">
        <v>1519</v>
      </c>
    </row>
    <row r="378" spans="1:6" x14ac:dyDescent="0.2">
      <c r="A378" s="3" t="s">
        <v>334</v>
      </c>
      <c r="B378" s="3" t="s">
        <v>563</v>
      </c>
      <c r="C378" s="4">
        <v>165.75</v>
      </c>
      <c r="D378" s="4">
        <v>165.75</v>
      </c>
      <c r="E378" s="4">
        <v>0</v>
      </c>
      <c r="F378" s="3" t="s">
        <v>6</v>
      </c>
    </row>
    <row r="379" spans="1:6" x14ac:dyDescent="0.2">
      <c r="A379" s="3" t="s">
        <v>334</v>
      </c>
      <c r="B379" s="3" t="s">
        <v>339</v>
      </c>
      <c r="C379" s="4">
        <v>22693.52</v>
      </c>
      <c r="D379" s="4">
        <v>21825.41</v>
      </c>
      <c r="E379" s="4">
        <v>868.11</v>
      </c>
      <c r="F379" s="3" t="s">
        <v>912</v>
      </c>
    </row>
    <row r="380" spans="1:6" x14ac:dyDescent="0.2">
      <c r="A380" s="3" t="s">
        <v>334</v>
      </c>
      <c r="B380" s="3" t="s">
        <v>768</v>
      </c>
      <c r="C380" s="4">
        <v>96267.16</v>
      </c>
      <c r="D380" s="4">
        <v>96267.16</v>
      </c>
      <c r="E380" s="4">
        <v>0</v>
      </c>
      <c r="F380" s="3" t="s">
        <v>6</v>
      </c>
    </row>
    <row r="381" spans="1:6" x14ac:dyDescent="0.2">
      <c r="A381" s="3" t="s">
        <v>334</v>
      </c>
      <c r="B381" s="3" t="s">
        <v>340</v>
      </c>
      <c r="C381" s="4">
        <v>14766.57</v>
      </c>
      <c r="D381" s="4">
        <v>2359.3200000000002</v>
      </c>
      <c r="E381" s="4">
        <v>12407.25</v>
      </c>
      <c r="F381" s="3" t="s">
        <v>1520</v>
      </c>
    </row>
    <row r="382" spans="1:6" x14ac:dyDescent="0.2">
      <c r="A382" s="3" t="s">
        <v>334</v>
      </c>
      <c r="B382" s="3" t="s">
        <v>341</v>
      </c>
      <c r="C382" s="4">
        <v>187026.24</v>
      </c>
      <c r="D382" s="4">
        <v>166427.91</v>
      </c>
      <c r="E382" s="4">
        <v>20598.330000000002</v>
      </c>
      <c r="F382" s="3" t="s">
        <v>968</v>
      </c>
    </row>
    <row r="383" spans="1:6" x14ac:dyDescent="0.2">
      <c r="A383" s="3" t="s">
        <v>334</v>
      </c>
      <c r="B383" s="3" t="s">
        <v>342</v>
      </c>
      <c r="C383" s="4">
        <v>7628.37</v>
      </c>
      <c r="D383" s="4">
        <v>7628.37</v>
      </c>
      <c r="E383" s="4">
        <v>0</v>
      </c>
      <c r="F383" s="3" t="s">
        <v>6</v>
      </c>
    </row>
    <row r="384" spans="1:6" x14ac:dyDescent="0.2">
      <c r="A384" s="3" t="s">
        <v>334</v>
      </c>
      <c r="B384" s="3" t="s">
        <v>566</v>
      </c>
      <c r="C384" s="4">
        <v>16596.78</v>
      </c>
      <c r="D384" s="4">
        <v>16596.78</v>
      </c>
      <c r="E384" s="4">
        <v>0</v>
      </c>
      <c r="F384" s="3" t="s">
        <v>6</v>
      </c>
    </row>
    <row r="385" spans="1:6" x14ac:dyDescent="0.2">
      <c r="A385" s="3" t="s">
        <v>334</v>
      </c>
      <c r="B385" s="3" t="s">
        <v>343</v>
      </c>
      <c r="C385" s="4">
        <v>23729.69</v>
      </c>
      <c r="D385" s="4">
        <v>20901.82</v>
      </c>
      <c r="E385" s="4">
        <v>2827.87</v>
      </c>
      <c r="F385" s="3" t="s">
        <v>618</v>
      </c>
    </row>
    <row r="386" spans="1:6" x14ac:dyDescent="0.2">
      <c r="A386" s="3" t="s">
        <v>334</v>
      </c>
      <c r="B386" s="3" t="s">
        <v>992</v>
      </c>
      <c r="C386" s="4">
        <v>733.43</v>
      </c>
      <c r="D386" s="4">
        <v>733.43</v>
      </c>
      <c r="E386" s="4">
        <v>0</v>
      </c>
      <c r="F386" s="3" t="s">
        <v>6</v>
      </c>
    </row>
    <row r="387" spans="1:6" x14ac:dyDescent="0.2">
      <c r="A387" s="3" t="s">
        <v>334</v>
      </c>
      <c r="B387" s="3" t="s">
        <v>344</v>
      </c>
      <c r="C387" s="4">
        <v>360.41</v>
      </c>
      <c r="D387" s="4">
        <v>272.02</v>
      </c>
      <c r="E387" s="4">
        <v>88.39</v>
      </c>
      <c r="F387" s="3" t="s">
        <v>1370</v>
      </c>
    </row>
    <row r="388" spans="1:6" x14ac:dyDescent="0.2">
      <c r="A388" s="3" t="s">
        <v>334</v>
      </c>
      <c r="B388" s="3" t="s">
        <v>345</v>
      </c>
      <c r="C388" s="4">
        <v>123599.64</v>
      </c>
      <c r="D388" s="4">
        <v>109085.93</v>
      </c>
      <c r="E388" s="4">
        <v>14513.71</v>
      </c>
      <c r="F388" s="3" t="s">
        <v>759</v>
      </c>
    </row>
    <row r="389" spans="1:6" x14ac:dyDescent="0.2">
      <c r="A389" s="3" t="s">
        <v>334</v>
      </c>
      <c r="B389" s="3" t="s">
        <v>346</v>
      </c>
      <c r="C389" s="4">
        <v>44306.54</v>
      </c>
      <c r="D389" s="4">
        <v>39216.61</v>
      </c>
      <c r="E389" s="4">
        <v>5089.93</v>
      </c>
      <c r="F389" s="3" t="s">
        <v>822</v>
      </c>
    </row>
    <row r="390" spans="1:6" x14ac:dyDescent="0.2">
      <c r="A390" s="3" t="s">
        <v>334</v>
      </c>
      <c r="B390" s="3" t="s">
        <v>347</v>
      </c>
      <c r="C390" s="4">
        <v>21497.77</v>
      </c>
      <c r="D390" s="4">
        <v>19022.349999999999</v>
      </c>
      <c r="E390" s="4">
        <v>2475.42</v>
      </c>
      <c r="F390" s="3" t="s">
        <v>822</v>
      </c>
    </row>
    <row r="391" spans="1:6" x14ac:dyDescent="0.2">
      <c r="A391" s="3" t="s">
        <v>334</v>
      </c>
      <c r="B391" s="3" t="s">
        <v>348</v>
      </c>
      <c r="C391" s="4">
        <v>60428.41</v>
      </c>
      <c r="D391" s="4">
        <v>53524.33</v>
      </c>
      <c r="E391" s="4">
        <v>6904.08</v>
      </c>
      <c r="F391" s="3" t="s">
        <v>846</v>
      </c>
    </row>
    <row r="392" spans="1:6" x14ac:dyDescent="0.2">
      <c r="A392" s="3" t="s">
        <v>334</v>
      </c>
      <c r="B392" s="3" t="s">
        <v>349</v>
      </c>
      <c r="C392" s="4">
        <v>41567.94</v>
      </c>
      <c r="D392" s="4">
        <v>37227.97</v>
      </c>
      <c r="E392" s="4">
        <v>4339.97</v>
      </c>
      <c r="F392" s="3" t="s">
        <v>675</v>
      </c>
    </row>
    <row r="393" spans="1:6" x14ac:dyDescent="0.2">
      <c r="A393" s="3" t="s">
        <v>334</v>
      </c>
      <c r="B393" s="3" t="s">
        <v>350</v>
      </c>
      <c r="C393" s="4">
        <v>37289.480000000003</v>
      </c>
      <c r="D393" s="4">
        <v>32037.38</v>
      </c>
      <c r="E393" s="4">
        <v>5252.1</v>
      </c>
      <c r="F393" s="3" t="s">
        <v>1452</v>
      </c>
    </row>
    <row r="394" spans="1:6" x14ac:dyDescent="0.2">
      <c r="A394" s="3" t="s">
        <v>334</v>
      </c>
      <c r="B394" s="3" t="s">
        <v>351</v>
      </c>
      <c r="C394" s="4">
        <v>66754.539999999994</v>
      </c>
      <c r="D394" s="4">
        <v>63639.94</v>
      </c>
      <c r="E394" s="4">
        <v>3114.6</v>
      </c>
      <c r="F394" s="3" t="s">
        <v>674</v>
      </c>
    </row>
    <row r="395" spans="1:6" x14ac:dyDescent="0.2">
      <c r="A395" s="3" t="s">
        <v>334</v>
      </c>
      <c r="B395" s="3" t="s">
        <v>352</v>
      </c>
      <c r="C395" s="4">
        <v>4457.88</v>
      </c>
      <c r="D395" s="4">
        <v>4077.24</v>
      </c>
      <c r="E395" s="4">
        <v>380.64</v>
      </c>
      <c r="F395" s="3" t="s">
        <v>529</v>
      </c>
    </row>
    <row r="396" spans="1:6" x14ac:dyDescent="0.2">
      <c r="A396" s="3" t="s">
        <v>334</v>
      </c>
      <c r="B396" s="3" t="s">
        <v>569</v>
      </c>
      <c r="C396" s="4">
        <v>3145.61</v>
      </c>
      <c r="D396" s="4">
        <v>2143.94</v>
      </c>
      <c r="E396" s="4">
        <v>1001.67</v>
      </c>
      <c r="F396" s="3" t="s">
        <v>1447</v>
      </c>
    </row>
    <row r="397" spans="1:6" x14ac:dyDescent="0.2">
      <c r="A397" s="3" t="s">
        <v>334</v>
      </c>
      <c r="B397" s="3" t="s">
        <v>667</v>
      </c>
      <c r="C397" s="4">
        <v>2499.27</v>
      </c>
      <c r="D397" s="4">
        <v>2499.27</v>
      </c>
      <c r="E397" s="4">
        <v>0</v>
      </c>
      <c r="F397" s="3" t="s">
        <v>6</v>
      </c>
    </row>
    <row r="398" spans="1:6" x14ac:dyDescent="0.2">
      <c r="A398" s="3" t="s">
        <v>334</v>
      </c>
      <c r="B398" s="3" t="s">
        <v>353</v>
      </c>
      <c r="C398" s="4">
        <v>16903.45</v>
      </c>
      <c r="D398" s="4">
        <v>14708.19</v>
      </c>
      <c r="E398" s="4">
        <v>2195.2600000000002</v>
      </c>
      <c r="F398" s="3" t="s">
        <v>937</v>
      </c>
    </row>
    <row r="399" spans="1:6" x14ac:dyDescent="0.2">
      <c r="A399" s="3" t="s">
        <v>334</v>
      </c>
      <c r="B399" s="3" t="s">
        <v>772</v>
      </c>
      <c r="C399" s="4">
        <v>1309.68</v>
      </c>
      <c r="D399" s="4">
        <v>1164.19</v>
      </c>
      <c r="E399" s="4">
        <v>145.49</v>
      </c>
      <c r="F399" s="3" t="s">
        <v>943</v>
      </c>
    </row>
    <row r="400" spans="1:6" x14ac:dyDescent="0.2">
      <c r="A400" s="3" t="s">
        <v>334</v>
      </c>
      <c r="B400" s="3" t="s">
        <v>354</v>
      </c>
      <c r="C400" s="4">
        <v>6466.4</v>
      </c>
      <c r="D400" s="4">
        <v>5723.53</v>
      </c>
      <c r="E400" s="4">
        <v>742.87</v>
      </c>
      <c r="F400" s="3" t="s">
        <v>822</v>
      </c>
    </row>
    <row r="401" spans="1:6" x14ac:dyDescent="0.2">
      <c r="A401" s="3" t="s">
        <v>334</v>
      </c>
      <c r="B401" s="3" t="s">
        <v>355</v>
      </c>
      <c r="C401" s="4">
        <v>44838.27</v>
      </c>
      <c r="D401" s="4">
        <v>39689.75</v>
      </c>
      <c r="E401" s="4">
        <v>5148.5200000000004</v>
      </c>
      <c r="F401" s="3" t="s">
        <v>822</v>
      </c>
    </row>
    <row r="402" spans="1:6" x14ac:dyDescent="0.2">
      <c r="A402" s="3" t="s">
        <v>334</v>
      </c>
      <c r="B402" s="3" t="s">
        <v>357</v>
      </c>
      <c r="C402" s="4">
        <v>25464.87</v>
      </c>
      <c r="D402" s="4">
        <v>23714.74</v>
      </c>
      <c r="E402" s="4">
        <v>1750.13</v>
      </c>
      <c r="F402" s="3" t="s">
        <v>1122</v>
      </c>
    </row>
    <row r="403" spans="1:6" x14ac:dyDescent="0.2">
      <c r="A403" s="3" t="s">
        <v>334</v>
      </c>
      <c r="B403" s="3" t="s">
        <v>920</v>
      </c>
      <c r="C403" s="4">
        <v>6178.53</v>
      </c>
      <c r="D403" s="4">
        <v>6178.53</v>
      </c>
      <c r="E403" s="4">
        <v>0</v>
      </c>
      <c r="F403" s="3" t="s">
        <v>6</v>
      </c>
    </row>
    <row r="404" spans="1:6" x14ac:dyDescent="0.2">
      <c r="A404" s="3" t="s">
        <v>334</v>
      </c>
      <c r="B404" s="3" t="s">
        <v>358</v>
      </c>
      <c r="C404" s="4">
        <v>7616</v>
      </c>
      <c r="D404" s="4">
        <v>7440.46</v>
      </c>
      <c r="E404" s="4">
        <v>175.54</v>
      </c>
      <c r="F404" s="3" t="s">
        <v>817</v>
      </c>
    </row>
    <row r="405" spans="1:6" x14ac:dyDescent="0.2">
      <c r="A405" s="3" t="s">
        <v>334</v>
      </c>
      <c r="B405" s="3" t="s">
        <v>359</v>
      </c>
      <c r="C405" s="4">
        <v>1270.6400000000001</v>
      </c>
      <c r="D405" s="4">
        <v>1270.6400000000001</v>
      </c>
      <c r="E405" s="4">
        <v>0</v>
      </c>
      <c r="F405" s="3" t="s">
        <v>6</v>
      </c>
    </row>
    <row r="406" spans="1:6" x14ac:dyDescent="0.2">
      <c r="A406" s="3" t="s">
        <v>334</v>
      </c>
      <c r="B406" s="3" t="s">
        <v>360</v>
      </c>
      <c r="C406" s="4">
        <v>162742.54999999999</v>
      </c>
      <c r="D406" s="4">
        <v>144285.10999999999</v>
      </c>
      <c r="E406" s="4">
        <v>18457.439999999999</v>
      </c>
      <c r="F406" s="3" t="s">
        <v>845</v>
      </c>
    </row>
    <row r="407" spans="1:6" x14ac:dyDescent="0.2">
      <c r="A407" s="3" t="s">
        <v>334</v>
      </c>
      <c r="B407" s="3" t="s">
        <v>571</v>
      </c>
      <c r="C407" s="4">
        <v>10916.21</v>
      </c>
      <c r="D407" s="4">
        <v>10916.21</v>
      </c>
      <c r="E407" s="4">
        <v>0</v>
      </c>
      <c r="F407" s="3" t="s">
        <v>6</v>
      </c>
    </row>
    <row r="408" spans="1:6" x14ac:dyDescent="0.2">
      <c r="A408" s="3" t="s">
        <v>334</v>
      </c>
      <c r="B408" s="3" t="s">
        <v>361</v>
      </c>
      <c r="C408" s="4">
        <v>273.37</v>
      </c>
      <c r="D408" s="4">
        <v>183.41</v>
      </c>
      <c r="E408" s="4">
        <v>89.96</v>
      </c>
      <c r="F408" s="3" t="s">
        <v>958</v>
      </c>
    </row>
    <row r="409" spans="1:6" x14ac:dyDescent="0.2">
      <c r="A409" s="3" t="s">
        <v>334</v>
      </c>
      <c r="B409" s="3" t="s">
        <v>1427</v>
      </c>
      <c r="C409" s="4">
        <v>34.090000000000003</v>
      </c>
      <c r="D409" s="4">
        <v>34.090000000000003</v>
      </c>
      <c r="E409" s="4">
        <v>0</v>
      </c>
      <c r="F409" s="3" t="s">
        <v>6</v>
      </c>
    </row>
    <row r="410" spans="1:6" x14ac:dyDescent="0.2">
      <c r="A410" s="3" t="s">
        <v>334</v>
      </c>
      <c r="B410" s="3" t="s">
        <v>1446</v>
      </c>
      <c r="C410" s="4">
        <v>25.6</v>
      </c>
      <c r="D410" s="4">
        <v>25.6</v>
      </c>
      <c r="E410" s="4">
        <v>0</v>
      </c>
      <c r="F410" s="3" t="s">
        <v>6</v>
      </c>
    </row>
    <row r="411" spans="1:6" x14ac:dyDescent="0.2">
      <c r="A411" s="3" t="s">
        <v>334</v>
      </c>
      <c r="B411" s="3" t="s">
        <v>921</v>
      </c>
      <c r="C411" s="4">
        <v>112.16</v>
      </c>
      <c r="D411" s="4">
        <v>88.71</v>
      </c>
      <c r="E411" s="4">
        <v>23.45</v>
      </c>
      <c r="F411" s="3" t="s">
        <v>855</v>
      </c>
    </row>
    <row r="412" spans="1:6" x14ac:dyDescent="0.2">
      <c r="A412" s="3" t="s">
        <v>334</v>
      </c>
      <c r="B412" s="3" t="s">
        <v>363</v>
      </c>
      <c r="C412" s="4">
        <v>12270.07</v>
      </c>
      <c r="D412" s="4">
        <v>12140.56</v>
      </c>
      <c r="E412" s="4">
        <v>129.51</v>
      </c>
      <c r="F412" s="3" t="s">
        <v>526</v>
      </c>
    </row>
    <row r="413" spans="1:6" x14ac:dyDescent="0.2">
      <c r="A413" s="3" t="s">
        <v>334</v>
      </c>
      <c r="B413" s="3" t="s">
        <v>2</v>
      </c>
      <c r="C413" s="4">
        <v>2047554.12</v>
      </c>
      <c r="D413" s="4">
        <v>1802272.82</v>
      </c>
      <c r="E413" s="4">
        <v>245281.3</v>
      </c>
      <c r="F413" s="3" t="s">
        <v>570</v>
      </c>
    </row>
    <row r="414" spans="1:6" x14ac:dyDescent="0.2">
      <c r="A414" s="3" t="s">
        <v>364</v>
      </c>
      <c r="B414" s="3" t="s">
        <v>365</v>
      </c>
      <c r="C414" s="4">
        <v>2939.14</v>
      </c>
      <c r="D414" s="4">
        <v>1336.61</v>
      </c>
      <c r="E414" s="4">
        <v>1602.53</v>
      </c>
      <c r="F414" s="3" t="s">
        <v>1521</v>
      </c>
    </row>
    <row r="415" spans="1:6" x14ac:dyDescent="0.2">
      <c r="A415" s="3" t="s">
        <v>364</v>
      </c>
      <c r="B415" s="3" t="s">
        <v>366</v>
      </c>
      <c r="C415" s="4">
        <v>31432.18</v>
      </c>
      <c r="D415" s="4">
        <v>25851.95</v>
      </c>
      <c r="E415" s="4">
        <v>5580.23</v>
      </c>
      <c r="F415" s="3" t="s">
        <v>878</v>
      </c>
    </row>
    <row r="416" spans="1:6" x14ac:dyDescent="0.2">
      <c r="A416" s="3" t="s">
        <v>364</v>
      </c>
      <c r="B416" s="3" t="s">
        <v>367</v>
      </c>
      <c r="C416" s="4">
        <v>5255.61</v>
      </c>
      <c r="D416" s="4">
        <v>4124.1000000000004</v>
      </c>
      <c r="E416" s="4">
        <v>1131.51</v>
      </c>
      <c r="F416" s="3" t="s">
        <v>833</v>
      </c>
    </row>
    <row r="417" spans="1:6" x14ac:dyDescent="0.2">
      <c r="A417" s="3" t="s">
        <v>364</v>
      </c>
      <c r="B417" s="3" t="s">
        <v>368</v>
      </c>
      <c r="C417" s="4">
        <v>2521.85</v>
      </c>
      <c r="D417" s="4">
        <v>1626.84</v>
      </c>
      <c r="E417" s="4">
        <v>895.01</v>
      </c>
      <c r="F417" s="3" t="s">
        <v>1445</v>
      </c>
    </row>
    <row r="418" spans="1:6" x14ac:dyDescent="0.2">
      <c r="A418" s="3" t="s">
        <v>364</v>
      </c>
      <c r="B418" s="3" t="s">
        <v>369</v>
      </c>
      <c r="C418" s="4">
        <v>1433.51</v>
      </c>
      <c r="D418" s="4">
        <v>855.37</v>
      </c>
      <c r="E418" s="4">
        <v>578.14</v>
      </c>
      <c r="F418" s="3" t="s">
        <v>1522</v>
      </c>
    </row>
    <row r="419" spans="1:6" x14ac:dyDescent="0.2">
      <c r="A419" s="3" t="s">
        <v>364</v>
      </c>
      <c r="B419" s="3" t="s">
        <v>370</v>
      </c>
      <c r="C419" s="4">
        <v>53.59</v>
      </c>
      <c r="D419" s="4">
        <v>25.99</v>
      </c>
      <c r="E419" s="4">
        <v>27.6</v>
      </c>
      <c r="F419" s="3" t="s">
        <v>568</v>
      </c>
    </row>
    <row r="420" spans="1:6" x14ac:dyDescent="0.2">
      <c r="A420" s="3" t="s">
        <v>364</v>
      </c>
      <c r="B420" s="3" t="s">
        <v>371</v>
      </c>
      <c r="C420" s="4">
        <v>146.47</v>
      </c>
      <c r="D420" s="4">
        <v>45.18</v>
      </c>
      <c r="E420" s="4">
        <v>101.29</v>
      </c>
      <c r="F420" s="3" t="s">
        <v>1523</v>
      </c>
    </row>
    <row r="421" spans="1:6" x14ac:dyDescent="0.2">
      <c r="A421" s="3" t="s">
        <v>364</v>
      </c>
      <c r="B421" s="3" t="s">
        <v>372</v>
      </c>
      <c r="C421" s="4">
        <v>2847.07</v>
      </c>
      <c r="D421" s="4">
        <v>2561.5700000000002</v>
      </c>
      <c r="E421" s="4">
        <v>285.5</v>
      </c>
      <c r="F421" s="3" t="s">
        <v>951</v>
      </c>
    </row>
    <row r="422" spans="1:6" x14ac:dyDescent="0.2">
      <c r="A422" s="3" t="s">
        <v>364</v>
      </c>
      <c r="B422" s="3" t="s">
        <v>572</v>
      </c>
      <c r="C422" s="4">
        <v>1174.08</v>
      </c>
      <c r="D422" s="4">
        <v>1174.08</v>
      </c>
      <c r="E422" s="4">
        <v>0</v>
      </c>
      <c r="F422" s="3" t="s">
        <v>6</v>
      </c>
    </row>
    <row r="423" spans="1:6" x14ac:dyDescent="0.2">
      <c r="A423" s="3" t="s">
        <v>364</v>
      </c>
      <c r="B423" s="3" t="s">
        <v>2</v>
      </c>
      <c r="C423" s="4">
        <v>47803.5</v>
      </c>
      <c r="D423" s="4">
        <v>37601.69</v>
      </c>
      <c r="E423" s="4">
        <v>10201.81</v>
      </c>
      <c r="F423" s="3" t="s">
        <v>844</v>
      </c>
    </row>
    <row r="424" spans="1:6" x14ac:dyDescent="0.2">
      <c r="A424" s="3" t="s">
        <v>373</v>
      </c>
      <c r="B424" s="3" t="s">
        <v>673</v>
      </c>
      <c r="C424" s="4">
        <v>17495.900000000001</v>
      </c>
      <c r="D424" s="4">
        <v>14564.88</v>
      </c>
      <c r="E424" s="4">
        <v>2931.02</v>
      </c>
      <c r="F424" s="3" t="s">
        <v>866</v>
      </c>
    </row>
    <row r="425" spans="1:6" x14ac:dyDescent="0.2">
      <c r="A425" s="3" t="s">
        <v>373</v>
      </c>
      <c r="B425" s="3" t="s">
        <v>374</v>
      </c>
      <c r="C425" s="4">
        <v>1317.33</v>
      </c>
      <c r="D425" s="4">
        <v>1279.94</v>
      </c>
      <c r="E425" s="4">
        <v>37.39</v>
      </c>
      <c r="F425" s="3" t="s">
        <v>851</v>
      </c>
    </row>
    <row r="426" spans="1:6" x14ac:dyDescent="0.2">
      <c r="A426" s="3" t="s">
        <v>373</v>
      </c>
      <c r="B426" s="3" t="s">
        <v>375</v>
      </c>
      <c r="C426" s="4">
        <v>12623</v>
      </c>
      <c r="D426" s="4">
        <v>10725.97</v>
      </c>
      <c r="E426" s="4">
        <v>1897.03</v>
      </c>
      <c r="F426" s="3" t="s">
        <v>1448</v>
      </c>
    </row>
    <row r="427" spans="1:6" x14ac:dyDescent="0.2">
      <c r="A427" s="3" t="s">
        <v>373</v>
      </c>
      <c r="B427" s="3" t="s">
        <v>573</v>
      </c>
      <c r="C427" s="4">
        <v>2451.62</v>
      </c>
      <c r="D427" s="4">
        <v>2451.62</v>
      </c>
      <c r="E427" s="4">
        <v>0</v>
      </c>
      <c r="F427" s="3" t="s">
        <v>6</v>
      </c>
    </row>
    <row r="428" spans="1:6" x14ac:dyDescent="0.2">
      <c r="A428" s="3" t="s">
        <v>373</v>
      </c>
      <c r="B428" s="3" t="s">
        <v>574</v>
      </c>
      <c r="C428" s="4">
        <v>540.29</v>
      </c>
      <c r="D428" s="4">
        <v>540.29</v>
      </c>
      <c r="E428" s="4">
        <v>0</v>
      </c>
      <c r="F428" s="3" t="s">
        <v>6</v>
      </c>
    </row>
    <row r="429" spans="1:6" x14ac:dyDescent="0.2">
      <c r="A429" s="3" t="s">
        <v>373</v>
      </c>
      <c r="B429" s="3" t="s">
        <v>376</v>
      </c>
      <c r="C429" s="4">
        <v>6629.69</v>
      </c>
      <c r="D429" s="4">
        <v>6225.99</v>
      </c>
      <c r="E429" s="4">
        <v>403.7</v>
      </c>
      <c r="F429" s="3" t="s">
        <v>502</v>
      </c>
    </row>
    <row r="430" spans="1:6" x14ac:dyDescent="0.2">
      <c r="A430" s="3" t="s">
        <v>373</v>
      </c>
      <c r="B430" s="3" t="s">
        <v>377</v>
      </c>
      <c r="C430" s="4">
        <v>9803.42</v>
      </c>
      <c r="D430" s="4">
        <v>8601.42</v>
      </c>
      <c r="E430" s="4">
        <v>1202</v>
      </c>
      <c r="F430" s="3" t="s">
        <v>764</v>
      </c>
    </row>
    <row r="431" spans="1:6" x14ac:dyDescent="0.2">
      <c r="A431" s="3" t="s">
        <v>373</v>
      </c>
      <c r="B431" s="3" t="s">
        <v>857</v>
      </c>
      <c r="C431" s="4">
        <v>58236.63</v>
      </c>
      <c r="D431" s="4">
        <v>55170.39</v>
      </c>
      <c r="E431" s="4">
        <v>3066.24</v>
      </c>
      <c r="F431" s="3" t="s">
        <v>706</v>
      </c>
    </row>
    <row r="432" spans="1:6" x14ac:dyDescent="0.2">
      <c r="A432" s="3" t="s">
        <v>373</v>
      </c>
      <c r="B432" s="3" t="s">
        <v>378</v>
      </c>
      <c r="C432" s="4">
        <v>56297.87</v>
      </c>
      <c r="D432" s="4">
        <v>49039.44</v>
      </c>
      <c r="E432" s="4">
        <v>7258.43</v>
      </c>
      <c r="F432" s="3" t="s">
        <v>1038</v>
      </c>
    </row>
    <row r="433" spans="1:6" x14ac:dyDescent="0.2">
      <c r="A433" s="3" t="s">
        <v>373</v>
      </c>
      <c r="B433" s="3" t="s">
        <v>2</v>
      </c>
      <c r="C433" s="4">
        <v>165395.75</v>
      </c>
      <c r="D433" s="4">
        <v>148599.94</v>
      </c>
      <c r="E433" s="4">
        <v>16795.810000000001</v>
      </c>
      <c r="F433" s="3" t="s">
        <v>900</v>
      </c>
    </row>
    <row r="434" spans="1:6" x14ac:dyDescent="0.2">
      <c r="A434" s="3" t="s">
        <v>379</v>
      </c>
      <c r="B434" s="3" t="s">
        <v>380</v>
      </c>
      <c r="C434" s="4">
        <v>2540.34</v>
      </c>
      <c r="D434" s="4">
        <v>2230.36</v>
      </c>
      <c r="E434" s="4">
        <v>309.98</v>
      </c>
      <c r="F434" s="3" t="s">
        <v>513</v>
      </c>
    </row>
    <row r="435" spans="1:6" x14ac:dyDescent="0.2">
      <c r="A435" s="3" t="s">
        <v>379</v>
      </c>
      <c r="B435" s="3" t="s">
        <v>381</v>
      </c>
      <c r="C435" s="4">
        <v>23576.7</v>
      </c>
      <c r="D435" s="4">
        <v>19470.349999999999</v>
      </c>
      <c r="E435" s="4">
        <v>4106.3500000000004</v>
      </c>
      <c r="F435" s="3" t="s">
        <v>612</v>
      </c>
    </row>
    <row r="436" spans="1:6" x14ac:dyDescent="0.2">
      <c r="A436" s="3" t="s">
        <v>379</v>
      </c>
      <c r="B436" s="3" t="s">
        <v>382</v>
      </c>
      <c r="C436" s="4">
        <v>16431.47</v>
      </c>
      <c r="D436" s="4">
        <v>10097.73</v>
      </c>
      <c r="E436" s="4">
        <v>6333.74</v>
      </c>
      <c r="F436" s="3" t="s">
        <v>1524</v>
      </c>
    </row>
    <row r="437" spans="1:6" x14ac:dyDescent="0.2">
      <c r="A437" s="3" t="s">
        <v>379</v>
      </c>
      <c r="B437" s="3" t="s">
        <v>2</v>
      </c>
      <c r="C437" s="4">
        <v>42548.51</v>
      </c>
      <c r="D437" s="4">
        <v>31798.44</v>
      </c>
      <c r="E437" s="4">
        <v>10750.07</v>
      </c>
      <c r="F437" s="3" t="s">
        <v>589</v>
      </c>
    </row>
    <row r="438" spans="1:6" x14ac:dyDescent="0.2">
      <c r="A438" s="3" t="s">
        <v>383</v>
      </c>
      <c r="B438" s="3" t="s">
        <v>384</v>
      </c>
      <c r="C438" s="4">
        <v>1133.72</v>
      </c>
      <c r="D438" s="4">
        <v>1124.5999999999999</v>
      </c>
      <c r="E438" s="4">
        <v>9.1199999999999992</v>
      </c>
      <c r="F438" s="3" t="s">
        <v>814</v>
      </c>
    </row>
    <row r="439" spans="1:6" x14ac:dyDescent="0.2">
      <c r="A439" s="3" t="s">
        <v>383</v>
      </c>
      <c r="B439" s="3" t="s">
        <v>993</v>
      </c>
      <c r="C439" s="4">
        <v>-130594.91</v>
      </c>
      <c r="D439" s="4">
        <v>-130594.91</v>
      </c>
      <c r="E439" s="4">
        <v>0</v>
      </c>
      <c r="F439" s="3" t="s">
        <v>6</v>
      </c>
    </row>
    <row r="440" spans="1:6" x14ac:dyDescent="0.2">
      <c r="A440" s="3" t="s">
        <v>383</v>
      </c>
      <c r="B440" s="3" t="s">
        <v>385</v>
      </c>
      <c r="C440" s="4">
        <v>190225.82</v>
      </c>
      <c r="D440" s="4">
        <v>166126.79</v>
      </c>
      <c r="E440" s="4">
        <v>24099.03</v>
      </c>
      <c r="F440" s="3" t="s">
        <v>766</v>
      </c>
    </row>
    <row r="441" spans="1:6" x14ac:dyDescent="0.2">
      <c r="A441" s="3" t="s">
        <v>383</v>
      </c>
      <c r="B441" s="3" t="s">
        <v>386</v>
      </c>
      <c r="C441" s="4">
        <v>41710.44</v>
      </c>
      <c r="D441" s="4">
        <v>37225.53</v>
      </c>
      <c r="E441" s="4">
        <v>4484.91</v>
      </c>
      <c r="F441" s="3" t="s">
        <v>699</v>
      </c>
    </row>
    <row r="442" spans="1:6" x14ac:dyDescent="0.2">
      <c r="A442" s="3" t="s">
        <v>383</v>
      </c>
      <c r="B442" s="3" t="s">
        <v>387</v>
      </c>
      <c r="C442" s="4">
        <v>56667.39</v>
      </c>
      <c r="D442" s="4">
        <v>46832.91</v>
      </c>
      <c r="E442" s="4">
        <v>9834.48</v>
      </c>
      <c r="F442" s="3" t="s">
        <v>930</v>
      </c>
    </row>
    <row r="443" spans="1:6" x14ac:dyDescent="0.2">
      <c r="A443" s="3" t="s">
        <v>383</v>
      </c>
      <c r="B443" s="3" t="s">
        <v>2</v>
      </c>
      <c r="C443" s="4">
        <v>159142.46</v>
      </c>
      <c r="D443" s="4">
        <v>120714.92</v>
      </c>
      <c r="E443" s="4">
        <v>38427.54</v>
      </c>
      <c r="F443" s="3" t="s">
        <v>1519</v>
      </c>
    </row>
    <row r="444" spans="1:6" x14ac:dyDescent="0.2">
      <c r="A444" s="3" t="s">
        <v>678</v>
      </c>
      <c r="B444" s="3" t="s">
        <v>994</v>
      </c>
      <c r="C444" s="4">
        <v>249.17</v>
      </c>
      <c r="D444" s="4">
        <v>249.17</v>
      </c>
      <c r="E444" s="4">
        <v>0</v>
      </c>
      <c r="F444" s="3" t="s">
        <v>6</v>
      </c>
    </row>
    <row r="445" spans="1:6" x14ac:dyDescent="0.2">
      <c r="A445" s="3" t="s">
        <v>678</v>
      </c>
      <c r="B445" s="3" t="s">
        <v>679</v>
      </c>
      <c r="C445" s="4">
        <v>1741.22</v>
      </c>
      <c r="D445" s="4">
        <v>1741.22</v>
      </c>
      <c r="E445" s="4">
        <v>0</v>
      </c>
      <c r="F445" s="3" t="s">
        <v>6</v>
      </c>
    </row>
    <row r="446" spans="1:6" x14ac:dyDescent="0.2">
      <c r="A446" s="3" t="s">
        <v>678</v>
      </c>
      <c r="B446" s="3" t="s">
        <v>2</v>
      </c>
      <c r="C446" s="4">
        <v>1990.39</v>
      </c>
      <c r="D446" s="4">
        <v>1990.39</v>
      </c>
      <c r="E446" s="4">
        <v>0</v>
      </c>
      <c r="F446" s="3" t="s">
        <v>6</v>
      </c>
    </row>
    <row r="447" spans="1:6" x14ac:dyDescent="0.2">
      <c r="A447" s="3" t="s">
        <v>388</v>
      </c>
      <c r="B447" s="3" t="s">
        <v>390</v>
      </c>
      <c r="C447" s="4">
        <v>16020.76</v>
      </c>
      <c r="D447" s="4">
        <v>13513.06</v>
      </c>
      <c r="E447" s="4">
        <v>2507.6999999999998</v>
      </c>
      <c r="F447" s="3" t="s">
        <v>1449</v>
      </c>
    </row>
    <row r="448" spans="1:6" x14ac:dyDescent="0.2">
      <c r="A448" s="3" t="s">
        <v>388</v>
      </c>
      <c r="B448" s="3" t="s">
        <v>2</v>
      </c>
      <c r="C448" s="4">
        <v>16020.76</v>
      </c>
      <c r="D448" s="4">
        <v>13513.06</v>
      </c>
      <c r="E448" s="4">
        <v>2507.6999999999998</v>
      </c>
      <c r="F448" s="3" t="s">
        <v>1449</v>
      </c>
    </row>
    <row r="449" spans="1:6" x14ac:dyDescent="0.2">
      <c r="A449" s="3" t="s">
        <v>391</v>
      </c>
      <c r="B449" s="3" t="s">
        <v>579</v>
      </c>
      <c r="C449" s="4">
        <v>1738.58</v>
      </c>
      <c r="D449" s="4">
        <v>1399.27</v>
      </c>
      <c r="E449" s="4">
        <v>339.31</v>
      </c>
      <c r="F449" s="3" t="s">
        <v>847</v>
      </c>
    </row>
    <row r="450" spans="1:6" x14ac:dyDescent="0.2">
      <c r="A450" s="3" t="s">
        <v>391</v>
      </c>
      <c r="B450" s="3" t="s">
        <v>392</v>
      </c>
      <c r="C450" s="4">
        <v>50451.87</v>
      </c>
      <c r="D450" s="4">
        <v>40932.199999999997</v>
      </c>
      <c r="E450" s="4">
        <v>9519.67</v>
      </c>
      <c r="F450" s="3" t="s">
        <v>832</v>
      </c>
    </row>
    <row r="451" spans="1:6" x14ac:dyDescent="0.2">
      <c r="A451" s="3" t="s">
        <v>391</v>
      </c>
      <c r="B451" s="3" t="s">
        <v>967</v>
      </c>
      <c r="C451" s="4">
        <v>2062.6799999999998</v>
      </c>
      <c r="D451" s="4">
        <v>2062.6799999999998</v>
      </c>
      <c r="E451" s="4">
        <v>0</v>
      </c>
      <c r="F451" s="3" t="s">
        <v>6</v>
      </c>
    </row>
    <row r="452" spans="1:6" x14ac:dyDescent="0.2">
      <c r="A452" s="3" t="s">
        <v>391</v>
      </c>
      <c r="B452" s="3" t="s">
        <v>1435</v>
      </c>
      <c r="C452" s="4">
        <v>6489</v>
      </c>
      <c r="D452" s="4">
        <v>6489</v>
      </c>
      <c r="E452" s="4">
        <v>0</v>
      </c>
      <c r="F452" s="3" t="s">
        <v>6</v>
      </c>
    </row>
    <row r="453" spans="1:6" s="18" customFormat="1" x14ac:dyDescent="0.2">
      <c r="A453" s="18" t="s">
        <v>391</v>
      </c>
      <c r="B453" s="18" t="s">
        <v>1525</v>
      </c>
      <c r="C453" s="4">
        <v>835.02</v>
      </c>
      <c r="D453" s="4">
        <v>0</v>
      </c>
      <c r="E453" s="19">
        <v>835.02</v>
      </c>
      <c r="F453" s="18" t="s">
        <v>2</v>
      </c>
    </row>
    <row r="454" spans="1:6" x14ac:dyDescent="0.2">
      <c r="A454" s="3" t="s">
        <v>391</v>
      </c>
      <c r="B454" s="3" t="s">
        <v>2</v>
      </c>
      <c r="C454" s="4">
        <v>61577.15</v>
      </c>
      <c r="D454" s="4">
        <v>50883.15</v>
      </c>
      <c r="E454" s="4">
        <v>10694</v>
      </c>
      <c r="F454" s="3" t="s">
        <v>930</v>
      </c>
    </row>
    <row r="455" spans="1:6" x14ac:dyDescent="0.2">
      <c r="A455" s="3" t="s">
        <v>393</v>
      </c>
      <c r="B455" s="3" t="s">
        <v>394</v>
      </c>
      <c r="C455" s="4">
        <v>20452.689999999999</v>
      </c>
      <c r="D455" s="4">
        <v>18791.240000000002</v>
      </c>
      <c r="E455" s="4">
        <v>1661.45</v>
      </c>
      <c r="F455" s="3" t="s">
        <v>1526</v>
      </c>
    </row>
    <row r="456" spans="1:6" x14ac:dyDescent="0.2">
      <c r="A456" s="3" t="s">
        <v>393</v>
      </c>
      <c r="B456" s="3" t="s">
        <v>395</v>
      </c>
      <c r="C456" s="4">
        <v>17564.37</v>
      </c>
      <c r="D456" s="4">
        <v>15674.94</v>
      </c>
      <c r="E456" s="4">
        <v>1889.43</v>
      </c>
      <c r="F456" s="3" t="s">
        <v>965</v>
      </c>
    </row>
    <row r="457" spans="1:6" x14ac:dyDescent="0.2">
      <c r="A457" s="3" t="s">
        <v>393</v>
      </c>
      <c r="B457" s="3" t="s">
        <v>2</v>
      </c>
      <c r="C457" s="4">
        <v>38017.06</v>
      </c>
      <c r="D457" s="4">
        <v>34466.18</v>
      </c>
      <c r="E457" s="4">
        <v>3550.88</v>
      </c>
      <c r="F457" s="3" t="s">
        <v>831</v>
      </c>
    </row>
    <row r="458" spans="1:6" x14ac:dyDescent="0.2">
      <c r="A458" s="3" t="s">
        <v>582</v>
      </c>
      <c r="B458" s="3" t="s">
        <v>583</v>
      </c>
      <c r="C458" s="4">
        <v>172414.13</v>
      </c>
      <c r="D458" s="4">
        <v>149359.42000000001</v>
      </c>
      <c r="E458" s="4">
        <v>23054.71</v>
      </c>
      <c r="F458" s="3" t="s">
        <v>473</v>
      </c>
    </row>
    <row r="459" spans="1:6" x14ac:dyDescent="0.2">
      <c r="A459" s="3" t="s">
        <v>582</v>
      </c>
      <c r="B459" s="3" t="s">
        <v>584</v>
      </c>
      <c r="C459" s="4">
        <v>210988.06</v>
      </c>
      <c r="D459" s="4">
        <v>160761.66</v>
      </c>
      <c r="E459" s="4">
        <v>50226.400000000001</v>
      </c>
      <c r="F459" s="3" t="s">
        <v>762</v>
      </c>
    </row>
    <row r="460" spans="1:6" x14ac:dyDescent="0.2">
      <c r="A460" s="3" t="s">
        <v>582</v>
      </c>
      <c r="B460" s="3" t="s">
        <v>684</v>
      </c>
      <c r="C460" s="4">
        <v>86609.35</v>
      </c>
      <c r="D460" s="4">
        <v>75954.81</v>
      </c>
      <c r="E460" s="4">
        <v>10654.54</v>
      </c>
      <c r="F460" s="3" t="s">
        <v>764</v>
      </c>
    </row>
    <row r="461" spans="1:6" x14ac:dyDescent="0.2">
      <c r="A461" s="3" t="s">
        <v>582</v>
      </c>
      <c r="B461" s="3" t="s">
        <v>2</v>
      </c>
      <c r="C461" s="4">
        <v>470011.54</v>
      </c>
      <c r="D461" s="4">
        <v>386075.89</v>
      </c>
      <c r="E461" s="4">
        <v>83935.65</v>
      </c>
      <c r="F461" s="3" t="s">
        <v>782</v>
      </c>
    </row>
    <row r="462" spans="1:6" x14ac:dyDescent="0.2">
      <c r="A462" s="3" t="s">
        <v>396</v>
      </c>
      <c r="B462" s="3" t="s">
        <v>1403</v>
      </c>
      <c r="C462" s="4">
        <v>162.94</v>
      </c>
      <c r="D462" s="4">
        <v>162.94</v>
      </c>
      <c r="E462" s="4">
        <v>0</v>
      </c>
      <c r="F462" s="3" t="s">
        <v>6</v>
      </c>
    </row>
    <row r="463" spans="1:6" x14ac:dyDescent="0.2">
      <c r="A463" s="3" t="s">
        <v>396</v>
      </c>
      <c r="B463" s="3" t="s">
        <v>397</v>
      </c>
      <c r="C463" s="4">
        <v>17550.72</v>
      </c>
      <c r="D463" s="4">
        <v>16969.740000000002</v>
      </c>
      <c r="E463" s="4">
        <v>580.98</v>
      </c>
      <c r="F463" s="3" t="s">
        <v>480</v>
      </c>
    </row>
    <row r="464" spans="1:6" x14ac:dyDescent="0.2">
      <c r="A464" s="3" t="s">
        <v>396</v>
      </c>
      <c r="B464" s="3" t="s">
        <v>2</v>
      </c>
      <c r="C464" s="4">
        <v>17713.66</v>
      </c>
      <c r="D464" s="4">
        <v>17132.68</v>
      </c>
      <c r="E464" s="4">
        <v>580.98</v>
      </c>
      <c r="F464" s="3" t="s">
        <v>480</v>
      </c>
    </row>
    <row r="465" spans="1:6" x14ac:dyDescent="0.2">
      <c r="A465" s="3" t="s">
        <v>398</v>
      </c>
      <c r="B465" s="3" t="s">
        <v>399</v>
      </c>
      <c r="C465" s="4">
        <v>19161.97</v>
      </c>
      <c r="D465" s="4">
        <v>18275.61</v>
      </c>
      <c r="E465" s="4">
        <v>886.36</v>
      </c>
      <c r="F465" s="3" t="s">
        <v>888</v>
      </c>
    </row>
    <row r="466" spans="1:6" x14ac:dyDescent="0.2">
      <c r="A466" s="3" t="s">
        <v>398</v>
      </c>
      <c r="B466" s="3" t="s">
        <v>400</v>
      </c>
      <c r="C466" s="4">
        <v>21958.11</v>
      </c>
      <c r="D466" s="4">
        <v>21958.11</v>
      </c>
      <c r="E466" s="4">
        <v>0</v>
      </c>
      <c r="F466" s="3" t="s">
        <v>6</v>
      </c>
    </row>
    <row r="467" spans="1:6" x14ac:dyDescent="0.2">
      <c r="A467" s="3" t="s">
        <v>398</v>
      </c>
      <c r="B467" s="3" t="s">
        <v>2</v>
      </c>
      <c r="C467" s="4">
        <v>41120.080000000002</v>
      </c>
      <c r="D467" s="4">
        <v>40233.72</v>
      </c>
      <c r="E467" s="4">
        <v>886.36</v>
      </c>
      <c r="F467" s="3" t="s">
        <v>530</v>
      </c>
    </row>
    <row r="468" spans="1:6" x14ac:dyDescent="0.2">
      <c r="A468" s="3" t="s">
        <v>401</v>
      </c>
      <c r="B468" s="3" t="s">
        <v>402</v>
      </c>
      <c r="C468" s="4">
        <v>447.33</v>
      </c>
      <c r="D468" s="4">
        <v>447.33</v>
      </c>
      <c r="E468" s="4">
        <v>0</v>
      </c>
      <c r="F468" s="3" t="s">
        <v>6</v>
      </c>
    </row>
    <row r="469" spans="1:6" x14ac:dyDescent="0.2">
      <c r="A469" s="3" t="s">
        <v>401</v>
      </c>
      <c r="B469" s="3" t="s">
        <v>2</v>
      </c>
      <c r="C469" s="4">
        <v>447.33</v>
      </c>
      <c r="D469" s="4">
        <v>447.33</v>
      </c>
      <c r="E469" s="4">
        <v>0</v>
      </c>
      <c r="F469" s="3" t="s">
        <v>6</v>
      </c>
    </row>
    <row r="470" spans="1:6" x14ac:dyDescent="0.2">
      <c r="A470" s="3" t="s">
        <v>403</v>
      </c>
      <c r="B470" s="3" t="s">
        <v>404</v>
      </c>
      <c r="C470" s="4">
        <v>15282.63</v>
      </c>
      <c r="D470" s="4">
        <v>11981.55</v>
      </c>
      <c r="E470" s="4">
        <v>3301.08</v>
      </c>
      <c r="F470" s="3" t="s">
        <v>753</v>
      </c>
    </row>
    <row r="471" spans="1:6" x14ac:dyDescent="0.2">
      <c r="A471" s="3" t="s">
        <v>403</v>
      </c>
      <c r="B471" s="3" t="s">
        <v>405</v>
      </c>
      <c r="C471" s="4">
        <v>172815.22</v>
      </c>
      <c r="D471" s="4">
        <v>150065.12</v>
      </c>
      <c r="E471" s="4">
        <v>22750.1</v>
      </c>
      <c r="F471" s="3" t="s">
        <v>606</v>
      </c>
    </row>
    <row r="472" spans="1:6" s="18" customFormat="1" x14ac:dyDescent="0.2">
      <c r="A472" s="18" t="s">
        <v>403</v>
      </c>
      <c r="B472" s="18" t="s">
        <v>1527</v>
      </c>
      <c r="C472" s="4">
        <v>3978.18</v>
      </c>
      <c r="D472" s="4">
        <v>0</v>
      </c>
      <c r="E472" s="19">
        <v>3978.18</v>
      </c>
      <c r="F472" s="18" t="s">
        <v>2</v>
      </c>
    </row>
    <row r="473" spans="1:6" x14ac:dyDescent="0.2">
      <c r="A473" s="3" t="s">
        <v>403</v>
      </c>
      <c r="B473" s="3" t="s">
        <v>406</v>
      </c>
      <c r="C473" s="4">
        <v>102.91</v>
      </c>
      <c r="D473" s="4">
        <v>92.47</v>
      </c>
      <c r="E473" s="4">
        <v>10.44</v>
      </c>
      <c r="F473" s="3" t="s">
        <v>900</v>
      </c>
    </row>
    <row r="474" spans="1:6" x14ac:dyDescent="0.2">
      <c r="A474" s="3" t="s">
        <v>403</v>
      </c>
      <c r="B474" s="3" t="s">
        <v>407</v>
      </c>
      <c r="C474" s="4">
        <v>174.21</v>
      </c>
      <c r="D474" s="4">
        <v>174.21</v>
      </c>
      <c r="E474" s="4">
        <v>0</v>
      </c>
      <c r="F474" s="3" t="s">
        <v>6</v>
      </c>
    </row>
    <row r="475" spans="1:6" x14ac:dyDescent="0.2">
      <c r="A475" s="3" t="s">
        <v>403</v>
      </c>
      <c r="B475" s="3" t="s">
        <v>686</v>
      </c>
      <c r="C475" s="4">
        <v>949.51</v>
      </c>
      <c r="D475" s="4">
        <v>949.51</v>
      </c>
      <c r="E475" s="4">
        <v>0</v>
      </c>
      <c r="F475" s="3" t="s">
        <v>6</v>
      </c>
    </row>
    <row r="476" spans="1:6" x14ac:dyDescent="0.2">
      <c r="A476" s="3" t="s">
        <v>403</v>
      </c>
      <c r="B476" s="3" t="s">
        <v>2</v>
      </c>
      <c r="C476" s="4">
        <v>193302.66</v>
      </c>
      <c r="D476" s="4">
        <v>163262.85999999999</v>
      </c>
      <c r="E476" s="4">
        <v>30039.8</v>
      </c>
      <c r="F476" s="3" t="s">
        <v>804</v>
      </c>
    </row>
    <row r="477" spans="1:6" x14ac:dyDescent="0.2">
      <c r="A477" s="3" t="s">
        <v>408</v>
      </c>
      <c r="B477" s="3" t="s">
        <v>409</v>
      </c>
      <c r="C477" s="4">
        <v>48149</v>
      </c>
      <c r="D477" s="4">
        <v>42140.4</v>
      </c>
      <c r="E477" s="4">
        <v>6008.6</v>
      </c>
      <c r="F477" s="3" t="s">
        <v>862</v>
      </c>
    </row>
    <row r="478" spans="1:6" x14ac:dyDescent="0.2">
      <c r="A478" s="3" t="s">
        <v>408</v>
      </c>
      <c r="B478" s="3" t="s">
        <v>995</v>
      </c>
      <c r="C478" s="4">
        <v>33.01</v>
      </c>
      <c r="D478" s="4">
        <v>33.01</v>
      </c>
      <c r="E478" s="4">
        <v>0</v>
      </c>
      <c r="F478" s="3" t="s">
        <v>6</v>
      </c>
    </row>
    <row r="479" spans="1:6" x14ac:dyDescent="0.2">
      <c r="A479" s="3" t="s">
        <v>408</v>
      </c>
      <c r="B479" s="3" t="s">
        <v>410</v>
      </c>
      <c r="C479" s="4">
        <v>1062.46</v>
      </c>
      <c r="D479" s="4">
        <v>908.11</v>
      </c>
      <c r="E479" s="4">
        <v>154.35</v>
      </c>
      <c r="F479" s="3" t="s">
        <v>963</v>
      </c>
    </row>
    <row r="480" spans="1:6" x14ac:dyDescent="0.2">
      <c r="A480" s="3" t="s">
        <v>408</v>
      </c>
      <c r="B480" s="3" t="s">
        <v>411</v>
      </c>
      <c r="C480" s="4">
        <v>20931.8</v>
      </c>
      <c r="D480" s="4">
        <v>18425</v>
      </c>
      <c r="E480" s="4">
        <v>2506.8000000000002</v>
      </c>
      <c r="F480" s="3" t="s">
        <v>570</v>
      </c>
    </row>
    <row r="481" spans="1:6" x14ac:dyDescent="0.2">
      <c r="A481" s="3" t="s">
        <v>408</v>
      </c>
      <c r="B481" s="3" t="s">
        <v>412</v>
      </c>
      <c r="C481" s="4">
        <v>2605.5500000000002</v>
      </c>
      <c r="D481" s="4">
        <v>2331.0100000000002</v>
      </c>
      <c r="E481" s="4">
        <v>274.54000000000002</v>
      </c>
      <c r="F481" s="3" t="s">
        <v>1338</v>
      </c>
    </row>
    <row r="482" spans="1:6" x14ac:dyDescent="0.2">
      <c r="A482" s="3" t="s">
        <v>408</v>
      </c>
      <c r="B482" s="3" t="s">
        <v>413</v>
      </c>
      <c r="C482" s="4">
        <v>18479.62</v>
      </c>
      <c r="D482" s="4">
        <v>16248.08</v>
      </c>
      <c r="E482" s="4">
        <v>2231.54</v>
      </c>
      <c r="F482" s="3" t="s">
        <v>1416</v>
      </c>
    </row>
    <row r="483" spans="1:6" x14ac:dyDescent="0.2">
      <c r="A483" s="3" t="s">
        <v>408</v>
      </c>
      <c r="B483" s="3" t="s">
        <v>414</v>
      </c>
      <c r="C483" s="4">
        <v>10032.950000000001</v>
      </c>
      <c r="D483" s="4">
        <v>8918.17</v>
      </c>
      <c r="E483" s="4">
        <v>1114.78</v>
      </c>
      <c r="F483" s="3" t="s">
        <v>943</v>
      </c>
    </row>
    <row r="484" spans="1:6" x14ac:dyDescent="0.2">
      <c r="A484" s="3" t="s">
        <v>408</v>
      </c>
      <c r="B484" s="3" t="s">
        <v>415</v>
      </c>
      <c r="C484" s="4">
        <v>500.25</v>
      </c>
      <c r="D484" s="4">
        <v>444.67</v>
      </c>
      <c r="E484" s="4">
        <v>55.58</v>
      </c>
      <c r="F484" s="3" t="s">
        <v>943</v>
      </c>
    </row>
    <row r="485" spans="1:6" x14ac:dyDescent="0.2">
      <c r="A485" s="3" t="s">
        <v>408</v>
      </c>
      <c r="B485" s="3" t="s">
        <v>416</v>
      </c>
      <c r="C485" s="4">
        <v>19770</v>
      </c>
      <c r="D485" s="4">
        <v>18069.080000000002</v>
      </c>
      <c r="E485" s="4">
        <v>1700.92</v>
      </c>
      <c r="F485" s="3" t="s">
        <v>486</v>
      </c>
    </row>
    <row r="486" spans="1:6" x14ac:dyDescent="0.2">
      <c r="A486" s="3" t="s">
        <v>408</v>
      </c>
      <c r="B486" s="3" t="s">
        <v>417</v>
      </c>
      <c r="C486" s="4">
        <v>24325.13</v>
      </c>
      <c r="D486" s="4">
        <v>21889.39</v>
      </c>
      <c r="E486" s="4">
        <v>2435.7399999999998</v>
      </c>
      <c r="F486" s="3" t="s">
        <v>951</v>
      </c>
    </row>
    <row r="487" spans="1:6" x14ac:dyDescent="0.2">
      <c r="A487" s="3" t="s">
        <v>408</v>
      </c>
      <c r="B487" s="3" t="s">
        <v>689</v>
      </c>
      <c r="C487" s="4">
        <v>584313.93999999994</v>
      </c>
      <c r="D487" s="4">
        <v>526125.47</v>
      </c>
      <c r="E487" s="4">
        <v>58188.47</v>
      </c>
      <c r="F487" s="3" t="s">
        <v>951</v>
      </c>
    </row>
    <row r="488" spans="1:6" x14ac:dyDescent="0.2">
      <c r="A488" s="3" t="s">
        <v>408</v>
      </c>
      <c r="B488" s="3" t="s">
        <v>418</v>
      </c>
      <c r="C488" s="4">
        <v>97683.37</v>
      </c>
      <c r="D488" s="4">
        <v>86827.42</v>
      </c>
      <c r="E488" s="4">
        <v>10855.95</v>
      </c>
      <c r="F488" s="3" t="s">
        <v>943</v>
      </c>
    </row>
    <row r="489" spans="1:6" x14ac:dyDescent="0.2">
      <c r="A489" s="3" t="s">
        <v>408</v>
      </c>
      <c r="B489" s="3" t="s">
        <v>419</v>
      </c>
      <c r="C489" s="4">
        <v>48787.61</v>
      </c>
      <c r="D489" s="4">
        <v>43736.34</v>
      </c>
      <c r="E489" s="4">
        <v>5051.2700000000004</v>
      </c>
      <c r="F489" s="3" t="s">
        <v>970</v>
      </c>
    </row>
    <row r="490" spans="1:6" x14ac:dyDescent="0.2">
      <c r="A490" s="3" t="s">
        <v>408</v>
      </c>
      <c r="B490" s="3" t="s">
        <v>2</v>
      </c>
      <c r="C490" s="4">
        <v>876674.69</v>
      </c>
      <c r="D490" s="4">
        <v>786096.15</v>
      </c>
      <c r="E490" s="4">
        <v>90578.54</v>
      </c>
      <c r="F490" s="3" t="s">
        <v>970</v>
      </c>
    </row>
    <row r="491" spans="1:6" x14ac:dyDescent="0.2">
      <c r="A491" s="3" t="s">
        <v>420</v>
      </c>
      <c r="B491" s="3" t="s">
        <v>421</v>
      </c>
      <c r="C491" s="4">
        <v>68772.7</v>
      </c>
      <c r="D491" s="4">
        <v>65922.64</v>
      </c>
      <c r="E491" s="4">
        <v>2850.06</v>
      </c>
      <c r="F491" s="3" t="s">
        <v>748</v>
      </c>
    </row>
    <row r="492" spans="1:6" x14ac:dyDescent="0.2">
      <c r="A492" s="3" t="s">
        <v>420</v>
      </c>
      <c r="B492" s="3" t="s">
        <v>422</v>
      </c>
      <c r="C492" s="4">
        <v>38993.629999999997</v>
      </c>
      <c r="D492" s="4">
        <v>36207.67</v>
      </c>
      <c r="E492" s="4">
        <v>2785.96</v>
      </c>
      <c r="F492" s="3" t="s">
        <v>718</v>
      </c>
    </row>
    <row r="493" spans="1:6" x14ac:dyDescent="0.2">
      <c r="A493" s="3" t="s">
        <v>420</v>
      </c>
      <c r="B493" s="3" t="s">
        <v>423</v>
      </c>
      <c r="C493" s="4">
        <v>39219.17</v>
      </c>
      <c r="D493" s="4">
        <v>26291.24</v>
      </c>
      <c r="E493" s="4">
        <v>12927.93</v>
      </c>
      <c r="F493" s="3" t="s">
        <v>555</v>
      </c>
    </row>
    <row r="494" spans="1:6" x14ac:dyDescent="0.2">
      <c r="A494" s="3" t="s">
        <v>420</v>
      </c>
      <c r="B494" s="3" t="s">
        <v>424</v>
      </c>
      <c r="C494" s="4">
        <v>30840.639999999999</v>
      </c>
      <c r="D494" s="4">
        <v>28459.14</v>
      </c>
      <c r="E494" s="4">
        <v>2381.5</v>
      </c>
      <c r="F494" s="3" t="s">
        <v>737</v>
      </c>
    </row>
    <row r="495" spans="1:6" x14ac:dyDescent="0.2">
      <c r="A495" s="3" t="s">
        <v>420</v>
      </c>
      <c r="B495" s="3" t="s">
        <v>1437</v>
      </c>
      <c r="C495" s="4">
        <v>14.16</v>
      </c>
      <c r="D495" s="4">
        <v>0</v>
      </c>
      <c r="E495" s="4">
        <v>14.16</v>
      </c>
      <c r="F495" s="3" t="s">
        <v>2</v>
      </c>
    </row>
    <row r="496" spans="1:6" x14ac:dyDescent="0.2">
      <c r="A496" s="3" t="s">
        <v>420</v>
      </c>
      <c r="B496" s="3" t="s">
        <v>588</v>
      </c>
      <c r="C496" s="4">
        <v>2459.56</v>
      </c>
      <c r="D496" s="4">
        <v>2053.86</v>
      </c>
      <c r="E496" s="4">
        <v>405.7</v>
      </c>
      <c r="F496" s="3" t="s">
        <v>917</v>
      </c>
    </row>
    <row r="497" spans="1:6" x14ac:dyDescent="0.2">
      <c r="A497" s="3" t="s">
        <v>420</v>
      </c>
      <c r="B497" s="3" t="s">
        <v>425</v>
      </c>
      <c r="C497" s="4">
        <v>7826.11</v>
      </c>
      <c r="D497" s="4">
        <v>6497.7</v>
      </c>
      <c r="E497" s="4">
        <v>1328.41</v>
      </c>
      <c r="F497" s="3" t="s">
        <v>860</v>
      </c>
    </row>
    <row r="498" spans="1:6" x14ac:dyDescent="0.2">
      <c r="A498" s="3" t="s">
        <v>420</v>
      </c>
      <c r="B498" s="3" t="s">
        <v>795</v>
      </c>
      <c r="C498" s="4">
        <v>71649.259999999995</v>
      </c>
      <c r="D498" s="4">
        <v>62976.42</v>
      </c>
      <c r="E498" s="4">
        <v>8672.84</v>
      </c>
      <c r="F498" s="3" t="s">
        <v>677</v>
      </c>
    </row>
    <row r="499" spans="1:6" x14ac:dyDescent="0.2">
      <c r="A499" s="3" t="s">
        <v>420</v>
      </c>
      <c r="B499" s="3" t="s">
        <v>2</v>
      </c>
      <c r="C499" s="4">
        <v>259775.23</v>
      </c>
      <c r="D499" s="4">
        <v>228408.67</v>
      </c>
      <c r="E499" s="4">
        <v>31366.560000000001</v>
      </c>
      <c r="F499" s="3" t="s">
        <v>1416</v>
      </c>
    </row>
    <row r="500" spans="1:6" x14ac:dyDescent="0.2">
      <c r="A500" s="3" t="s">
        <v>426</v>
      </c>
      <c r="B500" s="3" t="s">
        <v>427</v>
      </c>
      <c r="C500" s="4">
        <v>1195.8399999999999</v>
      </c>
      <c r="D500" s="4">
        <v>999.09</v>
      </c>
      <c r="E500" s="4">
        <v>196.75</v>
      </c>
      <c r="F500" s="3" t="s">
        <v>925</v>
      </c>
    </row>
    <row r="501" spans="1:6" x14ac:dyDescent="0.2">
      <c r="A501" s="3" t="s">
        <v>426</v>
      </c>
      <c r="B501" s="3" t="s">
        <v>428</v>
      </c>
      <c r="C501" s="4">
        <v>5757.32</v>
      </c>
      <c r="D501" s="4">
        <v>4648.45</v>
      </c>
      <c r="E501" s="4">
        <v>1108.8699999999999</v>
      </c>
      <c r="F501" s="3" t="s">
        <v>853</v>
      </c>
    </row>
    <row r="502" spans="1:6" x14ac:dyDescent="0.2">
      <c r="A502" s="3" t="s">
        <v>426</v>
      </c>
      <c r="B502" s="3" t="s">
        <v>429</v>
      </c>
      <c r="C502" s="4">
        <v>49389.5</v>
      </c>
      <c r="D502" s="4">
        <v>44027.35</v>
      </c>
      <c r="E502" s="4">
        <v>5362.15</v>
      </c>
      <c r="F502" s="3" t="s">
        <v>544</v>
      </c>
    </row>
    <row r="503" spans="1:6" x14ac:dyDescent="0.2">
      <c r="A503" s="3" t="s">
        <v>426</v>
      </c>
      <c r="B503" s="3" t="s">
        <v>430</v>
      </c>
      <c r="C503" s="4">
        <v>18301.21</v>
      </c>
      <c r="D503" s="4">
        <v>18069.04</v>
      </c>
      <c r="E503" s="4">
        <v>232.17</v>
      </c>
      <c r="F503" s="3" t="s">
        <v>816</v>
      </c>
    </row>
    <row r="504" spans="1:6" x14ac:dyDescent="0.2">
      <c r="A504" s="3" t="s">
        <v>426</v>
      </c>
      <c r="B504" s="3" t="s">
        <v>2</v>
      </c>
      <c r="C504" s="4">
        <v>74643.87</v>
      </c>
      <c r="D504" s="4">
        <v>67743.929999999993</v>
      </c>
      <c r="E504" s="4">
        <v>6899.94</v>
      </c>
      <c r="F504" s="3" t="s">
        <v>697</v>
      </c>
    </row>
    <row r="505" spans="1:6" x14ac:dyDescent="0.2">
      <c r="A505" s="3" t="s">
        <v>431</v>
      </c>
      <c r="B505" s="3" t="s">
        <v>432</v>
      </c>
      <c r="C505" s="4">
        <v>-983370.43</v>
      </c>
      <c r="D505" s="4">
        <v>-861052.25</v>
      </c>
      <c r="E505" s="4">
        <v>-122318.18</v>
      </c>
      <c r="F505" s="3" t="s">
        <v>713</v>
      </c>
    </row>
    <row r="506" spans="1:6" x14ac:dyDescent="0.2">
      <c r="A506" s="3" t="s">
        <v>431</v>
      </c>
      <c r="B506" s="3" t="s">
        <v>2</v>
      </c>
      <c r="C506" s="4">
        <v>-983370.43</v>
      </c>
      <c r="D506" s="4">
        <v>-861052.25</v>
      </c>
      <c r="E506" s="4">
        <v>-122318.18</v>
      </c>
      <c r="F506" s="3" t="s">
        <v>713</v>
      </c>
    </row>
    <row r="507" spans="1:6" x14ac:dyDescent="0.2">
      <c r="A507" s="3" t="s">
        <v>433</v>
      </c>
      <c r="B507" s="3" t="s">
        <v>2</v>
      </c>
      <c r="C507" s="4">
        <v>3530368.33</v>
      </c>
      <c r="D507" s="4">
        <v>3070189.57</v>
      </c>
      <c r="E507" s="4">
        <v>460178.76</v>
      </c>
      <c r="F507" s="3" t="s">
        <v>595</v>
      </c>
    </row>
    <row r="508" spans="1:6" x14ac:dyDescent="0.2">
      <c r="A508" s="3" t="s">
        <v>434</v>
      </c>
      <c r="B508" s="3" t="s">
        <v>796</v>
      </c>
      <c r="C508" s="4">
        <v>-39432.78</v>
      </c>
      <c r="D508" s="4">
        <v>-39432.78</v>
      </c>
      <c r="E508" s="4">
        <v>0</v>
      </c>
      <c r="F508" s="3" t="s">
        <v>6</v>
      </c>
    </row>
    <row r="509" spans="1:6" x14ac:dyDescent="0.2">
      <c r="A509" s="3" t="s">
        <v>434</v>
      </c>
      <c r="B509" s="3" t="s">
        <v>870</v>
      </c>
      <c r="C509" s="4">
        <v>13508.62</v>
      </c>
      <c r="D509" s="4">
        <v>13508.62</v>
      </c>
      <c r="E509" s="4">
        <v>0</v>
      </c>
      <c r="F509" s="3" t="s">
        <v>6</v>
      </c>
    </row>
    <row r="510" spans="1:6" x14ac:dyDescent="0.2">
      <c r="A510" s="3" t="s">
        <v>434</v>
      </c>
      <c r="B510" s="3" t="s">
        <v>590</v>
      </c>
      <c r="C510" s="4">
        <v>-7261.59</v>
      </c>
      <c r="D510" s="4">
        <v>-7261.59</v>
      </c>
      <c r="E510" s="4">
        <v>0</v>
      </c>
      <c r="F510" s="3" t="s">
        <v>6</v>
      </c>
    </row>
    <row r="511" spans="1:6" x14ac:dyDescent="0.2">
      <c r="A511" s="3" t="s">
        <v>434</v>
      </c>
      <c r="B511" s="3" t="s">
        <v>1310</v>
      </c>
      <c r="C511" s="4">
        <v>5598.32</v>
      </c>
      <c r="D511" s="4">
        <v>5598.32</v>
      </c>
      <c r="E511" s="4">
        <v>0</v>
      </c>
      <c r="F511" s="3" t="s">
        <v>6</v>
      </c>
    </row>
    <row r="512" spans="1:6" x14ac:dyDescent="0.2">
      <c r="A512" s="3" t="s">
        <v>434</v>
      </c>
      <c r="B512" s="3" t="s">
        <v>436</v>
      </c>
      <c r="C512" s="4">
        <v>627287.07999999996</v>
      </c>
      <c r="D512" s="4">
        <v>572471.04000000004</v>
      </c>
      <c r="E512" s="4">
        <v>54816.04</v>
      </c>
      <c r="F512" s="3" t="s">
        <v>680</v>
      </c>
    </row>
    <row r="513" spans="1:6" x14ac:dyDescent="0.2">
      <c r="A513" s="3" t="s">
        <v>434</v>
      </c>
      <c r="B513" s="3" t="s">
        <v>2</v>
      </c>
      <c r="C513" s="4">
        <v>599699.65</v>
      </c>
      <c r="D513" s="4">
        <v>544883.61</v>
      </c>
      <c r="E513" s="4">
        <v>54816.04</v>
      </c>
      <c r="F513" s="3" t="s">
        <v>596</v>
      </c>
    </row>
    <row r="514" spans="1:6" x14ac:dyDescent="0.2">
      <c r="A514" s="3" t="s">
        <v>437</v>
      </c>
      <c r="B514" s="3" t="s">
        <v>592</v>
      </c>
      <c r="C514" s="4">
        <v>9986.7800000000007</v>
      </c>
      <c r="D514" s="4">
        <v>9845.8700000000008</v>
      </c>
      <c r="E514" s="4">
        <v>140.91</v>
      </c>
      <c r="F514" s="3" t="s">
        <v>936</v>
      </c>
    </row>
    <row r="515" spans="1:6" x14ac:dyDescent="0.2">
      <c r="A515" s="3" t="s">
        <v>437</v>
      </c>
      <c r="B515" s="3" t="s">
        <v>1438</v>
      </c>
      <c r="C515" s="4">
        <v>8.1</v>
      </c>
      <c r="D515" s="4">
        <v>8.1</v>
      </c>
      <c r="E515" s="4">
        <v>0</v>
      </c>
      <c r="F515" s="3" t="s">
        <v>6</v>
      </c>
    </row>
    <row r="516" spans="1:6" x14ac:dyDescent="0.2">
      <c r="A516" s="3" t="s">
        <v>437</v>
      </c>
      <c r="B516" s="3" t="s">
        <v>1311</v>
      </c>
      <c r="C516" s="4">
        <v>1673.69</v>
      </c>
      <c r="D516" s="4">
        <v>1673.69</v>
      </c>
      <c r="E516" s="4">
        <v>0</v>
      </c>
      <c r="F516" s="3" t="s">
        <v>6</v>
      </c>
    </row>
    <row r="517" spans="1:6" x14ac:dyDescent="0.2">
      <c r="A517" s="3" t="s">
        <v>437</v>
      </c>
      <c r="B517" s="3" t="s">
        <v>438</v>
      </c>
      <c r="C517" s="4">
        <v>206154.96</v>
      </c>
      <c r="D517" s="4">
        <v>121028.04</v>
      </c>
      <c r="E517" s="4">
        <v>85126.92</v>
      </c>
      <c r="F517" s="3" t="s">
        <v>939</v>
      </c>
    </row>
    <row r="518" spans="1:6" x14ac:dyDescent="0.2">
      <c r="A518" s="3" t="s">
        <v>437</v>
      </c>
      <c r="B518" s="3" t="s">
        <v>439</v>
      </c>
      <c r="C518" s="4">
        <v>14338.62</v>
      </c>
      <c r="D518" s="4">
        <v>2804.86</v>
      </c>
      <c r="E518" s="4">
        <v>11533.76</v>
      </c>
      <c r="F518" s="3" t="s">
        <v>1528</v>
      </c>
    </row>
    <row r="519" spans="1:6" x14ac:dyDescent="0.2">
      <c r="A519" s="3" t="s">
        <v>437</v>
      </c>
      <c r="B519" s="3" t="s">
        <v>440</v>
      </c>
      <c r="C519" s="4">
        <v>63732.39</v>
      </c>
      <c r="D519" s="4">
        <v>59919.71</v>
      </c>
      <c r="E519" s="4">
        <v>3812.68</v>
      </c>
      <c r="F519" s="3" t="s">
        <v>927</v>
      </c>
    </row>
    <row r="520" spans="1:6" x14ac:dyDescent="0.2">
      <c r="A520" s="3" t="s">
        <v>437</v>
      </c>
      <c r="B520" s="3" t="s">
        <v>2</v>
      </c>
      <c r="C520" s="4">
        <v>295894.53999999998</v>
      </c>
      <c r="D520" s="4">
        <v>195280.27</v>
      </c>
      <c r="E520" s="4">
        <v>100614.27</v>
      </c>
      <c r="F520" s="3" t="s">
        <v>591</v>
      </c>
    </row>
    <row r="521" spans="1:6" x14ac:dyDescent="0.2">
      <c r="A521" s="3" t="s">
        <v>441</v>
      </c>
      <c r="B521" s="3" t="s">
        <v>2</v>
      </c>
      <c r="C521" s="4">
        <v>895594.19</v>
      </c>
      <c r="D521" s="4">
        <v>740163.88</v>
      </c>
      <c r="E521" s="4">
        <v>155430.31</v>
      </c>
      <c r="F521" s="3" t="s">
        <v>930</v>
      </c>
    </row>
    <row r="522" spans="1:6" x14ac:dyDescent="0.2">
      <c r="A522" s="3" t="s">
        <v>442</v>
      </c>
      <c r="B522" s="3" t="s">
        <v>443</v>
      </c>
      <c r="C522" s="4">
        <v>-9.25</v>
      </c>
      <c r="D522" s="4">
        <v>-9</v>
      </c>
      <c r="E522" s="4">
        <v>-0.25</v>
      </c>
      <c r="F522" s="3" t="s">
        <v>505</v>
      </c>
    </row>
    <row r="523" spans="1:6" x14ac:dyDescent="0.2">
      <c r="A523" s="3" t="s">
        <v>442</v>
      </c>
      <c r="B523" s="3" t="s">
        <v>2</v>
      </c>
      <c r="C523" s="4">
        <v>-9.25</v>
      </c>
      <c r="D523" s="4">
        <v>-9</v>
      </c>
      <c r="E523" s="4">
        <v>-0.25</v>
      </c>
      <c r="F523" s="3" t="s">
        <v>505</v>
      </c>
    </row>
    <row r="524" spans="1:6" x14ac:dyDescent="0.2">
      <c r="A524" s="3" t="s">
        <v>444</v>
      </c>
      <c r="B524" s="3" t="s">
        <v>2</v>
      </c>
      <c r="C524" s="4">
        <v>-9.25</v>
      </c>
      <c r="D524" s="4">
        <v>-9</v>
      </c>
      <c r="E524" s="4">
        <v>-0.25</v>
      </c>
      <c r="F524" s="3" t="s">
        <v>505</v>
      </c>
    </row>
    <row r="525" spans="1:6" x14ac:dyDescent="0.2">
      <c r="A525" s="3" t="s">
        <v>445</v>
      </c>
      <c r="B525" s="3" t="s">
        <v>692</v>
      </c>
      <c r="C525" s="4">
        <v>356.76</v>
      </c>
      <c r="D525" s="4">
        <v>223.16</v>
      </c>
      <c r="E525" s="4">
        <v>133.6</v>
      </c>
      <c r="F525" s="3" t="s">
        <v>1529</v>
      </c>
    </row>
    <row r="526" spans="1:6" x14ac:dyDescent="0.2">
      <c r="A526" s="3" t="s">
        <v>445</v>
      </c>
      <c r="B526" s="3" t="s">
        <v>1161</v>
      </c>
      <c r="C526" s="4">
        <v>3.48</v>
      </c>
      <c r="D526" s="4">
        <v>3.48</v>
      </c>
      <c r="E526" s="4">
        <v>0</v>
      </c>
      <c r="F526" s="3" t="s">
        <v>6</v>
      </c>
    </row>
    <row r="527" spans="1:6" x14ac:dyDescent="0.2">
      <c r="A527" s="3" t="s">
        <v>445</v>
      </c>
      <c r="B527" s="3" t="s">
        <v>446</v>
      </c>
      <c r="C527" s="4">
        <v>56981.27</v>
      </c>
      <c r="D527" s="4">
        <v>53174.66</v>
      </c>
      <c r="E527" s="4">
        <v>3806.61</v>
      </c>
      <c r="F527" s="3" t="s">
        <v>663</v>
      </c>
    </row>
    <row r="528" spans="1:6" x14ac:dyDescent="0.2">
      <c r="A528" s="3" t="s">
        <v>445</v>
      </c>
      <c r="B528" s="3" t="s">
        <v>996</v>
      </c>
      <c r="C528" s="4">
        <v>-4183</v>
      </c>
      <c r="D528" s="4">
        <v>-4183</v>
      </c>
      <c r="E528" s="4">
        <v>0</v>
      </c>
      <c r="F528" s="3" t="s">
        <v>6</v>
      </c>
    </row>
    <row r="529" spans="1:6" x14ac:dyDescent="0.2">
      <c r="A529" s="3" t="s">
        <v>445</v>
      </c>
      <c r="B529" s="3" t="s">
        <v>2</v>
      </c>
      <c r="C529" s="4">
        <v>53158.51</v>
      </c>
      <c r="D529" s="4">
        <v>49218.3</v>
      </c>
      <c r="E529" s="4">
        <v>3940.21</v>
      </c>
      <c r="F529" s="3" t="s">
        <v>894</v>
      </c>
    </row>
    <row r="530" spans="1:6" x14ac:dyDescent="0.2">
      <c r="A530" s="3" t="s">
        <v>447</v>
      </c>
      <c r="B530" s="3" t="s">
        <v>2</v>
      </c>
      <c r="C530" s="4">
        <v>53158.51</v>
      </c>
      <c r="D530" s="4">
        <v>49218.3</v>
      </c>
      <c r="E530" s="4">
        <v>3940.21</v>
      </c>
      <c r="F530" s="3" t="s">
        <v>894</v>
      </c>
    </row>
    <row r="531" spans="1:6" x14ac:dyDescent="0.2">
      <c r="A531" s="3" t="s">
        <v>237</v>
      </c>
      <c r="B531" s="3" t="s">
        <v>448</v>
      </c>
      <c r="C531" s="4">
        <v>-16229280.949999999</v>
      </c>
      <c r="D531" s="4">
        <v>-13391779.07</v>
      </c>
      <c r="E531" s="4">
        <v>-2837501.88</v>
      </c>
      <c r="F531" s="3" t="s">
        <v>1530</v>
      </c>
    </row>
    <row r="532" spans="1:6" x14ac:dyDescent="0.2">
      <c r="A532" s="3" t="s">
        <v>237</v>
      </c>
      <c r="B532" s="5" t="s">
        <v>449</v>
      </c>
      <c r="C532" s="4">
        <v>0</v>
      </c>
      <c r="D532" s="4">
        <v>0</v>
      </c>
      <c r="E532" s="4">
        <v>0</v>
      </c>
      <c r="F532" s="3" t="s">
        <v>2</v>
      </c>
    </row>
    <row r="533" spans="1:6" x14ac:dyDescent="0.2">
      <c r="A533" s="3" t="s">
        <v>450</v>
      </c>
      <c r="B533" s="3" t="s">
        <v>451</v>
      </c>
      <c r="C533" s="4">
        <v>0</v>
      </c>
      <c r="D533" s="4">
        <v>0</v>
      </c>
      <c r="E533" s="4">
        <v>0</v>
      </c>
      <c r="F533" s="3" t="s">
        <v>2</v>
      </c>
    </row>
    <row r="534" spans="1:6" x14ac:dyDescent="0.2">
      <c r="A534" s="3" t="s">
        <v>450</v>
      </c>
      <c r="B534" s="5" t="s">
        <v>234</v>
      </c>
      <c r="C534" s="4">
        <v>0</v>
      </c>
      <c r="D534" s="4">
        <v>0</v>
      </c>
      <c r="E534" s="4">
        <v>0</v>
      </c>
      <c r="F534" s="3" t="s">
        <v>2</v>
      </c>
    </row>
    <row r="535" spans="1:6" x14ac:dyDescent="0.2">
      <c r="A535" s="3" t="s">
        <v>452</v>
      </c>
      <c r="B535" s="3" t="s">
        <v>453</v>
      </c>
      <c r="C535" s="4">
        <v>0</v>
      </c>
      <c r="D535" s="4">
        <v>0</v>
      </c>
      <c r="E535" s="4">
        <v>0</v>
      </c>
      <c r="F535" s="3" t="s">
        <v>2</v>
      </c>
    </row>
    <row r="536" spans="1:6" x14ac:dyDescent="0.2">
      <c r="A536" s="3" t="s">
        <v>452</v>
      </c>
      <c r="B536" s="3" t="s">
        <v>2</v>
      </c>
      <c r="C536" s="4">
        <v>16229280.949999999</v>
      </c>
      <c r="D536" s="4">
        <v>13391779.07</v>
      </c>
      <c r="E536" s="4">
        <v>2837501.88</v>
      </c>
      <c r="F536" s="3" t="s">
        <v>906</v>
      </c>
    </row>
    <row r="537" spans="1:6" x14ac:dyDescent="0.2">
      <c r="A537" s="3" t="s">
        <v>450</v>
      </c>
      <c r="B537" s="3" t="s">
        <v>2</v>
      </c>
      <c r="C537" s="4">
        <v>16229280.949999999</v>
      </c>
      <c r="D537" s="4">
        <v>13391779.07</v>
      </c>
      <c r="E537" s="4">
        <v>2837501.88</v>
      </c>
      <c r="F537" s="3" t="s">
        <v>906</v>
      </c>
    </row>
    <row r="538" spans="1:6" x14ac:dyDescent="0.2">
      <c r="A538" s="3" t="s">
        <v>454</v>
      </c>
      <c r="B538" s="3" t="s">
        <v>455</v>
      </c>
      <c r="C538" s="4">
        <v>0</v>
      </c>
      <c r="D538" s="4">
        <v>0</v>
      </c>
      <c r="E538" s="4">
        <v>0</v>
      </c>
      <c r="F538" s="3" t="s">
        <v>2</v>
      </c>
    </row>
    <row r="539" spans="1:6" x14ac:dyDescent="0.2">
      <c r="A539" s="3" t="s">
        <v>454</v>
      </c>
      <c r="B539" s="5" t="s">
        <v>456</v>
      </c>
      <c r="C539" s="4">
        <v>0</v>
      </c>
      <c r="D539" s="4">
        <v>0</v>
      </c>
      <c r="E539" s="4">
        <v>0</v>
      </c>
      <c r="F539" s="3" t="s">
        <v>2</v>
      </c>
    </row>
    <row r="540" spans="1:6" x14ac:dyDescent="0.2">
      <c r="A540" s="3" t="s">
        <v>454</v>
      </c>
      <c r="B540" s="3" t="s">
        <v>457</v>
      </c>
      <c r="C540" s="4">
        <v>-70195.02</v>
      </c>
      <c r="D540" s="4">
        <v>-56758.99</v>
      </c>
      <c r="E540" s="4">
        <v>-13436.03</v>
      </c>
      <c r="F540" s="3" t="s">
        <v>1167</v>
      </c>
    </row>
    <row r="541" spans="1:6" x14ac:dyDescent="0.2">
      <c r="A541" s="3" t="s">
        <v>454</v>
      </c>
      <c r="B541" s="3" t="s">
        <v>458</v>
      </c>
      <c r="C541" s="4">
        <v>-37759.93</v>
      </c>
      <c r="D541" s="4">
        <v>-29092.53</v>
      </c>
      <c r="E541" s="4">
        <v>-8667.4</v>
      </c>
      <c r="F541" s="3" t="s">
        <v>728</v>
      </c>
    </row>
    <row r="542" spans="1:6" x14ac:dyDescent="0.2">
      <c r="A542" s="3" t="s">
        <v>454</v>
      </c>
      <c r="B542" s="3" t="s">
        <v>694</v>
      </c>
      <c r="C542" s="4">
        <v>-867.08</v>
      </c>
      <c r="D542" s="4">
        <v>-264.33999999999997</v>
      </c>
      <c r="E542" s="4">
        <v>-602.74</v>
      </c>
      <c r="F542" s="3" t="s">
        <v>1531</v>
      </c>
    </row>
    <row r="543" spans="1:6" x14ac:dyDescent="0.2">
      <c r="A543" s="3" t="s">
        <v>454</v>
      </c>
      <c r="B543" s="3" t="s">
        <v>459</v>
      </c>
      <c r="C543" s="4">
        <v>19488.669999999998</v>
      </c>
      <c r="D543" s="4">
        <v>20843.09</v>
      </c>
      <c r="E543" s="4">
        <v>-1354.42</v>
      </c>
      <c r="F543" s="3" t="s">
        <v>481</v>
      </c>
    </row>
    <row r="544" spans="1:6" x14ac:dyDescent="0.2">
      <c r="A544" s="3" t="s">
        <v>454</v>
      </c>
      <c r="B544" s="3" t="s">
        <v>460</v>
      </c>
      <c r="C544" s="4">
        <v>-40507.79</v>
      </c>
      <c r="D544" s="4">
        <v>-40507.79</v>
      </c>
      <c r="E544" s="4">
        <v>0</v>
      </c>
      <c r="F544" s="3" t="s">
        <v>6</v>
      </c>
    </row>
    <row r="545" spans="1:6" x14ac:dyDescent="0.2">
      <c r="A545" s="3" t="s">
        <v>454</v>
      </c>
      <c r="B545" s="3" t="s">
        <v>1439</v>
      </c>
      <c r="C545" s="4">
        <v>11350.85</v>
      </c>
      <c r="D545" s="4">
        <v>9732.08</v>
      </c>
      <c r="E545" s="4">
        <v>1618.77</v>
      </c>
      <c r="F545" s="3" t="s">
        <v>923</v>
      </c>
    </row>
    <row r="546" spans="1:6" x14ac:dyDescent="0.2">
      <c r="A546" s="3" t="s">
        <v>454</v>
      </c>
      <c r="B546" s="3" t="s">
        <v>874</v>
      </c>
      <c r="C546" s="4">
        <v>230617.9</v>
      </c>
      <c r="D546" s="4">
        <v>201039.23</v>
      </c>
      <c r="E546" s="4">
        <v>29578.67</v>
      </c>
      <c r="F546" s="3" t="s">
        <v>954</v>
      </c>
    </row>
    <row r="547" spans="1:6" x14ac:dyDescent="0.2">
      <c r="A547" s="3" t="s">
        <v>454</v>
      </c>
      <c r="B547" s="3" t="s">
        <v>461</v>
      </c>
      <c r="C547" s="4">
        <v>112127.6</v>
      </c>
      <c r="D547" s="4">
        <v>104990.75</v>
      </c>
      <c r="E547" s="4">
        <v>7136.85</v>
      </c>
      <c r="F547" s="3" t="s">
        <v>636</v>
      </c>
    </row>
    <row r="548" spans="1:6" x14ac:dyDescent="0.2">
      <c r="A548" s="3" t="s">
        <v>454</v>
      </c>
      <c r="B548" s="5" t="s">
        <v>462</v>
      </c>
      <c r="C548" s="4">
        <v>0</v>
      </c>
      <c r="D548" s="4">
        <v>0</v>
      </c>
      <c r="E548" s="4">
        <v>0</v>
      </c>
      <c r="F548" s="3" t="s">
        <v>2</v>
      </c>
    </row>
  </sheetData>
  <autoFilter ref="A1:F548" xr:uid="{88546BC9-097A-45E9-A501-CF5E782501FB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0AB1-98EB-44B7-AD9B-AB49F9A56F30}">
  <dimension ref="A1:F553"/>
  <sheetViews>
    <sheetView topLeftCell="A270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9.14062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VLOOKUP(B2,'Profit &amp; Loss'!$B$2:$C$390,2,0)</f>
        <v>#N/A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VLOOKUP(B3,'Profit &amp; Loss'!$B$2:$C$390,2,0)</f>
        <v>#N/A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VLOOKUP(B4,'Profit &amp; Loss'!$B$2:$C$390,2,0)</f>
        <v>#N/A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VLOOKUP(B5,'Profit &amp; Loss'!$B$2:$C$390,2,0)</f>
        <v>#N/A</v>
      </c>
    </row>
    <row r="6" spans="1:6" x14ac:dyDescent="0.2">
      <c r="A6" s="3" t="s">
        <v>4</v>
      </c>
      <c r="B6" s="3" t="s">
        <v>8</v>
      </c>
      <c r="C6" s="4">
        <v>26824.01</v>
      </c>
      <c r="D6" s="4">
        <v>23627.01</v>
      </c>
      <c r="E6" s="4">
        <v>3197</v>
      </c>
      <c r="F6" s="3" t="e">
        <f>VLOOKUP(B6,'Profit &amp; Loss'!$B$2:$C$390,2,0)</f>
        <v>#N/A</v>
      </c>
    </row>
    <row r="7" spans="1:6" x14ac:dyDescent="0.2">
      <c r="A7" s="3" t="s">
        <v>4</v>
      </c>
      <c r="B7" s="3" t="s">
        <v>9</v>
      </c>
      <c r="C7" s="4">
        <v>-23898.34</v>
      </c>
      <c r="D7" s="4">
        <v>-23556.25</v>
      </c>
      <c r="E7" s="4">
        <v>-342.09</v>
      </c>
      <c r="F7" s="3" t="e">
        <f>VLOOKUP(B7,'Profit &amp; Loss'!$B$2:$C$390,2,0)</f>
        <v>#N/A</v>
      </c>
    </row>
    <row r="8" spans="1:6" x14ac:dyDescent="0.2">
      <c r="A8" s="3" t="s">
        <v>4</v>
      </c>
      <c r="B8" s="3" t="s">
        <v>10</v>
      </c>
      <c r="C8" s="4">
        <v>68.739999999999995</v>
      </c>
      <c r="D8" s="4">
        <v>68.7</v>
      </c>
      <c r="E8" s="4">
        <v>0.04</v>
      </c>
      <c r="F8" s="3" t="e">
        <f>VLOOKUP(B8,'Profit &amp; Loss'!$B$2:$C$390,2,0)</f>
        <v>#N/A</v>
      </c>
    </row>
    <row r="9" spans="1:6" x14ac:dyDescent="0.2">
      <c r="A9" s="3" t="s">
        <v>4</v>
      </c>
      <c r="B9" s="3" t="s">
        <v>11</v>
      </c>
      <c r="C9" s="4">
        <v>-2.79</v>
      </c>
      <c r="D9" s="4">
        <v>-1.47</v>
      </c>
      <c r="E9" s="4">
        <v>-1.32</v>
      </c>
      <c r="F9" s="3" t="e">
        <f>VLOOKUP(B9,'Profit &amp; Loss'!$B$2:$C$390,2,0)</f>
        <v>#N/A</v>
      </c>
    </row>
    <row r="10" spans="1:6" x14ac:dyDescent="0.2">
      <c r="A10" s="3" t="s">
        <v>4</v>
      </c>
      <c r="B10" s="3" t="s">
        <v>2</v>
      </c>
      <c r="C10" s="4">
        <v>3931.14</v>
      </c>
      <c r="D10" s="4">
        <v>1077.51</v>
      </c>
      <c r="E10" s="4">
        <v>2853.63</v>
      </c>
      <c r="F10" s="3" t="e">
        <f>VLOOKUP(B10,'Profit &amp; Loss'!$B$2:$C$390,2,0)</f>
        <v>#N/A</v>
      </c>
    </row>
    <row r="11" spans="1:6" x14ac:dyDescent="0.2">
      <c r="A11" s="3" t="s">
        <v>12</v>
      </c>
      <c r="B11" s="3" t="s">
        <v>2</v>
      </c>
      <c r="C11" s="4">
        <v>3931.14</v>
      </c>
      <c r="D11" s="4">
        <v>1077.51</v>
      </c>
      <c r="E11" s="4">
        <v>2853.63</v>
      </c>
      <c r="F11" s="3" t="e">
        <f>VLOOKUP(B11,'Profit &amp; Loss'!$B$2:$C$390,2,0)</f>
        <v>#N/A</v>
      </c>
    </row>
    <row r="12" spans="1:6" x14ac:dyDescent="0.2">
      <c r="A12" s="3" t="s">
        <v>13</v>
      </c>
      <c r="B12" s="3" t="s">
        <v>14</v>
      </c>
      <c r="C12" s="4">
        <v>22434189.140000001</v>
      </c>
      <c r="D12" s="4">
        <v>21104102.039999999</v>
      </c>
      <c r="E12" s="4">
        <v>1330087.1000000001</v>
      </c>
      <c r="F12" s="3" t="e">
        <f>VLOOKUP(B12,'Profit &amp; Loss'!$B$2:$C$390,2,0)</f>
        <v>#N/A</v>
      </c>
    </row>
    <row r="13" spans="1:6" x14ac:dyDescent="0.2">
      <c r="A13" s="3" t="s">
        <v>13</v>
      </c>
      <c r="B13" s="3" t="s">
        <v>15</v>
      </c>
      <c r="C13" s="4">
        <v>-481051.73</v>
      </c>
      <c r="D13" s="4">
        <v>-438632.65</v>
      </c>
      <c r="E13" s="4">
        <v>-42419.08</v>
      </c>
      <c r="F13" s="3" t="e">
        <f>VLOOKUP(B13,'Profit &amp; Loss'!$B$2:$C$390,2,0)</f>
        <v>#N/A</v>
      </c>
    </row>
    <row r="14" spans="1:6" x14ac:dyDescent="0.2">
      <c r="A14" s="3" t="s">
        <v>13</v>
      </c>
      <c r="B14" s="3" t="s">
        <v>16</v>
      </c>
      <c r="C14" s="4">
        <v>1596085.9</v>
      </c>
      <c r="D14" s="4">
        <v>1596085.9</v>
      </c>
      <c r="E14" s="4">
        <v>0</v>
      </c>
      <c r="F14" s="3" t="e">
        <f>VLOOKUP(B14,'Profit &amp; Loss'!$B$2:$C$390,2,0)</f>
        <v>#N/A</v>
      </c>
    </row>
    <row r="15" spans="1:6" x14ac:dyDescent="0.2">
      <c r="A15" s="3" t="s">
        <v>13</v>
      </c>
      <c r="B15" s="3" t="s">
        <v>17</v>
      </c>
      <c r="C15" s="4">
        <v>-211768.59</v>
      </c>
      <c r="D15" s="4">
        <v>-184873.97</v>
      </c>
      <c r="E15" s="4">
        <v>-26894.62</v>
      </c>
      <c r="F15" s="3" t="e">
        <f>VLOOKUP(B15,'Profit &amp; Loss'!$B$2:$C$390,2,0)</f>
        <v>#N/A</v>
      </c>
    </row>
    <row r="16" spans="1:6" x14ac:dyDescent="0.2">
      <c r="A16" s="3" t="s">
        <v>13</v>
      </c>
      <c r="B16" s="3" t="s">
        <v>2</v>
      </c>
      <c r="C16" s="4">
        <v>23337454.719999999</v>
      </c>
      <c r="D16" s="4">
        <v>22076681.32</v>
      </c>
      <c r="E16" s="4">
        <v>1260773.3999999999</v>
      </c>
      <c r="F16" s="3" t="e">
        <f>VLOOKUP(B16,'Profit &amp; Loss'!$B$2:$C$390,2,0)</f>
        <v>#N/A</v>
      </c>
    </row>
    <row r="17" spans="1:6" x14ac:dyDescent="0.2">
      <c r="A17" s="3" t="s">
        <v>18</v>
      </c>
      <c r="B17" s="3" t="s">
        <v>19</v>
      </c>
      <c r="C17" s="4">
        <v>-53596.23</v>
      </c>
      <c r="D17" s="4">
        <v>-51297.85</v>
      </c>
      <c r="E17" s="4">
        <v>-2298.38</v>
      </c>
      <c r="F17" s="3" t="e">
        <f>VLOOKUP(B17,'Profit &amp; Loss'!$B$2:$C$390,2,0)</f>
        <v>#N/A</v>
      </c>
    </row>
    <row r="18" spans="1:6" x14ac:dyDescent="0.2">
      <c r="A18" s="3" t="s">
        <v>18</v>
      </c>
      <c r="B18" s="3" t="s">
        <v>2</v>
      </c>
      <c r="C18" s="4">
        <v>-53596.23</v>
      </c>
      <c r="D18" s="4">
        <v>-51297.85</v>
      </c>
      <c r="E18" s="4">
        <v>-2298.38</v>
      </c>
      <c r="F18" s="3" t="e">
        <f>VLOOKUP(B18,'Profit &amp; Loss'!$B$2:$C$390,2,0)</f>
        <v>#N/A</v>
      </c>
    </row>
    <row r="19" spans="1:6" x14ac:dyDescent="0.2">
      <c r="A19" s="3" t="s">
        <v>20</v>
      </c>
      <c r="B19" s="3" t="s">
        <v>2</v>
      </c>
      <c r="C19" s="4">
        <v>23283858.489999998</v>
      </c>
      <c r="D19" s="4">
        <v>22025383.469999999</v>
      </c>
      <c r="E19" s="4">
        <v>1258475.02</v>
      </c>
      <c r="F19" s="3" t="e">
        <f>VLOOKUP(B19,'Profit &amp; Loss'!$B$2:$C$390,2,0)</f>
        <v>#N/A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VLOOKUP(B20,'Profit &amp; Loss'!$B$2:$C$390,2,0)</f>
        <v>#N/A</v>
      </c>
    </row>
    <row r="21" spans="1:6" x14ac:dyDescent="0.2">
      <c r="A21" s="3" t="s">
        <v>21</v>
      </c>
      <c r="B21" s="3" t="s">
        <v>23</v>
      </c>
      <c r="C21" s="4">
        <v>1792.69</v>
      </c>
      <c r="D21" s="4">
        <v>-64.38</v>
      </c>
      <c r="E21" s="4">
        <v>1857.07</v>
      </c>
      <c r="F21" s="3" t="e">
        <f>VLOOKUP(B21,'Profit &amp; Loss'!$B$2:$C$390,2,0)</f>
        <v>#N/A</v>
      </c>
    </row>
    <row r="22" spans="1:6" x14ac:dyDescent="0.2">
      <c r="A22" s="3" t="s">
        <v>21</v>
      </c>
      <c r="B22" s="3" t="s">
        <v>25</v>
      </c>
      <c r="C22" s="4">
        <v>66415.64</v>
      </c>
      <c r="D22" s="4">
        <v>66031.509999999995</v>
      </c>
      <c r="E22" s="4">
        <v>384.13</v>
      </c>
      <c r="F22" s="3" t="e">
        <f>VLOOKUP(B22,'Profit &amp; Loss'!$B$2:$C$390,2,0)</f>
        <v>#N/A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VLOOKUP(B23,'Profit &amp; Loss'!$B$2:$C$390,2,0)</f>
        <v>#N/A</v>
      </c>
    </row>
    <row r="24" spans="1:6" x14ac:dyDescent="0.2">
      <c r="A24" s="3" t="s">
        <v>21</v>
      </c>
      <c r="B24" s="3" t="s">
        <v>27</v>
      </c>
      <c r="C24" s="4">
        <v>30568.04</v>
      </c>
      <c r="D24" s="4">
        <v>158102.93</v>
      </c>
      <c r="E24" s="4">
        <v>-127534.89</v>
      </c>
      <c r="F24" s="3" t="e">
        <f>VLOOKUP(B24,'Profit &amp; Loss'!$B$2:$C$390,2,0)</f>
        <v>#N/A</v>
      </c>
    </row>
    <row r="25" spans="1:6" x14ac:dyDescent="0.2">
      <c r="A25" s="3" t="s">
        <v>21</v>
      </c>
      <c r="B25" s="3" t="s">
        <v>28</v>
      </c>
      <c r="C25" s="4">
        <v>34141.199999999997</v>
      </c>
      <c r="D25" s="4">
        <v>4781.17</v>
      </c>
      <c r="E25" s="4">
        <v>29360.03</v>
      </c>
      <c r="F25" s="3" t="e">
        <f>VLOOKUP(B25,'Profit &amp; Loss'!$B$2:$C$390,2,0)</f>
        <v>#N/A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VLOOKUP(B26,'Profit &amp; Loss'!$B$2:$C$390,2,0)</f>
        <v>#N/A</v>
      </c>
    </row>
    <row r="27" spans="1:6" x14ac:dyDescent="0.2">
      <c r="A27" s="3" t="s">
        <v>21</v>
      </c>
      <c r="B27" s="3" t="s">
        <v>2</v>
      </c>
      <c r="C27" s="4">
        <v>132936.94</v>
      </c>
      <c r="D27" s="4">
        <v>228870.6</v>
      </c>
      <c r="E27" s="4">
        <v>-95933.66</v>
      </c>
      <c r="F27" s="3" t="e">
        <f>VLOOKUP(B27,'Profit &amp; Loss'!$B$2:$C$390,2,0)</f>
        <v>#N/A</v>
      </c>
    </row>
    <row r="28" spans="1:6" x14ac:dyDescent="0.2">
      <c r="A28" s="3" t="s">
        <v>30</v>
      </c>
      <c r="B28" s="3" t="s">
        <v>31</v>
      </c>
      <c r="C28" s="4">
        <v>4232.63</v>
      </c>
      <c r="D28" s="4">
        <v>0</v>
      </c>
      <c r="E28" s="4">
        <v>4232.63</v>
      </c>
      <c r="F28" s="3" t="e">
        <f>VLOOKUP(B28,'Profit &amp; Loss'!$B$2:$C$390,2,0)</f>
        <v>#N/A</v>
      </c>
    </row>
    <row r="29" spans="1:6" x14ac:dyDescent="0.2">
      <c r="A29" s="3" t="s">
        <v>30</v>
      </c>
      <c r="B29" s="3" t="s">
        <v>2</v>
      </c>
      <c r="C29" s="4">
        <v>4232.63</v>
      </c>
      <c r="D29" s="4">
        <v>0</v>
      </c>
      <c r="E29" s="4">
        <v>4232.63</v>
      </c>
      <c r="F29" s="3" t="e">
        <f>VLOOKUP(B29,'Profit &amp; Loss'!$B$2:$C$390,2,0)</f>
        <v>#N/A</v>
      </c>
    </row>
    <row r="30" spans="1:6" x14ac:dyDescent="0.2">
      <c r="A30" s="3" t="s">
        <v>32</v>
      </c>
      <c r="B30" s="3" t="s">
        <v>33</v>
      </c>
      <c r="C30" s="4">
        <v>65501.919999999998</v>
      </c>
      <c r="D30" s="4">
        <v>66875.03</v>
      </c>
      <c r="E30" s="4">
        <v>-1373.11</v>
      </c>
      <c r="F30" s="3" t="e">
        <f>VLOOKUP(B30,'Profit &amp; Loss'!$B$2:$C$390,2,0)</f>
        <v>#N/A</v>
      </c>
    </row>
    <row r="31" spans="1:6" x14ac:dyDescent="0.2">
      <c r="A31" s="3" t="s">
        <v>32</v>
      </c>
      <c r="B31" s="3" t="s">
        <v>34</v>
      </c>
      <c r="C31" s="4">
        <v>-793.58</v>
      </c>
      <c r="D31" s="4">
        <v>-1132.44</v>
      </c>
      <c r="E31" s="4">
        <v>338.86</v>
      </c>
      <c r="F31" s="3" t="e">
        <f>VLOOKUP(B31,'Profit &amp; Loss'!$B$2:$C$390,2,0)</f>
        <v>#N/A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VLOOKUP(B32,'Profit &amp; Loss'!$B$2:$C$390,2,0)</f>
        <v>#N/A</v>
      </c>
    </row>
    <row r="33" spans="1:6" x14ac:dyDescent="0.2">
      <c r="A33" s="3" t="s">
        <v>32</v>
      </c>
      <c r="B33" s="3" t="s">
        <v>477</v>
      </c>
      <c r="C33" s="4">
        <v>0</v>
      </c>
      <c r="D33" s="4">
        <v>2598.79</v>
      </c>
      <c r="E33" s="4">
        <v>-2598.79</v>
      </c>
      <c r="F33" s="3" t="e">
        <f>VLOOKUP(B33,'Profit &amp; Loss'!$B$2:$C$390,2,0)</f>
        <v>#N/A</v>
      </c>
    </row>
    <row r="34" spans="1:6" x14ac:dyDescent="0.2">
      <c r="A34" s="3" t="s">
        <v>32</v>
      </c>
      <c r="B34" s="3" t="s">
        <v>478</v>
      </c>
      <c r="C34" s="4">
        <v>0</v>
      </c>
      <c r="D34" s="4">
        <v>-68.97</v>
      </c>
      <c r="E34" s="4">
        <v>68.97</v>
      </c>
      <c r="F34" s="3" t="e">
        <f>VLOOKUP(B34,'Profit &amp; Loss'!$B$2:$C$390,2,0)</f>
        <v>#N/A</v>
      </c>
    </row>
    <row r="35" spans="1:6" x14ac:dyDescent="0.2">
      <c r="A35" s="3" t="s">
        <v>32</v>
      </c>
      <c r="B35" s="3" t="s">
        <v>36</v>
      </c>
      <c r="C35" s="4">
        <v>3666.17</v>
      </c>
      <c r="D35" s="4">
        <v>4415.72</v>
      </c>
      <c r="E35" s="4">
        <v>-749.55</v>
      </c>
      <c r="F35" s="3" t="e">
        <f>VLOOKUP(B35,'Profit &amp; Loss'!$B$2:$C$390,2,0)</f>
        <v>#N/A</v>
      </c>
    </row>
    <row r="36" spans="1:6" x14ac:dyDescent="0.2">
      <c r="A36" s="3" t="s">
        <v>32</v>
      </c>
      <c r="B36" s="3" t="s">
        <v>39</v>
      </c>
      <c r="C36" s="4">
        <v>-3226.35</v>
      </c>
      <c r="D36" s="4">
        <v>18.22</v>
      </c>
      <c r="E36" s="4">
        <v>-3244.57</v>
      </c>
      <c r="F36" s="3" t="e">
        <f>VLOOKUP(B36,'Profit &amp; Loss'!$B$2:$C$390,2,0)</f>
        <v>#N/A</v>
      </c>
    </row>
    <row r="37" spans="1:6" x14ac:dyDescent="0.2">
      <c r="A37" s="3" t="s">
        <v>32</v>
      </c>
      <c r="B37" s="3" t="s">
        <v>42</v>
      </c>
      <c r="C37" s="4">
        <v>57.28</v>
      </c>
      <c r="D37" s="4">
        <v>53.22</v>
      </c>
      <c r="E37" s="4">
        <v>4.0599999999999996</v>
      </c>
      <c r="F37" s="3" t="e">
        <f>VLOOKUP(B37,'Profit &amp; Loss'!$B$2:$C$390,2,0)</f>
        <v>#N/A</v>
      </c>
    </row>
    <row r="38" spans="1:6" x14ac:dyDescent="0.2">
      <c r="A38" s="3" t="s">
        <v>32</v>
      </c>
      <c r="B38" s="3" t="s">
        <v>2</v>
      </c>
      <c r="C38" s="4">
        <v>67802.960000000006</v>
      </c>
      <c r="D38" s="4">
        <v>75357.09</v>
      </c>
      <c r="E38" s="4">
        <v>-7554.13</v>
      </c>
      <c r="F38" s="3" t="e">
        <f>VLOOKUP(B38,'Profit &amp; Loss'!$B$2:$C$390,2,0)</f>
        <v>#N/A</v>
      </c>
    </row>
    <row r="39" spans="1:6" x14ac:dyDescent="0.2">
      <c r="A39" s="3" t="s">
        <v>43</v>
      </c>
      <c r="B39" s="3" t="s">
        <v>2</v>
      </c>
      <c r="C39" s="4">
        <v>204972.53</v>
      </c>
      <c r="D39" s="4">
        <v>304227.69</v>
      </c>
      <c r="E39" s="4">
        <v>-99255.16</v>
      </c>
      <c r="F39" s="3" t="e">
        <f>VLOOKUP(B39,'Profit &amp; Loss'!$B$2:$C$390,2,0)</f>
        <v>#N/A</v>
      </c>
    </row>
    <row r="40" spans="1:6" x14ac:dyDescent="0.2">
      <c r="A40" s="3" t="s">
        <v>44</v>
      </c>
      <c r="B40" s="3" t="s">
        <v>1440</v>
      </c>
      <c r="C40" s="4">
        <v>89913.73</v>
      </c>
      <c r="D40" s="4">
        <v>0</v>
      </c>
      <c r="E40" s="4">
        <v>89913.73</v>
      </c>
      <c r="F40" s="3" t="e">
        <f>VLOOKUP(B40,'Profit &amp; Loss'!$B$2:$C$390,2,0)</f>
        <v>#N/A</v>
      </c>
    </row>
    <row r="41" spans="1:6" x14ac:dyDescent="0.2">
      <c r="A41" s="3" t="s">
        <v>44</v>
      </c>
      <c r="B41" s="3" t="s">
        <v>973</v>
      </c>
      <c r="C41" s="4">
        <v>-0.1</v>
      </c>
      <c r="D41" s="4">
        <v>-0.1</v>
      </c>
      <c r="E41" s="4">
        <v>0</v>
      </c>
      <c r="F41" s="3" t="e">
        <f>VLOOKUP(B41,'Profit &amp; Loss'!$B$2:$C$390,2,0)</f>
        <v>#N/A</v>
      </c>
    </row>
    <row r="42" spans="1:6" x14ac:dyDescent="0.2">
      <c r="A42" s="3" t="s">
        <v>44</v>
      </c>
      <c r="B42" s="3" t="s">
        <v>46</v>
      </c>
      <c r="C42" s="4">
        <v>601.42999999999995</v>
      </c>
      <c r="D42" s="4">
        <v>0</v>
      </c>
      <c r="E42" s="4">
        <v>601.42999999999995</v>
      </c>
      <c r="F42" s="3" t="e">
        <f>VLOOKUP(B42,'Profit &amp; Loss'!$B$2:$C$390,2,0)</f>
        <v>#N/A</v>
      </c>
    </row>
    <row r="43" spans="1:6" x14ac:dyDescent="0.2">
      <c r="A43" s="3" t="s">
        <v>44</v>
      </c>
      <c r="B43" s="3" t="s">
        <v>2</v>
      </c>
      <c r="C43" s="4">
        <v>90515.06</v>
      </c>
      <c r="D43" s="4">
        <v>-0.1</v>
      </c>
      <c r="E43" s="4">
        <v>90515.16</v>
      </c>
      <c r="F43" s="3" t="e">
        <f>VLOOKUP(B43,'Profit &amp; Loss'!$B$2:$C$390,2,0)</f>
        <v>#N/A</v>
      </c>
    </row>
    <row r="44" spans="1:6" x14ac:dyDescent="0.2">
      <c r="A44" s="3" t="s">
        <v>47</v>
      </c>
      <c r="B44" s="3" t="s">
        <v>48</v>
      </c>
      <c r="C44" s="4">
        <v>20448943.149999999</v>
      </c>
      <c r="D44" s="4">
        <v>17916173.120000001</v>
      </c>
      <c r="E44" s="4">
        <v>2532770.0299999998</v>
      </c>
      <c r="F44" s="3" t="e">
        <f>VLOOKUP(B44,'Profit &amp; Loss'!$B$2:$C$390,2,0)</f>
        <v>#N/A</v>
      </c>
    </row>
    <row r="45" spans="1:6" x14ac:dyDescent="0.2">
      <c r="A45" s="3" t="s">
        <v>47</v>
      </c>
      <c r="B45" s="3" t="s">
        <v>49</v>
      </c>
      <c r="C45" s="4">
        <v>-152788.46</v>
      </c>
      <c r="D45" s="4">
        <v>-118276.45</v>
      </c>
      <c r="E45" s="4">
        <v>-34512.01</v>
      </c>
      <c r="F45" s="3" t="e">
        <f>VLOOKUP(B45,'Profit &amp; Loss'!$B$2:$C$390,2,0)</f>
        <v>#N/A</v>
      </c>
    </row>
    <row r="46" spans="1:6" x14ac:dyDescent="0.2">
      <c r="A46" s="3" t="s">
        <v>47</v>
      </c>
      <c r="B46" s="3" t="s">
        <v>50</v>
      </c>
      <c r="C46" s="4">
        <v>3032188.6</v>
      </c>
      <c r="D46" s="4">
        <v>2648306.27</v>
      </c>
      <c r="E46" s="4">
        <v>383882.33</v>
      </c>
      <c r="F46" s="3" t="e">
        <f>VLOOKUP(B46,'Profit &amp; Loss'!$B$2:$C$390,2,0)</f>
        <v>#N/A</v>
      </c>
    </row>
    <row r="47" spans="1:6" x14ac:dyDescent="0.2">
      <c r="A47" s="3" t="s">
        <v>47</v>
      </c>
      <c r="B47" s="3" t="s">
        <v>51</v>
      </c>
      <c r="C47" s="4">
        <v>4032664.93</v>
      </c>
      <c r="D47" s="4">
        <v>3536296.25</v>
      </c>
      <c r="E47" s="4">
        <v>496368.68</v>
      </c>
      <c r="F47" s="3" t="e">
        <f>VLOOKUP(B47,'Profit &amp; Loss'!$B$2:$C$390,2,0)</f>
        <v>#N/A</v>
      </c>
    </row>
    <row r="48" spans="1:6" x14ac:dyDescent="0.2">
      <c r="A48" s="3" t="s">
        <v>47</v>
      </c>
      <c r="B48" s="3" t="s">
        <v>52</v>
      </c>
      <c r="C48" s="4">
        <v>3187193.87</v>
      </c>
      <c r="D48" s="4">
        <v>6657944.71</v>
      </c>
      <c r="E48" s="4">
        <v>-3470750.84</v>
      </c>
      <c r="F48" s="3" t="e">
        <f>VLOOKUP(B48,'Profit &amp; Loss'!$B$2:$C$390,2,0)</f>
        <v>#N/A</v>
      </c>
    </row>
    <row r="49" spans="1:6" x14ac:dyDescent="0.2">
      <c r="A49" s="3" t="s">
        <v>47</v>
      </c>
      <c r="B49" s="3" t="s">
        <v>53</v>
      </c>
      <c r="C49" s="4">
        <v>-73</v>
      </c>
      <c r="D49" s="4">
        <v>-27.65</v>
      </c>
      <c r="E49" s="4">
        <v>-45.35</v>
      </c>
      <c r="F49" s="3" t="e">
        <f>VLOOKUP(B49,'Profit &amp; Loss'!$B$2:$C$390,2,0)</f>
        <v>#N/A</v>
      </c>
    </row>
    <row r="50" spans="1:6" x14ac:dyDescent="0.2">
      <c r="A50" s="3" t="s">
        <v>47</v>
      </c>
      <c r="B50" s="3" t="s">
        <v>54</v>
      </c>
      <c r="C50" s="4">
        <v>33302.58</v>
      </c>
      <c r="D50" s="4">
        <v>24494.15</v>
      </c>
      <c r="E50" s="4">
        <v>8808.43</v>
      </c>
      <c r="F50" s="3" t="e">
        <f>VLOOKUP(B50,'Profit &amp; Loss'!$B$2:$C$390,2,0)</f>
        <v>#N/A</v>
      </c>
    </row>
    <row r="51" spans="1:6" x14ac:dyDescent="0.2">
      <c r="A51" s="3" t="s">
        <v>47</v>
      </c>
      <c r="B51" s="3" t="s">
        <v>55</v>
      </c>
      <c r="C51" s="4">
        <v>-1494945.33</v>
      </c>
      <c r="D51" s="4">
        <v>-1495864.91</v>
      </c>
      <c r="E51" s="4">
        <v>919.58</v>
      </c>
      <c r="F51" s="3" t="e">
        <f>VLOOKUP(B51,'Profit &amp; Loss'!$B$2:$C$390,2,0)</f>
        <v>#N/A</v>
      </c>
    </row>
    <row r="52" spans="1:6" x14ac:dyDescent="0.2">
      <c r="A52" s="3" t="s">
        <v>47</v>
      </c>
      <c r="B52" s="3" t="s">
        <v>56</v>
      </c>
      <c r="C52" s="4">
        <v>-10061.69</v>
      </c>
      <c r="D52" s="4">
        <v>2222.1</v>
      </c>
      <c r="E52" s="4">
        <v>-12283.79</v>
      </c>
      <c r="F52" s="3" t="e">
        <f>VLOOKUP(B52,'Profit &amp; Loss'!$B$2:$C$390,2,0)</f>
        <v>#N/A</v>
      </c>
    </row>
    <row r="53" spans="1:6" x14ac:dyDescent="0.2">
      <c r="A53" s="3" t="s">
        <v>47</v>
      </c>
      <c r="B53" s="3" t="s">
        <v>57</v>
      </c>
      <c r="C53" s="4">
        <v>-26596.49</v>
      </c>
      <c r="D53" s="4">
        <v>-19226.11</v>
      </c>
      <c r="E53" s="4">
        <v>-7370.38</v>
      </c>
      <c r="F53" s="3" t="e">
        <f>VLOOKUP(B53,'Profit &amp; Loss'!$B$2:$C$390,2,0)</f>
        <v>#N/A</v>
      </c>
    </row>
    <row r="54" spans="1:6" x14ac:dyDescent="0.2">
      <c r="A54" s="3" t="s">
        <v>47</v>
      </c>
      <c r="B54" s="3" t="s">
        <v>58</v>
      </c>
      <c r="C54" s="4">
        <v>-14272.25</v>
      </c>
      <c r="D54" s="4">
        <v>-14272.25</v>
      </c>
      <c r="E54" s="4">
        <v>0</v>
      </c>
      <c r="F54" s="3" t="e">
        <f>VLOOKUP(B54,'Profit &amp; Loss'!$B$2:$C$390,2,0)</f>
        <v>#N/A</v>
      </c>
    </row>
    <row r="55" spans="1:6" x14ac:dyDescent="0.2">
      <c r="A55" s="3" t="s">
        <v>47</v>
      </c>
      <c r="B55" s="3" t="s">
        <v>2</v>
      </c>
      <c r="C55" s="4">
        <v>29035555.91</v>
      </c>
      <c r="D55" s="4">
        <v>29137769.23</v>
      </c>
      <c r="E55" s="4">
        <v>-102213.32</v>
      </c>
      <c r="F55" s="3" t="e">
        <f>VLOOKUP(B55,'Profit &amp; Loss'!$B$2:$C$390,2,0)</f>
        <v>#N/A</v>
      </c>
    </row>
    <row r="56" spans="1:6" x14ac:dyDescent="0.2">
      <c r="A56" s="3" t="s">
        <v>59</v>
      </c>
      <c r="B56" s="3" t="s">
        <v>60</v>
      </c>
      <c r="C56" s="4">
        <v>319942.78000000003</v>
      </c>
      <c r="D56" s="4">
        <v>276913.69</v>
      </c>
      <c r="E56" s="4">
        <v>43029.09</v>
      </c>
      <c r="F56" s="3" t="e">
        <f>VLOOKUP(B56,'Profit &amp; Loss'!$B$2:$C$390,2,0)</f>
        <v>#N/A</v>
      </c>
    </row>
    <row r="57" spans="1:6" x14ac:dyDescent="0.2">
      <c r="A57" s="3" t="s">
        <v>59</v>
      </c>
      <c r="B57" s="3" t="s">
        <v>975</v>
      </c>
      <c r="C57" s="4">
        <v>100.78</v>
      </c>
      <c r="D57" s="4">
        <v>100.78</v>
      </c>
      <c r="E57" s="4">
        <v>0</v>
      </c>
      <c r="F57" s="3" t="e">
        <f>VLOOKUP(B57,'Profit &amp; Loss'!$B$2:$C$390,2,0)</f>
        <v>#N/A</v>
      </c>
    </row>
    <row r="58" spans="1:6" x14ac:dyDescent="0.2">
      <c r="A58" s="3" t="s">
        <v>59</v>
      </c>
      <c r="B58" s="3" t="s">
        <v>883</v>
      </c>
      <c r="C58" s="4">
        <v>196677.79</v>
      </c>
      <c r="D58" s="4">
        <v>946.22</v>
      </c>
      <c r="E58" s="4">
        <v>195731.57</v>
      </c>
      <c r="F58" s="3" t="e">
        <f>VLOOKUP(B58,'Profit &amp; Loss'!$B$2:$C$390,2,0)</f>
        <v>#N/A</v>
      </c>
    </row>
    <row r="59" spans="1:6" x14ac:dyDescent="0.2">
      <c r="A59" s="3" t="s">
        <v>59</v>
      </c>
      <c r="B59" s="3" t="s">
        <v>61</v>
      </c>
      <c r="C59" s="4">
        <v>287.89999999999998</v>
      </c>
      <c r="D59" s="4">
        <v>382.2</v>
      </c>
      <c r="E59" s="4">
        <v>-94.3</v>
      </c>
      <c r="F59" s="3" t="e">
        <f>VLOOKUP(B59,'Profit &amp; Loss'!$B$2:$C$390,2,0)</f>
        <v>#N/A</v>
      </c>
    </row>
    <row r="60" spans="1:6" x14ac:dyDescent="0.2">
      <c r="A60" s="3" t="s">
        <v>59</v>
      </c>
      <c r="B60" s="3" t="s">
        <v>62</v>
      </c>
      <c r="C60" s="4">
        <v>224505.98</v>
      </c>
      <c r="D60" s="4">
        <v>221183.82</v>
      </c>
      <c r="E60" s="4">
        <v>3322.16</v>
      </c>
      <c r="F60" s="3" t="e">
        <f>VLOOKUP(B60,'Profit &amp; Loss'!$B$2:$C$390,2,0)</f>
        <v>#N/A</v>
      </c>
    </row>
    <row r="61" spans="1:6" x14ac:dyDescent="0.2">
      <c r="A61" s="3" t="s">
        <v>59</v>
      </c>
      <c r="B61" s="3" t="s">
        <v>63</v>
      </c>
      <c r="C61" s="4">
        <v>65944.52</v>
      </c>
      <c r="D61" s="4">
        <v>43753.85</v>
      </c>
      <c r="E61" s="4">
        <v>22190.67</v>
      </c>
      <c r="F61" s="3" t="e">
        <f>VLOOKUP(B61,'Profit &amp; Loss'!$B$2:$C$390,2,0)</f>
        <v>#N/A</v>
      </c>
    </row>
    <row r="62" spans="1:6" x14ac:dyDescent="0.2">
      <c r="A62" s="3" t="s">
        <v>59</v>
      </c>
      <c r="B62" s="3" t="s">
        <v>64</v>
      </c>
      <c r="C62" s="4">
        <v>730.52</v>
      </c>
      <c r="D62" s="4">
        <v>594.16</v>
      </c>
      <c r="E62" s="4">
        <v>136.36000000000001</v>
      </c>
      <c r="F62" s="3" t="e">
        <f>VLOOKUP(B62,'Profit &amp; Loss'!$B$2:$C$390,2,0)</f>
        <v>#N/A</v>
      </c>
    </row>
    <row r="63" spans="1:6" x14ac:dyDescent="0.2">
      <c r="A63" s="3" t="s">
        <v>59</v>
      </c>
      <c r="B63" s="3" t="s">
        <v>2</v>
      </c>
      <c r="C63" s="4">
        <v>808190.27</v>
      </c>
      <c r="D63" s="4">
        <v>543874.72</v>
      </c>
      <c r="E63" s="4">
        <v>264315.55</v>
      </c>
      <c r="F63" s="3" t="e">
        <f>VLOOKUP(B63,'Profit &amp; Loss'!$B$2:$C$390,2,0)</f>
        <v>#N/A</v>
      </c>
    </row>
    <row r="64" spans="1:6" x14ac:dyDescent="0.2">
      <c r="A64" s="3" t="s">
        <v>65</v>
      </c>
      <c r="B64" s="3" t="s">
        <v>2</v>
      </c>
      <c r="C64" s="4">
        <v>29934261.239999998</v>
      </c>
      <c r="D64" s="4">
        <v>29681643.850000001</v>
      </c>
      <c r="E64" s="4">
        <v>252617.39</v>
      </c>
      <c r="F64" s="3" t="e">
        <f>VLOOKUP(B64,'Profit &amp; Loss'!$B$2:$C$390,2,0)</f>
        <v>#N/A</v>
      </c>
    </row>
    <row r="65" spans="1:6" x14ac:dyDescent="0.2">
      <c r="A65" s="3" t="s">
        <v>66</v>
      </c>
      <c r="B65" s="3" t="s">
        <v>67</v>
      </c>
      <c r="C65" s="4">
        <v>-6135.39</v>
      </c>
      <c r="D65" s="4">
        <v>-6135.39</v>
      </c>
      <c r="E65" s="4">
        <v>0</v>
      </c>
      <c r="F65" s="3" t="e">
        <f>VLOOKUP(B65,'Profit &amp; Loss'!$B$2:$C$390,2,0)</f>
        <v>#N/A</v>
      </c>
    </row>
    <row r="66" spans="1:6" x14ac:dyDescent="0.2">
      <c r="A66" s="3" t="s">
        <v>66</v>
      </c>
      <c r="B66" s="3" t="s">
        <v>68</v>
      </c>
      <c r="C66" s="4">
        <v>6294.51</v>
      </c>
      <c r="D66" s="4">
        <v>6871.22</v>
      </c>
      <c r="E66" s="4">
        <v>-576.71</v>
      </c>
      <c r="F66" s="3" t="e">
        <f>VLOOKUP(B66,'Profit &amp; Loss'!$B$2:$C$390,2,0)</f>
        <v>#N/A</v>
      </c>
    </row>
    <row r="67" spans="1:6" x14ac:dyDescent="0.2">
      <c r="A67" s="3" t="s">
        <v>66</v>
      </c>
      <c r="B67" s="3" t="s">
        <v>979</v>
      </c>
      <c r="C67" s="4">
        <v>6329.17</v>
      </c>
      <c r="D67" s="4">
        <v>6329.17</v>
      </c>
      <c r="E67" s="4">
        <v>0</v>
      </c>
      <c r="F67" s="3" t="e">
        <f>VLOOKUP(B67,'Profit &amp; Loss'!$B$2:$C$390,2,0)</f>
        <v>#N/A</v>
      </c>
    </row>
    <row r="68" spans="1:6" x14ac:dyDescent="0.2">
      <c r="A68" s="3" t="s">
        <v>66</v>
      </c>
      <c r="B68" s="3" t="s">
        <v>491</v>
      </c>
      <c r="C68" s="4">
        <v>96.18</v>
      </c>
      <c r="D68" s="4">
        <v>1653.55</v>
      </c>
      <c r="E68" s="4">
        <v>-1557.37</v>
      </c>
      <c r="F68" s="3" t="e">
        <f>VLOOKUP(B68,'Profit &amp; Loss'!$B$2:$C$390,2,0)</f>
        <v>#N/A</v>
      </c>
    </row>
    <row r="69" spans="1:6" x14ac:dyDescent="0.2">
      <c r="A69" s="3" t="s">
        <v>66</v>
      </c>
      <c r="B69" s="3" t="s">
        <v>492</v>
      </c>
      <c r="C69" s="4">
        <v>0.33</v>
      </c>
      <c r="D69" s="4">
        <v>-13.8</v>
      </c>
      <c r="E69" s="4">
        <v>14.13</v>
      </c>
      <c r="F69" s="3" t="e">
        <f>VLOOKUP(B69,'Profit &amp; Loss'!$B$2:$C$390,2,0)</f>
        <v>#N/A</v>
      </c>
    </row>
    <row r="70" spans="1:6" x14ac:dyDescent="0.2">
      <c r="A70" s="3" t="s">
        <v>66</v>
      </c>
      <c r="B70" s="3" t="s">
        <v>493</v>
      </c>
      <c r="C70" s="4">
        <v>0</v>
      </c>
      <c r="D70" s="4">
        <v>-417.35</v>
      </c>
      <c r="E70" s="4">
        <v>417.35</v>
      </c>
      <c r="F70" s="3" t="e">
        <f>VLOOKUP(B70,'Profit &amp; Loss'!$B$2:$C$390,2,0)</f>
        <v>#N/A</v>
      </c>
    </row>
    <row r="71" spans="1:6" x14ac:dyDescent="0.2">
      <c r="A71" s="3" t="s">
        <v>66</v>
      </c>
      <c r="B71" s="3" t="s">
        <v>494</v>
      </c>
      <c r="C71" s="4">
        <v>0</v>
      </c>
      <c r="D71" s="4">
        <v>7.2</v>
      </c>
      <c r="E71" s="4">
        <v>-7.2</v>
      </c>
      <c r="F71" s="3" t="e">
        <f>VLOOKUP(B71,'Profit &amp; Loss'!$B$2:$C$390,2,0)</f>
        <v>#N/A</v>
      </c>
    </row>
    <row r="72" spans="1:6" x14ac:dyDescent="0.2">
      <c r="A72" s="3" t="s">
        <v>66</v>
      </c>
      <c r="B72" s="3" t="s">
        <v>2</v>
      </c>
      <c r="C72" s="4">
        <v>6584.8</v>
      </c>
      <c r="D72" s="4">
        <v>8294.6</v>
      </c>
      <c r="E72" s="4">
        <v>-1709.8</v>
      </c>
      <c r="F72" s="3" t="e">
        <f>VLOOKUP(B72,'Profit &amp; Loss'!$B$2:$C$390,2,0)</f>
        <v>#N/A</v>
      </c>
    </row>
    <row r="73" spans="1:6" x14ac:dyDescent="0.2">
      <c r="A73" s="3" t="s">
        <v>69</v>
      </c>
      <c r="B73" s="3" t="s">
        <v>2</v>
      </c>
      <c r="C73" s="4">
        <v>6584.8</v>
      </c>
      <c r="D73" s="4">
        <v>8294.6</v>
      </c>
      <c r="E73" s="4">
        <v>-1709.8</v>
      </c>
      <c r="F73" s="3" t="e">
        <f>VLOOKUP(B73,'Profit &amp; Loss'!$B$2:$C$390,2,0)</f>
        <v>#N/A</v>
      </c>
    </row>
    <row r="74" spans="1:6" x14ac:dyDescent="0.2">
      <c r="A74" s="3" t="s">
        <v>70</v>
      </c>
      <c r="B74" s="3" t="s">
        <v>71</v>
      </c>
      <c r="C74" s="4">
        <v>359163.46</v>
      </c>
      <c r="D74" s="4">
        <v>359163.46</v>
      </c>
      <c r="E74" s="4">
        <v>0</v>
      </c>
      <c r="F74" s="3" t="e">
        <f>VLOOKUP(B74,'Profit &amp; Loss'!$B$2:$C$390,2,0)</f>
        <v>#N/A</v>
      </c>
    </row>
    <row r="75" spans="1:6" x14ac:dyDescent="0.2">
      <c r="A75" s="3" t="s">
        <v>70</v>
      </c>
      <c r="B75" s="3" t="s">
        <v>72</v>
      </c>
      <c r="C75" s="4">
        <v>-267070.40999999997</v>
      </c>
      <c r="D75" s="4">
        <v>-265955.65000000002</v>
      </c>
      <c r="E75" s="4">
        <v>-1114.76</v>
      </c>
      <c r="F75" s="3" t="e">
        <f>VLOOKUP(B75,'Profit &amp; Loss'!$B$2:$C$390,2,0)</f>
        <v>#N/A</v>
      </c>
    </row>
    <row r="76" spans="1:6" x14ac:dyDescent="0.2">
      <c r="A76" s="3" t="s">
        <v>70</v>
      </c>
      <c r="B76" s="3" t="s">
        <v>2</v>
      </c>
      <c r="C76" s="4">
        <v>92093.05</v>
      </c>
      <c r="D76" s="4">
        <v>93207.81</v>
      </c>
      <c r="E76" s="4">
        <v>-1114.76</v>
      </c>
      <c r="F76" s="3" t="e">
        <f>VLOOKUP(B76,'Profit &amp; Loss'!$B$2:$C$390,2,0)</f>
        <v>#N/A</v>
      </c>
    </row>
    <row r="77" spans="1:6" x14ac:dyDescent="0.2">
      <c r="A77" s="3" t="s">
        <v>73</v>
      </c>
      <c r="B77" s="3" t="s">
        <v>74</v>
      </c>
      <c r="C77" s="4">
        <v>132848.63</v>
      </c>
      <c r="D77" s="4">
        <v>132848.63</v>
      </c>
      <c r="E77" s="4">
        <v>0</v>
      </c>
      <c r="F77" s="3" t="e">
        <f>VLOOKUP(B77,'Profit &amp; Loss'!$B$2:$C$390,2,0)</f>
        <v>#N/A</v>
      </c>
    </row>
    <row r="78" spans="1:6" x14ac:dyDescent="0.2">
      <c r="A78" s="3" t="s">
        <v>73</v>
      </c>
      <c r="B78" s="3" t="s">
        <v>75</v>
      </c>
      <c r="C78" s="4">
        <v>778877.58</v>
      </c>
      <c r="D78" s="4">
        <v>776143.57</v>
      </c>
      <c r="E78" s="4">
        <v>2734.01</v>
      </c>
      <c r="F78" s="3" t="e">
        <f>VLOOKUP(B78,'Profit &amp; Loss'!$B$2:$C$390,2,0)</f>
        <v>#N/A</v>
      </c>
    </row>
    <row r="79" spans="1:6" x14ac:dyDescent="0.2">
      <c r="A79" s="3" t="s">
        <v>73</v>
      </c>
      <c r="B79" s="3" t="s">
        <v>76</v>
      </c>
      <c r="C79" s="4">
        <v>410484.64</v>
      </c>
      <c r="D79" s="4">
        <v>395079.95</v>
      </c>
      <c r="E79" s="4">
        <v>15404.69</v>
      </c>
      <c r="F79" s="3" t="e">
        <f>VLOOKUP(B79,'Profit &amp; Loss'!$B$2:$C$390,2,0)</f>
        <v>#N/A</v>
      </c>
    </row>
    <row r="80" spans="1:6" x14ac:dyDescent="0.2">
      <c r="A80" s="3" t="s">
        <v>73</v>
      </c>
      <c r="B80" s="3" t="s">
        <v>77</v>
      </c>
      <c r="C80" s="4">
        <v>495.24</v>
      </c>
      <c r="D80" s="4">
        <v>495.24</v>
      </c>
      <c r="E80" s="4">
        <v>0</v>
      </c>
      <c r="F80" s="3" t="e">
        <f>VLOOKUP(B80,'Profit &amp; Loss'!$B$2:$C$390,2,0)</f>
        <v>#N/A</v>
      </c>
    </row>
    <row r="81" spans="1:6" x14ac:dyDescent="0.2">
      <c r="A81" s="3" t="s">
        <v>73</v>
      </c>
      <c r="B81" s="3" t="s">
        <v>78</v>
      </c>
      <c r="C81" s="4">
        <v>318151.83</v>
      </c>
      <c r="D81" s="4">
        <v>266816.33</v>
      </c>
      <c r="E81" s="4">
        <v>51335.5</v>
      </c>
      <c r="F81" s="3" t="e">
        <f>VLOOKUP(B81,'Profit &amp; Loss'!$B$2:$C$390,2,0)</f>
        <v>#N/A</v>
      </c>
    </row>
    <row r="82" spans="1:6" x14ac:dyDescent="0.2">
      <c r="A82" s="3" t="s">
        <v>73</v>
      </c>
      <c r="B82" s="3" t="s">
        <v>79</v>
      </c>
      <c r="C82" s="4">
        <v>-127742.14</v>
      </c>
      <c r="D82" s="4">
        <v>-127467.59</v>
      </c>
      <c r="E82" s="4">
        <v>-274.55</v>
      </c>
      <c r="F82" s="3" t="e">
        <f>VLOOKUP(B82,'Profit &amp; Loss'!$B$2:$C$390,2,0)</f>
        <v>#N/A</v>
      </c>
    </row>
    <row r="83" spans="1:6" x14ac:dyDescent="0.2">
      <c r="A83" s="3" t="s">
        <v>73</v>
      </c>
      <c r="B83" s="3" t="s">
        <v>80</v>
      </c>
      <c r="C83" s="4">
        <v>-466352.27</v>
      </c>
      <c r="D83" s="4">
        <v>-460436</v>
      </c>
      <c r="E83" s="4">
        <v>-5916.27</v>
      </c>
      <c r="F83" s="3" t="e">
        <f>VLOOKUP(B83,'Profit &amp; Loss'!$B$2:$C$390,2,0)</f>
        <v>#N/A</v>
      </c>
    </row>
    <row r="84" spans="1:6" x14ac:dyDescent="0.2">
      <c r="A84" s="3" t="s">
        <v>73</v>
      </c>
      <c r="B84" s="3" t="s">
        <v>81</v>
      </c>
      <c r="C84" s="4">
        <v>-312912.93</v>
      </c>
      <c r="D84" s="4">
        <v>-309940.40999999997</v>
      </c>
      <c r="E84" s="4">
        <v>-2972.52</v>
      </c>
      <c r="F84" s="3" t="e">
        <f>VLOOKUP(B84,'Profit &amp; Loss'!$B$2:$C$390,2,0)</f>
        <v>#N/A</v>
      </c>
    </row>
    <row r="85" spans="1:6" x14ac:dyDescent="0.2">
      <c r="A85" s="3" t="s">
        <v>73</v>
      </c>
      <c r="B85" s="3" t="s">
        <v>82</v>
      </c>
      <c r="C85" s="4">
        <v>-495.24</v>
      </c>
      <c r="D85" s="4">
        <v>-495.24</v>
      </c>
      <c r="E85" s="4">
        <v>0</v>
      </c>
      <c r="F85" s="3" t="e">
        <f>VLOOKUP(B85,'Profit &amp; Loss'!$B$2:$C$390,2,0)</f>
        <v>#N/A</v>
      </c>
    </row>
    <row r="86" spans="1:6" x14ac:dyDescent="0.2">
      <c r="A86" s="3" t="s">
        <v>73</v>
      </c>
      <c r="B86" s="3" t="s">
        <v>83</v>
      </c>
      <c r="C86" s="4">
        <v>-217100.17</v>
      </c>
      <c r="D86" s="4">
        <v>-211137.9</v>
      </c>
      <c r="E86" s="4">
        <v>-5962.27</v>
      </c>
      <c r="F86" s="3" t="e">
        <f>VLOOKUP(B86,'Profit &amp; Loss'!$B$2:$C$390,2,0)</f>
        <v>#N/A</v>
      </c>
    </row>
    <row r="87" spans="1:6" x14ac:dyDescent="0.2">
      <c r="A87" s="3" t="s">
        <v>73</v>
      </c>
      <c r="B87" s="3" t="s">
        <v>2</v>
      </c>
      <c r="C87" s="4">
        <v>516255.17</v>
      </c>
      <c r="D87" s="4">
        <v>461906.58</v>
      </c>
      <c r="E87" s="4">
        <v>54348.59</v>
      </c>
      <c r="F87" s="3" t="e">
        <f>VLOOKUP(B87,'Profit &amp; Loss'!$B$2:$C$390,2,0)</f>
        <v>#N/A</v>
      </c>
    </row>
    <row r="88" spans="1:6" x14ac:dyDescent="0.2">
      <c r="A88" s="3" t="s">
        <v>84</v>
      </c>
      <c r="B88" s="3" t="s">
        <v>85</v>
      </c>
      <c r="C88" s="4">
        <v>19408662.899999999</v>
      </c>
      <c r="D88" s="4">
        <v>19408662.899999999</v>
      </c>
      <c r="E88" s="4">
        <v>0</v>
      </c>
      <c r="F88" s="3" t="e">
        <f>VLOOKUP(B88,'Profit &amp; Loss'!$B$2:$C$390,2,0)</f>
        <v>#N/A</v>
      </c>
    </row>
    <row r="89" spans="1:6" x14ac:dyDescent="0.2">
      <c r="A89" s="3" t="s">
        <v>84</v>
      </c>
      <c r="B89" s="3" t="s">
        <v>86</v>
      </c>
      <c r="C89" s="4">
        <v>-7315460.1699999999</v>
      </c>
      <c r="D89" s="4">
        <v>-7040225.9500000002</v>
      </c>
      <c r="E89" s="4">
        <v>-275234.21999999997</v>
      </c>
      <c r="F89" s="3" t="e">
        <f>VLOOKUP(B89,'Profit &amp; Loss'!$B$2:$C$390,2,0)</f>
        <v>#N/A</v>
      </c>
    </row>
    <row r="90" spans="1:6" x14ac:dyDescent="0.2">
      <c r="A90" s="3" t="s">
        <v>84</v>
      </c>
      <c r="B90" s="3" t="s">
        <v>2</v>
      </c>
      <c r="C90" s="4">
        <v>12093202.73</v>
      </c>
      <c r="D90" s="4">
        <v>12368436.949999999</v>
      </c>
      <c r="E90" s="4">
        <v>-275234.21999999997</v>
      </c>
      <c r="F90" s="3" t="e">
        <f>VLOOKUP(B90,'Profit &amp; Loss'!$B$2:$C$390,2,0)</f>
        <v>#N/A</v>
      </c>
    </row>
    <row r="91" spans="1:6" x14ac:dyDescent="0.2">
      <c r="A91" s="3" t="s">
        <v>87</v>
      </c>
      <c r="B91" s="3" t="s">
        <v>88</v>
      </c>
      <c r="C91" s="4">
        <v>103060.72</v>
      </c>
      <c r="D91" s="4">
        <v>103060.72</v>
      </c>
      <c r="E91" s="4">
        <v>0</v>
      </c>
      <c r="F91" s="3" t="e">
        <f>VLOOKUP(B91,'Profit &amp; Loss'!$B$2:$C$390,2,0)</f>
        <v>#N/A</v>
      </c>
    </row>
    <row r="92" spans="1:6" x14ac:dyDescent="0.2">
      <c r="A92" s="3" t="s">
        <v>87</v>
      </c>
      <c r="B92" s="3" t="s">
        <v>89</v>
      </c>
      <c r="C92" s="4">
        <v>655044.07999999996</v>
      </c>
      <c r="D92" s="4">
        <v>655044.07999999996</v>
      </c>
      <c r="E92" s="4">
        <v>0</v>
      </c>
      <c r="F92" s="3" t="e">
        <f>VLOOKUP(B92,'Profit &amp; Loss'!$B$2:$C$390,2,0)</f>
        <v>#N/A</v>
      </c>
    </row>
    <row r="93" spans="1:6" x14ac:dyDescent="0.2">
      <c r="A93" s="3" t="s">
        <v>87</v>
      </c>
      <c r="B93" s="3" t="s">
        <v>90</v>
      </c>
      <c r="C93" s="4">
        <v>-102282.55</v>
      </c>
      <c r="D93" s="4">
        <v>-102226.96</v>
      </c>
      <c r="E93" s="4">
        <v>-55.59</v>
      </c>
      <c r="F93" s="3" t="e">
        <f>VLOOKUP(B93,'Profit &amp; Loss'!$B$2:$C$390,2,0)</f>
        <v>#N/A</v>
      </c>
    </row>
    <row r="94" spans="1:6" x14ac:dyDescent="0.2">
      <c r="A94" s="3" t="s">
        <v>87</v>
      </c>
      <c r="B94" s="3" t="s">
        <v>91</v>
      </c>
      <c r="C94" s="4">
        <v>-681428.33</v>
      </c>
      <c r="D94" s="4">
        <v>-679727.4</v>
      </c>
      <c r="E94" s="4">
        <v>-1700.93</v>
      </c>
      <c r="F94" s="3" t="e">
        <f>VLOOKUP(B94,'Profit &amp; Loss'!$B$2:$C$390,2,0)</f>
        <v>#N/A</v>
      </c>
    </row>
    <row r="95" spans="1:6" x14ac:dyDescent="0.2">
      <c r="A95" s="3" t="s">
        <v>87</v>
      </c>
      <c r="B95" s="3" t="s">
        <v>2</v>
      </c>
      <c r="C95" s="4">
        <v>-25606.080000000002</v>
      </c>
      <c r="D95" s="4">
        <v>-23849.56</v>
      </c>
      <c r="E95" s="4">
        <v>-1756.52</v>
      </c>
      <c r="F95" s="3" t="e">
        <f>VLOOKUP(B95,'Profit &amp; Loss'!$B$2:$C$390,2,0)</f>
        <v>#N/A</v>
      </c>
    </row>
    <row r="96" spans="1:6" x14ac:dyDescent="0.2">
      <c r="A96" s="3" t="s">
        <v>92</v>
      </c>
      <c r="B96" s="3" t="s">
        <v>93</v>
      </c>
      <c r="C96" s="4">
        <v>9741.7000000000007</v>
      </c>
      <c r="D96" s="4">
        <v>7861.74</v>
      </c>
      <c r="E96" s="4">
        <v>1879.96</v>
      </c>
      <c r="F96" s="3" t="e">
        <f>VLOOKUP(B96,'Profit &amp; Loss'!$B$2:$C$390,2,0)</f>
        <v>#N/A</v>
      </c>
    </row>
    <row r="97" spans="1:6" x14ac:dyDescent="0.2">
      <c r="A97" s="3" t="s">
        <v>92</v>
      </c>
      <c r="B97" s="3" t="s">
        <v>94</v>
      </c>
      <c r="C97" s="4">
        <v>255044.67</v>
      </c>
      <c r="D97" s="4">
        <v>255044.67</v>
      </c>
      <c r="E97" s="4">
        <v>0</v>
      </c>
      <c r="F97" s="3" t="e">
        <f>VLOOKUP(B97,'Profit &amp; Loss'!$B$2:$C$390,2,0)</f>
        <v>#N/A</v>
      </c>
    </row>
    <row r="98" spans="1:6" x14ac:dyDescent="0.2">
      <c r="A98" s="3" t="s">
        <v>92</v>
      </c>
      <c r="B98" s="3" t="s">
        <v>95</v>
      </c>
      <c r="C98" s="4">
        <v>-4493.51</v>
      </c>
      <c r="D98" s="4">
        <v>-4234.76</v>
      </c>
      <c r="E98" s="4">
        <v>-258.75</v>
      </c>
      <c r="F98" s="3" t="e">
        <f>VLOOKUP(B98,'Profit &amp; Loss'!$B$2:$C$390,2,0)</f>
        <v>#N/A</v>
      </c>
    </row>
    <row r="99" spans="1:6" x14ac:dyDescent="0.2">
      <c r="A99" s="3" t="s">
        <v>92</v>
      </c>
      <c r="B99" s="3" t="s">
        <v>96</v>
      </c>
      <c r="C99" s="4">
        <v>-192642.88</v>
      </c>
      <c r="D99" s="4">
        <v>-188127.4</v>
      </c>
      <c r="E99" s="4">
        <v>-4515.4799999999996</v>
      </c>
      <c r="F99" s="3" t="e">
        <f>VLOOKUP(B99,'Profit &amp; Loss'!$B$2:$C$390,2,0)</f>
        <v>#N/A</v>
      </c>
    </row>
    <row r="100" spans="1:6" x14ac:dyDescent="0.2">
      <c r="A100" s="3" t="s">
        <v>92</v>
      </c>
      <c r="B100" s="3" t="s">
        <v>2</v>
      </c>
      <c r="C100" s="4">
        <v>67649.98</v>
      </c>
      <c r="D100" s="4">
        <v>70544.25</v>
      </c>
      <c r="E100" s="4">
        <v>-2894.27</v>
      </c>
      <c r="F100" s="3" t="e">
        <f>VLOOKUP(B100,'Profit &amp; Loss'!$B$2:$C$390,2,0)</f>
        <v>#N/A</v>
      </c>
    </row>
    <row r="101" spans="1:6" x14ac:dyDescent="0.2">
      <c r="A101" s="3" t="s">
        <v>97</v>
      </c>
      <c r="B101" s="3" t="s">
        <v>98</v>
      </c>
      <c r="C101" s="4">
        <v>146144.09</v>
      </c>
      <c r="D101" s="4">
        <v>146144.09</v>
      </c>
      <c r="E101" s="4">
        <v>0</v>
      </c>
      <c r="F101" s="3" t="e">
        <f>VLOOKUP(B101,'Profit &amp; Loss'!$B$2:$C$390,2,0)</f>
        <v>#N/A</v>
      </c>
    </row>
    <row r="102" spans="1:6" x14ac:dyDescent="0.2">
      <c r="A102" s="3" t="s">
        <v>97</v>
      </c>
      <c r="B102" s="3" t="s">
        <v>99</v>
      </c>
      <c r="C102" s="4">
        <v>-94428.72</v>
      </c>
      <c r="D102" s="4">
        <v>-91992.99</v>
      </c>
      <c r="E102" s="4">
        <v>-2435.73</v>
      </c>
      <c r="F102" s="3" t="e">
        <f>VLOOKUP(B102,'Profit &amp; Loss'!$B$2:$C$390,2,0)</f>
        <v>#N/A</v>
      </c>
    </row>
    <row r="103" spans="1:6" x14ac:dyDescent="0.2">
      <c r="A103" s="3" t="s">
        <v>97</v>
      </c>
      <c r="B103" s="3" t="s">
        <v>2</v>
      </c>
      <c r="C103" s="4">
        <v>51715.37</v>
      </c>
      <c r="D103" s="4">
        <v>54151.1</v>
      </c>
      <c r="E103" s="4">
        <v>-2435.73</v>
      </c>
      <c r="F103" s="3" t="e">
        <f>VLOOKUP(B103,'Profit &amp; Loss'!$B$2:$C$390,2,0)</f>
        <v>#N/A</v>
      </c>
    </row>
    <row r="104" spans="1:6" x14ac:dyDescent="0.2">
      <c r="A104" s="3" t="s">
        <v>100</v>
      </c>
      <c r="B104" s="3" t="s">
        <v>101</v>
      </c>
      <c r="C104" s="4">
        <v>126094.79</v>
      </c>
      <c r="D104" s="4">
        <v>126094.79</v>
      </c>
      <c r="E104" s="4">
        <v>0</v>
      </c>
      <c r="F104" s="3" t="e">
        <f>VLOOKUP(B104,'Profit &amp; Loss'!$B$2:$C$390,2,0)</f>
        <v>#N/A</v>
      </c>
    </row>
    <row r="105" spans="1:6" x14ac:dyDescent="0.2">
      <c r="A105" s="3" t="s">
        <v>100</v>
      </c>
      <c r="B105" s="3" t="s">
        <v>980</v>
      </c>
      <c r="C105" s="4">
        <v>99779.96</v>
      </c>
      <c r="D105" s="4">
        <v>99779.96</v>
      </c>
      <c r="E105" s="4">
        <v>0</v>
      </c>
      <c r="F105" s="3" t="e">
        <f>VLOOKUP(B105,'Profit &amp; Loss'!$B$2:$C$390,2,0)</f>
        <v>#N/A</v>
      </c>
    </row>
    <row r="106" spans="1:6" x14ac:dyDescent="0.2">
      <c r="A106" s="3" t="s">
        <v>100</v>
      </c>
      <c r="B106" s="3" t="s">
        <v>102</v>
      </c>
      <c r="C106" s="4">
        <v>-109630.26</v>
      </c>
      <c r="D106" s="4">
        <v>-109018.24000000001</v>
      </c>
      <c r="E106" s="4">
        <v>-612.02</v>
      </c>
      <c r="F106" s="3" t="e">
        <f>VLOOKUP(B106,'Profit &amp; Loss'!$B$2:$C$390,2,0)</f>
        <v>#N/A</v>
      </c>
    </row>
    <row r="107" spans="1:6" x14ac:dyDescent="0.2">
      <c r="A107" s="3" t="s">
        <v>100</v>
      </c>
      <c r="B107" s="3" t="s">
        <v>981</v>
      </c>
      <c r="C107" s="4">
        <v>-99779.96</v>
      </c>
      <c r="D107" s="4">
        <v>-99779.96</v>
      </c>
      <c r="E107" s="4">
        <v>0</v>
      </c>
      <c r="F107" s="3" t="e">
        <f>VLOOKUP(B107,'Profit &amp; Loss'!$B$2:$C$390,2,0)</f>
        <v>#N/A</v>
      </c>
    </row>
    <row r="108" spans="1:6" x14ac:dyDescent="0.2">
      <c r="A108" s="3" t="s">
        <v>100</v>
      </c>
      <c r="B108" s="3" t="s">
        <v>2</v>
      </c>
      <c r="C108" s="4">
        <v>16464.53</v>
      </c>
      <c r="D108" s="4">
        <v>17076.55</v>
      </c>
      <c r="E108" s="4">
        <v>-612.02</v>
      </c>
      <c r="F108" s="3" t="e">
        <f>VLOOKUP(B108,'Profit &amp; Loss'!$B$2:$C$390,2,0)</f>
        <v>#N/A</v>
      </c>
    </row>
    <row r="109" spans="1:6" x14ac:dyDescent="0.2">
      <c r="A109" s="3" t="s">
        <v>103</v>
      </c>
      <c r="B109" s="3" t="s">
        <v>2</v>
      </c>
      <c r="C109" s="4">
        <v>12811774.75</v>
      </c>
      <c r="D109" s="4">
        <v>13041473.68</v>
      </c>
      <c r="E109" s="4">
        <v>-229698.93</v>
      </c>
      <c r="F109" s="3" t="e">
        <f>VLOOKUP(B109,'Profit &amp; Loss'!$B$2:$C$390,2,0)</f>
        <v>#N/A</v>
      </c>
    </row>
    <row r="110" spans="1:6" x14ac:dyDescent="0.2">
      <c r="A110" s="3" t="s">
        <v>104</v>
      </c>
      <c r="B110" s="3" t="s">
        <v>105</v>
      </c>
      <c r="C110" s="4">
        <v>2811368.31</v>
      </c>
      <c r="D110" s="4">
        <v>2811368.31</v>
      </c>
      <c r="E110" s="4">
        <v>0</v>
      </c>
      <c r="F110" s="3" t="e">
        <f>VLOOKUP(B110,'Profit &amp; Loss'!$B$2:$C$390,2,0)</f>
        <v>#N/A</v>
      </c>
    </row>
    <row r="111" spans="1:6" x14ac:dyDescent="0.2">
      <c r="A111" s="3" t="s">
        <v>104</v>
      </c>
      <c r="B111" s="3" t="s">
        <v>106</v>
      </c>
      <c r="C111" s="4">
        <v>834500.42</v>
      </c>
      <c r="D111" s="4">
        <v>751020.44</v>
      </c>
      <c r="E111" s="4">
        <v>83479.98</v>
      </c>
      <c r="F111" s="3" t="e">
        <f>VLOOKUP(B111,'Profit &amp; Loss'!$B$2:$C$390,2,0)</f>
        <v>#N/A</v>
      </c>
    </row>
    <row r="112" spans="1:6" x14ac:dyDescent="0.2">
      <c r="A112" s="3" t="s">
        <v>104</v>
      </c>
      <c r="B112" s="3" t="s">
        <v>107</v>
      </c>
      <c r="C112" s="4">
        <v>-2694991.3</v>
      </c>
      <c r="D112" s="4">
        <v>-2636802.83</v>
      </c>
      <c r="E112" s="4">
        <v>-58188.47</v>
      </c>
      <c r="F112" s="3" t="e">
        <f>VLOOKUP(B112,'Profit &amp; Loss'!$B$2:$C$390,2,0)</f>
        <v>#N/A</v>
      </c>
    </row>
    <row r="113" spans="1:6" x14ac:dyDescent="0.2">
      <c r="A113" s="3" t="s">
        <v>104</v>
      </c>
      <c r="B113" s="3" t="s">
        <v>108</v>
      </c>
      <c r="C113" s="4">
        <v>-645457.31000000006</v>
      </c>
      <c r="D113" s="4">
        <v>-624166.40000000002</v>
      </c>
      <c r="E113" s="4">
        <v>-21290.91</v>
      </c>
      <c r="F113" s="3" t="e">
        <f>VLOOKUP(B113,'Profit &amp; Loss'!$B$2:$C$390,2,0)</f>
        <v>#N/A</v>
      </c>
    </row>
    <row r="114" spans="1:6" x14ac:dyDescent="0.2">
      <c r="A114" s="3" t="s">
        <v>104</v>
      </c>
      <c r="B114" s="3" t="s">
        <v>109</v>
      </c>
      <c r="C114" s="4">
        <v>-80257.42</v>
      </c>
      <c r="D114" s="4">
        <v>-80257.42</v>
      </c>
      <c r="E114" s="4">
        <v>0</v>
      </c>
      <c r="F114" s="3" t="e">
        <f>VLOOKUP(B114,'Profit &amp; Loss'!$B$2:$C$390,2,0)</f>
        <v>#N/A</v>
      </c>
    </row>
    <row r="115" spans="1:6" x14ac:dyDescent="0.2">
      <c r="A115" s="3" t="s">
        <v>104</v>
      </c>
      <c r="B115" s="3" t="s">
        <v>110</v>
      </c>
      <c r="C115" s="4">
        <v>11976.55</v>
      </c>
      <c r="D115" s="4">
        <v>11976.55</v>
      </c>
      <c r="E115" s="4">
        <v>0</v>
      </c>
      <c r="F115" s="3" t="e">
        <f>VLOOKUP(B115,'Profit &amp; Loss'!$B$2:$C$390,2,0)</f>
        <v>#N/A</v>
      </c>
    </row>
    <row r="116" spans="1:6" x14ac:dyDescent="0.2">
      <c r="A116" s="3" t="s">
        <v>104</v>
      </c>
      <c r="B116" s="3" t="s">
        <v>111</v>
      </c>
      <c r="C116" s="4">
        <v>10624.89</v>
      </c>
      <c r="D116" s="4">
        <v>10624.89</v>
      </c>
      <c r="E116" s="4">
        <v>0</v>
      </c>
      <c r="F116" s="3" t="e">
        <f>VLOOKUP(B116,'Profit &amp; Loss'!$B$2:$C$390,2,0)</f>
        <v>#N/A</v>
      </c>
    </row>
    <row r="117" spans="1:6" x14ac:dyDescent="0.2">
      <c r="A117" s="3" t="s">
        <v>104</v>
      </c>
      <c r="B117" s="3" t="s">
        <v>2</v>
      </c>
      <c r="C117" s="4">
        <v>247764.14</v>
      </c>
      <c r="D117" s="4">
        <v>243763.54</v>
      </c>
      <c r="E117" s="4">
        <v>4000.6</v>
      </c>
      <c r="F117" s="3" t="e">
        <f>VLOOKUP(B117,'Profit &amp; Loss'!$B$2:$C$390,2,0)</f>
        <v>#N/A</v>
      </c>
    </row>
    <row r="118" spans="1:6" x14ac:dyDescent="0.2">
      <c r="A118" s="3" t="s">
        <v>112</v>
      </c>
      <c r="B118" s="3" t="s">
        <v>2</v>
      </c>
      <c r="C118" s="4">
        <v>247764.14</v>
      </c>
      <c r="D118" s="4">
        <v>243763.54</v>
      </c>
      <c r="E118" s="4">
        <v>4000.6</v>
      </c>
      <c r="F118" s="3" t="e">
        <f>VLOOKUP(B118,'Profit &amp; Loss'!$B$2:$C$390,2,0)</f>
        <v>#N/A</v>
      </c>
    </row>
    <row r="119" spans="1:6" x14ac:dyDescent="0.2">
      <c r="A119" s="3" t="s">
        <v>0</v>
      </c>
      <c r="B119" s="3" t="s">
        <v>113</v>
      </c>
      <c r="C119" s="4">
        <v>66493147.090000004</v>
      </c>
      <c r="D119" s="4">
        <v>65305864.340000004</v>
      </c>
      <c r="E119" s="4">
        <v>1187282.75</v>
      </c>
      <c r="F119" s="3" t="e">
        <f>VLOOKUP(B119,'Profit &amp; Loss'!$B$2:$C$390,2,0)</f>
        <v>#N/A</v>
      </c>
    </row>
    <row r="120" spans="1:6" x14ac:dyDescent="0.2">
      <c r="A120" s="3" t="s">
        <v>0</v>
      </c>
      <c r="B120" s="5" t="s">
        <v>114</v>
      </c>
      <c r="C120" s="4">
        <v>0</v>
      </c>
      <c r="D120" s="4">
        <v>0</v>
      </c>
      <c r="E120" s="4">
        <v>0</v>
      </c>
      <c r="F120" s="3" t="e">
        <f>VLOOKUP(B120,'Profit &amp; Loss'!$B$2:$C$390,2,0)</f>
        <v>#N/A</v>
      </c>
    </row>
    <row r="121" spans="1:6" x14ac:dyDescent="0.2">
      <c r="A121" s="3" t="s">
        <v>115</v>
      </c>
      <c r="B121" s="3" t="s">
        <v>116</v>
      </c>
      <c r="C121" s="4">
        <v>0</v>
      </c>
      <c r="D121" s="4">
        <v>0</v>
      </c>
      <c r="E121" s="4">
        <v>0</v>
      </c>
      <c r="F121" s="3" t="e">
        <f>VLOOKUP(B121,'Profit &amp; Loss'!$B$2:$C$390,2,0)</f>
        <v>#N/A</v>
      </c>
    </row>
    <row r="122" spans="1:6" x14ac:dyDescent="0.2">
      <c r="A122" s="3" t="s">
        <v>115</v>
      </c>
      <c r="B122" s="5" t="s">
        <v>117</v>
      </c>
      <c r="C122" s="4">
        <v>0</v>
      </c>
      <c r="D122" s="4">
        <v>0</v>
      </c>
      <c r="E122" s="4">
        <v>0</v>
      </c>
      <c r="F122" s="3" t="e">
        <f>VLOOKUP(B122,'Profit &amp; Loss'!$B$2:$C$390,2,0)</f>
        <v>#N/A</v>
      </c>
    </row>
    <row r="123" spans="1:6" x14ac:dyDescent="0.2">
      <c r="A123" s="3" t="s">
        <v>118</v>
      </c>
      <c r="B123" s="3" t="s">
        <v>119</v>
      </c>
      <c r="C123" s="4">
        <v>-62336.15</v>
      </c>
      <c r="D123" s="4">
        <v>-16687.990000000002</v>
      </c>
      <c r="E123" s="4">
        <v>-45648.160000000003</v>
      </c>
      <c r="F123" s="3" t="e">
        <f>VLOOKUP(B123,'Profit &amp; Loss'!$B$2:$C$390,2,0)</f>
        <v>#N/A</v>
      </c>
    </row>
    <row r="124" spans="1:6" x14ac:dyDescent="0.2">
      <c r="A124" s="3" t="s">
        <v>118</v>
      </c>
      <c r="B124" s="3" t="s">
        <v>120</v>
      </c>
      <c r="C124" s="4">
        <v>41.13</v>
      </c>
      <c r="D124" s="4">
        <v>346.72</v>
      </c>
      <c r="E124" s="4">
        <v>-305.58999999999997</v>
      </c>
      <c r="F124" s="3" t="e">
        <f>VLOOKUP(B124,'Profit &amp; Loss'!$B$2:$C$390,2,0)</f>
        <v>#N/A</v>
      </c>
    </row>
    <row r="125" spans="1:6" x14ac:dyDescent="0.2">
      <c r="A125" s="3" t="s">
        <v>118</v>
      </c>
      <c r="B125" s="3" t="s">
        <v>982</v>
      </c>
      <c r="C125" s="4">
        <v>-96.15</v>
      </c>
      <c r="D125" s="4">
        <v>0</v>
      </c>
      <c r="E125" s="4">
        <v>-96.15</v>
      </c>
      <c r="F125" s="3" t="e">
        <f>VLOOKUP(B125,'Profit &amp; Loss'!$B$2:$C$390,2,0)</f>
        <v>#N/A</v>
      </c>
    </row>
    <row r="126" spans="1:6" x14ac:dyDescent="0.2">
      <c r="A126" s="3" t="s">
        <v>118</v>
      </c>
      <c r="B126" s="3" t="s">
        <v>983</v>
      </c>
      <c r="C126" s="4">
        <v>1.48</v>
      </c>
      <c r="D126" s="4">
        <v>0</v>
      </c>
      <c r="E126" s="4">
        <v>1.48</v>
      </c>
      <c r="F126" s="3" t="e">
        <f>VLOOKUP(B126,'Profit &amp; Loss'!$B$2:$C$390,2,0)</f>
        <v>#N/A</v>
      </c>
    </row>
    <row r="127" spans="1:6" x14ac:dyDescent="0.2">
      <c r="A127" s="3" t="s">
        <v>118</v>
      </c>
      <c r="B127" s="3" t="s">
        <v>2</v>
      </c>
      <c r="C127" s="4">
        <v>-62389.69</v>
      </c>
      <c r="D127" s="4">
        <v>-16341.27</v>
      </c>
      <c r="E127" s="4">
        <v>-46048.42</v>
      </c>
      <c r="F127" s="3" t="e">
        <f>VLOOKUP(B127,'Profit &amp; Loss'!$B$2:$C$390,2,0)</f>
        <v>#N/A</v>
      </c>
    </row>
    <row r="128" spans="1:6" x14ac:dyDescent="0.2">
      <c r="A128" s="3" t="s">
        <v>121</v>
      </c>
      <c r="B128" s="3" t="s">
        <v>2</v>
      </c>
      <c r="C128" s="4">
        <v>-62389.69</v>
      </c>
      <c r="D128" s="4">
        <v>-16341.27</v>
      </c>
      <c r="E128" s="4">
        <v>-46048.42</v>
      </c>
      <c r="F128" s="3" t="e">
        <f>VLOOKUP(B128,'Profit &amp; Loss'!$B$2:$C$390,2,0)</f>
        <v>#N/A</v>
      </c>
    </row>
    <row r="129" spans="1:6" x14ac:dyDescent="0.2">
      <c r="A129" s="3" t="s">
        <v>122</v>
      </c>
      <c r="B129" s="3" t="s">
        <v>123</v>
      </c>
      <c r="C129" s="4">
        <v>-284440.7</v>
      </c>
      <c r="D129" s="4">
        <v>-337281.53</v>
      </c>
      <c r="E129" s="4">
        <v>52840.83</v>
      </c>
      <c r="F129" s="3" t="e">
        <f>VLOOKUP(B129,'Profit &amp; Loss'!$B$2:$C$390,2,0)</f>
        <v>#N/A</v>
      </c>
    </row>
    <row r="130" spans="1:6" x14ac:dyDescent="0.2">
      <c r="A130" s="3" t="s">
        <v>122</v>
      </c>
      <c r="B130" s="3" t="s">
        <v>124</v>
      </c>
      <c r="C130" s="4">
        <v>302.27999999999997</v>
      </c>
      <c r="D130" s="4">
        <v>6600.16</v>
      </c>
      <c r="E130" s="4">
        <v>-6297.88</v>
      </c>
      <c r="F130" s="3" t="e">
        <f>VLOOKUP(B130,'Profit &amp; Loss'!$B$2:$C$390,2,0)</f>
        <v>#N/A</v>
      </c>
    </row>
    <row r="131" spans="1:6" x14ac:dyDescent="0.2">
      <c r="A131" s="3" t="s">
        <v>122</v>
      </c>
      <c r="B131" s="3" t="s">
        <v>126</v>
      </c>
      <c r="C131" s="4">
        <v>3280849.48</v>
      </c>
      <c r="D131" s="4">
        <v>6411490.6100000003</v>
      </c>
      <c r="E131" s="4">
        <v>-3130641.13</v>
      </c>
      <c r="F131" s="3" t="e">
        <f>VLOOKUP(B131,'Profit &amp; Loss'!$B$2:$C$390,2,0)</f>
        <v>#N/A</v>
      </c>
    </row>
    <row r="132" spans="1:6" x14ac:dyDescent="0.2">
      <c r="A132" s="3" t="s">
        <v>122</v>
      </c>
      <c r="B132" s="3" t="s">
        <v>127</v>
      </c>
      <c r="C132" s="4">
        <v>117.9</v>
      </c>
      <c r="D132" s="4">
        <v>13172.38</v>
      </c>
      <c r="E132" s="4">
        <v>-13054.48</v>
      </c>
      <c r="F132" s="3" t="e">
        <f>VLOOKUP(B132,'Profit &amp; Loss'!$B$2:$C$390,2,0)</f>
        <v>#N/A</v>
      </c>
    </row>
    <row r="133" spans="1:6" x14ac:dyDescent="0.2">
      <c r="A133" s="3" t="s">
        <v>122</v>
      </c>
      <c r="B133" s="3" t="s">
        <v>128</v>
      </c>
      <c r="C133" s="4">
        <v>17186.95</v>
      </c>
      <c r="D133" s="4">
        <v>65219.26</v>
      </c>
      <c r="E133" s="4">
        <v>-48032.31</v>
      </c>
      <c r="F133" s="3" t="e">
        <f>VLOOKUP(B133,'Profit &amp; Loss'!$B$2:$C$390,2,0)</f>
        <v>#N/A</v>
      </c>
    </row>
    <row r="134" spans="1:6" x14ac:dyDescent="0.2">
      <c r="A134" s="3" t="s">
        <v>122</v>
      </c>
      <c r="B134" s="3" t="s">
        <v>129</v>
      </c>
      <c r="C134" s="4">
        <v>-3280849.48</v>
      </c>
      <c r="D134" s="4">
        <v>-6411490.6100000003</v>
      </c>
      <c r="E134" s="4">
        <v>3130641.13</v>
      </c>
      <c r="F134" s="3" t="e">
        <f>VLOOKUP(B134,'Profit &amp; Loss'!$B$2:$C$390,2,0)</f>
        <v>#N/A</v>
      </c>
    </row>
    <row r="135" spans="1:6" x14ac:dyDescent="0.2">
      <c r="A135" s="3" t="s">
        <v>122</v>
      </c>
      <c r="B135" s="3" t="s">
        <v>130</v>
      </c>
      <c r="C135" s="4">
        <v>-117.9</v>
      </c>
      <c r="D135" s="4">
        <v>-13172.38</v>
      </c>
      <c r="E135" s="4">
        <v>13054.48</v>
      </c>
      <c r="F135" s="3" t="e">
        <f>VLOOKUP(B135,'Profit &amp; Loss'!$B$2:$C$390,2,0)</f>
        <v>#N/A</v>
      </c>
    </row>
    <row r="136" spans="1:6" x14ac:dyDescent="0.2">
      <c r="A136" s="3" t="s">
        <v>122</v>
      </c>
      <c r="B136" s="3" t="s">
        <v>131</v>
      </c>
      <c r="C136" s="4">
        <v>-17186.95</v>
      </c>
      <c r="D136" s="4">
        <v>-65219.26</v>
      </c>
      <c r="E136" s="4">
        <v>48032.31</v>
      </c>
      <c r="F136" s="3" t="e">
        <f>VLOOKUP(B136,'Profit &amp; Loss'!$B$2:$C$390,2,0)</f>
        <v>#N/A</v>
      </c>
    </row>
    <row r="137" spans="1:6" x14ac:dyDescent="0.2">
      <c r="A137" s="3" t="s">
        <v>122</v>
      </c>
      <c r="B137" s="3" t="s">
        <v>132</v>
      </c>
      <c r="C137" s="4">
        <v>-14817.2</v>
      </c>
      <c r="D137" s="4">
        <v>22191.23</v>
      </c>
      <c r="E137" s="4">
        <v>-37008.43</v>
      </c>
      <c r="F137" s="3" t="e">
        <f>VLOOKUP(B137,'Profit &amp; Loss'!$B$2:$C$390,2,0)</f>
        <v>#N/A</v>
      </c>
    </row>
    <row r="138" spans="1:6" x14ac:dyDescent="0.2">
      <c r="A138" s="3" t="s">
        <v>122</v>
      </c>
      <c r="B138" s="3" t="s">
        <v>133</v>
      </c>
      <c r="C138" s="4">
        <v>9055.2900000000009</v>
      </c>
      <c r="D138" s="4">
        <v>-22191.23</v>
      </c>
      <c r="E138" s="4">
        <v>31246.52</v>
      </c>
      <c r="F138" s="3" t="e">
        <f>VLOOKUP(B138,'Profit &amp; Loss'!$B$2:$C$390,2,0)</f>
        <v>#N/A</v>
      </c>
    </row>
    <row r="139" spans="1:6" x14ac:dyDescent="0.2">
      <c r="A139" s="3" t="s">
        <v>122</v>
      </c>
      <c r="B139" s="3" t="s">
        <v>134</v>
      </c>
      <c r="C139" s="4">
        <v>-1489.81</v>
      </c>
      <c r="D139" s="4">
        <v>-30.46</v>
      </c>
      <c r="E139" s="4">
        <v>-1459.35</v>
      </c>
      <c r="F139" s="3" t="e">
        <f>VLOOKUP(B139,'Profit &amp; Loss'!$B$2:$C$390,2,0)</f>
        <v>#N/A</v>
      </c>
    </row>
    <row r="140" spans="1:6" x14ac:dyDescent="0.2">
      <c r="A140" s="3" t="s">
        <v>122</v>
      </c>
      <c r="B140" s="3" t="s">
        <v>135</v>
      </c>
      <c r="C140" s="4">
        <v>1489.81</v>
      </c>
      <c r="D140" s="4">
        <v>30.46</v>
      </c>
      <c r="E140" s="4">
        <v>1459.35</v>
      </c>
      <c r="F140" s="3" t="e">
        <f>VLOOKUP(B140,'Profit &amp; Loss'!$B$2:$C$390,2,0)</f>
        <v>#N/A</v>
      </c>
    </row>
    <row r="141" spans="1:6" x14ac:dyDescent="0.2">
      <c r="A141" s="3" t="s">
        <v>122</v>
      </c>
      <c r="B141" s="3" t="s">
        <v>136</v>
      </c>
      <c r="C141" s="4">
        <v>-30271.74</v>
      </c>
      <c r="D141" s="4">
        <v>-45332.54</v>
      </c>
      <c r="E141" s="4">
        <v>15060.8</v>
      </c>
      <c r="F141" s="3" t="e">
        <f>VLOOKUP(B141,'Profit &amp; Loss'!$B$2:$C$390,2,0)</f>
        <v>#N/A</v>
      </c>
    </row>
    <row r="142" spans="1:6" x14ac:dyDescent="0.2">
      <c r="A142" s="3" t="s">
        <v>122</v>
      </c>
      <c r="B142" s="3" t="s">
        <v>137</v>
      </c>
      <c r="C142" s="4">
        <v>28616.91</v>
      </c>
      <c r="D142" s="4">
        <v>45332.54</v>
      </c>
      <c r="E142" s="4">
        <v>-16715.63</v>
      </c>
      <c r="F142" s="3" t="e">
        <f>VLOOKUP(B142,'Profit &amp; Loss'!$B$2:$C$390,2,0)</f>
        <v>#N/A</v>
      </c>
    </row>
    <row r="143" spans="1:6" x14ac:dyDescent="0.2">
      <c r="A143" s="3" t="s">
        <v>122</v>
      </c>
      <c r="B143" s="3" t="s">
        <v>138</v>
      </c>
      <c r="C143" s="4">
        <v>-112.92</v>
      </c>
      <c r="D143" s="4">
        <v>-6818.91</v>
      </c>
      <c r="E143" s="4">
        <v>6705.99</v>
      </c>
      <c r="F143" s="3" t="e">
        <f>VLOOKUP(B143,'Profit &amp; Loss'!$B$2:$C$390,2,0)</f>
        <v>#N/A</v>
      </c>
    </row>
    <row r="144" spans="1:6" x14ac:dyDescent="0.2">
      <c r="A144" s="3" t="s">
        <v>122</v>
      </c>
      <c r="B144" s="3" t="s">
        <v>139</v>
      </c>
      <c r="C144" s="4">
        <v>93.26</v>
      </c>
      <c r="D144" s="4">
        <v>6818.91</v>
      </c>
      <c r="E144" s="4">
        <v>-6725.65</v>
      </c>
      <c r="F144" s="3" t="e">
        <f>VLOOKUP(B144,'Profit &amp; Loss'!$B$2:$C$390,2,0)</f>
        <v>#N/A</v>
      </c>
    </row>
    <row r="145" spans="1:6" x14ac:dyDescent="0.2">
      <c r="A145" s="3" t="s">
        <v>122</v>
      </c>
      <c r="B145" s="3" t="s">
        <v>985</v>
      </c>
      <c r="C145" s="4">
        <v>-186.12</v>
      </c>
      <c r="D145" s="4">
        <v>-1827.26</v>
      </c>
      <c r="E145" s="4">
        <v>1641.14</v>
      </c>
      <c r="F145" s="3" t="e">
        <f>VLOOKUP(B145,'Profit &amp; Loss'!$B$2:$C$390,2,0)</f>
        <v>#N/A</v>
      </c>
    </row>
    <row r="146" spans="1:6" x14ac:dyDescent="0.2">
      <c r="A146" s="3" t="s">
        <v>122</v>
      </c>
      <c r="B146" s="3" t="s">
        <v>986</v>
      </c>
      <c r="C146" s="4">
        <v>186.12</v>
      </c>
      <c r="D146" s="4">
        <v>1827.26</v>
      </c>
      <c r="E146" s="4">
        <v>-1641.14</v>
      </c>
      <c r="F146" s="3" t="e">
        <f>VLOOKUP(B146,'Profit &amp; Loss'!$B$2:$C$390,2,0)</f>
        <v>#N/A</v>
      </c>
    </row>
    <row r="147" spans="1:6" x14ac:dyDescent="0.2">
      <c r="A147" s="3" t="s">
        <v>122</v>
      </c>
      <c r="B147" s="3" t="s">
        <v>140</v>
      </c>
      <c r="C147" s="4">
        <v>-81316.37</v>
      </c>
      <c r="D147" s="4">
        <v>-64132.44</v>
      </c>
      <c r="E147" s="4">
        <v>-17183.93</v>
      </c>
      <c r="F147" s="3" t="e">
        <f>VLOOKUP(B147,'Profit &amp; Loss'!$B$2:$C$390,2,0)</f>
        <v>#N/A</v>
      </c>
    </row>
    <row r="148" spans="1:6" x14ac:dyDescent="0.2">
      <c r="A148" s="3" t="s">
        <v>122</v>
      </c>
      <c r="B148" s="3" t="s">
        <v>141</v>
      </c>
      <c r="C148" s="4">
        <v>81316.37</v>
      </c>
      <c r="D148" s="4">
        <v>64132.44</v>
      </c>
      <c r="E148" s="4">
        <v>17183.93</v>
      </c>
      <c r="F148" s="3" t="e">
        <f>VLOOKUP(B148,'Profit &amp; Loss'!$B$2:$C$390,2,0)</f>
        <v>#N/A</v>
      </c>
    </row>
    <row r="149" spans="1:6" x14ac:dyDescent="0.2">
      <c r="A149" s="3" t="s">
        <v>122</v>
      </c>
      <c r="B149" s="3" t="s">
        <v>142</v>
      </c>
      <c r="C149" s="4">
        <v>-72218.820000000007</v>
      </c>
      <c r="D149" s="4">
        <v>-38627.01</v>
      </c>
      <c r="E149" s="4">
        <v>-33591.81</v>
      </c>
      <c r="F149" s="3" t="e">
        <f>VLOOKUP(B149,'Profit &amp; Loss'!$B$2:$C$390,2,0)</f>
        <v>#N/A</v>
      </c>
    </row>
    <row r="150" spans="1:6" x14ac:dyDescent="0.2">
      <c r="A150" s="3" t="s">
        <v>122</v>
      </c>
      <c r="B150" s="3" t="s">
        <v>143</v>
      </c>
      <c r="C150" s="4">
        <v>72131.14</v>
      </c>
      <c r="D150" s="4">
        <v>38627.01</v>
      </c>
      <c r="E150" s="4">
        <v>33504.129999999997</v>
      </c>
      <c r="F150" s="3" t="e">
        <f>VLOOKUP(B150,'Profit &amp; Loss'!$B$2:$C$390,2,0)</f>
        <v>#N/A</v>
      </c>
    </row>
    <row r="151" spans="1:6" x14ac:dyDescent="0.2">
      <c r="A151" s="3" t="s">
        <v>122</v>
      </c>
      <c r="B151" s="3" t="s">
        <v>144</v>
      </c>
      <c r="C151" s="4">
        <v>176731.45</v>
      </c>
      <c r="D151" s="4">
        <v>176731.45</v>
      </c>
      <c r="E151" s="4">
        <v>0</v>
      </c>
      <c r="F151" s="3" t="e">
        <f>VLOOKUP(B151,'Profit &amp; Loss'!$B$2:$C$390,2,0)</f>
        <v>#N/A</v>
      </c>
    </row>
    <row r="152" spans="1:6" x14ac:dyDescent="0.2">
      <c r="A152" s="3" t="s">
        <v>122</v>
      </c>
      <c r="B152" s="3" t="s">
        <v>145</v>
      </c>
      <c r="C152" s="4">
        <v>-0.48</v>
      </c>
      <c r="D152" s="4">
        <v>-0.48</v>
      </c>
      <c r="E152" s="4">
        <v>0</v>
      </c>
      <c r="F152" s="3" t="e">
        <f>VLOOKUP(B152,'Profit &amp; Loss'!$B$2:$C$390,2,0)</f>
        <v>#N/A</v>
      </c>
    </row>
    <row r="153" spans="1:6" x14ac:dyDescent="0.2">
      <c r="A153" s="3" t="s">
        <v>122</v>
      </c>
      <c r="B153" s="3" t="s">
        <v>146</v>
      </c>
      <c r="C153" s="4">
        <v>0.48</v>
      </c>
      <c r="D153" s="4">
        <v>0.48</v>
      </c>
      <c r="E153" s="4">
        <v>0</v>
      </c>
      <c r="F153" s="3" t="e">
        <f>VLOOKUP(B153,'Profit &amp; Loss'!$B$2:$C$390,2,0)</f>
        <v>#N/A</v>
      </c>
    </row>
    <row r="154" spans="1:6" x14ac:dyDescent="0.2">
      <c r="A154" s="3" t="s">
        <v>122</v>
      </c>
      <c r="B154" s="3" t="s">
        <v>147</v>
      </c>
      <c r="C154" s="4">
        <v>-2889367.35</v>
      </c>
      <c r="D154" s="4">
        <v>-2869113.8</v>
      </c>
      <c r="E154" s="4">
        <v>-20253.55</v>
      </c>
      <c r="F154" s="3" t="e">
        <f>VLOOKUP(B154,'Profit &amp; Loss'!$B$2:$C$390,2,0)</f>
        <v>#N/A</v>
      </c>
    </row>
    <row r="155" spans="1:6" x14ac:dyDescent="0.2">
      <c r="A155" s="3" t="s">
        <v>122</v>
      </c>
      <c r="B155" s="3" t="s">
        <v>2</v>
      </c>
      <c r="C155" s="4">
        <v>-3004298.4</v>
      </c>
      <c r="D155" s="4">
        <v>-3023063.72</v>
      </c>
      <c r="E155" s="4">
        <v>18765.32</v>
      </c>
      <c r="F155" s="3" t="e">
        <f>VLOOKUP(B155,'Profit &amp; Loss'!$B$2:$C$390,2,0)</f>
        <v>#N/A</v>
      </c>
    </row>
    <row r="156" spans="1:6" x14ac:dyDescent="0.2">
      <c r="A156" s="3" t="s">
        <v>148</v>
      </c>
      <c r="B156" s="3" t="s">
        <v>2</v>
      </c>
      <c r="C156" s="4">
        <v>-3004298.4</v>
      </c>
      <c r="D156" s="4">
        <v>-3023063.72</v>
      </c>
      <c r="E156" s="4">
        <v>18765.32</v>
      </c>
      <c r="F156" s="3" t="e">
        <f>VLOOKUP(B156,'Profit &amp; Loss'!$B$2:$C$390,2,0)</f>
        <v>#N/A</v>
      </c>
    </row>
    <row r="157" spans="1:6" x14ac:dyDescent="0.2">
      <c r="A157" s="3" t="s">
        <v>149</v>
      </c>
      <c r="B157" s="3" t="s">
        <v>150</v>
      </c>
      <c r="C157" s="4">
        <v>108.76</v>
      </c>
      <c r="D157" s="4">
        <v>108.76</v>
      </c>
      <c r="E157" s="4">
        <v>0</v>
      </c>
      <c r="F157" s="3" t="e">
        <f>VLOOKUP(B157,'Profit &amp; Loss'!$B$2:$C$390,2,0)</f>
        <v>#N/A</v>
      </c>
    </row>
    <row r="158" spans="1:6" x14ac:dyDescent="0.2">
      <c r="A158" s="3" t="s">
        <v>149</v>
      </c>
      <c r="B158" s="3" t="s">
        <v>151</v>
      </c>
      <c r="C158" s="4">
        <v>-53.3</v>
      </c>
      <c r="D158" s="4">
        <v>-20.14</v>
      </c>
      <c r="E158" s="4">
        <v>-33.159999999999997</v>
      </c>
      <c r="F158" s="3" t="e">
        <f>VLOOKUP(B158,'Profit &amp; Loss'!$B$2:$C$390,2,0)</f>
        <v>#N/A</v>
      </c>
    </row>
    <row r="159" spans="1:6" x14ac:dyDescent="0.2">
      <c r="A159" s="3" t="s">
        <v>149</v>
      </c>
      <c r="B159" s="3" t="s">
        <v>152</v>
      </c>
      <c r="C159" s="4">
        <v>4855.91</v>
      </c>
      <c r="D159" s="4">
        <v>4855.91</v>
      </c>
      <c r="E159" s="4">
        <v>0</v>
      </c>
      <c r="F159" s="3" t="e">
        <f>VLOOKUP(B159,'Profit &amp; Loss'!$B$2:$C$390,2,0)</f>
        <v>#N/A</v>
      </c>
    </row>
    <row r="160" spans="1:6" x14ac:dyDescent="0.2">
      <c r="A160" s="3" t="s">
        <v>149</v>
      </c>
      <c r="B160" s="3" t="s">
        <v>153</v>
      </c>
      <c r="C160" s="4">
        <v>-248.8</v>
      </c>
      <c r="D160" s="4">
        <v>-248.8</v>
      </c>
      <c r="E160" s="4">
        <v>0</v>
      </c>
      <c r="F160" s="3" t="e">
        <f>VLOOKUP(B160,'Profit &amp; Loss'!$B$2:$C$390,2,0)</f>
        <v>#N/A</v>
      </c>
    </row>
    <row r="161" spans="1:6" x14ac:dyDescent="0.2">
      <c r="A161" s="3" t="s">
        <v>149</v>
      </c>
      <c r="B161" s="3" t="s">
        <v>154</v>
      </c>
      <c r="C161" s="4">
        <v>-2425.7199999999998</v>
      </c>
      <c r="D161" s="4">
        <v>-3627.46</v>
      </c>
      <c r="E161" s="4">
        <v>1201.74</v>
      </c>
      <c r="F161" s="3" t="e">
        <f>VLOOKUP(B161,'Profit &amp; Loss'!$B$2:$C$390,2,0)</f>
        <v>#N/A</v>
      </c>
    </row>
    <row r="162" spans="1:6" x14ac:dyDescent="0.2">
      <c r="A162" s="3" t="s">
        <v>149</v>
      </c>
      <c r="B162" s="3" t="s">
        <v>2</v>
      </c>
      <c r="C162" s="4">
        <v>2236.85</v>
      </c>
      <c r="D162" s="4">
        <v>1068.27</v>
      </c>
      <c r="E162" s="4">
        <v>1168.58</v>
      </c>
      <c r="F162" s="3" t="e">
        <f>VLOOKUP(B162,'Profit &amp; Loss'!$B$2:$C$390,2,0)</f>
        <v>#N/A</v>
      </c>
    </row>
    <row r="163" spans="1:6" x14ac:dyDescent="0.2">
      <c r="A163" s="3" t="s">
        <v>155</v>
      </c>
      <c r="B163" s="3" t="s">
        <v>2</v>
      </c>
      <c r="C163" s="4">
        <v>2236.85</v>
      </c>
      <c r="D163" s="4">
        <v>1068.27</v>
      </c>
      <c r="E163" s="4">
        <v>1168.58</v>
      </c>
      <c r="F163" s="3" t="e">
        <f>VLOOKUP(B163,'Profit &amp; Loss'!$B$2:$C$390,2,0)</f>
        <v>#N/A</v>
      </c>
    </row>
    <row r="164" spans="1:6" x14ac:dyDescent="0.2">
      <c r="A164" s="3" t="s">
        <v>156</v>
      </c>
      <c r="B164" s="3" t="s">
        <v>157</v>
      </c>
      <c r="C164" s="4">
        <v>-17661.53</v>
      </c>
      <c r="D164" s="4">
        <v>-17057.75</v>
      </c>
      <c r="E164" s="4">
        <v>-603.78</v>
      </c>
      <c r="F164" s="3" t="e">
        <f>VLOOKUP(B164,'Profit &amp; Loss'!$B$2:$C$390,2,0)</f>
        <v>#N/A</v>
      </c>
    </row>
    <row r="165" spans="1:6" x14ac:dyDescent="0.2">
      <c r="A165" s="3" t="s">
        <v>156</v>
      </c>
      <c r="B165" s="3" t="s">
        <v>158</v>
      </c>
      <c r="C165" s="4">
        <v>1168.55</v>
      </c>
      <c r="D165" s="4">
        <v>1168.55</v>
      </c>
      <c r="E165" s="4">
        <v>0</v>
      </c>
      <c r="F165" s="3" t="e">
        <f>VLOOKUP(B165,'Profit &amp; Loss'!$B$2:$C$390,2,0)</f>
        <v>#N/A</v>
      </c>
    </row>
    <row r="166" spans="1:6" x14ac:dyDescent="0.2">
      <c r="A166" s="3" t="s">
        <v>156</v>
      </c>
      <c r="B166" s="3" t="s">
        <v>159</v>
      </c>
      <c r="C166" s="4">
        <v>-45587.32</v>
      </c>
      <c r="D166" s="4">
        <v>-45587.32</v>
      </c>
      <c r="E166" s="4">
        <v>0</v>
      </c>
      <c r="F166" s="3" t="e">
        <f>VLOOKUP(B166,'Profit &amp; Loss'!$B$2:$C$390,2,0)</f>
        <v>#N/A</v>
      </c>
    </row>
    <row r="167" spans="1:6" x14ac:dyDescent="0.2">
      <c r="A167" s="3" t="s">
        <v>156</v>
      </c>
      <c r="B167" s="3" t="s">
        <v>160</v>
      </c>
      <c r="C167" s="4">
        <v>-556.95000000000005</v>
      </c>
      <c r="D167" s="4">
        <v>-556.95000000000005</v>
      </c>
      <c r="E167" s="4">
        <v>0</v>
      </c>
      <c r="F167" s="3" t="e">
        <f>VLOOKUP(B167,'Profit &amp; Loss'!$B$2:$C$390,2,0)</f>
        <v>#N/A</v>
      </c>
    </row>
    <row r="168" spans="1:6" x14ac:dyDescent="0.2">
      <c r="A168" s="3" t="s">
        <v>156</v>
      </c>
      <c r="B168" s="3" t="s">
        <v>161</v>
      </c>
      <c r="C168" s="4">
        <v>12622.27</v>
      </c>
      <c r="D168" s="4">
        <v>7495.37</v>
      </c>
      <c r="E168" s="4">
        <v>5126.8999999999996</v>
      </c>
      <c r="F168" s="3" t="e">
        <f>VLOOKUP(B168,'Profit &amp; Loss'!$B$2:$C$390,2,0)</f>
        <v>#N/A</v>
      </c>
    </row>
    <row r="169" spans="1:6" x14ac:dyDescent="0.2">
      <c r="A169" s="3" t="s">
        <v>156</v>
      </c>
      <c r="B169" s="3" t="s">
        <v>2</v>
      </c>
      <c r="C169" s="4">
        <v>-50014.98</v>
      </c>
      <c r="D169" s="4">
        <v>-54538.1</v>
      </c>
      <c r="E169" s="4">
        <v>4523.12</v>
      </c>
      <c r="F169" s="3" t="e">
        <f>VLOOKUP(B169,'Profit &amp; Loss'!$B$2:$C$390,2,0)</f>
        <v>#N/A</v>
      </c>
    </row>
    <row r="170" spans="1:6" x14ac:dyDescent="0.2">
      <c r="A170" s="3" t="s">
        <v>162</v>
      </c>
      <c r="B170" s="3" t="s">
        <v>163</v>
      </c>
      <c r="C170" s="4">
        <v>-68234.289999999994</v>
      </c>
      <c r="D170" s="4">
        <v>-68234.289999999994</v>
      </c>
      <c r="E170" s="4">
        <v>0</v>
      </c>
      <c r="F170" s="3" t="e">
        <f>VLOOKUP(B170,'Profit &amp; Loss'!$B$2:$C$390,2,0)</f>
        <v>#N/A</v>
      </c>
    </row>
    <row r="171" spans="1:6" x14ac:dyDescent="0.2">
      <c r="A171" s="3" t="s">
        <v>162</v>
      </c>
      <c r="B171" s="3" t="s">
        <v>164</v>
      </c>
      <c r="C171" s="4">
        <v>-303018.31</v>
      </c>
      <c r="D171" s="4">
        <v>-308449.25</v>
      </c>
      <c r="E171" s="4">
        <v>5430.94</v>
      </c>
      <c r="F171" s="3" t="e">
        <f>VLOOKUP(B171,'Profit &amp; Loss'!$B$2:$C$390,2,0)</f>
        <v>#N/A</v>
      </c>
    </row>
    <row r="172" spans="1:6" x14ac:dyDescent="0.2">
      <c r="A172" s="3" t="s">
        <v>162</v>
      </c>
      <c r="B172" s="3" t="s">
        <v>165</v>
      </c>
      <c r="C172" s="4">
        <v>-276040.11</v>
      </c>
      <c r="D172" s="4">
        <v>-274850.36</v>
      </c>
      <c r="E172" s="4">
        <v>-1189.75</v>
      </c>
      <c r="F172" s="3" t="e">
        <f>VLOOKUP(B172,'Profit &amp; Loss'!$B$2:$C$390,2,0)</f>
        <v>#N/A</v>
      </c>
    </row>
    <row r="173" spans="1:6" x14ac:dyDescent="0.2">
      <c r="A173" s="3" t="s">
        <v>162</v>
      </c>
      <c r="B173" s="3" t="s">
        <v>166</v>
      </c>
      <c r="C173" s="4">
        <v>-43921.3</v>
      </c>
      <c r="D173" s="4">
        <v>-33805.47</v>
      </c>
      <c r="E173" s="4">
        <v>-10115.83</v>
      </c>
      <c r="F173" s="3" t="e">
        <f>VLOOKUP(B173,'Profit &amp; Loss'!$B$2:$C$390,2,0)</f>
        <v>#N/A</v>
      </c>
    </row>
    <row r="174" spans="1:6" x14ac:dyDescent="0.2">
      <c r="A174" s="3" t="s">
        <v>162</v>
      </c>
      <c r="B174" s="3" t="s">
        <v>167</v>
      </c>
      <c r="C174" s="4">
        <v>-511136.84</v>
      </c>
      <c r="D174" s="4">
        <v>-517830.45</v>
      </c>
      <c r="E174" s="4">
        <v>6693.61</v>
      </c>
      <c r="F174" s="3" t="e">
        <f>VLOOKUP(B174,'Profit &amp; Loss'!$B$2:$C$390,2,0)</f>
        <v>#N/A</v>
      </c>
    </row>
    <row r="175" spans="1:6" x14ac:dyDescent="0.2">
      <c r="A175" s="3" t="s">
        <v>162</v>
      </c>
      <c r="B175" s="3" t="s">
        <v>168</v>
      </c>
      <c r="C175" s="4">
        <v>-49803.77</v>
      </c>
      <c r="D175" s="4">
        <v>-50762.15</v>
      </c>
      <c r="E175" s="4">
        <v>958.38</v>
      </c>
      <c r="F175" s="3" t="e">
        <f>VLOOKUP(B175,'Profit &amp; Loss'!$B$2:$C$390,2,0)</f>
        <v>#N/A</v>
      </c>
    </row>
    <row r="176" spans="1:6" x14ac:dyDescent="0.2">
      <c r="A176" s="3" t="s">
        <v>162</v>
      </c>
      <c r="B176" s="3" t="s">
        <v>169</v>
      </c>
      <c r="C176" s="4">
        <v>-654.66</v>
      </c>
      <c r="D176" s="4">
        <v>-444.37</v>
      </c>
      <c r="E176" s="4">
        <v>-210.29</v>
      </c>
      <c r="F176" s="3" t="e">
        <f>VLOOKUP(B176,'Profit &amp; Loss'!$B$2:$C$390,2,0)</f>
        <v>#N/A</v>
      </c>
    </row>
    <row r="177" spans="1:6" x14ac:dyDescent="0.2">
      <c r="A177" s="3" t="s">
        <v>162</v>
      </c>
      <c r="B177" s="3" t="s">
        <v>170</v>
      </c>
      <c r="C177" s="4">
        <v>-286743.43</v>
      </c>
      <c r="D177" s="4">
        <v>-291916.68</v>
      </c>
      <c r="E177" s="4">
        <v>5173.25</v>
      </c>
      <c r="F177" s="3" t="e">
        <f>VLOOKUP(B177,'Profit &amp; Loss'!$B$2:$C$390,2,0)</f>
        <v>#N/A</v>
      </c>
    </row>
    <row r="178" spans="1:6" x14ac:dyDescent="0.2">
      <c r="A178" s="3" t="s">
        <v>162</v>
      </c>
      <c r="B178" s="3" t="s">
        <v>171</v>
      </c>
      <c r="C178" s="4">
        <v>-240723.27</v>
      </c>
      <c r="D178" s="4">
        <v>-245047.67</v>
      </c>
      <c r="E178" s="4">
        <v>4324.3999999999996</v>
      </c>
      <c r="F178" s="3" t="e">
        <f>VLOOKUP(B178,'Profit &amp; Loss'!$B$2:$C$390,2,0)</f>
        <v>#N/A</v>
      </c>
    </row>
    <row r="179" spans="1:6" x14ac:dyDescent="0.2">
      <c r="A179" s="3" t="s">
        <v>162</v>
      </c>
      <c r="B179" s="3" t="s">
        <v>2</v>
      </c>
      <c r="C179" s="4">
        <v>-1780275.98</v>
      </c>
      <c r="D179" s="4">
        <v>-1791340.69</v>
      </c>
      <c r="E179" s="4">
        <v>11064.71</v>
      </c>
      <c r="F179" s="3" t="e">
        <f>VLOOKUP(B179,'Profit &amp; Loss'!$B$2:$C$390,2,0)</f>
        <v>#N/A</v>
      </c>
    </row>
    <row r="180" spans="1:6" x14ac:dyDescent="0.2">
      <c r="A180" s="3" t="s">
        <v>172</v>
      </c>
      <c r="B180" s="3" t="s">
        <v>173</v>
      </c>
      <c r="C180" s="4">
        <v>-710.9</v>
      </c>
      <c r="D180" s="4">
        <v>-717.15</v>
      </c>
      <c r="E180" s="4">
        <v>6.25</v>
      </c>
      <c r="F180" s="3" t="e">
        <f>VLOOKUP(B180,'Profit &amp; Loss'!$B$2:$C$390,2,0)</f>
        <v>#N/A</v>
      </c>
    </row>
    <row r="181" spans="1:6" x14ac:dyDescent="0.2">
      <c r="A181" s="3" t="s">
        <v>172</v>
      </c>
      <c r="B181" s="3" t="s">
        <v>2</v>
      </c>
      <c r="C181" s="4">
        <v>-710.9</v>
      </c>
      <c r="D181" s="4">
        <v>-717.15</v>
      </c>
      <c r="E181" s="4">
        <v>6.25</v>
      </c>
      <c r="F181" s="3" t="e">
        <f>VLOOKUP(B181,'Profit &amp; Loss'!$B$2:$C$390,2,0)</f>
        <v>#N/A</v>
      </c>
    </row>
    <row r="182" spans="1:6" x14ac:dyDescent="0.2">
      <c r="A182" s="3" t="s">
        <v>174</v>
      </c>
      <c r="B182" s="3" t="s">
        <v>175</v>
      </c>
      <c r="C182" s="4">
        <v>6283.35</v>
      </c>
      <c r="D182" s="4">
        <v>5319.59</v>
      </c>
      <c r="E182" s="4">
        <v>963.76</v>
      </c>
      <c r="F182" s="3" t="e">
        <f>VLOOKUP(B182,'Profit &amp; Loss'!$B$2:$C$390,2,0)</f>
        <v>#N/A</v>
      </c>
    </row>
    <row r="183" spans="1:6" x14ac:dyDescent="0.2">
      <c r="A183" s="3" t="s">
        <v>174</v>
      </c>
      <c r="B183" s="3" t="s">
        <v>176</v>
      </c>
      <c r="C183" s="4">
        <v>-631242.16</v>
      </c>
      <c r="D183" s="4">
        <v>-638302.49</v>
      </c>
      <c r="E183" s="4">
        <v>7060.33</v>
      </c>
      <c r="F183" s="3" t="e">
        <f>VLOOKUP(B183,'Profit &amp; Loss'!$B$2:$C$390,2,0)</f>
        <v>#N/A</v>
      </c>
    </row>
    <row r="184" spans="1:6" x14ac:dyDescent="0.2">
      <c r="A184" s="3" t="s">
        <v>174</v>
      </c>
      <c r="B184" s="3" t="s">
        <v>177</v>
      </c>
      <c r="C184" s="4">
        <v>-61960.88</v>
      </c>
      <c r="D184" s="4">
        <v>-62426.45</v>
      </c>
      <c r="E184" s="4">
        <v>465.57</v>
      </c>
      <c r="F184" s="3" t="e">
        <f>VLOOKUP(B184,'Profit &amp; Loss'!$B$2:$C$390,2,0)</f>
        <v>#N/A</v>
      </c>
    </row>
    <row r="185" spans="1:6" x14ac:dyDescent="0.2">
      <c r="A185" s="3" t="s">
        <v>174</v>
      </c>
      <c r="B185" s="3" t="s">
        <v>2</v>
      </c>
      <c r="C185" s="4">
        <v>-686919.69</v>
      </c>
      <c r="D185" s="4">
        <v>-695409.35</v>
      </c>
      <c r="E185" s="4">
        <v>8489.66</v>
      </c>
      <c r="F185" s="3" t="e">
        <f>VLOOKUP(B185,'Profit &amp; Loss'!$B$2:$C$390,2,0)</f>
        <v>#N/A</v>
      </c>
    </row>
    <row r="186" spans="1:6" x14ac:dyDescent="0.2">
      <c r="A186" s="3" t="s">
        <v>178</v>
      </c>
      <c r="B186" s="3" t="s">
        <v>179</v>
      </c>
      <c r="C186" s="4">
        <v>43749.01</v>
      </c>
      <c r="D186" s="4">
        <v>-193817.82</v>
      </c>
      <c r="E186" s="4">
        <v>237566.83</v>
      </c>
      <c r="F186" s="3" t="e">
        <f>VLOOKUP(B186,'Profit &amp; Loss'!$B$2:$C$390,2,0)</f>
        <v>#N/A</v>
      </c>
    </row>
    <row r="187" spans="1:6" x14ac:dyDescent="0.2">
      <c r="A187" s="3" t="s">
        <v>178</v>
      </c>
      <c r="B187" s="3" t="s">
        <v>180</v>
      </c>
      <c r="C187" s="4">
        <v>-56699.39</v>
      </c>
      <c r="D187" s="4">
        <v>-50347.14</v>
      </c>
      <c r="E187" s="4">
        <v>-6352.25</v>
      </c>
      <c r="F187" s="3" t="e">
        <f>VLOOKUP(B187,'Profit &amp; Loss'!$B$2:$C$390,2,0)</f>
        <v>#N/A</v>
      </c>
    </row>
    <row r="188" spans="1:6" x14ac:dyDescent="0.2">
      <c r="A188" s="3" t="s">
        <v>178</v>
      </c>
      <c r="B188" s="3" t="s">
        <v>181</v>
      </c>
      <c r="C188" s="4">
        <v>-40261.410000000003</v>
      </c>
      <c r="D188" s="4">
        <v>-64819.1</v>
      </c>
      <c r="E188" s="4">
        <v>24557.69</v>
      </c>
      <c r="F188" s="3" t="e">
        <f>VLOOKUP(B188,'Profit &amp; Loss'!$B$2:$C$390,2,0)</f>
        <v>#N/A</v>
      </c>
    </row>
    <row r="189" spans="1:6" x14ac:dyDescent="0.2">
      <c r="A189" s="3" t="s">
        <v>178</v>
      </c>
      <c r="B189" s="3" t="s">
        <v>182</v>
      </c>
      <c r="C189" s="4">
        <v>-22755.55</v>
      </c>
      <c r="D189" s="4">
        <v>-22778.11</v>
      </c>
      <c r="E189" s="4">
        <v>22.56</v>
      </c>
      <c r="F189" s="3" t="e">
        <f>VLOOKUP(B189,'Profit &amp; Loss'!$B$2:$C$390,2,0)</f>
        <v>#N/A</v>
      </c>
    </row>
    <row r="190" spans="1:6" x14ac:dyDescent="0.2">
      <c r="A190" s="3" t="s">
        <v>178</v>
      </c>
      <c r="B190" s="3" t="s">
        <v>183</v>
      </c>
      <c r="C190" s="4">
        <v>-13226.82</v>
      </c>
      <c r="D190" s="4">
        <v>-145.35</v>
      </c>
      <c r="E190" s="4">
        <v>-13081.47</v>
      </c>
      <c r="F190" s="3" t="e">
        <f>VLOOKUP(B190,'Profit &amp; Loss'!$B$2:$C$390,2,0)</f>
        <v>#N/A</v>
      </c>
    </row>
    <row r="191" spans="1:6" x14ac:dyDescent="0.2">
      <c r="A191" s="3" t="s">
        <v>178</v>
      </c>
      <c r="B191" s="3" t="s">
        <v>184</v>
      </c>
      <c r="C191" s="4">
        <v>-3386.68</v>
      </c>
      <c r="D191" s="4">
        <v>-2130.6799999999998</v>
      </c>
      <c r="E191" s="4">
        <v>-1256</v>
      </c>
      <c r="F191" s="3" t="e">
        <f>VLOOKUP(B191,'Profit &amp; Loss'!$B$2:$C$390,2,0)</f>
        <v>#N/A</v>
      </c>
    </row>
    <row r="192" spans="1:6" x14ac:dyDescent="0.2">
      <c r="A192" s="3" t="s">
        <v>178</v>
      </c>
      <c r="B192" s="3" t="s">
        <v>185</v>
      </c>
      <c r="C192" s="4">
        <v>-41438.300000000003</v>
      </c>
      <c r="D192" s="4">
        <v>-31988.53</v>
      </c>
      <c r="E192" s="4">
        <v>-9449.77</v>
      </c>
      <c r="F192" s="3" t="e">
        <f>VLOOKUP(B192,'Profit &amp; Loss'!$B$2:$C$390,2,0)</f>
        <v>#N/A</v>
      </c>
    </row>
    <row r="193" spans="1:6" x14ac:dyDescent="0.2">
      <c r="A193" s="3" t="s">
        <v>178</v>
      </c>
      <c r="B193" s="3" t="s">
        <v>186</v>
      </c>
      <c r="C193" s="4">
        <v>-200</v>
      </c>
      <c r="D193" s="4">
        <v>-200</v>
      </c>
      <c r="E193" s="4">
        <v>0</v>
      </c>
      <c r="F193" s="3" t="e">
        <f>VLOOKUP(B193,'Profit &amp; Loss'!$B$2:$C$390,2,0)</f>
        <v>#N/A</v>
      </c>
    </row>
    <row r="194" spans="1:6" x14ac:dyDescent="0.2">
      <c r="A194" s="3" t="s">
        <v>178</v>
      </c>
      <c r="B194" s="3" t="s">
        <v>187</v>
      </c>
      <c r="C194" s="4">
        <v>19.309999999999999</v>
      </c>
      <c r="D194" s="4">
        <v>282.58</v>
      </c>
      <c r="E194" s="4">
        <v>-263.27</v>
      </c>
      <c r="F194" s="3" t="e">
        <f>VLOOKUP(B194,'Profit &amp; Loss'!$B$2:$C$390,2,0)</f>
        <v>#N/A</v>
      </c>
    </row>
    <row r="195" spans="1:6" x14ac:dyDescent="0.2">
      <c r="A195" s="3" t="s">
        <v>178</v>
      </c>
      <c r="B195" s="3" t="s">
        <v>188</v>
      </c>
      <c r="C195" s="4">
        <v>-1949.75</v>
      </c>
      <c r="D195" s="4">
        <v>-1949.75</v>
      </c>
      <c r="E195" s="4">
        <v>0</v>
      </c>
      <c r="F195" s="3" t="e">
        <f>VLOOKUP(B195,'Profit &amp; Loss'!$B$2:$C$390,2,0)</f>
        <v>#N/A</v>
      </c>
    </row>
    <row r="196" spans="1:6" x14ac:dyDescent="0.2">
      <c r="A196" s="3" t="s">
        <v>178</v>
      </c>
      <c r="B196" s="3" t="s">
        <v>189</v>
      </c>
      <c r="C196" s="4">
        <v>20.85</v>
      </c>
      <c r="D196" s="4">
        <v>135.4</v>
      </c>
      <c r="E196" s="4">
        <v>-114.55</v>
      </c>
      <c r="F196" s="3" t="e">
        <f>VLOOKUP(B196,'Profit &amp; Loss'!$B$2:$C$390,2,0)</f>
        <v>#N/A</v>
      </c>
    </row>
    <row r="197" spans="1:6" x14ac:dyDescent="0.2">
      <c r="A197" s="3" t="s">
        <v>178</v>
      </c>
      <c r="B197" s="3" t="s">
        <v>190</v>
      </c>
      <c r="C197" s="4">
        <v>809.75</v>
      </c>
      <c r="D197" s="4">
        <v>721.71</v>
      </c>
      <c r="E197" s="4">
        <v>88.04</v>
      </c>
      <c r="F197" s="3" t="e">
        <f>VLOOKUP(B197,'Profit &amp; Loss'!$B$2:$C$390,2,0)</f>
        <v>#N/A</v>
      </c>
    </row>
    <row r="198" spans="1:6" x14ac:dyDescent="0.2">
      <c r="A198" s="3" t="s">
        <v>178</v>
      </c>
      <c r="B198" s="3" t="s">
        <v>191</v>
      </c>
      <c r="C198" s="4">
        <v>-15.53</v>
      </c>
      <c r="D198" s="4">
        <v>-28.4</v>
      </c>
      <c r="E198" s="4">
        <v>12.87</v>
      </c>
      <c r="F198" s="3" t="e">
        <f>VLOOKUP(B198,'Profit &amp; Loss'!$B$2:$C$390,2,0)</f>
        <v>#N/A</v>
      </c>
    </row>
    <row r="199" spans="1:6" x14ac:dyDescent="0.2">
      <c r="A199" s="3" t="s">
        <v>178</v>
      </c>
      <c r="B199" s="3" t="s">
        <v>192</v>
      </c>
      <c r="C199" s="4">
        <v>11728.3</v>
      </c>
      <c r="D199" s="4">
        <v>16507.419999999998</v>
      </c>
      <c r="E199" s="4">
        <v>-4779.12</v>
      </c>
      <c r="F199" s="3" t="e">
        <f>VLOOKUP(B199,'Profit &amp; Loss'!$B$2:$C$390,2,0)</f>
        <v>#N/A</v>
      </c>
    </row>
    <row r="200" spans="1:6" x14ac:dyDescent="0.2">
      <c r="A200" s="3" t="s">
        <v>178</v>
      </c>
      <c r="B200" s="3" t="s">
        <v>193</v>
      </c>
      <c r="C200" s="4">
        <v>1441.04</v>
      </c>
      <c r="D200" s="4">
        <v>532.41</v>
      </c>
      <c r="E200" s="4">
        <v>908.63</v>
      </c>
      <c r="F200" s="3" t="e">
        <f>VLOOKUP(B200,'Profit &amp; Loss'!$B$2:$C$390,2,0)</f>
        <v>#N/A</v>
      </c>
    </row>
    <row r="201" spans="1:6" x14ac:dyDescent="0.2">
      <c r="A201" s="3" t="s">
        <v>178</v>
      </c>
      <c r="B201" s="3" t="s">
        <v>194</v>
      </c>
      <c r="C201" s="4">
        <v>-24010.97</v>
      </c>
      <c r="D201" s="4">
        <v>-23879.94</v>
      </c>
      <c r="E201" s="4">
        <v>-131.03</v>
      </c>
      <c r="F201" s="3" t="e">
        <f>VLOOKUP(B201,'Profit &amp; Loss'!$B$2:$C$390,2,0)</f>
        <v>#N/A</v>
      </c>
    </row>
    <row r="202" spans="1:6" x14ac:dyDescent="0.2">
      <c r="A202" s="3" t="s">
        <v>178</v>
      </c>
      <c r="B202" s="3" t="s">
        <v>195</v>
      </c>
      <c r="C202" s="4">
        <v>-35648.85</v>
      </c>
      <c r="D202" s="4">
        <v>-36341.440000000002</v>
      </c>
      <c r="E202" s="4">
        <v>692.59</v>
      </c>
      <c r="F202" s="3" t="e">
        <f>VLOOKUP(B202,'Profit &amp; Loss'!$B$2:$C$390,2,0)</f>
        <v>#N/A</v>
      </c>
    </row>
    <row r="203" spans="1:6" x14ac:dyDescent="0.2">
      <c r="A203" s="3" t="s">
        <v>178</v>
      </c>
      <c r="B203" s="3" t="s">
        <v>196</v>
      </c>
      <c r="C203" s="4">
        <v>-18334.79</v>
      </c>
      <c r="D203" s="4">
        <v>-21600.1</v>
      </c>
      <c r="E203" s="4">
        <v>3265.31</v>
      </c>
      <c r="F203" s="3" t="e">
        <f>VLOOKUP(B203,'Profit &amp; Loss'!$B$2:$C$390,2,0)</f>
        <v>#N/A</v>
      </c>
    </row>
    <row r="204" spans="1:6" x14ac:dyDescent="0.2">
      <c r="A204" s="3" t="s">
        <v>178</v>
      </c>
      <c r="B204" s="3" t="s">
        <v>2</v>
      </c>
      <c r="C204" s="4">
        <v>-200159.78</v>
      </c>
      <c r="D204" s="4">
        <v>-431846.84</v>
      </c>
      <c r="E204" s="4">
        <v>231687.06</v>
      </c>
      <c r="F204" s="3" t="e">
        <f>VLOOKUP(B204,'Profit &amp; Loss'!$B$2:$C$390,2,0)</f>
        <v>#N/A</v>
      </c>
    </row>
    <row r="205" spans="1:6" x14ac:dyDescent="0.2">
      <c r="A205" s="3" t="s">
        <v>197</v>
      </c>
      <c r="B205" s="3" t="s">
        <v>2</v>
      </c>
      <c r="C205" s="4">
        <v>-2718081.33</v>
      </c>
      <c r="D205" s="4">
        <v>-2973852.13</v>
      </c>
      <c r="E205" s="4">
        <v>255770.8</v>
      </c>
      <c r="F205" s="3" t="e">
        <f>VLOOKUP(B205,'Profit &amp; Loss'!$B$2:$C$390,2,0)</f>
        <v>#N/A</v>
      </c>
    </row>
    <row r="206" spans="1:6" x14ac:dyDescent="0.2">
      <c r="A206" s="3" t="s">
        <v>198</v>
      </c>
      <c r="B206" s="3" t="s">
        <v>199</v>
      </c>
      <c r="C206" s="4">
        <v>796947.32</v>
      </c>
      <c r="D206" s="4">
        <v>632833.36</v>
      </c>
      <c r="E206" s="4">
        <v>164113.96</v>
      </c>
      <c r="F206" s="3" t="e">
        <f>VLOOKUP(B206,'Profit &amp; Loss'!$B$2:$C$390,2,0)</f>
        <v>#N/A</v>
      </c>
    </row>
    <row r="207" spans="1:6" x14ac:dyDescent="0.2">
      <c r="A207" s="3" t="s">
        <v>198</v>
      </c>
      <c r="B207" s="3" t="s">
        <v>2</v>
      </c>
      <c r="C207" s="4">
        <v>796947.32</v>
      </c>
      <c r="D207" s="4">
        <v>632833.36</v>
      </c>
      <c r="E207" s="4">
        <v>164113.96</v>
      </c>
      <c r="F207" s="3" t="e">
        <f>VLOOKUP(B207,'Profit &amp; Loss'!$B$2:$C$390,2,0)</f>
        <v>#N/A</v>
      </c>
    </row>
    <row r="208" spans="1:6" x14ac:dyDescent="0.2">
      <c r="A208" s="3" t="s">
        <v>200</v>
      </c>
      <c r="B208" s="3" t="s">
        <v>201</v>
      </c>
      <c r="C208" s="4">
        <v>-5252.67</v>
      </c>
      <c r="D208" s="4">
        <v>-5252.67</v>
      </c>
      <c r="E208" s="4">
        <v>0</v>
      </c>
      <c r="F208" s="3" t="e">
        <f>VLOOKUP(B208,'Profit &amp; Loss'!$B$2:$C$390,2,0)</f>
        <v>#N/A</v>
      </c>
    </row>
    <row r="209" spans="1:6" x14ac:dyDescent="0.2">
      <c r="A209" s="3" t="s">
        <v>200</v>
      </c>
      <c r="B209" s="3" t="s">
        <v>202</v>
      </c>
      <c r="C209" s="4">
        <v>-9674.0499999999993</v>
      </c>
      <c r="D209" s="4">
        <v>-8772.99</v>
      </c>
      <c r="E209" s="4">
        <v>-901.06</v>
      </c>
      <c r="F209" s="3" t="e">
        <f>VLOOKUP(B209,'Profit &amp; Loss'!$B$2:$C$390,2,0)</f>
        <v>#N/A</v>
      </c>
    </row>
    <row r="210" spans="1:6" x14ac:dyDescent="0.2">
      <c r="A210" s="3" t="s">
        <v>200</v>
      </c>
      <c r="B210" s="3" t="s">
        <v>203</v>
      </c>
      <c r="C210" s="4">
        <v>-10671.57</v>
      </c>
      <c r="D210" s="4">
        <v>-10671.57</v>
      </c>
      <c r="E210" s="4">
        <v>0</v>
      </c>
      <c r="F210" s="3" t="e">
        <f>VLOOKUP(B210,'Profit &amp; Loss'!$B$2:$C$390,2,0)</f>
        <v>#N/A</v>
      </c>
    </row>
    <row r="211" spans="1:6" x14ac:dyDescent="0.2">
      <c r="A211" s="3" t="s">
        <v>200</v>
      </c>
      <c r="B211" s="3" t="s">
        <v>204</v>
      </c>
      <c r="C211" s="4">
        <v>-20871.29</v>
      </c>
      <c r="D211" s="4">
        <v>-20871.29</v>
      </c>
      <c r="E211" s="4">
        <v>0</v>
      </c>
      <c r="F211" s="3" t="e">
        <f>VLOOKUP(B211,'Profit &amp; Loss'!$B$2:$C$390,2,0)</f>
        <v>#N/A</v>
      </c>
    </row>
    <row r="212" spans="1:6" x14ac:dyDescent="0.2">
      <c r="A212" s="3" t="s">
        <v>200</v>
      </c>
      <c r="B212" s="3" t="s">
        <v>205</v>
      </c>
      <c r="C212" s="4">
        <v>-5.01</v>
      </c>
      <c r="D212" s="4">
        <v>-5.01</v>
      </c>
      <c r="E212" s="4">
        <v>0</v>
      </c>
      <c r="F212" s="3" t="e">
        <f>VLOOKUP(B212,'Profit &amp; Loss'!$B$2:$C$390,2,0)</f>
        <v>#N/A</v>
      </c>
    </row>
    <row r="213" spans="1:6" x14ac:dyDescent="0.2">
      <c r="A213" s="3" t="s">
        <v>200</v>
      </c>
      <c r="B213" s="3" t="s">
        <v>206</v>
      </c>
      <c r="C213" s="4">
        <v>-9.77</v>
      </c>
      <c r="D213" s="4">
        <v>0</v>
      </c>
      <c r="E213" s="4">
        <v>-9.77</v>
      </c>
      <c r="F213" s="3" t="e">
        <f>VLOOKUP(B213,'Profit &amp; Loss'!$B$2:$C$390,2,0)</f>
        <v>#N/A</v>
      </c>
    </row>
    <row r="214" spans="1:6" x14ac:dyDescent="0.2">
      <c r="A214" s="3" t="s">
        <v>200</v>
      </c>
      <c r="B214" s="3" t="s">
        <v>207</v>
      </c>
      <c r="C214" s="4">
        <v>-0.02</v>
      </c>
      <c r="D214" s="4">
        <v>0</v>
      </c>
      <c r="E214" s="4">
        <v>-0.02</v>
      </c>
      <c r="F214" s="3" t="e">
        <f>VLOOKUP(B214,'Profit &amp; Loss'!$B$2:$C$390,2,0)</f>
        <v>#N/A</v>
      </c>
    </row>
    <row r="215" spans="1:6" x14ac:dyDescent="0.2">
      <c r="A215" s="3" t="s">
        <v>200</v>
      </c>
      <c r="B215" s="3" t="s">
        <v>208</v>
      </c>
      <c r="C215" s="4">
        <v>-61497.45</v>
      </c>
      <c r="D215" s="4">
        <v>-61497.45</v>
      </c>
      <c r="E215" s="4">
        <v>0</v>
      </c>
      <c r="F215" s="3" t="e">
        <f>VLOOKUP(B215,'Profit &amp; Loss'!$B$2:$C$390,2,0)</f>
        <v>#N/A</v>
      </c>
    </row>
    <row r="216" spans="1:6" x14ac:dyDescent="0.2">
      <c r="A216" s="3" t="s">
        <v>200</v>
      </c>
      <c r="B216" s="3" t="s">
        <v>209</v>
      </c>
      <c r="C216" s="4">
        <v>-0.03</v>
      </c>
      <c r="D216" s="4">
        <v>-0.03</v>
      </c>
      <c r="E216" s="4">
        <v>0</v>
      </c>
      <c r="F216" s="3" t="e">
        <f>VLOOKUP(B216,'Profit &amp; Loss'!$B$2:$C$390,2,0)</f>
        <v>#N/A</v>
      </c>
    </row>
    <row r="217" spans="1:6" x14ac:dyDescent="0.2">
      <c r="A217" s="3" t="s">
        <v>200</v>
      </c>
      <c r="B217" s="3" t="s">
        <v>2</v>
      </c>
      <c r="C217" s="4">
        <v>-107981.86</v>
      </c>
      <c r="D217" s="4">
        <v>-107071.01</v>
      </c>
      <c r="E217" s="4">
        <v>-910.85</v>
      </c>
      <c r="F217" s="3" t="e">
        <f>VLOOKUP(B217,'Profit &amp; Loss'!$B$2:$C$390,2,0)</f>
        <v>#N/A</v>
      </c>
    </row>
    <row r="218" spans="1:6" x14ac:dyDescent="0.2">
      <c r="A218" s="3" t="s">
        <v>210</v>
      </c>
      <c r="B218" s="3" t="s">
        <v>2</v>
      </c>
      <c r="C218" s="4">
        <v>688965.46</v>
      </c>
      <c r="D218" s="4">
        <v>525762.35</v>
      </c>
      <c r="E218" s="4">
        <v>163203.10999999999</v>
      </c>
      <c r="F218" s="3" t="e">
        <f>VLOOKUP(B218,'Profit &amp; Loss'!$B$2:$C$390,2,0)</f>
        <v>#N/A</v>
      </c>
    </row>
    <row r="219" spans="1:6" x14ac:dyDescent="0.2">
      <c r="A219" s="3" t="s">
        <v>211</v>
      </c>
      <c r="B219" s="3" t="s">
        <v>212</v>
      </c>
      <c r="C219" s="4">
        <v>-223279.35</v>
      </c>
      <c r="D219" s="4">
        <v>-285455.59999999998</v>
      </c>
      <c r="E219" s="4">
        <v>62176.25</v>
      </c>
      <c r="F219" s="3" t="e">
        <f>VLOOKUP(B219,'Profit &amp; Loss'!$B$2:$C$390,2,0)</f>
        <v>#N/A</v>
      </c>
    </row>
    <row r="220" spans="1:6" x14ac:dyDescent="0.2">
      <c r="A220" s="3" t="s">
        <v>211</v>
      </c>
      <c r="B220" s="3" t="s">
        <v>213</v>
      </c>
      <c r="C220" s="4">
        <v>-152684.65</v>
      </c>
      <c r="D220" s="4">
        <v>-114429.08</v>
      </c>
      <c r="E220" s="4">
        <v>-38255.57</v>
      </c>
      <c r="F220" s="3" t="e">
        <f>VLOOKUP(B220,'Profit &amp; Loss'!$B$2:$C$390,2,0)</f>
        <v>#N/A</v>
      </c>
    </row>
    <row r="221" spans="1:6" x14ac:dyDescent="0.2">
      <c r="A221" s="3" t="s">
        <v>211</v>
      </c>
      <c r="B221" s="3" t="s">
        <v>214</v>
      </c>
      <c r="C221" s="4">
        <v>-67445.81</v>
      </c>
      <c r="D221" s="4">
        <v>-69756.800000000003</v>
      </c>
      <c r="E221" s="4">
        <v>2310.9899999999998</v>
      </c>
      <c r="F221" s="3" t="e">
        <f>VLOOKUP(B221,'Profit &amp; Loss'!$B$2:$C$390,2,0)</f>
        <v>#N/A</v>
      </c>
    </row>
    <row r="222" spans="1:6" x14ac:dyDescent="0.2">
      <c r="A222" s="3" t="s">
        <v>211</v>
      </c>
      <c r="B222" s="3" t="s">
        <v>215</v>
      </c>
      <c r="C222" s="4">
        <v>-81661.3</v>
      </c>
      <c r="D222" s="4">
        <v>-81661.3</v>
      </c>
      <c r="E222" s="4">
        <v>0</v>
      </c>
      <c r="F222" s="3" t="e">
        <f>VLOOKUP(B222,'Profit &amp; Loss'!$B$2:$C$390,2,0)</f>
        <v>#N/A</v>
      </c>
    </row>
    <row r="223" spans="1:6" x14ac:dyDescent="0.2">
      <c r="A223" s="3" t="s">
        <v>211</v>
      </c>
      <c r="B223" s="3" t="s">
        <v>216</v>
      </c>
      <c r="C223" s="4">
        <v>-44630.55</v>
      </c>
      <c r="D223" s="4">
        <v>-19345.599999999999</v>
      </c>
      <c r="E223" s="4">
        <v>-25284.95</v>
      </c>
      <c r="F223" s="3" t="e">
        <f>VLOOKUP(B223,'Profit &amp; Loss'!$B$2:$C$390,2,0)</f>
        <v>#N/A</v>
      </c>
    </row>
    <row r="224" spans="1:6" x14ac:dyDescent="0.2">
      <c r="A224" s="3" t="s">
        <v>211</v>
      </c>
      <c r="B224" s="3" t="s">
        <v>217</v>
      </c>
      <c r="C224" s="4">
        <v>-223662.29</v>
      </c>
      <c r="D224" s="4">
        <v>-225733.67</v>
      </c>
      <c r="E224" s="4">
        <v>2071.38</v>
      </c>
      <c r="F224" s="3" t="e">
        <f>VLOOKUP(B224,'Profit &amp; Loss'!$B$2:$C$390,2,0)</f>
        <v>#N/A</v>
      </c>
    </row>
    <row r="225" spans="1:6" x14ac:dyDescent="0.2">
      <c r="A225" s="3" t="s">
        <v>211</v>
      </c>
      <c r="B225" s="3" t="s">
        <v>2</v>
      </c>
      <c r="C225" s="4">
        <v>-793363.95</v>
      </c>
      <c r="D225" s="4">
        <v>-796382.05</v>
      </c>
      <c r="E225" s="4">
        <v>3018.1</v>
      </c>
      <c r="F225" s="3" t="e">
        <f>VLOOKUP(B225,'Profit &amp; Loss'!$B$2:$C$390,2,0)</f>
        <v>#N/A</v>
      </c>
    </row>
    <row r="226" spans="1:6" x14ac:dyDescent="0.2">
      <c r="A226" s="3" t="s">
        <v>218</v>
      </c>
      <c r="B226" s="3" t="s">
        <v>2</v>
      </c>
      <c r="C226" s="4">
        <v>-793363.95</v>
      </c>
      <c r="D226" s="4">
        <v>-796382.05</v>
      </c>
      <c r="E226" s="4">
        <v>3018.1</v>
      </c>
      <c r="F226" s="3" t="e">
        <f>VLOOKUP(B226,'Profit &amp; Loss'!$B$2:$C$390,2,0)</f>
        <v>#N/A</v>
      </c>
    </row>
    <row r="227" spans="1:6" x14ac:dyDescent="0.2">
      <c r="A227" s="3" t="s">
        <v>219</v>
      </c>
      <c r="B227" s="3" t="s">
        <v>220</v>
      </c>
      <c r="C227" s="4">
        <v>120.57</v>
      </c>
      <c r="D227" s="4">
        <v>120.57</v>
      </c>
      <c r="E227" s="4">
        <v>0</v>
      </c>
      <c r="F227" s="3" t="e">
        <f>VLOOKUP(B227,'Profit &amp; Loss'!$B$2:$C$390,2,0)</f>
        <v>#N/A</v>
      </c>
    </row>
    <row r="228" spans="1:6" x14ac:dyDescent="0.2">
      <c r="A228" s="3" t="s">
        <v>219</v>
      </c>
      <c r="B228" s="3" t="s">
        <v>221</v>
      </c>
      <c r="C228" s="4">
        <v>596.78</v>
      </c>
      <c r="D228" s="4">
        <v>596.78</v>
      </c>
      <c r="E228" s="4">
        <v>0</v>
      </c>
      <c r="F228" s="3" t="e">
        <f>VLOOKUP(B228,'Profit &amp; Loss'!$B$2:$C$390,2,0)</f>
        <v>#N/A</v>
      </c>
    </row>
    <row r="229" spans="1:6" x14ac:dyDescent="0.2">
      <c r="A229" s="3" t="s">
        <v>219</v>
      </c>
      <c r="B229" s="3" t="s">
        <v>222</v>
      </c>
      <c r="C229" s="4">
        <v>42980328.740000002</v>
      </c>
      <c r="D229" s="4">
        <v>42695382.200000003</v>
      </c>
      <c r="E229" s="4">
        <v>284946.53999999998</v>
      </c>
      <c r="F229" s="3" t="e">
        <f>VLOOKUP(B229,'Profit &amp; Loss'!$B$2:$C$390,2,0)</f>
        <v>#N/A</v>
      </c>
    </row>
    <row r="230" spans="1:6" x14ac:dyDescent="0.2">
      <c r="A230" s="3" t="s">
        <v>219</v>
      </c>
      <c r="B230" s="3" t="s">
        <v>2</v>
      </c>
      <c r="C230" s="4">
        <v>42981046.090000004</v>
      </c>
      <c r="D230" s="4">
        <v>42696099.549999997</v>
      </c>
      <c r="E230" s="4">
        <v>284946.53999999998</v>
      </c>
      <c r="F230" s="3" t="e">
        <f>VLOOKUP(B230,'Profit &amp; Loss'!$B$2:$C$390,2,0)</f>
        <v>#N/A</v>
      </c>
    </row>
    <row r="231" spans="1:6" x14ac:dyDescent="0.2">
      <c r="A231" s="3" t="s">
        <v>223</v>
      </c>
      <c r="B231" s="3" t="s">
        <v>2</v>
      </c>
      <c r="C231" s="4">
        <v>42981046.090000004</v>
      </c>
      <c r="D231" s="4">
        <v>42696099.549999997</v>
      </c>
      <c r="E231" s="4">
        <v>284946.53999999998</v>
      </c>
      <c r="F231" s="3" t="e">
        <f>VLOOKUP(B231,'Profit &amp; Loss'!$B$2:$C$390,2,0)</f>
        <v>#N/A</v>
      </c>
    </row>
    <row r="232" spans="1:6" x14ac:dyDescent="0.2">
      <c r="A232" s="3" t="s">
        <v>224</v>
      </c>
      <c r="B232" s="3" t="s">
        <v>2</v>
      </c>
      <c r="C232" s="4">
        <v>37094115.030000001</v>
      </c>
      <c r="D232" s="4">
        <v>36413291</v>
      </c>
      <c r="E232" s="4">
        <v>680824.03</v>
      </c>
      <c r="F232" s="3" t="e">
        <f>VLOOKUP(B232,'Profit &amp; Loss'!$B$2:$C$390,2,0)</f>
        <v>#N/A</v>
      </c>
    </row>
    <row r="233" spans="1:6" x14ac:dyDescent="0.2">
      <c r="A233" s="3" t="s">
        <v>225</v>
      </c>
      <c r="B233" s="3" t="s">
        <v>226</v>
      </c>
      <c r="C233" s="4">
        <v>-85746371.450000003</v>
      </c>
      <c r="D233" s="4">
        <v>-85746371.450000003</v>
      </c>
      <c r="E233" s="4">
        <v>0</v>
      </c>
      <c r="F233" s="3" t="e">
        <f>VLOOKUP(B233,'Profit &amp; Loss'!$B$2:$C$390,2,0)</f>
        <v>#N/A</v>
      </c>
    </row>
    <row r="234" spans="1:6" x14ac:dyDescent="0.2">
      <c r="A234" s="3" t="s">
        <v>225</v>
      </c>
      <c r="B234" s="3" t="s">
        <v>2</v>
      </c>
      <c r="C234" s="4">
        <v>-85746371.450000003</v>
      </c>
      <c r="D234" s="4">
        <v>-85746371.450000003</v>
      </c>
      <c r="E234" s="4">
        <v>0</v>
      </c>
      <c r="F234" s="3" t="e">
        <f>VLOOKUP(B234,'Profit &amp; Loss'!$B$2:$C$390,2,0)</f>
        <v>#N/A</v>
      </c>
    </row>
    <row r="235" spans="1:6" x14ac:dyDescent="0.2">
      <c r="A235" s="3" t="s">
        <v>227</v>
      </c>
      <c r="B235" s="3" t="s">
        <v>2</v>
      </c>
      <c r="C235" s="4">
        <v>-85746371.450000003</v>
      </c>
      <c r="D235" s="4">
        <v>-85746371.450000003</v>
      </c>
      <c r="E235" s="4">
        <v>0</v>
      </c>
      <c r="F235" s="3" t="e">
        <f>VLOOKUP(B235,'Profit &amp; Loss'!$B$2:$C$390,2,0)</f>
        <v>#N/A</v>
      </c>
    </row>
    <row r="236" spans="1:6" x14ac:dyDescent="0.2">
      <c r="A236" s="3" t="s">
        <v>228</v>
      </c>
      <c r="B236" s="3" t="s">
        <v>2</v>
      </c>
      <c r="C236" s="4">
        <v>-85746371.450000003</v>
      </c>
      <c r="D236" s="4">
        <v>-85746371.450000003</v>
      </c>
      <c r="E236" s="4">
        <v>0</v>
      </c>
      <c r="F236" s="3" t="e">
        <f>VLOOKUP(B236,'Profit &amp; Loss'!$B$2:$C$390,2,0)</f>
        <v>#N/A</v>
      </c>
    </row>
    <row r="237" spans="1:6" x14ac:dyDescent="0.2">
      <c r="A237" s="3" t="s">
        <v>229</v>
      </c>
      <c r="B237" s="3" t="s">
        <v>230</v>
      </c>
      <c r="C237" s="4">
        <v>0</v>
      </c>
      <c r="D237" s="4">
        <v>0</v>
      </c>
      <c r="E237" s="4">
        <v>0</v>
      </c>
      <c r="F237" s="3" t="e">
        <f>VLOOKUP(B237,'Profit &amp; Loss'!$B$2:$C$390,2,0)</f>
        <v>#N/A</v>
      </c>
    </row>
    <row r="238" spans="1:6" x14ac:dyDescent="0.2">
      <c r="A238" s="3" t="s">
        <v>229</v>
      </c>
      <c r="B238" s="5" t="s">
        <v>231</v>
      </c>
      <c r="C238" s="4">
        <v>0</v>
      </c>
      <c r="D238" s="4">
        <v>0</v>
      </c>
      <c r="E238" s="4">
        <v>0</v>
      </c>
      <c r="F238" s="3" t="e">
        <f>VLOOKUP(B238,'Profit &amp; Loss'!$B$2:$C$390,2,0)</f>
        <v>#N/A</v>
      </c>
    </row>
    <row r="239" spans="1:6" x14ac:dyDescent="0.2">
      <c r="A239" s="3" t="s">
        <v>232</v>
      </c>
      <c r="B239" s="3" t="s">
        <v>2</v>
      </c>
      <c r="C239" s="4">
        <v>-17840890.670000002</v>
      </c>
      <c r="D239" s="4">
        <v>-15972783.890000001</v>
      </c>
      <c r="E239" s="4">
        <v>-1868106.78</v>
      </c>
      <c r="F239" s="3" t="e">
        <f>VLOOKUP(B239,'Profit &amp; Loss'!$B$2:$C$390,2,0)</f>
        <v>#N/A</v>
      </c>
    </row>
    <row r="240" spans="1:6" x14ac:dyDescent="0.2">
      <c r="A240" s="3" t="s">
        <v>229</v>
      </c>
      <c r="B240" s="3" t="s">
        <v>233</v>
      </c>
      <c r="C240" s="4">
        <v>-17840890.670000002</v>
      </c>
      <c r="D240" s="4">
        <v>-15972783.890000001</v>
      </c>
      <c r="E240" s="4">
        <v>-1868106.78</v>
      </c>
      <c r="F240" s="3" t="e">
        <f>VLOOKUP(B240,'Profit &amp; Loss'!$B$2:$C$390,2,0)</f>
        <v>#N/A</v>
      </c>
    </row>
    <row r="241" spans="1:6" x14ac:dyDescent="0.2">
      <c r="A241" s="3" t="s">
        <v>229</v>
      </c>
      <c r="B241" s="5" t="s">
        <v>234</v>
      </c>
      <c r="C241" s="4">
        <v>0</v>
      </c>
      <c r="D241" s="4">
        <v>0</v>
      </c>
      <c r="E241" s="4">
        <v>0</v>
      </c>
      <c r="F241" s="3" t="e">
        <f>VLOOKUP(B241,'Profit &amp; Loss'!$B$2:$C$390,2,0)</f>
        <v>#N/A</v>
      </c>
    </row>
    <row r="242" spans="1:6" x14ac:dyDescent="0.2">
      <c r="A242" s="3" t="s">
        <v>115</v>
      </c>
      <c r="B242" s="3" t="s">
        <v>235</v>
      </c>
      <c r="C242" s="4">
        <v>-66493147.090000004</v>
      </c>
      <c r="D242" s="4">
        <v>-65305864.340000004</v>
      </c>
      <c r="E242" s="4">
        <v>-1187282.75</v>
      </c>
      <c r="F242" s="3" t="e">
        <f>VLOOKUP(B242,'Profit &amp; Loss'!$B$2:$C$390,2,0)</f>
        <v>#N/A</v>
      </c>
    </row>
    <row r="243" spans="1:6" x14ac:dyDescent="0.2">
      <c r="A243" s="3" t="s">
        <v>115</v>
      </c>
      <c r="B243" s="5" t="s">
        <v>236</v>
      </c>
      <c r="C243" s="4">
        <v>0</v>
      </c>
      <c r="D243" s="4">
        <v>0</v>
      </c>
      <c r="E243" s="4">
        <v>0</v>
      </c>
      <c r="F243" s="3" t="e">
        <f>VLOOKUP(B243,'Profit &amp; Loss'!$B$2:$C$390,2,0)</f>
        <v>#N/A</v>
      </c>
    </row>
    <row r="244" spans="1:6" x14ac:dyDescent="0.2">
      <c r="A244" s="3" t="s">
        <v>237</v>
      </c>
      <c r="B244" s="3" t="s">
        <v>238</v>
      </c>
      <c r="C244" s="4">
        <v>0</v>
      </c>
      <c r="D244" s="4">
        <v>0</v>
      </c>
      <c r="E244" s="4">
        <v>0</v>
      </c>
      <c r="F244" s="3">
        <f>VLOOKUP(B244,'Profit &amp; Loss'!$B$2:$C$390,2,0)</f>
        <v>0</v>
      </c>
    </row>
    <row r="245" spans="1:6" x14ac:dyDescent="0.2">
      <c r="A245" s="3" t="s">
        <v>237</v>
      </c>
      <c r="B245" s="5" t="s">
        <v>239</v>
      </c>
      <c r="C245" s="4">
        <v>0</v>
      </c>
      <c r="D245" s="4">
        <v>0</v>
      </c>
      <c r="E245" s="4">
        <v>0</v>
      </c>
      <c r="F245" s="3" t="e">
        <f>VLOOKUP(B245,'Profit &amp; Loss'!$B$2:$C$390,2,0)</f>
        <v>#N/A</v>
      </c>
    </row>
    <row r="246" spans="1:6" x14ac:dyDescent="0.2">
      <c r="A246" s="3" t="s">
        <v>240</v>
      </c>
      <c r="B246" s="3" t="s">
        <v>241</v>
      </c>
      <c r="C246" s="4">
        <v>-3261688.86</v>
      </c>
      <c r="D246" s="4">
        <v>-3125325.22</v>
      </c>
      <c r="E246" s="4">
        <v>-136363.64000000001</v>
      </c>
      <c r="F246" s="3">
        <f>VLOOKUP(B246,'Profit &amp; Loss'!$B$2:$C$390,2,0)</f>
        <v>-58033.760000000002</v>
      </c>
    </row>
    <row r="247" spans="1:6" x14ac:dyDescent="0.2">
      <c r="A247" s="3" t="s">
        <v>240</v>
      </c>
      <c r="B247" s="3" t="s">
        <v>824</v>
      </c>
      <c r="C247" s="4">
        <v>3837.96</v>
      </c>
      <c r="D247" s="4">
        <v>3837.96</v>
      </c>
      <c r="E247" s="4">
        <v>0</v>
      </c>
      <c r="F247" s="3">
        <f>VLOOKUP(B247,'Profit &amp; Loss'!$B$2:$C$390,2,0)</f>
        <v>3837.96</v>
      </c>
    </row>
    <row r="248" spans="1:6" x14ac:dyDescent="0.2">
      <c r="A248" s="3" t="s">
        <v>240</v>
      </c>
      <c r="B248" s="3" t="s">
        <v>242</v>
      </c>
      <c r="C248" s="4">
        <v>-41269.47</v>
      </c>
      <c r="D248" s="4">
        <v>-41269.47</v>
      </c>
      <c r="E248" s="4">
        <v>0</v>
      </c>
      <c r="F248" s="3">
        <f>VLOOKUP(B248,'Profit &amp; Loss'!$B$2:$C$390,2,0)</f>
        <v>0</v>
      </c>
    </row>
    <row r="249" spans="1:6" x14ac:dyDescent="0.2">
      <c r="A249" s="3" t="s">
        <v>240</v>
      </c>
      <c r="B249" s="3" t="s">
        <v>1492</v>
      </c>
      <c r="C249" s="4">
        <v>-61497.45</v>
      </c>
      <c r="D249" s="4">
        <v>-61497.45</v>
      </c>
      <c r="E249" s="4">
        <v>0</v>
      </c>
      <c r="F249" s="3">
        <f>VLOOKUP(B249,'Profit &amp; Loss'!$B$2:$C$390,2,0)</f>
        <v>0</v>
      </c>
    </row>
    <row r="250" spans="1:6" x14ac:dyDescent="0.2">
      <c r="A250" s="3" t="s">
        <v>240</v>
      </c>
      <c r="B250" s="3" t="s">
        <v>243</v>
      </c>
      <c r="C250" s="4">
        <v>61497.45</v>
      </c>
      <c r="D250" s="4">
        <v>61497.45</v>
      </c>
      <c r="E250" s="4">
        <v>0</v>
      </c>
      <c r="F250" s="3">
        <f>VLOOKUP(B250,'Profit &amp; Loss'!$B$2:$C$390,2,0)</f>
        <v>0</v>
      </c>
    </row>
    <row r="251" spans="1:6" x14ac:dyDescent="0.2">
      <c r="A251" s="3" t="s">
        <v>240</v>
      </c>
      <c r="B251" s="3" t="s">
        <v>1493</v>
      </c>
      <c r="C251" s="4">
        <v>-986368.35</v>
      </c>
      <c r="D251" s="4">
        <v>-986368.35</v>
      </c>
      <c r="E251" s="4">
        <v>0</v>
      </c>
      <c r="F251" s="3">
        <f>VLOOKUP(B251,'Profit &amp; Loss'!$B$2:$C$390,2,0)</f>
        <v>0</v>
      </c>
    </row>
    <row r="252" spans="1:6" x14ac:dyDescent="0.2">
      <c r="A252" s="3" t="s">
        <v>240</v>
      </c>
      <c r="B252" s="3" t="s">
        <v>1494</v>
      </c>
      <c r="C252" s="4">
        <v>995141.34</v>
      </c>
      <c r="D252" s="4">
        <v>995141.34</v>
      </c>
      <c r="E252" s="4">
        <v>0</v>
      </c>
      <c r="F252" s="3">
        <f>VLOOKUP(B252,'Profit &amp; Loss'!$B$2:$C$390,2,0)</f>
        <v>0</v>
      </c>
    </row>
    <row r="253" spans="1:6" x14ac:dyDescent="0.2">
      <c r="A253" s="3" t="s">
        <v>240</v>
      </c>
      <c r="B253" s="3" t="s">
        <v>2</v>
      </c>
      <c r="C253" s="4">
        <v>-3290347.38</v>
      </c>
      <c r="D253" s="4">
        <v>-3153983.74</v>
      </c>
      <c r="E253" s="4">
        <v>-136363.64000000001</v>
      </c>
      <c r="F253" s="3" t="e">
        <f>VLOOKUP(B253,'Profit &amp; Loss'!$B$2:$C$390,2,0)</f>
        <v>#N/A</v>
      </c>
    </row>
    <row r="254" spans="1:6" x14ac:dyDescent="0.2">
      <c r="A254" s="3" t="s">
        <v>244</v>
      </c>
      <c r="B254" s="3" t="s">
        <v>245</v>
      </c>
      <c r="C254" s="4">
        <v>-56591829.68</v>
      </c>
      <c r="D254" s="4">
        <v>-49056988.219999999</v>
      </c>
      <c r="E254" s="4">
        <v>-7534841.46</v>
      </c>
      <c r="F254" s="3">
        <f>VLOOKUP(B254,'Profit &amp; Loss'!$B$2:$C$390,2,0)</f>
        <v>-4673022.7699999996</v>
      </c>
    </row>
    <row r="255" spans="1:6" x14ac:dyDescent="0.2">
      <c r="A255" s="3" t="s">
        <v>244</v>
      </c>
      <c r="B255" s="3" t="s">
        <v>536</v>
      </c>
      <c r="C255" s="4">
        <v>-936458.26</v>
      </c>
      <c r="D255" s="4">
        <v>-936458.26</v>
      </c>
      <c r="E255" s="4">
        <v>0</v>
      </c>
      <c r="F255" s="3">
        <f>VLOOKUP(B255,'Profit &amp; Loss'!$B$2:$C$390,2,0)</f>
        <v>-9457.2900000000009</v>
      </c>
    </row>
    <row r="256" spans="1:6" x14ac:dyDescent="0.2">
      <c r="A256" s="3" t="s">
        <v>244</v>
      </c>
      <c r="B256" s="3" t="s">
        <v>537</v>
      </c>
      <c r="C256" s="4">
        <v>57230.52</v>
      </c>
      <c r="D256" s="4">
        <v>57230.52</v>
      </c>
      <c r="E256" s="4">
        <v>0</v>
      </c>
      <c r="F256" s="3">
        <f>VLOOKUP(B256,'Profit &amp; Loss'!$B$2:$C$390,2,0)</f>
        <v>0.01</v>
      </c>
    </row>
    <row r="257" spans="1:6" x14ac:dyDescent="0.2">
      <c r="A257" s="3" t="s">
        <v>244</v>
      </c>
      <c r="B257" s="3" t="s">
        <v>246</v>
      </c>
      <c r="C257" s="4">
        <v>-787648.35</v>
      </c>
      <c r="D257" s="4">
        <v>-751571.15</v>
      </c>
      <c r="E257" s="4">
        <v>-36077.199999999997</v>
      </c>
      <c r="F257" s="3">
        <f>VLOOKUP(B257,'Profit &amp; Loss'!$B$2:$C$390,2,0)</f>
        <v>-49623.57</v>
      </c>
    </row>
    <row r="258" spans="1:6" x14ac:dyDescent="0.2">
      <c r="A258" s="3" t="s">
        <v>244</v>
      </c>
      <c r="B258" s="3" t="s">
        <v>247</v>
      </c>
      <c r="C258" s="4">
        <v>-389.06</v>
      </c>
      <c r="D258" s="4">
        <v>-297.7</v>
      </c>
      <c r="E258" s="4">
        <v>-91.36</v>
      </c>
      <c r="F258" s="3">
        <f>VLOOKUP(B258,'Profit &amp; Loss'!$B$2:$C$390,2,0)</f>
        <v>-27.12</v>
      </c>
    </row>
    <row r="259" spans="1:6" x14ac:dyDescent="0.2">
      <c r="A259" s="3" t="s">
        <v>244</v>
      </c>
      <c r="B259" s="3" t="s">
        <v>949</v>
      </c>
      <c r="C259" s="4">
        <v>-316188.95</v>
      </c>
      <c r="D259" s="4">
        <v>-316188.95</v>
      </c>
      <c r="E259" s="4">
        <v>0</v>
      </c>
      <c r="F259" s="3">
        <f>VLOOKUP(B259,'Profit &amp; Loss'!$B$2:$C$390,2,0)</f>
        <v>-133950.59</v>
      </c>
    </row>
    <row r="260" spans="1:6" x14ac:dyDescent="0.2">
      <c r="A260" s="3" t="s">
        <v>244</v>
      </c>
      <c r="B260" s="3" t="s">
        <v>248</v>
      </c>
      <c r="C260" s="4">
        <v>-498333.73</v>
      </c>
      <c r="D260" s="4">
        <v>-498333.73</v>
      </c>
      <c r="E260" s="4">
        <v>0</v>
      </c>
      <c r="F260" s="3">
        <f>VLOOKUP(B260,'Profit &amp; Loss'!$B$2:$C$390,2,0)</f>
        <v>0</v>
      </c>
    </row>
    <row r="261" spans="1:6" x14ac:dyDescent="0.2">
      <c r="A261" s="3" t="s">
        <v>244</v>
      </c>
      <c r="B261" s="3" t="s">
        <v>249</v>
      </c>
      <c r="C261" s="4">
        <v>-916711.56</v>
      </c>
      <c r="D261" s="4">
        <v>-916711.56</v>
      </c>
      <c r="E261" s="4">
        <v>0</v>
      </c>
      <c r="F261" s="3">
        <f>VLOOKUP(B261,'Profit &amp; Loss'!$B$2:$C$390,2,0)</f>
        <v>0</v>
      </c>
    </row>
    <row r="262" spans="1:6" x14ac:dyDescent="0.2">
      <c r="A262" s="3" t="s">
        <v>244</v>
      </c>
      <c r="B262" s="3" t="s">
        <v>250</v>
      </c>
      <c r="C262" s="4">
        <v>-52949.13</v>
      </c>
      <c r="D262" s="4">
        <v>-50969.91</v>
      </c>
      <c r="E262" s="4">
        <v>-1979.22</v>
      </c>
      <c r="F262" s="3">
        <f>VLOOKUP(B262,'Profit &amp; Loss'!$B$2:$C$390,2,0)</f>
        <v>-1606.18</v>
      </c>
    </row>
    <row r="263" spans="1:6" x14ac:dyDescent="0.2">
      <c r="A263" s="3" t="s">
        <v>244</v>
      </c>
      <c r="B263" s="3" t="s">
        <v>251</v>
      </c>
      <c r="C263" s="4">
        <v>157332.48000000001</v>
      </c>
      <c r="D263" s="4">
        <v>134304.41</v>
      </c>
      <c r="E263" s="4">
        <v>23028.07</v>
      </c>
      <c r="F263" s="3">
        <f>VLOOKUP(B263,'Profit &amp; Loss'!$B$2:$C$390,2,0)</f>
        <v>12361.59</v>
      </c>
    </row>
    <row r="264" spans="1:6" x14ac:dyDescent="0.2">
      <c r="A264" s="3" t="s">
        <v>244</v>
      </c>
      <c r="B264" s="3" t="s">
        <v>252</v>
      </c>
      <c r="C264" s="4">
        <v>-37428.800000000003</v>
      </c>
      <c r="D264" s="4">
        <v>-37428.800000000003</v>
      </c>
      <c r="E264" s="4">
        <v>0</v>
      </c>
      <c r="F264" s="3">
        <f>VLOOKUP(B264,'Profit &amp; Loss'!$B$2:$C$390,2,0)</f>
        <v>0</v>
      </c>
    </row>
    <row r="265" spans="1:6" x14ac:dyDescent="0.2">
      <c r="A265" s="3" t="s">
        <v>244</v>
      </c>
      <c r="B265" s="3" t="s">
        <v>2</v>
      </c>
      <c r="C265" s="4">
        <v>-59923374.520000003</v>
      </c>
      <c r="D265" s="4">
        <v>-52373413.350000001</v>
      </c>
      <c r="E265" s="4">
        <v>-7549961.1699999999</v>
      </c>
      <c r="F265" s="3" t="e">
        <f>VLOOKUP(B265,'Profit &amp; Loss'!$B$2:$C$390,2,0)</f>
        <v>#N/A</v>
      </c>
    </row>
    <row r="266" spans="1:6" x14ac:dyDescent="0.2">
      <c r="A266" s="3" t="s">
        <v>253</v>
      </c>
      <c r="B266" s="3" t="s">
        <v>254</v>
      </c>
      <c r="C266" s="4">
        <v>430784.67</v>
      </c>
      <c r="D266" s="4">
        <v>384935.26</v>
      </c>
      <c r="E266" s="4">
        <v>45849.41</v>
      </c>
      <c r="F266" s="3">
        <f>VLOOKUP(B266,'Profit &amp; Loss'!$B$2:$C$390,2,0)</f>
        <v>31846.94</v>
      </c>
    </row>
    <row r="267" spans="1:6" x14ac:dyDescent="0.2">
      <c r="A267" s="3" t="s">
        <v>253</v>
      </c>
      <c r="B267" s="3" t="s">
        <v>255</v>
      </c>
      <c r="C267" s="4">
        <v>-250381.68</v>
      </c>
      <c r="D267" s="4">
        <v>-235881.16</v>
      </c>
      <c r="E267" s="4">
        <v>-14500.52</v>
      </c>
      <c r="F267" s="3">
        <f>VLOOKUP(B267,'Profit &amp; Loss'!$B$2:$C$390,2,0)</f>
        <v>-31894.21</v>
      </c>
    </row>
    <row r="268" spans="1:6" x14ac:dyDescent="0.2">
      <c r="A268" s="3" t="s">
        <v>253</v>
      </c>
      <c r="B268" s="3" t="s">
        <v>256</v>
      </c>
      <c r="C268" s="4">
        <v>-220514.99</v>
      </c>
      <c r="D268" s="4">
        <v>-203324.08</v>
      </c>
      <c r="E268" s="4">
        <v>-17190.91</v>
      </c>
      <c r="F268" s="3">
        <f>VLOOKUP(B268,'Profit &amp; Loss'!$B$2:$C$390,2,0)</f>
        <v>-17785.87</v>
      </c>
    </row>
    <row r="269" spans="1:6" x14ac:dyDescent="0.2">
      <c r="A269" s="3" t="s">
        <v>253</v>
      </c>
      <c r="B269" s="3" t="s">
        <v>257</v>
      </c>
      <c r="C269" s="4">
        <v>-3283558.96</v>
      </c>
      <c r="D269" s="4">
        <v>-2931597.11</v>
      </c>
      <c r="E269" s="4">
        <v>-351961.85</v>
      </c>
      <c r="F269" s="3">
        <f>VLOOKUP(B269,'Profit &amp; Loss'!$B$2:$C$390,2,0)</f>
        <v>-222549.26</v>
      </c>
    </row>
    <row r="270" spans="1:6" x14ac:dyDescent="0.2">
      <c r="A270" s="3" t="s">
        <v>253</v>
      </c>
      <c r="B270" s="3" t="s">
        <v>258</v>
      </c>
      <c r="C270" s="4">
        <v>81882.67</v>
      </c>
      <c r="D270" s="4">
        <v>80770.880000000005</v>
      </c>
      <c r="E270" s="4">
        <v>1111.79</v>
      </c>
      <c r="F270" s="3">
        <f>VLOOKUP(B270,'Profit &amp; Loss'!$B$2:$C$390,2,0)</f>
        <v>4.93</v>
      </c>
    </row>
    <row r="271" spans="1:6" x14ac:dyDescent="0.2">
      <c r="A271" s="3" t="s">
        <v>253</v>
      </c>
      <c r="B271" s="3" t="s">
        <v>259</v>
      </c>
      <c r="C271" s="4">
        <v>-1300.19</v>
      </c>
      <c r="D271" s="4">
        <v>-1083.6400000000001</v>
      </c>
      <c r="E271" s="4">
        <v>-216.55</v>
      </c>
      <c r="F271" s="3">
        <f>VLOOKUP(B271,'Profit &amp; Loss'!$B$2:$C$390,2,0)</f>
        <v>0</v>
      </c>
    </row>
    <row r="272" spans="1:6" x14ac:dyDescent="0.2">
      <c r="A272" s="3" t="s">
        <v>253</v>
      </c>
      <c r="B272" s="3" t="s">
        <v>1227</v>
      </c>
      <c r="C272" s="4">
        <v>-142.18</v>
      </c>
      <c r="D272" s="4">
        <v>-142.18</v>
      </c>
      <c r="E272" s="4">
        <v>0</v>
      </c>
      <c r="F272" s="3">
        <f>VLOOKUP(B272,'Profit &amp; Loss'!$B$2:$C$390,2,0)</f>
        <v>0</v>
      </c>
    </row>
    <row r="273" spans="1:6" x14ac:dyDescent="0.2">
      <c r="A273" s="3" t="s">
        <v>253</v>
      </c>
      <c r="B273" s="3" t="s">
        <v>989</v>
      </c>
      <c r="C273" s="4">
        <v>5.01</v>
      </c>
      <c r="D273" s="4">
        <v>5.01</v>
      </c>
      <c r="E273" s="4">
        <v>0</v>
      </c>
      <c r="F273" s="3">
        <f>VLOOKUP(B273,'Profit &amp; Loss'!$B$2:$C$390,2,0)</f>
        <v>5.01</v>
      </c>
    </row>
    <row r="274" spans="1:6" x14ac:dyDescent="0.2">
      <c r="A274" s="3" t="s">
        <v>253</v>
      </c>
      <c r="B274" s="3" t="s">
        <v>2</v>
      </c>
      <c r="C274" s="4">
        <v>-3243225.65</v>
      </c>
      <c r="D274" s="4">
        <v>-2906317.02</v>
      </c>
      <c r="E274" s="4">
        <v>-336908.63</v>
      </c>
      <c r="F274" s="3" t="e">
        <f>VLOOKUP(B274,'Profit &amp; Loss'!$B$2:$C$390,2,0)</f>
        <v>#N/A</v>
      </c>
    </row>
    <row r="275" spans="1:6" x14ac:dyDescent="0.2">
      <c r="A275" s="3" t="s">
        <v>260</v>
      </c>
      <c r="B275" s="3" t="s">
        <v>261</v>
      </c>
      <c r="C275" s="4">
        <v>-6598950.7400000002</v>
      </c>
      <c r="D275" s="4">
        <v>-5922245.29</v>
      </c>
      <c r="E275" s="4">
        <v>-676705.45</v>
      </c>
      <c r="F275" s="3">
        <f>VLOOKUP(B275,'Profit &amp; Loss'!$B$2:$C$390,2,0)</f>
        <v>-646517.02</v>
      </c>
    </row>
    <row r="276" spans="1:6" x14ac:dyDescent="0.2">
      <c r="A276" s="3" t="s">
        <v>260</v>
      </c>
      <c r="B276" s="18" t="s">
        <v>262</v>
      </c>
      <c r="C276" s="4">
        <v>-130731.18</v>
      </c>
      <c r="D276" s="4">
        <v>0</v>
      </c>
      <c r="E276" s="4">
        <v>-130731.18</v>
      </c>
      <c r="F276" s="3">
        <f>VLOOKUP(B276,'Profit &amp; Loss'!$B$2:$C$390,2,0)</f>
        <v>0</v>
      </c>
    </row>
    <row r="277" spans="1:6" x14ac:dyDescent="0.2">
      <c r="A277" s="3" t="s">
        <v>260</v>
      </c>
      <c r="B277" s="18" t="s">
        <v>1532</v>
      </c>
      <c r="C277" s="4">
        <v>131632.24</v>
      </c>
      <c r="D277" s="4">
        <v>0</v>
      </c>
      <c r="E277" s="4">
        <v>131632.24</v>
      </c>
      <c r="F277" s="3">
        <f>VLOOKUP(B277,'Profit &amp; Loss'!$B$2:$C$390,2,0)</f>
        <v>0</v>
      </c>
    </row>
    <row r="278" spans="1:6" x14ac:dyDescent="0.2">
      <c r="A278" s="3" t="s">
        <v>260</v>
      </c>
      <c r="B278" s="3" t="s">
        <v>2</v>
      </c>
      <c r="C278" s="4">
        <v>-6598049.6799999997</v>
      </c>
      <c r="D278" s="4">
        <v>-5922245.29</v>
      </c>
      <c r="E278" s="4">
        <v>-675804.39</v>
      </c>
      <c r="F278" s="3" t="e">
        <f>VLOOKUP(B278,'Profit &amp; Loss'!$B$2:$C$390,2,0)</f>
        <v>#N/A</v>
      </c>
    </row>
    <row r="279" spans="1:6" x14ac:dyDescent="0.2">
      <c r="A279" s="3" t="s">
        <v>263</v>
      </c>
      <c r="B279" s="3" t="s">
        <v>264</v>
      </c>
      <c r="C279" s="4">
        <v>-796947.32</v>
      </c>
      <c r="D279" s="4">
        <v>-632833.36</v>
      </c>
      <c r="E279" s="4">
        <v>-164113.96</v>
      </c>
      <c r="F279" s="3">
        <f>VLOOKUP(B279,'Profit &amp; Loss'!$B$2:$C$390,2,0)</f>
        <v>-52009.78</v>
      </c>
    </row>
    <row r="280" spans="1:6" x14ac:dyDescent="0.2">
      <c r="A280" s="3" t="s">
        <v>263</v>
      </c>
      <c r="B280" s="3" t="s">
        <v>2</v>
      </c>
      <c r="C280" s="4">
        <v>-796947.32</v>
      </c>
      <c r="D280" s="4">
        <v>-632833.36</v>
      </c>
      <c r="E280" s="4">
        <v>-164113.96</v>
      </c>
      <c r="F280" s="3" t="e">
        <f>VLOOKUP(B280,'Profit &amp; Loss'!$B$2:$C$390,2,0)</f>
        <v>#N/A</v>
      </c>
    </row>
    <row r="281" spans="1:6" x14ac:dyDescent="0.2">
      <c r="A281" s="3" t="s">
        <v>265</v>
      </c>
      <c r="B281" s="3" t="s">
        <v>2</v>
      </c>
      <c r="C281" s="4">
        <v>-73851944.549999997</v>
      </c>
      <c r="D281" s="4">
        <v>-64988792.759999998</v>
      </c>
      <c r="E281" s="4">
        <v>-8863151.7899999991</v>
      </c>
      <c r="F281" s="3" t="e">
        <f>VLOOKUP(B281,'Profit &amp; Loss'!$B$2:$C$390,2,0)</f>
        <v>#N/A</v>
      </c>
    </row>
    <row r="282" spans="1:6" x14ac:dyDescent="0.2">
      <c r="A282" s="3" t="s">
        <v>266</v>
      </c>
      <c r="B282" s="3" t="s">
        <v>267</v>
      </c>
      <c r="C282" s="4">
        <v>2487590.2599999998</v>
      </c>
      <c r="D282" s="4">
        <v>2368320.73</v>
      </c>
      <c r="E282" s="4">
        <v>119269.53</v>
      </c>
      <c r="F282" s="3">
        <f>VLOOKUP(B282,'Profit &amp; Loss'!$B$2:$C$390,2,0)</f>
        <v>35994.629999999997</v>
      </c>
    </row>
    <row r="283" spans="1:6" x14ac:dyDescent="0.2">
      <c r="A283" s="3" t="s">
        <v>266</v>
      </c>
      <c r="B283" s="3" t="s">
        <v>268</v>
      </c>
      <c r="C283" s="4">
        <v>34269.68</v>
      </c>
      <c r="D283" s="4">
        <v>34269.68</v>
      </c>
      <c r="E283" s="4">
        <v>0</v>
      </c>
      <c r="F283" s="3">
        <f>VLOOKUP(B283,'Profit &amp; Loss'!$B$2:$C$390,2,0)</f>
        <v>0</v>
      </c>
    </row>
    <row r="284" spans="1:6" x14ac:dyDescent="0.2">
      <c r="A284" s="3" t="s">
        <v>266</v>
      </c>
      <c r="B284" s="3" t="s">
        <v>542</v>
      </c>
      <c r="C284" s="4">
        <v>70.900000000000006</v>
      </c>
      <c r="D284" s="4">
        <v>70.900000000000006</v>
      </c>
      <c r="E284" s="4">
        <v>0</v>
      </c>
      <c r="F284" s="3">
        <f>VLOOKUP(B284,'Profit &amp; Loss'!$B$2:$C$390,2,0)</f>
        <v>0</v>
      </c>
    </row>
    <row r="285" spans="1:6" x14ac:dyDescent="0.2">
      <c r="A285" s="3" t="s">
        <v>266</v>
      </c>
      <c r="B285" s="3" t="s">
        <v>270</v>
      </c>
      <c r="C285" s="4">
        <v>141900.78</v>
      </c>
      <c r="D285" s="4">
        <v>132619</v>
      </c>
      <c r="E285" s="4">
        <v>9281.7800000000007</v>
      </c>
      <c r="F285" s="3">
        <f>VLOOKUP(B285,'Profit &amp; Loss'!$B$2:$C$390,2,0)</f>
        <v>1700</v>
      </c>
    </row>
    <row r="286" spans="1:6" x14ac:dyDescent="0.2">
      <c r="A286" s="3" t="s">
        <v>266</v>
      </c>
      <c r="B286" s="3" t="s">
        <v>271</v>
      </c>
      <c r="C286" s="4">
        <v>12360.83</v>
      </c>
      <c r="D286" s="4">
        <v>10923.75</v>
      </c>
      <c r="E286" s="4">
        <v>1437.08</v>
      </c>
      <c r="F286" s="3">
        <f>VLOOKUP(B286,'Profit &amp; Loss'!$B$2:$C$390,2,0)</f>
        <v>687.98</v>
      </c>
    </row>
    <row r="287" spans="1:6" x14ac:dyDescent="0.2">
      <c r="A287" s="3" t="s">
        <v>266</v>
      </c>
      <c r="B287" s="3" t="s">
        <v>272</v>
      </c>
      <c r="C287" s="4">
        <v>110423.67999999999</v>
      </c>
      <c r="D287" s="4">
        <v>102487.55</v>
      </c>
      <c r="E287" s="4">
        <v>7936.13</v>
      </c>
      <c r="F287" s="3">
        <f>VLOOKUP(B287,'Profit &amp; Loss'!$B$2:$C$390,2,0)</f>
        <v>3744.15</v>
      </c>
    </row>
    <row r="288" spans="1:6" x14ac:dyDescent="0.2">
      <c r="A288" s="3" t="s">
        <v>266</v>
      </c>
      <c r="B288" s="3" t="s">
        <v>273</v>
      </c>
      <c r="C288" s="4">
        <v>24945.200000000001</v>
      </c>
      <c r="D288" s="4">
        <v>275.66000000000003</v>
      </c>
      <c r="E288" s="4">
        <v>24669.54</v>
      </c>
      <c r="F288" s="3">
        <f>VLOOKUP(B288,'Profit &amp; Loss'!$B$2:$C$390,2,0)</f>
        <v>0</v>
      </c>
    </row>
    <row r="289" spans="1:6" x14ac:dyDescent="0.2">
      <c r="A289" s="3" t="s">
        <v>266</v>
      </c>
      <c r="B289" s="3" t="s">
        <v>274</v>
      </c>
      <c r="C289" s="4">
        <v>3185.33</v>
      </c>
      <c r="D289" s="4">
        <v>3050.48</v>
      </c>
      <c r="E289" s="4">
        <v>134.85</v>
      </c>
      <c r="F289" s="3">
        <f>VLOOKUP(B289,'Profit &amp; Loss'!$B$2:$C$390,2,0)</f>
        <v>54.02</v>
      </c>
    </row>
    <row r="290" spans="1:6" x14ac:dyDescent="0.2">
      <c r="A290" s="3" t="s">
        <v>266</v>
      </c>
      <c r="B290" s="3" t="s">
        <v>641</v>
      </c>
      <c r="C290" s="4">
        <v>833.94</v>
      </c>
      <c r="D290" s="4">
        <v>833.94</v>
      </c>
      <c r="E290" s="4">
        <v>0</v>
      </c>
      <c r="F290" s="3">
        <f>VLOOKUP(B290,'Profit &amp; Loss'!$B$2:$C$390,2,0)</f>
        <v>0</v>
      </c>
    </row>
    <row r="291" spans="1:6" x14ac:dyDescent="0.2">
      <c r="A291" s="3" t="s">
        <v>266</v>
      </c>
      <c r="B291" s="3" t="s">
        <v>275</v>
      </c>
      <c r="C291" s="4">
        <v>15435.97</v>
      </c>
      <c r="D291" s="4">
        <v>14896.57</v>
      </c>
      <c r="E291" s="4">
        <v>539.4</v>
      </c>
      <c r="F291" s="3">
        <f>VLOOKUP(B291,'Profit &amp; Loss'!$B$2:$C$390,2,0)</f>
        <v>270.11</v>
      </c>
    </row>
    <row r="292" spans="1:6" x14ac:dyDescent="0.2">
      <c r="A292" s="3" t="s">
        <v>266</v>
      </c>
      <c r="B292" s="3" t="s">
        <v>276</v>
      </c>
      <c r="C292" s="4">
        <v>22536.35</v>
      </c>
      <c r="D292" s="4">
        <v>22091.49</v>
      </c>
      <c r="E292" s="4">
        <v>444.86</v>
      </c>
      <c r="F292" s="3">
        <f>VLOOKUP(B292,'Profit &amp; Loss'!$B$2:$C$390,2,0)</f>
        <v>1027.45</v>
      </c>
    </row>
    <row r="293" spans="1:6" x14ac:dyDescent="0.2">
      <c r="A293" s="3" t="s">
        <v>266</v>
      </c>
      <c r="B293" s="3" t="s">
        <v>278</v>
      </c>
      <c r="C293" s="4">
        <v>45587.32</v>
      </c>
      <c r="D293" s="4">
        <v>45587.32</v>
      </c>
      <c r="E293" s="4">
        <v>0</v>
      </c>
      <c r="F293" s="3">
        <f>VLOOKUP(B293,'Profit &amp; Loss'!$B$2:$C$390,2,0)</f>
        <v>0</v>
      </c>
    </row>
    <row r="294" spans="1:6" x14ac:dyDescent="0.2">
      <c r="A294" s="3" t="s">
        <v>266</v>
      </c>
      <c r="B294" s="3" t="s">
        <v>1511</v>
      </c>
      <c r="C294" s="4">
        <v>-10624.89</v>
      </c>
      <c r="D294" s="4">
        <v>-10624.89</v>
      </c>
      <c r="E294" s="4">
        <v>0</v>
      </c>
      <c r="F294" s="3">
        <f>VLOOKUP(B294,'Profit &amp; Loss'!$B$2:$C$390,2,0)</f>
        <v>0</v>
      </c>
    </row>
    <row r="295" spans="1:6" x14ac:dyDescent="0.2">
      <c r="A295" s="3" t="s">
        <v>266</v>
      </c>
      <c r="B295" s="3" t="s">
        <v>279</v>
      </c>
      <c r="C295" s="4">
        <v>10863.92</v>
      </c>
      <c r="D295" s="4">
        <v>10886.48</v>
      </c>
      <c r="E295" s="4">
        <v>-22.56</v>
      </c>
      <c r="F295" s="3">
        <f>VLOOKUP(B295,'Profit &amp; Loss'!$B$2:$C$390,2,0)</f>
        <v>611.70000000000005</v>
      </c>
    </row>
    <row r="296" spans="1:6" x14ac:dyDescent="0.2">
      <c r="A296" s="3" t="s">
        <v>266</v>
      </c>
      <c r="B296" s="3" t="s">
        <v>280</v>
      </c>
      <c r="C296" s="4">
        <v>1907.48</v>
      </c>
      <c r="D296" s="4">
        <v>-1973.97</v>
      </c>
      <c r="E296" s="4">
        <v>3881.45</v>
      </c>
      <c r="F296" s="3">
        <f>VLOOKUP(B296,'Profit &amp; Loss'!$B$2:$C$390,2,0)</f>
        <v>0</v>
      </c>
    </row>
    <row r="297" spans="1:6" x14ac:dyDescent="0.2">
      <c r="A297" s="3" t="s">
        <v>266</v>
      </c>
      <c r="B297" s="3" t="s">
        <v>281</v>
      </c>
      <c r="C297" s="4">
        <v>11405.04</v>
      </c>
      <c r="D297" s="4">
        <v>10094.719999999999</v>
      </c>
      <c r="E297" s="4">
        <v>1310.32</v>
      </c>
      <c r="F297" s="3">
        <f>VLOOKUP(B297,'Profit &amp; Loss'!$B$2:$C$390,2,0)</f>
        <v>-195.89</v>
      </c>
    </row>
    <row r="298" spans="1:6" x14ac:dyDescent="0.2">
      <c r="A298" s="3" t="s">
        <v>266</v>
      </c>
      <c r="B298" s="3" t="s">
        <v>282</v>
      </c>
      <c r="C298" s="4">
        <v>13165.94</v>
      </c>
      <c r="D298" s="4">
        <v>84.47</v>
      </c>
      <c r="E298" s="4">
        <v>13081.47</v>
      </c>
      <c r="F298" s="3">
        <f>VLOOKUP(B298,'Profit &amp; Loss'!$B$2:$C$390,2,0)</f>
        <v>0</v>
      </c>
    </row>
    <row r="299" spans="1:6" x14ac:dyDescent="0.2">
      <c r="A299" s="3" t="s">
        <v>266</v>
      </c>
      <c r="B299" s="3" t="s">
        <v>829</v>
      </c>
      <c r="C299" s="4">
        <v>40684.79</v>
      </c>
      <c r="D299" s="4">
        <v>65242.48</v>
      </c>
      <c r="E299" s="4">
        <v>-24557.69</v>
      </c>
      <c r="F299" s="3">
        <f>VLOOKUP(B299,'Profit &amp; Loss'!$B$2:$C$390,2,0)</f>
        <v>199.48</v>
      </c>
    </row>
    <row r="300" spans="1:6" x14ac:dyDescent="0.2">
      <c r="A300" s="3" t="s">
        <v>266</v>
      </c>
      <c r="B300" s="3" t="s">
        <v>283</v>
      </c>
      <c r="C300" s="4">
        <v>429.59</v>
      </c>
      <c r="D300" s="4">
        <v>-826.41</v>
      </c>
      <c r="E300" s="4">
        <v>1256</v>
      </c>
      <c r="F300" s="3">
        <f>VLOOKUP(B300,'Profit &amp; Loss'!$B$2:$C$390,2,0)</f>
        <v>1000</v>
      </c>
    </row>
    <row r="301" spans="1:6" x14ac:dyDescent="0.2">
      <c r="A301" s="3" t="s">
        <v>266</v>
      </c>
      <c r="B301" s="3" t="s">
        <v>284</v>
      </c>
      <c r="C301" s="4">
        <v>39520.720000000001</v>
      </c>
      <c r="D301" s="4">
        <v>38360.239999999998</v>
      </c>
      <c r="E301" s="4">
        <v>1160.48</v>
      </c>
      <c r="F301" s="3">
        <f>VLOOKUP(B301,'Profit &amp; Loss'!$B$2:$C$390,2,0)</f>
        <v>536.67999999999995</v>
      </c>
    </row>
    <row r="302" spans="1:6" x14ac:dyDescent="0.2">
      <c r="A302" s="3" t="s">
        <v>266</v>
      </c>
      <c r="B302" s="3" t="s">
        <v>285</v>
      </c>
      <c r="C302" s="4">
        <v>-400</v>
      </c>
      <c r="D302" s="4">
        <v>-400</v>
      </c>
      <c r="E302" s="4">
        <v>0</v>
      </c>
      <c r="F302" s="3">
        <f>VLOOKUP(B302,'Profit &amp; Loss'!$B$2:$C$390,2,0)</f>
        <v>200</v>
      </c>
    </row>
    <row r="303" spans="1:6" x14ac:dyDescent="0.2">
      <c r="A303" s="3" t="s">
        <v>266</v>
      </c>
      <c r="B303" s="3" t="s">
        <v>2</v>
      </c>
      <c r="C303" s="4">
        <v>3006092.83</v>
      </c>
      <c r="D303" s="4">
        <v>2846270.19</v>
      </c>
      <c r="E303" s="4">
        <v>159822.64000000001</v>
      </c>
      <c r="F303" s="3" t="e">
        <f>VLOOKUP(B303,'Profit &amp; Loss'!$B$2:$C$390,2,0)</f>
        <v>#N/A</v>
      </c>
    </row>
    <row r="304" spans="1:6" x14ac:dyDescent="0.2">
      <c r="A304" s="3" t="s">
        <v>286</v>
      </c>
      <c r="B304" s="3" t="s">
        <v>287</v>
      </c>
      <c r="C304" s="4">
        <v>39978030.140000001</v>
      </c>
      <c r="D304" s="4">
        <v>34494421.590000004</v>
      </c>
      <c r="E304" s="4">
        <v>5483608.5499999998</v>
      </c>
      <c r="F304" s="3">
        <f>VLOOKUP(B304,'Profit &amp; Loss'!$B$2:$C$390,2,0)</f>
        <v>3184835.62</v>
      </c>
    </row>
    <row r="305" spans="1:6" x14ac:dyDescent="0.2">
      <c r="A305" s="3" t="s">
        <v>286</v>
      </c>
      <c r="B305" s="3" t="s">
        <v>548</v>
      </c>
      <c r="C305" s="4">
        <v>799308.06</v>
      </c>
      <c r="D305" s="4">
        <v>791451.73</v>
      </c>
      <c r="E305" s="4">
        <v>7856.33</v>
      </c>
      <c r="F305" s="3">
        <f>VLOOKUP(B305,'Profit &amp; Loss'!$B$2:$C$390,2,0)</f>
        <v>7169.99</v>
      </c>
    </row>
    <row r="306" spans="1:6" x14ac:dyDescent="0.2">
      <c r="A306" s="3" t="s">
        <v>286</v>
      </c>
      <c r="B306" s="3" t="s">
        <v>288</v>
      </c>
      <c r="C306" s="4">
        <v>618473.11</v>
      </c>
      <c r="D306" s="4">
        <v>595699.80000000005</v>
      </c>
      <c r="E306" s="4">
        <v>22773.31</v>
      </c>
      <c r="F306" s="3">
        <f>VLOOKUP(B306,'Profit &amp; Loss'!$B$2:$C$390,2,0)</f>
        <v>28211.14</v>
      </c>
    </row>
    <row r="307" spans="1:6" x14ac:dyDescent="0.2">
      <c r="A307" s="3" t="s">
        <v>286</v>
      </c>
      <c r="B307" s="3" t="s">
        <v>289</v>
      </c>
      <c r="C307" s="4">
        <v>261.74</v>
      </c>
      <c r="D307" s="4">
        <v>199.7</v>
      </c>
      <c r="E307" s="4">
        <v>62.04</v>
      </c>
      <c r="F307" s="3">
        <f>VLOOKUP(B307,'Profit &amp; Loss'!$B$2:$C$390,2,0)</f>
        <v>18.079999999999998</v>
      </c>
    </row>
    <row r="308" spans="1:6" x14ac:dyDescent="0.2">
      <c r="A308" s="3" t="s">
        <v>286</v>
      </c>
      <c r="B308" s="3" t="s">
        <v>952</v>
      </c>
      <c r="C308" s="4">
        <v>18512.990000000002</v>
      </c>
      <c r="D308" s="4">
        <v>18512.990000000002</v>
      </c>
      <c r="E308" s="4">
        <v>0</v>
      </c>
      <c r="F308" s="3">
        <f>VLOOKUP(B308,'Profit &amp; Loss'!$B$2:$C$390,2,0)</f>
        <v>8746</v>
      </c>
    </row>
    <row r="309" spans="1:6" x14ac:dyDescent="0.2">
      <c r="A309" s="3" t="s">
        <v>286</v>
      </c>
      <c r="B309" s="3" t="s">
        <v>290</v>
      </c>
      <c r="C309" s="4">
        <v>-596310.29</v>
      </c>
      <c r="D309" s="4">
        <v>-550434.67000000004</v>
      </c>
      <c r="E309" s="4">
        <v>-45875.62</v>
      </c>
      <c r="F309" s="3">
        <f>VLOOKUP(B309,'Profit &amp; Loss'!$B$2:$C$390,2,0)</f>
        <v>-21923.22</v>
      </c>
    </row>
    <row r="310" spans="1:6" x14ac:dyDescent="0.2">
      <c r="A310" s="3" t="s">
        <v>286</v>
      </c>
      <c r="B310" s="3" t="s">
        <v>291</v>
      </c>
      <c r="C310" s="4">
        <v>-2141547.39</v>
      </c>
      <c r="D310" s="4">
        <v>-1942353.35</v>
      </c>
      <c r="E310" s="4">
        <v>-199194.04</v>
      </c>
      <c r="F310" s="3">
        <f>VLOOKUP(B310,'Profit &amp; Loss'!$B$2:$C$390,2,0)</f>
        <v>-107667</v>
      </c>
    </row>
    <row r="311" spans="1:6" x14ac:dyDescent="0.2">
      <c r="A311" s="3" t="s">
        <v>286</v>
      </c>
      <c r="B311" s="3" t="s">
        <v>292</v>
      </c>
      <c r="C311" s="4">
        <v>958215.18</v>
      </c>
      <c r="D311" s="4">
        <v>947846.27</v>
      </c>
      <c r="E311" s="4">
        <v>10368.91</v>
      </c>
      <c r="F311" s="3">
        <f>VLOOKUP(B311,'Profit &amp; Loss'!$B$2:$C$390,2,0)</f>
        <v>0</v>
      </c>
    </row>
    <row r="312" spans="1:6" x14ac:dyDescent="0.2">
      <c r="A312" s="3" t="s">
        <v>286</v>
      </c>
      <c r="B312" s="3" t="s">
        <v>293</v>
      </c>
      <c r="C312" s="4">
        <v>335057.90000000002</v>
      </c>
      <c r="D312" s="4">
        <v>335057.90000000002</v>
      </c>
      <c r="E312" s="4">
        <v>0</v>
      </c>
      <c r="F312" s="3">
        <f>VLOOKUP(B312,'Profit &amp; Loss'!$B$2:$C$390,2,0)</f>
        <v>0</v>
      </c>
    </row>
    <row r="313" spans="1:6" x14ac:dyDescent="0.2">
      <c r="A313" s="3" t="s">
        <v>286</v>
      </c>
      <c r="B313" s="3" t="s">
        <v>294</v>
      </c>
      <c r="C313" s="4">
        <v>6468.29</v>
      </c>
      <c r="D313" s="4">
        <v>6468.29</v>
      </c>
      <c r="E313" s="4">
        <v>0</v>
      </c>
      <c r="F313" s="3">
        <f>VLOOKUP(B313,'Profit &amp; Loss'!$B$2:$C$390,2,0)</f>
        <v>0</v>
      </c>
    </row>
    <row r="314" spans="1:6" x14ac:dyDescent="0.2">
      <c r="A314" s="3" t="s">
        <v>286</v>
      </c>
      <c r="B314" s="3" t="s">
        <v>295</v>
      </c>
      <c r="C314" s="4">
        <v>163355.69</v>
      </c>
      <c r="D314" s="4">
        <v>132094.57999999999</v>
      </c>
      <c r="E314" s="4">
        <v>31261.11</v>
      </c>
      <c r="F314" s="3">
        <f>VLOOKUP(B314,'Profit &amp; Loss'!$B$2:$C$390,2,0)</f>
        <v>0</v>
      </c>
    </row>
    <row r="315" spans="1:6" x14ac:dyDescent="0.2">
      <c r="A315" s="3" t="s">
        <v>286</v>
      </c>
      <c r="B315" s="3" t="s">
        <v>296</v>
      </c>
      <c r="C315" s="4">
        <v>-1841.81</v>
      </c>
      <c r="D315" s="4">
        <v>-178.93</v>
      </c>
      <c r="E315" s="4">
        <v>-1662.88</v>
      </c>
      <c r="F315" s="3">
        <f>VLOOKUP(B315,'Profit &amp; Loss'!$B$2:$C$390,2,0)</f>
        <v>-1015.33</v>
      </c>
    </row>
    <row r="316" spans="1:6" x14ac:dyDescent="0.2">
      <c r="A316" s="3" t="s">
        <v>286</v>
      </c>
      <c r="B316" s="3" t="s">
        <v>2</v>
      </c>
      <c r="C316" s="4">
        <v>40137983.609999999</v>
      </c>
      <c r="D316" s="4">
        <v>34828785.899999999</v>
      </c>
      <c r="E316" s="4">
        <v>5309197.71</v>
      </c>
      <c r="F316" s="3" t="e">
        <f>VLOOKUP(B316,'Profit &amp; Loss'!$B$2:$C$390,2,0)</f>
        <v>#N/A</v>
      </c>
    </row>
    <row r="317" spans="1:6" x14ac:dyDescent="0.2">
      <c r="A317" s="3" t="s">
        <v>297</v>
      </c>
      <c r="B317" s="3" t="s">
        <v>1443</v>
      </c>
      <c r="C317" s="4">
        <v>1308.42</v>
      </c>
      <c r="D317" s="4">
        <v>1308.42</v>
      </c>
      <c r="E317" s="4">
        <v>0</v>
      </c>
      <c r="F317" s="3">
        <f>VLOOKUP(B317,'Profit &amp; Loss'!$B$2:$C$390,2,0)</f>
        <v>0</v>
      </c>
    </row>
    <row r="318" spans="1:6" x14ac:dyDescent="0.2">
      <c r="A318" s="3" t="s">
        <v>297</v>
      </c>
      <c r="B318" s="3" t="s">
        <v>298</v>
      </c>
      <c r="C318" s="4">
        <v>231553.13</v>
      </c>
      <c r="D318" s="4">
        <v>217974.53</v>
      </c>
      <c r="E318" s="4">
        <v>13578.6</v>
      </c>
      <c r="F318" s="3">
        <f>VLOOKUP(B318,'Profit &amp; Loss'!$B$2:$C$390,2,0)</f>
        <v>28187.67</v>
      </c>
    </row>
    <row r="319" spans="1:6" x14ac:dyDescent="0.2">
      <c r="A319" s="3" t="s">
        <v>297</v>
      </c>
      <c r="B319" s="3" t="s">
        <v>299</v>
      </c>
      <c r="C319" s="4">
        <v>1641717</v>
      </c>
      <c r="D319" s="4">
        <v>1454639.35</v>
      </c>
      <c r="E319" s="4">
        <v>187077.65</v>
      </c>
      <c r="F319" s="3">
        <f>VLOOKUP(B319,'Profit &amp; Loss'!$B$2:$C$390,2,0)</f>
        <v>111346.46</v>
      </c>
    </row>
    <row r="320" spans="1:6" x14ac:dyDescent="0.2">
      <c r="A320" s="3" t="s">
        <v>297</v>
      </c>
      <c r="B320" s="3" t="s">
        <v>300</v>
      </c>
      <c r="C320" s="4">
        <v>1070.82</v>
      </c>
      <c r="D320" s="4">
        <v>911.49</v>
      </c>
      <c r="E320" s="4">
        <v>159.33000000000001</v>
      </c>
      <c r="F320" s="3">
        <f>VLOOKUP(B320,'Profit &amp; Loss'!$B$2:$C$390,2,0)</f>
        <v>0</v>
      </c>
    </row>
    <row r="321" spans="1:6" x14ac:dyDescent="0.2">
      <c r="A321" s="3" t="s">
        <v>297</v>
      </c>
      <c r="B321" s="3" t="s">
        <v>2</v>
      </c>
      <c r="C321" s="4">
        <v>1875649.37</v>
      </c>
      <c r="D321" s="4">
        <v>1674833.79</v>
      </c>
      <c r="E321" s="4">
        <v>200815.58</v>
      </c>
      <c r="F321" s="3" t="e">
        <f>VLOOKUP(B321,'Profit &amp; Loss'!$B$2:$C$390,2,0)</f>
        <v>#N/A</v>
      </c>
    </row>
    <row r="322" spans="1:6" x14ac:dyDescent="0.2">
      <c r="A322" s="3" t="s">
        <v>301</v>
      </c>
      <c r="B322" s="3" t="s">
        <v>554</v>
      </c>
      <c r="C322" s="4">
        <v>103051.23</v>
      </c>
      <c r="D322" s="4">
        <v>103051.23</v>
      </c>
      <c r="E322" s="4">
        <v>0</v>
      </c>
      <c r="F322" s="3">
        <f>VLOOKUP(B322,'Profit &amp; Loss'!$B$2:$C$390,2,0)</f>
        <v>0</v>
      </c>
    </row>
    <row r="323" spans="1:6" x14ac:dyDescent="0.2">
      <c r="A323" s="3" t="s">
        <v>301</v>
      </c>
      <c r="B323" s="3" t="s">
        <v>1426</v>
      </c>
      <c r="C323" s="4">
        <v>10283.11</v>
      </c>
      <c r="D323" s="4">
        <v>10283.11</v>
      </c>
      <c r="E323" s="4">
        <v>0</v>
      </c>
      <c r="F323" s="3">
        <f>VLOOKUP(B323,'Profit &amp; Loss'!$B$2:$C$390,2,0)</f>
        <v>0</v>
      </c>
    </row>
    <row r="324" spans="1:6" x14ac:dyDescent="0.2">
      <c r="A324" s="3" t="s">
        <v>301</v>
      </c>
      <c r="B324" s="3" t="s">
        <v>835</v>
      </c>
      <c r="C324" s="4">
        <v>7551.7</v>
      </c>
      <c r="D324" s="4">
        <v>7551.7</v>
      </c>
      <c r="E324" s="4">
        <v>0</v>
      </c>
      <c r="F324" s="3">
        <f>VLOOKUP(B324,'Profit &amp; Loss'!$B$2:$C$390,2,0)</f>
        <v>0</v>
      </c>
    </row>
    <row r="325" spans="1:6" x14ac:dyDescent="0.2">
      <c r="A325" s="3" t="s">
        <v>301</v>
      </c>
      <c r="B325" s="3" t="s">
        <v>302</v>
      </c>
      <c r="C325" s="4">
        <v>76222.899999999994</v>
      </c>
      <c r="D325" s="4">
        <v>67659.399999999994</v>
      </c>
      <c r="E325" s="4">
        <v>8563.5</v>
      </c>
      <c r="F325" s="3">
        <f>VLOOKUP(B325,'Profit &amp; Loss'!$B$2:$C$390,2,0)</f>
        <v>5793.22</v>
      </c>
    </row>
    <row r="326" spans="1:6" x14ac:dyDescent="0.2">
      <c r="A326" s="3" t="s">
        <v>301</v>
      </c>
      <c r="B326" s="3" t="s">
        <v>647</v>
      </c>
      <c r="C326" s="4">
        <v>14755.96</v>
      </c>
      <c r="D326" s="4">
        <v>14755.96</v>
      </c>
      <c r="E326" s="4">
        <v>0</v>
      </c>
      <c r="F326" s="3">
        <f>VLOOKUP(B326,'Profit &amp; Loss'!$B$2:$C$390,2,0)</f>
        <v>0</v>
      </c>
    </row>
    <row r="327" spans="1:6" x14ac:dyDescent="0.2">
      <c r="A327" s="3" t="s">
        <v>301</v>
      </c>
      <c r="B327" s="3" t="s">
        <v>303</v>
      </c>
      <c r="C327" s="4">
        <v>73809.06</v>
      </c>
      <c r="D327" s="4">
        <v>64760.25</v>
      </c>
      <c r="E327" s="4">
        <v>9048.81</v>
      </c>
      <c r="F327" s="3">
        <f>VLOOKUP(B327,'Profit &amp; Loss'!$B$2:$C$390,2,0)</f>
        <v>2303.9899999999998</v>
      </c>
    </row>
    <row r="328" spans="1:6" x14ac:dyDescent="0.2">
      <c r="A328" s="3" t="s">
        <v>301</v>
      </c>
      <c r="B328" s="3" t="s">
        <v>305</v>
      </c>
      <c r="C328" s="4">
        <v>159212.85999999999</v>
      </c>
      <c r="D328" s="4">
        <v>132327.95000000001</v>
      </c>
      <c r="E328" s="4">
        <v>26884.91</v>
      </c>
      <c r="F328" s="3">
        <f>VLOOKUP(B328,'Profit &amp; Loss'!$B$2:$C$390,2,0)</f>
        <v>9337.1200000000008</v>
      </c>
    </row>
    <row r="329" spans="1:6" x14ac:dyDescent="0.2">
      <c r="A329" s="3" t="s">
        <v>301</v>
      </c>
      <c r="B329" s="3" t="s">
        <v>306</v>
      </c>
      <c r="C329" s="4">
        <v>1478307.03</v>
      </c>
      <c r="D329" s="4">
        <v>1296731.6299999999</v>
      </c>
      <c r="E329" s="4">
        <v>181575.4</v>
      </c>
      <c r="F329" s="3">
        <f>VLOOKUP(B329,'Profit &amp; Loss'!$B$2:$C$390,2,0)</f>
        <v>86638.62</v>
      </c>
    </row>
    <row r="330" spans="1:6" x14ac:dyDescent="0.2">
      <c r="A330" s="3" t="s">
        <v>301</v>
      </c>
      <c r="B330" s="3" t="s">
        <v>838</v>
      </c>
      <c r="C330" s="4">
        <v>9917.77</v>
      </c>
      <c r="D330" s="4">
        <v>9917.77</v>
      </c>
      <c r="E330" s="4">
        <v>0</v>
      </c>
      <c r="F330" s="3">
        <f>VLOOKUP(B330,'Profit &amp; Loss'!$B$2:$C$390,2,0)</f>
        <v>0</v>
      </c>
    </row>
    <row r="331" spans="1:6" x14ac:dyDescent="0.2">
      <c r="A331" s="3" t="s">
        <v>301</v>
      </c>
      <c r="B331" s="3" t="s">
        <v>307</v>
      </c>
      <c r="C331" s="4">
        <v>2167260.71</v>
      </c>
      <c r="D331" s="4">
        <v>1918911.4</v>
      </c>
      <c r="E331" s="4">
        <v>248349.31</v>
      </c>
      <c r="F331" s="3">
        <f>VLOOKUP(B331,'Profit &amp; Loss'!$B$2:$C$390,2,0)</f>
        <v>155566</v>
      </c>
    </row>
    <row r="332" spans="1:6" x14ac:dyDescent="0.2">
      <c r="A332" s="3" t="s">
        <v>301</v>
      </c>
      <c r="B332" s="3" t="s">
        <v>308</v>
      </c>
      <c r="C332" s="4">
        <v>10768.76</v>
      </c>
      <c r="D332" s="4">
        <v>10659.06</v>
      </c>
      <c r="E332" s="4">
        <v>109.7</v>
      </c>
      <c r="F332" s="3">
        <f>VLOOKUP(B332,'Profit &amp; Loss'!$B$2:$C$390,2,0)</f>
        <v>5356.12</v>
      </c>
    </row>
    <row r="333" spans="1:6" x14ac:dyDescent="0.2">
      <c r="A333" s="3" t="s">
        <v>301</v>
      </c>
      <c r="B333" s="3" t="s">
        <v>309</v>
      </c>
      <c r="C333" s="4">
        <v>41438.300000000003</v>
      </c>
      <c r="D333" s="4">
        <v>31988.53</v>
      </c>
      <c r="E333" s="4">
        <v>9449.77</v>
      </c>
      <c r="F333" s="3">
        <f>VLOOKUP(B333,'Profit &amp; Loss'!$B$2:$C$390,2,0)</f>
        <v>0</v>
      </c>
    </row>
    <row r="334" spans="1:6" x14ac:dyDescent="0.2">
      <c r="A334" s="3" t="s">
        <v>301</v>
      </c>
      <c r="B334" s="3" t="s">
        <v>2</v>
      </c>
      <c r="C334" s="4">
        <v>4152579.39</v>
      </c>
      <c r="D334" s="4">
        <v>3668597.99</v>
      </c>
      <c r="E334" s="4">
        <v>483981.4</v>
      </c>
      <c r="F334" s="3" t="e">
        <f>VLOOKUP(B334,'Profit &amp; Loss'!$B$2:$C$390,2,0)</f>
        <v>#N/A</v>
      </c>
    </row>
    <row r="335" spans="1:6" x14ac:dyDescent="0.2">
      <c r="A335" s="3" t="s">
        <v>310</v>
      </c>
      <c r="B335" s="3" t="s">
        <v>311</v>
      </c>
      <c r="C335" s="4">
        <v>549115.41</v>
      </c>
      <c r="D335" s="4">
        <v>438466.14</v>
      </c>
      <c r="E335" s="4">
        <v>110649.27</v>
      </c>
      <c r="F335" s="3">
        <f>VLOOKUP(B335,'Profit &amp; Loss'!$B$2:$C$390,2,0)</f>
        <v>32947.410000000003</v>
      </c>
    </row>
    <row r="336" spans="1:6" x14ac:dyDescent="0.2">
      <c r="A336" s="3" t="s">
        <v>310</v>
      </c>
      <c r="B336" s="3" t="s">
        <v>2</v>
      </c>
      <c r="C336" s="4">
        <v>549115.41</v>
      </c>
      <c r="D336" s="4">
        <v>438466.14</v>
      </c>
      <c r="E336" s="4">
        <v>110649.27</v>
      </c>
      <c r="F336" s="3" t="e">
        <f>VLOOKUP(B336,'Profit &amp; Loss'!$B$2:$C$390,2,0)</f>
        <v>#N/A</v>
      </c>
    </row>
    <row r="337" spans="1:6" x14ac:dyDescent="0.2">
      <c r="A337" s="3" t="s">
        <v>312</v>
      </c>
      <c r="B337" s="3" t="s">
        <v>2</v>
      </c>
      <c r="C337" s="4">
        <v>49721420.609999999</v>
      </c>
      <c r="D337" s="4">
        <v>43456954.009999998</v>
      </c>
      <c r="E337" s="4">
        <v>6264466.5999999996</v>
      </c>
      <c r="F337" s="3" t="e">
        <f>VLOOKUP(B337,'Profit &amp; Loss'!$B$2:$C$390,2,0)</f>
        <v>#N/A</v>
      </c>
    </row>
    <row r="338" spans="1:6" x14ac:dyDescent="0.2">
      <c r="A338" s="3" t="s">
        <v>313</v>
      </c>
      <c r="B338" s="3" t="s">
        <v>314</v>
      </c>
      <c r="C338" s="4">
        <v>588879.35</v>
      </c>
      <c r="D338" s="4">
        <v>527559.67000000004</v>
      </c>
      <c r="E338" s="4">
        <v>61319.68</v>
      </c>
      <c r="F338" s="3">
        <f>VLOOKUP(B338,'Profit &amp; Loss'!$B$2:$C$390,2,0)</f>
        <v>47720.12</v>
      </c>
    </row>
    <row r="339" spans="1:6" x14ac:dyDescent="0.2">
      <c r="A339" s="3" t="s">
        <v>313</v>
      </c>
      <c r="B339" s="3" t="s">
        <v>315</v>
      </c>
      <c r="C339" s="4">
        <v>22095.88</v>
      </c>
      <c r="D339" s="4">
        <v>21437.94</v>
      </c>
      <c r="E339" s="4">
        <v>657.94</v>
      </c>
      <c r="F339" s="3">
        <f>VLOOKUP(B339,'Profit &amp; Loss'!$B$2:$C$390,2,0)</f>
        <v>3030.51</v>
      </c>
    </row>
    <row r="340" spans="1:6" x14ac:dyDescent="0.2">
      <c r="A340" s="3" t="s">
        <v>313</v>
      </c>
      <c r="B340" s="3" t="s">
        <v>558</v>
      </c>
      <c r="C340" s="4">
        <v>51303</v>
      </c>
      <c r="D340" s="4">
        <v>51303</v>
      </c>
      <c r="E340" s="4">
        <v>0</v>
      </c>
      <c r="F340" s="3">
        <f>VLOOKUP(B340,'Profit &amp; Loss'!$B$2:$C$390,2,0)</f>
        <v>0</v>
      </c>
    </row>
    <row r="341" spans="1:6" x14ac:dyDescent="0.2">
      <c r="A341" s="3" t="s">
        <v>313</v>
      </c>
      <c r="B341" s="3" t="s">
        <v>559</v>
      </c>
      <c r="C341" s="4">
        <v>5295.43</v>
      </c>
      <c r="D341" s="4">
        <v>5295.43</v>
      </c>
      <c r="E341" s="4">
        <v>0</v>
      </c>
      <c r="F341" s="3">
        <f>VLOOKUP(B341,'Profit &amp; Loss'!$B$2:$C$390,2,0)</f>
        <v>3030.51</v>
      </c>
    </row>
    <row r="342" spans="1:6" x14ac:dyDescent="0.2">
      <c r="A342" s="3" t="s">
        <v>313</v>
      </c>
      <c r="B342" s="3" t="s">
        <v>316</v>
      </c>
      <c r="C342" s="4">
        <v>137863.56</v>
      </c>
      <c r="D342" s="4">
        <v>122594.28</v>
      </c>
      <c r="E342" s="4">
        <v>15269.28</v>
      </c>
      <c r="F342" s="3">
        <f>VLOOKUP(B342,'Profit &amp; Loss'!$B$2:$C$390,2,0)</f>
        <v>21674.33</v>
      </c>
    </row>
    <row r="343" spans="1:6" x14ac:dyDescent="0.2">
      <c r="A343" s="3" t="s">
        <v>313</v>
      </c>
      <c r="B343" s="3" t="s">
        <v>317</v>
      </c>
      <c r="C343" s="4">
        <v>21873.439999999999</v>
      </c>
      <c r="D343" s="4">
        <v>1903.88</v>
      </c>
      <c r="E343" s="4">
        <v>19969.560000000001</v>
      </c>
      <c r="F343" s="3">
        <f>VLOOKUP(B343,'Profit &amp; Loss'!$B$2:$C$390,2,0)</f>
        <v>423.23</v>
      </c>
    </row>
    <row r="344" spans="1:6" x14ac:dyDescent="0.2">
      <c r="A344" s="3" t="s">
        <v>313</v>
      </c>
      <c r="B344" s="3" t="s">
        <v>318</v>
      </c>
      <c r="C344" s="4">
        <v>141830.76999999999</v>
      </c>
      <c r="D344" s="4">
        <v>122429.36</v>
      </c>
      <c r="E344" s="4">
        <v>19401.41</v>
      </c>
      <c r="F344" s="3">
        <f>VLOOKUP(B344,'Profit &amp; Loss'!$B$2:$C$390,2,0)</f>
        <v>12048.91</v>
      </c>
    </row>
    <row r="345" spans="1:6" x14ac:dyDescent="0.2">
      <c r="A345" s="3" t="s">
        <v>313</v>
      </c>
      <c r="B345" s="3" t="s">
        <v>319</v>
      </c>
      <c r="C345" s="4">
        <v>454901.35</v>
      </c>
      <c r="D345" s="4">
        <v>409493.82</v>
      </c>
      <c r="E345" s="4">
        <v>45407.53</v>
      </c>
      <c r="F345" s="3">
        <f>VLOOKUP(B345,'Profit &amp; Loss'!$B$2:$C$390,2,0)</f>
        <v>40731.18</v>
      </c>
    </row>
    <row r="346" spans="1:6" x14ac:dyDescent="0.2">
      <c r="A346" s="3" t="s">
        <v>313</v>
      </c>
      <c r="B346" s="3" t="s">
        <v>320</v>
      </c>
      <c r="C346" s="4">
        <v>-1898.17</v>
      </c>
      <c r="D346" s="4">
        <v>-7030.37</v>
      </c>
      <c r="E346" s="4">
        <v>5132.2</v>
      </c>
      <c r="F346" s="3">
        <f>VLOOKUP(B346,'Profit &amp; Loss'!$B$2:$C$390,2,0)</f>
        <v>4675.82</v>
      </c>
    </row>
    <row r="347" spans="1:6" x14ac:dyDescent="0.2">
      <c r="A347" s="3" t="s">
        <v>313</v>
      </c>
      <c r="B347" s="3" t="s">
        <v>321</v>
      </c>
      <c r="C347" s="4">
        <v>-1351652.08</v>
      </c>
      <c r="D347" s="4">
        <v>-1200922.31</v>
      </c>
      <c r="E347" s="4">
        <v>-150729.76999999999</v>
      </c>
      <c r="F347" s="3">
        <f>VLOOKUP(B347,'Profit &amp; Loss'!$B$2:$C$390,2,0)</f>
        <v>-127447.83</v>
      </c>
    </row>
    <row r="348" spans="1:6" x14ac:dyDescent="0.2">
      <c r="A348" s="3" t="s">
        <v>313</v>
      </c>
      <c r="B348" s="3" t="s">
        <v>841</v>
      </c>
      <c r="C348" s="4">
        <v>161494.10999999999</v>
      </c>
      <c r="D348" s="4">
        <v>142652.24</v>
      </c>
      <c r="E348" s="4">
        <v>18841.87</v>
      </c>
      <c r="F348" s="3">
        <f>VLOOKUP(B348,'Profit &amp; Loss'!$B$2:$C$390,2,0)</f>
        <v>-27313.17</v>
      </c>
    </row>
    <row r="349" spans="1:6" x14ac:dyDescent="0.2">
      <c r="A349" s="3" t="s">
        <v>313</v>
      </c>
      <c r="B349" s="3" t="s">
        <v>560</v>
      </c>
      <c r="C349" s="4">
        <v>21627.38</v>
      </c>
      <c r="D349" s="4">
        <v>21627.38</v>
      </c>
      <c r="E349" s="4">
        <v>0</v>
      </c>
      <c r="F349" s="3">
        <f>VLOOKUP(B349,'Profit &amp; Loss'!$B$2:$C$390,2,0)</f>
        <v>1760.34</v>
      </c>
    </row>
    <row r="350" spans="1:6" x14ac:dyDescent="0.2">
      <c r="A350" s="3" t="s">
        <v>313</v>
      </c>
      <c r="B350" s="3" t="s">
        <v>1085</v>
      </c>
      <c r="C350" s="4">
        <v>575.25</v>
      </c>
      <c r="D350" s="4">
        <v>575.25</v>
      </c>
      <c r="E350" s="4">
        <v>0</v>
      </c>
      <c r="F350" s="3">
        <f>VLOOKUP(B350,'Profit &amp; Loss'!$B$2:$C$390,2,0)</f>
        <v>0</v>
      </c>
    </row>
    <row r="351" spans="1:6" x14ac:dyDescent="0.2">
      <c r="A351" s="3" t="s">
        <v>313</v>
      </c>
      <c r="B351" s="3" t="s">
        <v>990</v>
      </c>
      <c r="C351" s="4">
        <v>-354.04</v>
      </c>
      <c r="D351" s="4">
        <v>-354.04</v>
      </c>
      <c r="E351" s="4">
        <v>0</v>
      </c>
      <c r="F351" s="3">
        <f>VLOOKUP(B351,'Profit &amp; Loss'!$B$2:$C$390,2,0)</f>
        <v>-40.28</v>
      </c>
    </row>
    <row r="352" spans="1:6" x14ac:dyDescent="0.2">
      <c r="A352" s="3" t="s">
        <v>313</v>
      </c>
      <c r="B352" s="3" t="s">
        <v>322</v>
      </c>
      <c r="C352" s="4">
        <v>2518.69</v>
      </c>
      <c r="D352" s="4">
        <v>2465.9899999999998</v>
      </c>
      <c r="E352" s="4">
        <v>52.7</v>
      </c>
      <c r="F352" s="3">
        <f>VLOOKUP(B352,'Profit &amp; Loss'!$B$2:$C$390,2,0)</f>
        <v>2.09</v>
      </c>
    </row>
    <row r="353" spans="1:6" x14ac:dyDescent="0.2">
      <c r="A353" s="3" t="s">
        <v>313</v>
      </c>
      <c r="B353" s="3" t="s">
        <v>652</v>
      </c>
      <c r="C353" s="4">
        <v>193.7</v>
      </c>
      <c r="D353" s="4">
        <v>174.16</v>
      </c>
      <c r="E353" s="4">
        <v>19.54</v>
      </c>
      <c r="F353" s="3">
        <f>VLOOKUP(B353,'Profit &amp; Loss'!$B$2:$C$390,2,0)</f>
        <v>35.14</v>
      </c>
    </row>
    <row r="354" spans="1:6" x14ac:dyDescent="0.2">
      <c r="A354" s="3" t="s">
        <v>313</v>
      </c>
      <c r="B354" s="3" t="s">
        <v>323</v>
      </c>
      <c r="C354" s="4">
        <v>19472.89</v>
      </c>
      <c r="D354" s="4">
        <v>18836.97</v>
      </c>
      <c r="E354" s="4">
        <v>635.91999999999996</v>
      </c>
      <c r="F354" s="3">
        <f>VLOOKUP(B354,'Profit &amp; Loss'!$B$2:$C$390,2,0)</f>
        <v>3243.68</v>
      </c>
    </row>
    <row r="355" spans="1:6" x14ac:dyDescent="0.2">
      <c r="A355" s="3" t="s">
        <v>313</v>
      </c>
      <c r="B355" s="3" t="s">
        <v>324</v>
      </c>
      <c r="C355" s="4">
        <v>313657.5</v>
      </c>
      <c r="D355" s="4">
        <v>292353.44</v>
      </c>
      <c r="E355" s="4">
        <v>21304.06</v>
      </c>
      <c r="F355" s="3">
        <f>VLOOKUP(B355,'Profit &amp; Loss'!$B$2:$C$390,2,0)</f>
        <v>33298</v>
      </c>
    </row>
    <row r="356" spans="1:6" x14ac:dyDescent="0.2">
      <c r="A356" s="3" t="s">
        <v>313</v>
      </c>
      <c r="B356" s="3" t="s">
        <v>913</v>
      </c>
      <c r="C356" s="4">
        <v>329.26</v>
      </c>
      <c r="D356" s="4">
        <v>329.26</v>
      </c>
      <c r="E356" s="4">
        <v>0</v>
      </c>
      <c r="F356" s="3">
        <f>VLOOKUP(B356,'Profit &amp; Loss'!$B$2:$C$390,2,0)</f>
        <v>0</v>
      </c>
    </row>
    <row r="357" spans="1:6" x14ac:dyDescent="0.2">
      <c r="A357" s="3" t="s">
        <v>313</v>
      </c>
      <c r="B357" s="3" t="s">
        <v>561</v>
      </c>
      <c r="C357" s="4">
        <v>1391.3</v>
      </c>
      <c r="D357" s="4">
        <v>1287.6500000000001</v>
      </c>
      <c r="E357" s="4">
        <v>103.65</v>
      </c>
      <c r="F357" s="3">
        <f>VLOOKUP(B357,'Profit &amp; Loss'!$B$2:$C$390,2,0)</f>
        <v>0</v>
      </c>
    </row>
    <row r="358" spans="1:6" x14ac:dyDescent="0.2">
      <c r="A358" s="3" t="s">
        <v>313</v>
      </c>
      <c r="B358" s="18" t="s">
        <v>325</v>
      </c>
      <c r="C358" s="4">
        <v>33580</v>
      </c>
      <c r="D358" s="4">
        <v>0</v>
      </c>
      <c r="E358" s="4">
        <v>33580</v>
      </c>
      <c r="F358" s="3">
        <f>VLOOKUP(B358,'Profit &amp; Loss'!$B$2:$C$390,2,0)</f>
        <v>0</v>
      </c>
    </row>
    <row r="359" spans="1:6" x14ac:dyDescent="0.2">
      <c r="A359" s="3" t="s">
        <v>313</v>
      </c>
      <c r="B359" s="3" t="s">
        <v>654</v>
      </c>
      <c r="C359" s="4">
        <v>15893.64</v>
      </c>
      <c r="D359" s="4">
        <v>15858.83</v>
      </c>
      <c r="E359" s="4">
        <v>34.81</v>
      </c>
      <c r="F359" s="3">
        <f>VLOOKUP(B359,'Profit &amp; Loss'!$B$2:$C$390,2,0)</f>
        <v>36.44</v>
      </c>
    </row>
    <row r="360" spans="1:6" x14ac:dyDescent="0.2">
      <c r="A360" s="3" t="s">
        <v>313</v>
      </c>
      <c r="B360" s="3" t="s">
        <v>991</v>
      </c>
      <c r="C360" s="4">
        <v>469.21</v>
      </c>
      <c r="D360" s="4">
        <v>469.21</v>
      </c>
      <c r="E360" s="4">
        <v>0</v>
      </c>
      <c r="F360" s="3">
        <f>VLOOKUP(B360,'Profit &amp; Loss'!$B$2:$C$390,2,0)</f>
        <v>-28825.55</v>
      </c>
    </row>
    <row r="361" spans="1:6" x14ac:dyDescent="0.2">
      <c r="A361" s="3" t="s">
        <v>313</v>
      </c>
      <c r="B361" s="3" t="s">
        <v>326</v>
      </c>
      <c r="C361" s="4">
        <v>82986.81</v>
      </c>
      <c r="D361" s="4">
        <v>54754.91</v>
      </c>
      <c r="E361" s="4">
        <v>28231.9</v>
      </c>
      <c r="F361" s="3">
        <f>VLOOKUP(B361,'Profit &amp; Loss'!$B$2:$C$390,2,0)</f>
        <v>-435.68</v>
      </c>
    </row>
    <row r="362" spans="1:6" x14ac:dyDescent="0.2">
      <c r="A362" s="3" t="s">
        <v>313</v>
      </c>
      <c r="B362" s="3" t="s">
        <v>1254</v>
      </c>
      <c r="C362" s="4">
        <v>124.19</v>
      </c>
      <c r="D362" s="4">
        <v>124.19</v>
      </c>
      <c r="E362" s="4">
        <v>0</v>
      </c>
      <c r="F362" s="3">
        <f>VLOOKUP(B362,'Profit &amp; Loss'!$B$2:$C$390,2,0)</f>
        <v>0</v>
      </c>
    </row>
    <row r="363" spans="1:6" x14ac:dyDescent="0.2">
      <c r="A363" s="3" t="s">
        <v>313</v>
      </c>
      <c r="B363" s="3" t="s">
        <v>327</v>
      </c>
      <c r="C363" s="4">
        <v>712.16</v>
      </c>
      <c r="D363" s="4">
        <v>429.3</v>
      </c>
      <c r="E363" s="4">
        <v>282.86</v>
      </c>
      <c r="F363" s="3">
        <f>VLOOKUP(B363,'Profit &amp; Loss'!$B$2:$C$390,2,0)</f>
        <v>286.14</v>
      </c>
    </row>
    <row r="364" spans="1:6" x14ac:dyDescent="0.2">
      <c r="A364" s="3" t="s">
        <v>313</v>
      </c>
      <c r="B364" s="3" t="s">
        <v>328</v>
      </c>
      <c r="C364" s="4">
        <v>-1423.86</v>
      </c>
      <c r="D364" s="4">
        <v>-1423.86</v>
      </c>
      <c r="E364" s="4">
        <v>0</v>
      </c>
      <c r="F364" s="3">
        <f>VLOOKUP(B364,'Profit &amp; Loss'!$B$2:$C$390,2,0)</f>
        <v>-756.63</v>
      </c>
    </row>
    <row r="365" spans="1:6" x14ac:dyDescent="0.2">
      <c r="A365" s="3" t="s">
        <v>313</v>
      </c>
      <c r="B365" s="3" t="s">
        <v>1433</v>
      </c>
      <c r="C365" s="4">
        <v>-3168.71</v>
      </c>
      <c r="D365" s="4">
        <v>-3168.71</v>
      </c>
      <c r="E365" s="4">
        <v>0</v>
      </c>
      <c r="F365" s="3">
        <f>VLOOKUP(B365,'Profit &amp; Loss'!$B$2:$C$390,2,0)</f>
        <v>0</v>
      </c>
    </row>
    <row r="366" spans="1:6" x14ac:dyDescent="0.2">
      <c r="A366" s="3" t="s">
        <v>313</v>
      </c>
      <c r="B366" s="3" t="s">
        <v>656</v>
      </c>
      <c r="C366" s="4">
        <v>67509.5</v>
      </c>
      <c r="D366" s="4">
        <v>62287.33</v>
      </c>
      <c r="E366" s="4">
        <v>5222.17</v>
      </c>
      <c r="F366" s="3">
        <f>VLOOKUP(B366,'Profit &amp; Loss'!$B$2:$C$390,2,0)</f>
        <v>0</v>
      </c>
    </row>
    <row r="367" spans="1:6" x14ac:dyDescent="0.2">
      <c r="A367" s="3" t="s">
        <v>313</v>
      </c>
      <c r="B367" s="3" t="s">
        <v>329</v>
      </c>
      <c r="C367" s="4">
        <v>56038.2</v>
      </c>
      <c r="D367" s="4">
        <v>50764.71</v>
      </c>
      <c r="E367" s="4">
        <v>5273.49</v>
      </c>
      <c r="F367" s="3">
        <f>VLOOKUP(B367,'Profit &amp; Loss'!$B$2:$C$390,2,0)</f>
        <v>6174.84</v>
      </c>
    </row>
    <row r="368" spans="1:6" x14ac:dyDescent="0.2">
      <c r="A368" s="3" t="s">
        <v>313</v>
      </c>
      <c r="B368" s="3" t="s">
        <v>330</v>
      </c>
      <c r="C368" s="4">
        <v>6090.36</v>
      </c>
      <c r="D368" s="4">
        <v>6090.36</v>
      </c>
      <c r="E368" s="4">
        <v>0</v>
      </c>
      <c r="F368" s="3">
        <f>VLOOKUP(B368,'Profit &amp; Loss'!$B$2:$C$390,2,0)</f>
        <v>890.78</v>
      </c>
    </row>
    <row r="369" spans="1:6" x14ac:dyDescent="0.2">
      <c r="A369" s="3" t="s">
        <v>313</v>
      </c>
      <c r="B369" s="3" t="s">
        <v>331</v>
      </c>
      <c r="C369" s="4">
        <v>89393.45</v>
      </c>
      <c r="D369" s="4">
        <v>76741.94</v>
      </c>
      <c r="E369" s="4">
        <v>12651.51</v>
      </c>
      <c r="F369" s="3">
        <f>VLOOKUP(B369,'Profit &amp; Loss'!$B$2:$C$390,2,0)</f>
        <v>-3008.88</v>
      </c>
    </row>
    <row r="370" spans="1:6" x14ac:dyDescent="0.2">
      <c r="A370" s="3" t="s">
        <v>313</v>
      </c>
      <c r="B370" s="3" t="s">
        <v>332</v>
      </c>
      <c r="C370" s="4">
        <v>889.52</v>
      </c>
      <c r="D370" s="4">
        <v>864.86</v>
      </c>
      <c r="E370" s="4">
        <v>24.66</v>
      </c>
      <c r="F370" s="3">
        <f>VLOOKUP(B370,'Profit &amp; Loss'!$B$2:$C$390,2,0)</f>
        <v>24.68</v>
      </c>
    </row>
    <row r="371" spans="1:6" x14ac:dyDescent="0.2">
      <c r="A371" s="3" t="s">
        <v>313</v>
      </c>
      <c r="B371" s="3" t="s">
        <v>657</v>
      </c>
      <c r="C371" s="4">
        <v>2559.48</v>
      </c>
      <c r="D371" s="4">
        <v>1123.31</v>
      </c>
      <c r="E371" s="4">
        <v>1436.17</v>
      </c>
      <c r="F371" s="3">
        <f>VLOOKUP(B371,'Profit &amp; Loss'!$B$2:$C$390,2,0)</f>
        <v>0</v>
      </c>
    </row>
    <row r="372" spans="1:6" x14ac:dyDescent="0.2">
      <c r="A372" s="3" t="s">
        <v>313</v>
      </c>
      <c r="B372" s="3" t="s">
        <v>333</v>
      </c>
      <c r="C372" s="4">
        <v>24760.02</v>
      </c>
      <c r="D372" s="4">
        <v>20478.98</v>
      </c>
      <c r="E372" s="4">
        <v>4281.04</v>
      </c>
      <c r="F372" s="3">
        <f>VLOOKUP(B372,'Profit &amp; Loss'!$B$2:$C$390,2,0)</f>
        <v>3308.5</v>
      </c>
    </row>
    <row r="373" spans="1:6" x14ac:dyDescent="0.2">
      <c r="A373" s="3" t="s">
        <v>313</v>
      </c>
      <c r="B373" s="3" t="s">
        <v>658</v>
      </c>
      <c r="C373" s="4">
        <v>3391.84</v>
      </c>
      <c r="D373" s="4">
        <v>3391.84</v>
      </c>
      <c r="E373" s="4">
        <v>0</v>
      </c>
      <c r="F373" s="3">
        <f>VLOOKUP(B373,'Profit &amp; Loss'!$B$2:$C$390,2,0)</f>
        <v>2303.5500000000002</v>
      </c>
    </row>
    <row r="374" spans="1:6" x14ac:dyDescent="0.2">
      <c r="A374" s="3" t="s">
        <v>313</v>
      </c>
      <c r="B374" s="3" t="s">
        <v>1518</v>
      </c>
      <c r="C374" s="4">
        <v>0</v>
      </c>
      <c r="D374" s="4">
        <v>534.74</v>
      </c>
      <c r="E374" s="4">
        <v>-534.74</v>
      </c>
      <c r="F374" s="3">
        <f>VLOOKUP(B374,'Profit &amp; Loss'!$B$2:$C$390,2,0)</f>
        <v>0</v>
      </c>
    </row>
    <row r="375" spans="1:6" x14ac:dyDescent="0.2">
      <c r="A375" s="3" t="s">
        <v>313</v>
      </c>
      <c r="B375" s="3" t="s">
        <v>1434</v>
      </c>
      <c r="C375" s="4">
        <v>111.08</v>
      </c>
      <c r="D375" s="4">
        <v>111.08</v>
      </c>
      <c r="E375" s="4">
        <v>0</v>
      </c>
      <c r="F375" s="3">
        <f>VLOOKUP(B375,'Profit &amp; Loss'!$B$2:$C$390,2,0)</f>
        <v>0</v>
      </c>
    </row>
    <row r="376" spans="1:6" x14ac:dyDescent="0.2">
      <c r="A376" s="3" t="s">
        <v>313</v>
      </c>
      <c r="B376" s="3" t="s">
        <v>2</v>
      </c>
      <c r="C376" s="4">
        <v>971315.46</v>
      </c>
      <c r="D376" s="4">
        <v>823446.02</v>
      </c>
      <c r="E376" s="4">
        <v>147869.44</v>
      </c>
      <c r="F376" s="3" t="e">
        <f>VLOOKUP(B376,'Profit &amp; Loss'!$B$2:$C$390,2,0)</f>
        <v>#N/A</v>
      </c>
    </row>
    <row r="377" spans="1:6" x14ac:dyDescent="0.2">
      <c r="A377" s="3" t="s">
        <v>334</v>
      </c>
      <c r="B377" s="3" t="s">
        <v>335</v>
      </c>
      <c r="C377" s="4">
        <v>736281.72</v>
      </c>
      <c r="D377" s="4">
        <v>665448.75</v>
      </c>
      <c r="E377" s="4">
        <v>70832.97</v>
      </c>
      <c r="F377" s="3">
        <f>VLOOKUP(B377,'Profit &amp; Loss'!$B$2:$C$390,2,0)</f>
        <v>55035.39</v>
      </c>
    </row>
    <row r="378" spans="1:6" x14ac:dyDescent="0.2">
      <c r="A378" s="3" t="s">
        <v>334</v>
      </c>
      <c r="B378" s="3" t="s">
        <v>562</v>
      </c>
      <c r="C378" s="4">
        <v>66390.5</v>
      </c>
      <c r="D378" s="4">
        <v>66390.5</v>
      </c>
      <c r="E378" s="4">
        <v>0</v>
      </c>
      <c r="F378" s="3">
        <f>VLOOKUP(B378,'Profit &amp; Loss'!$B$2:$C$390,2,0)</f>
        <v>0</v>
      </c>
    </row>
    <row r="379" spans="1:6" x14ac:dyDescent="0.2">
      <c r="A379" s="3" t="s">
        <v>334</v>
      </c>
      <c r="B379" s="3" t="s">
        <v>336</v>
      </c>
      <c r="C379" s="4">
        <v>-4961.68</v>
      </c>
      <c r="D379" s="4">
        <v>-10873.67</v>
      </c>
      <c r="E379" s="4">
        <v>5911.99</v>
      </c>
      <c r="F379" s="3">
        <f>VLOOKUP(B379,'Profit &amp; Loss'!$B$2:$C$390,2,0)</f>
        <v>5279.69</v>
      </c>
    </row>
    <row r="380" spans="1:6" x14ac:dyDescent="0.2">
      <c r="A380" s="3" t="s">
        <v>334</v>
      </c>
      <c r="B380" s="3" t="s">
        <v>337</v>
      </c>
      <c r="C380" s="4">
        <v>34059.589999999997</v>
      </c>
      <c r="D380" s="4">
        <v>30330.66</v>
      </c>
      <c r="E380" s="4">
        <v>3728.93</v>
      </c>
      <c r="F380" s="3">
        <f>VLOOKUP(B380,'Profit &amp; Loss'!$B$2:$C$390,2,0)</f>
        <v>2800.93</v>
      </c>
    </row>
    <row r="381" spans="1:6" x14ac:dyDescent="0.2">
      <c r="A381" s="3" t="s">
        <v>334</v>
      </c>
      <c r="B381" s="3" t="s">
        <v>338</v>
      </c>
      <c r="C381" s="4">
        <v>234730.21</v>
      </c>
      <c r="D381" s="4">
        <v>224320.99</v>
      </c>
      <c r="E381" s="4">
        <v>10409.219999999999</v>
      </c>
      <c r="F381" s="3">
        <f>VLOOKUP(B381,'Profit &amp; Loss'!$B$2:$C$390,2,0)</f>
        <v>17648.05</v>
      </c>
    </row>
    <row r="382" spans="1:6" x14ac:dyDescent="0.2">
      <c r="A382" s="3" t="s">
        <v>334</v>
      </c>
      <c r="B382" s="3" t="s">
        <v>563</v>
      </c>
      <c r="C382" s="4">
        <v>165.75</v>
      </c>
      <c r="D382" s="4">
        <v>165.75</v>
      </c>
      <c r="E382" s="4">
        <v>0</v>
      </c>
      <c r="F382" s="3">
        <f>VLOOKUP(B382,'Profit &amp; Loss'!$B$2:$C$390,2,0)</f>
        <v>0</v>
      </c>
    </row>
    <row r="383" spans="1:6" x14ac:dyDescent="0.2">
      <c r="A383" s="3" t="s">
        <v>334</v>
      </c>
      <c r="B383" s="3" t="s">
        <v>339</v>
      </c>
      <c r="C383" s="4">
        <v>23977.29</v>
      </c>
      <c r="D383" s="4">
        <v>22693.52</v>
      </c>
      <c r="E383" s="4">
        <v>1283.77</v>
      </c>
      <c r="F383" s="3">
        <f>VLOOKUP(B383,'Profit &amp; Loss'!$B$2:$C$390,2,0)</f>
        <v>4180.01</v>
      </c>
    </row>
    <row r="384" spans="1:6" x14ac:dyDescent="0.2">
      <c r="A384" s="3" t="s">
        <v>334</v>
      </c>
      <c r="B384" s="3" t="s">
        <v>768</v>
      </c>
      <c r="C384" s="4">
        <v>96267.16</v>
      </c>
      <c r="D384" s="4">
        <v>96267.16</v>
      </c>
      <c r="E384" s="4">
        <v>0</v>
      </c>
      <c r="F384" s="3">
        <f>VLOOKUP(B384,'Profit &amp; Loss'!$B$2:$C$390,2,0)</f>
        <v>0</v>
      </c>
    </row>
    <row r="385" spans="1:6" x14ac:dyDescent="0.2">
      <c r="A385" s="3" t="s">
        <v>334</v>
      </c>
      <c r="B385" s="3" t="s">
        <v>340</v>
      </c>
      <c r="C385" s="4">
        <v>26590.51</v>
      </c>
      <c r="D385" s="4">
        <v>14766.57</v>
      </c>
      <c r="E385" s="4">
        <v>11823.94</v>
      </c>
      <c r="F385" s="3">
        <f>VLOOKUP(B385,'Profit &amp; Loss'!$B$2:$C$390,2,0)</f>
        <v>10559.39</v>
      </c>
    </row>
    <row r="386" spans="1:6" x14ac:dyDescent="0.2">
      <c r="A386" s="3" t="s">
        <v>334</v>
      </c>
      <c r="B386" s="3" t="s">
        <v>341</v>
      </c>
      <c r="C386" s="4">
        <v>199011.59</v>
      </c>
      <c r="D386" s="4">
        <v>187026.24</v>
      </c>
      <c r="E386" s="4">
        <v>11985.35</v>
      </c>
      <c r="F386" s="3">
        <f>VLOOKUP(B386,'Profit &amp; Loss'!$B$2:$C$390,2,0)</f>
        <v>18487.189999999999</v>
      </c>
    </row>
    <row r="387" spans="1:6" x14ac:dyDescent="0.2">
      <c r="A387" s="3" t="s">
        <v>334</v>
      </c>
      <c r="B387" s="3" t="s">
        <v>342</v>
      </c>
      <c r="C387" s="4">
        <v>8921.4599999999991</v>
      </c>
      <c r="D387" s="4">
        <v>7628.37</v>
      </c>
      <c r="E387" s="4">
        <v>1293.0899999999999</v>
      </c>
      <c r="F387" s="3">
        <f>VLOOKUP(B387,'Profit &amp; Loss'!$B$2:$C$390,2,0)</f>
        <v>2577.34</v>
      </c>
    </row>
    <row r="388" spans="1:6" x14ac:dyDescent="0.2">
      <c r="A388" s="3" t="s">
        <v>334</v>
      </c>
      <c r="B388" s="3" t="s">
        <v>566</v>
      </c>
      <c r="C388" s="4">
        <v>16596.78</v>
      </c>
      <c r="D388" s="4">
        <v>16596.78</v>
      </c>
      <c r="E388" s="4">
        <v>0</v>
      </c>
      <c r="F388" s="3">
        <f>VLOOKUP(B388,'Profit &amp; Loss'!$B$2:$C$390,2,0)</f>
        <v>0</v>
      </c>
    </row>
    <row r="389" spans="1:6" x14ac:dyDescent="0.2">
      <c r="A389" s="3" t="s">
        <v>334</v>
      </c>
      <c r="B389" s="3" t="s">
        <v>343</v>
      </c>
      <c r="C389" s="4">
        <v>26433.279999999999</v>
      </c>
      <c r="D389" s="4">
        <v>23729.69</v>
      </c>
      <c r="E389" s="4">
        <v>2703.59</v>
      </c>
      <c r="F389" s="3">
        <f>VLOOKUP(B389,'Profit &amp; Loss'!$B$2:$C$390,2,0)</f>
        <v>-203.37</v>
      </c>
    </row>
    <row r="390" spans="1:6" x14ac:dyDescent="0.2">
      <c r="A390" s="3" t="s">
        <v>334</v>
      </c>
      <c r="B390" s="3" t="s">
        <v>992</v>
      </c>
      <c r="C390" s="4">
        <v>733.43</v>
      </c>
      <c r="D390" s="4">
        <v>733.43</v>
      </c>
      <c r="E390" s="4">
        <v>0</v>
      </c>
      <c r="F390" s="3">
        <f>VLOOKUP(B390,'Profit &amp; Loss'!$B$2:$C$390,2,0)</f>
        <v>733.43</v>
      </c>
    </row>
    <row r="391" spans="1:6" x14ac:dyDescent="0.2">
      <c r="A391" s="3" t="s">
        <v>334</v>
      </c>
      <c r="B391" s="3" t="s">
        <v>344</v>
      </c>
      <c r="C391" s="4">
        <v>456.42</v>
      </c>
      <c r="D391" s="4">
        <v>360.41</v>
      </c>
      <c r="E391" s="4">
        <v>96.01</v>
      </c>
      <c r="F391" s="3">
        <f>VLOOKUP(B391,'Profit &amp; Loss'!$B$2:$C$390,2,0)</f>
        <v>0</v>
      </c>
    </row>
    <row r="392" spans="1:6" x14ac:dyDescent="0.2">
      <c r="A392" s="3" t="s">
        <v>334</v>
      </c>
      <c r="B392" s="3" t="s">
        <v>345</v>
      </c>
      <c r="C392" s="4">
        <v>135869.13</v>
      </c>
      <c r="D392" s="4">
        <v>123599.64</v>
      </c>
      <c r="E392" s="4">
        <v>12269.49</v>
      </c>
      <c r="F392" s="3">
        <f>VLOOKUP(B392,'Profit &amp; Loss'!$B$2:$C$390,2,0)</f>
        <v>11989.03</v>
      </c>
    </row>
    <row r="393" spans="1:6" x14ac:dyDescent="0.2">
      <c r="A393" s="3" t="s">
        <v>334</v>
      </c>
      <c r="B393" s="3" t="s">
        <v>346</v>
      </c>
      <c r="C393" s="4">
        <v>49210.16</v>
      </c>
      <c r="D393" s="4">
        <v>44306.54</v>
      </c>
      <c r="E393" s="4">
        <v>4903.62</v>
      </c>
      <c r="F393" s="3">
        <f>VLOOKUP(B393,'Profit &amp; Loss'!$B$2:$C$390,2,0)</f>
        <v>4420.24</v>
      </c>
    </row>
    <row r="394" spans="1:6" x14ac:dyDescent="0.2">
      <c r="A394" s="3" t="s">
        <v>334</v>
      </c>
      <c r="B394" s="3" t="s">
        <v>347</v>
      </c>
      <c r="C394" s="4">
        <v>23883.17</v>
      </c>
      <c r="D394" s="4">
        <v>21497.77</v>
      </c>
      <c r="E394" s="4">
        <v>2385.4</v>
      </c>
      <c r="F394" s="3">
        <f>VLOOKUP(B394,'Profit &amp; Loss'!$B$2:$C$390,2,0)</f>
        <v>2182.88</v>
      </c>
    </row>
    <row r="395" spans="1:6" x14ac:dyDescent="0.2">
      <c r="A395" s="3" t="s">
        <v>334</v>
      </c>
      <c r="B395" s="3" t="s">
        <v>348</v>
      </c>
      <c r="C395" s="4">
        <v>67126.95</v>
      </c>
      <c r="D395" s="4">
        <v>60428.41</v>
      </c>
      <c r="E395" s="4">
        <v>6698.54</v>
      </c>
      <c r="F395" s="3">
        <f>VLOOKUP(B395,'Profit &amp; Loss'!$B$2:$C$390,2,0)</f>
        <v>5823.94</v>
      </c>
    </row>
    <row r="396" spans="1:6" x14ac:dyDescent="0.2">
      <c r="A396" s="3" t="s">
        <v>334</v>
      </c>
      <c r="B396" s="3" t="s">
        <v>349</v>
      </c>
      <c r="C396" s="4">
        <v>45672.56</v>
      </c>
      <c r="D396" s="4">
        <v>41567.94</v>
      </c>
      <c r="E396" s="4">
        <v>4104.62</v>
      </c>
      <c r="F396" s="3">
        <f>VLOOKUP(B396,'Profit &amp; Loss'!$B$2:$C$390,2,0)</f>
        <v>3750.29</v>
      </c>
    </row>
    <row r="397" spans="1:6" x14ac:dyDescent="0.2">
      <c r="A397" s="3" t="s">
        <v>334</v>
      </c>
      <c r="B397" s="3" t="s">
        <v>350</v>
      </c>
      <c r="C397" s="4">
        <v>42666.11</v>
      </c>
      <c r="D397" s="4">
        <v>37289.480000000003</v>
      </c>
      <c r="E397" s="4">
        <v>5376.63</v>
      </c>
      <c r="F397" s="3">
        <f>VLOOKUP(B397,'Profit &amp; Loss'!$B$2:$C$390,2,0)</f>
        <v>5549.93</v>
      </c>
    </row>
    <row r="398" spans="1:6" x14ac:dyDescent="0.2">
      <c r="A398" s="3" t="s">
        <v>334</v>
      </c>
      <c r="B398" s="3" t="s">
        <v>351</v>
      </c>
      <c r="C398" s="4">
        <v>75885.23</v>
      </c>
      <c r="D398" s="4">
        <v>66754.539999999994</v>
      </c>
      <c r="E398" s="4">
        <v>9130.69</v>
      </c>
      <c r="F398" s="3">
        <f>VLOOKUP(B398,'Profit &amp; Loss'!$B$2:$C$390,2,0)</f>
        <v>4678.2299999999996</v>
      </c>
    </row>
    <row r="399" spans="1:6" x14ac:dyDescent="0.2">
      <c r="A399" s="3" t="s">
        <v>334</v>
      </c>
      <c r="B399" s="3" t="s">
        <v>352</v>
      </c>
      <c r="C399" s="4">
        <v>4489.97</v>
      </c>
      <c r="D399" s="4">
        <v>4457.88</v>
      </c>
      <c r="E399" s="4">
        <v>32.090000000000003</v>
      </c>
      <c r="F399" s="3">
        <f>VLOOKUP(B399,'Profit &amp; Loss'!$B$2:$C$390,2,0)</f>
        <v>1184.21</v>
      </c>
    </row>
    <row r="400" spans="1:6" x14ac:dyDescent="0.2">
      <c r="A400" s="3" t="s">
        <v>334</v>
      </c>
      <c r="B400" s="3" t="s">
        <v>569</v>
      </c>
      <c r="C400" s="4">
        <v>5154.9799999999996</v>
      </c>
      <c r="D400" s="4">
        <v>3145.61</v>
      </c>
      <c r="E400" s="4">
        <v>2009.37</v>
      </c>
      <c r="F400" s="3">
        <f>VLOOKUP(B400,'Profit &amp; Loss'!$B$2:$C$390,2,0)</f>
        <v>1388.56</v>
      </c>
    </row>
    <row r="401" spans="1:6" x14ac:dyDescent="0.2">
      <c r="A401" s="3" t="s">
        <v>334</v>
      </c>
      <c r="B401" s="3" t="s">
        <v>667</v>
      </c>
      <c r="C401" s="4">
        <v>2890.23</v>
      </c>
      <c r="D401" s="4">
        <v>2499.27</v>
      </c>
      <c r="E401" s="4">
        <v>390.96</v>
      </c>
      <c r="F401" s="3">
        <f>VLOOKUP(B401,'Profit &amp; Loss'!$B$2:$C$390,2,0)</f>
        <v>0</v>
      </c>
    </row>
    <row r="402" spans="1:6" x14ac:dyDescent="0.2">
      <c r="A402" s="3" t="s">
        <v>334</v>
      </c>
      <c r="B402" s="3" t="s">
        <v>353</v>
      </c>
      <c r="C402" s="4">
        <v>19331.39</v>
      </c>
      <c r="D402" s="4">
        <v>16903.45</v>
      </c>
      <c r="E402" s="4">
        <v>2427.94</v>
      </c>
      <c r="F402" s="3">
        <f>VLOOKUP(B402,'Profit &amp; Loss'!$B$2:$C$390,2,0)</f>
        <v>1304.8699999999999</v>
      </c>
    </row>
    <row r="403" spans="1:6" x14ac:dyDescent="0.2">
      <c r="A403" s="3" t="s">
        <v>334</v>
      </c>
      <c r="B403" s="3" t="s">
        <v>772</v>
      </c>
      <c r="C403" s="4">
        <v>1455.17</v>
      </c>
      <c r="D403" s="4">
        <v>1309.68</v>
      </c>
      <c r="E403" s="4">
        <v>145.49</v>
      </c>
      <c r="F403" s="3">
        <f>VLOOKUP(B403,'Profit &amp; Loss'!$B$2:$C$390,2,0)</f>
        <v>0</v>
      </c>
    </row>
    <row r="404" spans="1:6" x14ac:dyDescent="0.2">
      <c r="A404" s="3" t="s">
        <v>334</v>
      </c>
      <c r="B404" s="3" t="s">
        <v>354</v>
      </c>
      <c r="C404" s="4">
        <v>7182.07</v>
      </c>
      <c r="D404" s="4">
        <v>6466.4</v>
      </c>
      <c r="E404" s="4">
        <v>715.67</v>
      </c>
      <c r="F404" s="3">
        <f>VLOOKUP(B404,'Profit &amp; Loss'!$B$2:$C$390,2,0)</f>
        <v>645.12</v>
      </c>
    </row>
    <row r="405" spans="1:6" x14ac:dyDescent="0.2">
      <c r="A405" s="3" t="s">
        <v>334</v>
      </c>
      <c r="B405" s="3" t="s">
        <v>355</v>
      </c>
      <c r="C405" s="4">
        <v>49925.57</v>
      </c>
      <c r="D405" s="4">
        <v>44838.27</v>
      </c>
      <c r="E405" s="4">
        <v>5087.3</v>
      </c>
      <c r="F405" s="3">
        <f>VLOOKUP(B405,'Profit &amp; Loss'!$B$2:$C$390,2,0)</f>
        <v>4654.41</v>
      </c>
    </row>
    <row r="406" spans="1:6" x14ac:dyDescent="0.2">
      <c r="A406" s="3" t="s">
        <v>334</v>
      </c>
      <c r="B406" s="3" t="s">
        <v>357</v>
      </c>
      <c r="C406" s="4">
        <v>27055.1</v>
      </c>
      <c r="D406" s="4">
        <v>25464.87</v>
      </c>
      <c r="E406" s="4">
        <v>1590.23</v>
      </c>
      <c r="F406" s="3">
        <f>VLOOKUP(B406,'Profit &amp; Loss'!$B$2:$C$390,2,0)</f>
        <v>1147.27</v>
      </c>
    </row>
    <row r="407" spans="1:6" x14ac:dyDescent="0.2">
      <c r="A407" s="3" t="s">
        <v>334</v>
      </c>
      <c r="B407" s="3" t="s">
        <v>920</v>
      </c>
      <c r="C407" s="4">
        <v>6178.53</v>
      </c>
      <c r="D407" s="4">
        <v>6178.53</v>
      </c>
      <c r="E407" s="4">
        <v>0</v>
      </c>
      <c r="F407" s="3">
        <f>VLOOKUP(B407,'Profit &amp; Loss'!$B$2:$C$390,2,0)</f>
        <v>0</v>
      </c>
    </row>
    <row r="408" spans="1:6" x14ac:dyDescent="0.2">
      <c r="A408" s="3" t="s">
        <v>334</v>
      </c>
      <c r="B408" s="3" t="s">
        <v>358</v>
      </c>
      <c r="C408" s="4">
        <v>7616</v>
      </c>
      <c r="D408" s="4">
        <v>7616</v>
      </c>
      <c r="E408" s="4">
        <v>0</v>
      </c>
      <c r="F408" s="3">
        <f>VLOOKUP(B408,'Profit &amp; Loss'!$B$2:$C$390,2,0)</f>
        <v>3993.12</v>
      </c>
    </row>
    <row r="409" spans="1:6" x14ac:dyDescent="0.2">
      <c r="A409" s="3" t="s">
        <v>334</v>
      </c>
      <c r="B409" s="3" t="s">
        <v>359</v>
      </c>
      <c r="C409" s="4">
        <v>1270.6400000000001</v>
      </c>
      <c r="D409" s="4">
        <v>1270.6400000000001</v>
      </c>
      <c r="E409" s="4">
        <v>0</v>
      </c>
      <c r="F409" s="3">
        <f>VLOOKUP(B409,'Profit &amp; Loss'!$B$2:$C$390,2,0)</f>
        <v>1270.6400000000001</v>
      </c>
    </row>
    <row r="410" spans="1:6" x14ac:dyDescent="0.2">
      <c r="A410" s="3" t="s">
        <v>334</v>
      </c>
      <c r="B410" s="3" t="s">
        <v>360</v>
      </c>
      <c r="C410" s="4">
        <v>180882.35</v>
      </c>
      <c r="D410" s="4">
        <v>162742.54999999999</v>
      </c>
      <c r="E410" s="4">
        <v>18139.8</v>
      </c>
      <c r="F410" s="3">
        <f>VLOOKUP(B410,'Profit &amp; Loss'!$B$2:$C$390,2,0)</f>
        <v>16594.689999999999</v>
      </c>
    </row>
    <row r="411" spans="1:6" x14ac:dyDescent="0.2">
      <c r="A411" s="3" t="s">
        <v>334</v>
      </c>
      <c r="B411" s="3" t="s">
        <v>571</v>
      </c>
      <c r="C411" s="4">
        <v>12868.17</v>
      </c>
      <c r="D411" s="4">
        <v>10916.21</v>
      </c>
      <c r="E411" s="4">
        <v>1951.96</v>
      </c>
      <c r="F411" s="3">
        <f>VLOOKUP(B411,'Profit &amp; Loss'!$B$2:$C$390,2,0)</f>
        <v>7423.55</v>
      </c>
    </row>
    <row r="412" spans="1:6" x14ac:dyDescent="0.2">
      <c r="A412" s="3" t="s">
        <v>334</v>
      </c>
      <c r="B412" s="3" t="s">
        <v>361</v>
      </c>
      <c r="C412" s="4">
        <v>1868.18</v>
      </c>
      <c r="D412" s="4">
        <v>273.37</v>
      </c>
      <c r="E412" s="4">
        <v>1594.81</v>
      </c>
      <c r="F412" s="3">
        <f>VLOOKUP(B412,'Profit &amp; Loss'!$B$2:$C$390,2,0)</f>
        <v>0</v>
      </c>
    </row>
    <row r="413" spans="1:6" x14ac:dyDescent="0.2">
      <c r="A413" s="3" t="s">
        <v>334</v>
      </c>
      <c r="B413" s="3" t="s">
        <v>1427</v>
      </c>
      <c r="C413" s="4">
        <v>34.090000000000003</v>
      </c>
      <c r="D413" s="4">
        <v>34.090000000000003</v>
      </c>
      <c r="E413" s="4">
        <v>0</v>
      </c>
      <c r="F413" s="3">
        <f>VLOOKUP(B413,'Profit &amp; Loss'!$B$2:$C$390,2,0)</f>
        <v>0</v>
      </c>
    </row>
    <row r="414" spans="1:6" x14ac:dyDescent="0.2">
      <c r="A414" s="3" t="s">
        <v>334</v>
      </c>
      <c r="B414" s="3" t="s">
        <v>1446</v>
      </c>
      <c r="C414" s="4">
        <v>25.6</v>
      </c>
      <c r="D414" s="4">
        <v>25.6</v>
      </c>
      <c r="E414" s="4">
        <v>0</v>
      </c>
      <c r="F414" s="3">
        <f>VLOOKUP(B414,'Profit &amp; Loss'!$B$2:$C$390,2,0)</f>
        <v>0</v>
      </c>
    </row>
    <row r="415" spans="1:6" x14ac:dyDescent="0.2">
      <c r="A415" s="3" t="s">
        <v>334</v>
      </c>
      <c r="B415" s="3" t="s">
        <v>921</v>
      </c>
      <c r="C415" s="4">
        <v>122.03</v>
      </c>
      <c r="D415" s="4">
        <v>112.16</v>
      </c>
      <c r="E415" s="4">
        <v>9.8699999999999992</v>
      </c>
      <c r="F415" s="3">
        <f>VLOOKUP(B415,'Profit &amp; Loss'!$B$2:$C$390,2,0)</f>
        <v>0</v>
      </c>
    </row>
    <row r="416" spans="1:6" x14ac:dyDescent="0.2">
      <c r="A416" s="3" t="s">
        <v>334</v>
      </c>
      <c r="B416" s="3" t="s">
        <v>852</v>
      </c>
      <c r="C416" s="4">
        <v>6329.54</v>
      </c>
      <c r="D416" s="4">
        <v>0</v>
      </c>
      <c r="E416" s="4">
        <v>6329.54</v>
      </c>
      <c r="F416" s="3">
        <f>VLOOKUP(B416,'Profit &amp; Loss'!$B$2:$C$390,2,0)</f>
        <v>0</v>
      </c>
    </row>
    <row r="417" spans="1:6" x14ac:dyDescent="0.2">
      <c r="A417" s="3" t="s">
        <v>334</v>
      </c>
      <c r="B417" s="3" t="s">
        <v>363</v>
      </c>
      <c r="C417" s="4">
        <v>12270.07</v>
      </c>
      <c r="D417" s="4">
        <v>12270.07</v>
      </c>
      <c r="E417" s="4">
        <v>0</v>
      </c>
      <c r="F417" s="3">
        <f>VLOOKUP(B417,'Profit &amp; Loss'!$B$2:$C$390,2,0)</f>
        <v>1958.16</v>
      </c>
    </row>
    <row r="418" spans="1:6" x14ac:dyDescent="0.2">
      <c r="A418" s="3" t="s">
        <v>334</v>
      </c>
      <c r="B418" s="3" t="s">
        <v>2</v>
      </c>
      <c r="C418" s="4">
        <v>2252917</v>
      </c>
      <c r="D418" s="4">
        <v>2047554.12</v>
      </c>
      <c r="E418" s="4">
        <v>205362.88</v>
      </c>
      <c r="F418" s="3" t="e">
        <f>VLOOKUP(B418,'Profit &amp; Loss'!$B$2:$C$390,2,0)</f>
        <v>#N/A</v>
      </c>
    </row>
    <row r="419" spans="1:6" x14ac:dyDescent="0.2">
      <c r="A419" s="3" t="s">
        <v>364</v>
      </c>
      <c r="B419" s="3" t="s">
        <v>365</v>
      </c>
      <c r="C419" s="4">
        <v>5534.37</v>
      </c>
      <c r="D419" s="4">
        <v>2939.14</v>
      </c>
      <c r="E419" s="4">
        <v>2595.23</v>
      </c>
      <c r="F419" s="3">
        <f>VLOOKUP(B419,'Profit &amp; Loss'!$B$2:$C$390,2,0)</f>
        <v>0</v>
      </c>
    </row>
    <row r="420" spans="1:6" x14ac:dyDescent="0.2">
      <c r="A420" s="3" t="s">
        <v>364</v>
      </c>
      <c r="B420" s="3" t="s">
        <v>366</v>
      </c>
      <c r="C420" s="4">
        <v>35704.11</v>
      </c>
      <c r="D420" s="4">
        <v>31432.18</v>
      </c>
      <c r="E420" s="4">
        <v>4271.93</v>
      </c>
      <c r="F420" s="3">
        <f>VLOOKUP(B420,'Profit &amp; Loss'!$B$2:$C$390,2,0)</f>
        <v>223.34</v>
      </c>
    </row>
    <row r="421" spans="1:6" x14ac:dyDescent="0.2">
      <c r="A421" s="3" t="s">
        <v>364</v>
      </c>
      <c r="B421" s="3" t="s">
        <v>367</v>
      </c>
      <c r="C421" s="4">
        <v>6836.71</v>
      </c>
      <c r="D421" s="4">
        <v>5255.61</v>
      </c>
      <c r="E421" s="4">
        <v>1581.1</v>
      </c>
      <c r="F421" s="3">
        <f>VLOOKUP(B421,'Profit &amp; Loss'!$B$2:$C$390,2,0)</f>
        <v>462.09</v>
      </c>
    </row>
    <row r="422" spans="1:6" x14ac:dyDescent="0.2">
      <c r="A422" s="3" t="s">
        <v>364</v>
      </c>
      <c r="B422" s="3" t="s">
        <v>368</v>
      </c>
      <c r="C422" s="4">
        <v>2885.7</v>
      </c>
      <c r="D422" s="4">
        <v>2521.85</v>
      </c>
      <c r="E422" s="4">
        <v>363.85</v>
      </c>
      <c r="F422" s="3">
        <f>VLOOKUP(B422,'Profit &amp; Loss'!$B$2:$C$390,2,0)</f>
        <v>120.24</v>
      </c>
    </row>
    <row r="423" spans="1:6" x14ac:dyDescent="0.2">
      <c r="A423" s="3" t="s">
        <v>364</v>
      </c>
      <c r="B423" s="3" t="s">
        <v>369</v>
      </c>
      <c r="C423" s="4">
        <v>1558.37</v>
      </c>
      <c r="D423" s="4">
        <v>1433.51</v>
      </c>
      <c r="E423" s="4">
        <v>124.86</v>
      </c>
      <c r="F423" s="3">
        <f>VLOOKUP(B423,'Profit &amp; Loss'!$B$2:$C$390,2,0)</f>
        <v>11.91</v>
      </c>
    </row>
    <row r="424" spans="1:6" x14ac:dyDescent="0.2">
      <c r="A424" s="3" t="s">
        <v>364</v>
      </c>
      <c r="B424" s="3" t="s">
        <v>370</v>
      </c>
      <c r="C424" s="4">
        <v>92.34</v>
      </c>
      <c r="D424" s="4">
        <v>53.59</v>
      </c>
      <c r="E424" s="4">
        <v>38.75</v>
      </c>
      <c r="F424" s="3">
        <f>VLOOKUP(B424,'Profit &amp; Loss'!$B$2:$C$390,2,0)</f>
        <v>0</v>
      </c>
    </row>
    <row r="425" spans="1:6" x14ac:dyDescent="0.2">
      <c r="A425" s="3" t="s">
        <v>364</v>
      </c>
      <c r="B425" s="3" t="s">
        <v>371</v>
      </c>
      <c r="C425" s="4">
        <v>175.12</v>
      </c>
      <c r="D425" s="4">
        <v>146.47</v>
      </c>
      <c r="E425" s="4">
        <v>28.65</v>
      </c>
      <c r="F425" s="3">
        <f>VLOOKUP(B425,'Profit &amp; Loss'!$B$2:$C$390,2,0)</f>
        <v>0</v>
      </c>
    </row>
    <row r="426" spans="1:6" x14ac:dyDescent="0.2">
      <c r="A426" s="3" t="s">
        <v>364</v>
      </c>
      <c r="B426" s="3" t="s">
        <v>372</v>
      </c>
      <c r="C426" s="4">
        <v>2983.86</v>
      </c>
      <c r="D426" s="4">
        <v>2847.07</v>
      </c>
      <c r="E426" s="4">
        <v>136.79</v>
      </c>
      <c r="F426" s="3">
        <f>VLOOKUP(B426,'Profit &amp; Loss'!$B$2:$C$390,2,0)</f>
        <v>247.77</v>
      </c>
    </row>
    <row r="427" spans="1:6" x14ac:dyDescent="0.2">
      <c r="A427" s="3" t="s">
        <v>364</v>
      </c>
      <c r="B427" s="3" t="s">
        <v>572</v>
      </c>
      <c r="C427" s="4">
        <v>1174.08</v>
      </c>
      <c r="D427" s="4">
        <v>1174.08</v>
      </c>
      <c r="E427" s="4">
        <v>0</v>
      </c>
      <c r="F427" s="3">
        <f>VLOOKUP(B427,'Profit &amp; Loss'!$B$2:$C$390,2,0)</f>
        <v>0</v>
      </c>
    </row>
    <row r="428" spans="1:6" x14ac:dyDescent="0.2">
      <c r="A428" s="3" t="s">
        <v>364</v>
      </c>
      <c r="B428" s="3" t="s">
        <v>2</v>
      </c>
      <c r="C428" s="4">
        <v>56944.66</v>
      </c>
      <c r="D428" s="4">
        <v>47803.5</v>
      </c>
      <c r="E428" s="4">
        <v>9141.16</v>
      </c>
      <c r="F428" s="3" t="e">
        <f>VLOOKUP(B428,'Profit &amp; Loss'!$B$2:$C$390,2,0)</f>
        <v>#N/A</v>
      </c>
    </row>
    <row r="429" spans="1:6" x14ac:dyDescent="0.2">
      <c r="A429" s="3" t="s">
        <v>373</v>
      </c>
      <c r="B429" s="3" t="s">
        <v>673</v>
      </c>
      <c r="C429" s="4">
        <v>20917.62</v>
      </c>
      <c r="D429" s="4">
        <v>17495.900000000001</v>
      </c>
      <c r="E429" s="4">
        <v>3421.72</v>
      </c>
      <c r="F429" s="3">
        <f>VLOOKUP(B429,'Profit &amp; Loss'!$B$2:$C$390,2,0)</f>
        <v>0</v>
      </c>
    </row>
    <row r="430" spans="1:6" x14ac:dyDescent="0.2">
      <c r="A430" s="3" t="s">
        <v>373</v>
      </c>
      <c r="B430" s="3" t="s">
        <v>374</v>
      </c>
      <c r="C430" s="4">
        <v>1379.69</v>
      </c>
      <c r="D430" s="4">
        <v>1317.33</v>
      </c>
      <c r="E430" s="4">
        <v>62.36</v>
      </c>
      <c r="F430" s="3">
        <f>VLOOKUP(B430,'Profit &amp; Loss'!$B$2:$C$390,2,0)</f>
        <v>2.44</v>
      </c>
    </row>
    <row r="431" spans="1:6" x14ac:dyDescent="0.2">
      <c r="A431" s="3" t="s">
        <v>373</v>
      </c>
      <c r="B431" s="3" t="s">
        <v>375</v>
      </c>
      <c r="C431" s="4">
        <v>14803.71</v>
      </c>
      <c r="D431" s="4">
        <v>12623</v>
      </c>
      <c r="E431" s="4">
        <v>2180.71</v>
      </c>
      <c r="F431" s="3">
        <f>VLOOKUP(B431,'Profit &amp; Loss'!$B$2:$C$390,2,0)</f>
        <v>-429.67</v>
      </c>
    </row>
    <row r="432" spans="1:6" x14ac:dyDescent="0.2">
      <c r="A432" s="3" t="s">
        <v>373</v>
      </c>
      <c r="B432" s="3" t="s">
        <v>573</v>
      </c>
      <c r="C432" s="4">
        <v>2451.62</v>
      </c>
      <c r="D432" s="4">
        <v>2451.62</v>
      </c>
      <c r="E432" s="4">
        <v>0</v>
      </c>
      <c r="F432" s="3">
        <f>VLOOKUP(B432,'Profit &amp; Loss'!$B$2:$C$390,2,0)</f>
        <v>939.64</v>
      </c>
    </row>
    <row r="433" spans="1:6" x14ac:dyDescent="0.2">
      <c r="A433" s="3" t="s">
        <v>373</v>
      </c>
      <c r="B433" s="3" t="s">
        <v>574</v>
      </c>
      <c r="C433" s="4">
        <v>540.29</v>
      </c>
      <c r="D433" s="4">
        <v>540.29</v>
      </c>
      <c r="E433" s="4">
        <v>0</v>
      </c>
      <c r="F433" s="3">
        <f>VLOOKUP(B433,'Profit &amp; Loss'!$B$2:$C$390,2,0)</f>
        <v>0</v>
      </c>
    </row>
    <row r="434" spans="1:6" x14ac:dyDescent="0.2">
      <c r="A434" s="3" t="s">
        <v>373</v>
      </c>
      <c r="B434" s="3" t="s">
        <v>376</v>
      </c>
      <c r="C434" s="4">
        <v>6919.16</v>
      </c>
      <c r="D434" s="4">
        <v>6629.69</v>
      </c>
      <c r="E434" s="4">
        <v>289.47000000000003</v>
      </c>
      <c r="F434" s="3">
        <f>VLOOKUP(B434,'Profit &amp; Loss'!$B$2:$C$390,2,0)</f>
        <v>654.64</v>
      </c>
    </row>
    <row r="435" spans="1:6" x14ac:dyDescent="0.2">
      <c r="A435" s="3" t="s">
        <v>373</v>
      </c>
      <c r="B435" s="3" t="s">
        <v>377</v>
      </c>
      <c r="C435" s="4">
        <v>10956.53</v>
      </c>
      <c r="D435" s="4">
        <v>9803.42</v>
      </c>
      <c r="E435" s="4">
        <v>1153.1099999999999</v>
      </c>
      <c r="F435" s="3">
        <f>VLOOKUP(B435,'Profit &amp; Loss'!$B$2:$C$390,2,0)</f>
        <v>0</v>
      </c>
    </row>
    <row r="436" spans="1:6" x14ac:dyDescent="0.2">
      <c r="A436" s="3" t="s">
        <v>373</v>
      </c>
      <c r="B436" s="3" t="s">
        <v>857</v>
      </c>
      <c r="C436" s="4">
        <v>62208.59</v>
      </c>
      <c r="D436" s="4">
        <v>58236.63</v>
      </c>
      <c r="E436" s="4">
        <v>3971.96</v>
      </c>
      <c r="F436" s="3">
        <f>VLOOKUP(B436,'Profit &amp; Loss'!$B$2:$C$390,2,0)</f>
        <v>0</v>
      </c>
    </row>
    <row r="437" spans="1:6" x14ac:dyDescent="0.2">
      <c r="A437" s="3" t="s">
        <v>373</v>
      </c>
      <c r="B437" s="3" t="s">
        <v>378</v>
      </c>
      <c r="C437" s="4">
        <v>65045.38</v>
      </c>
      <c r="D437" s="4">
        <v>56297.87</v>
      </c>
      <c r="E437" s="4">
        <v>8747.51</v>
      </c>
      <c r="F437" s="3">
        <f>VLOOKUP(B437,'Profit &amp; Loss'!$B$2:$C$390,2,0)</f>
        <v>679.62</v>
      </c>
    </row>
    <row r="438" spans="1:6" x14ac:dyDescent="0.2">
      <c r="A438" s="3" t="s">
        <v>373</v>
      </c>
      <c r="B438" s="3" t="s">
        <v>2</v>
      </c>
      <c r="C438" s="4">
        <v>185222.59</v>
      </c>
      <c r="D438" s="4">
        <v>165395.75</v>
      </c>
      <c r="E438" s="4">
        <v>19826.84</v>
      </c>
      <c r="F438" s="3" t="e">
        <f>VLOOKUP(B438,'Profit &amp; Loss'!$B$2:$C$390,2,0)</f>
        <v>#N/A</v>
      </c>
    </row>
    <row r="439" spans="1:6" x14ac:dyDescent="0.2">
      <c r="A439" s="3" t="s">
        <v>379</v>
      </c>
      <c r="B439" s="3" t="s">
        <v>380</v>
      </c>
      <c r="C439" s="4">
        <v>2792.82</v>
      </c>
      <c r="D439" s="4">
        <v>2540.34</v>
      </c>
      <c r="E439" s="4">
        <v>252.48</v>
      </c>
      <c r="F439" s="3">
        <f>VLOOKUP(B439,'Profit &amp; Loss'!$B$2:$C$390,2,0)</f>
        <v>94.24</v>
      </c>
    </row>
    <row r="440" spans="1:6" x14ac:dyDescent="0.2">
      <c r="A440" s="3" t="s">
        <v>379</v>
      </c>
      <c r="B440" s="3" t="s">
        <v>381</v>
      </c>
      <c r="C440" s="4">
        <v>27940.99</v>
      </c>
      <c r="D440" s="4">
        <v>23576.7</v>
      </c>
      <c r="E440" s="4">
        <v>4364.29</v>
      </c>
      <c r="F440" s="3">
        <f>VLOOKUP(B440,'Profit &amp; Loss'!$B$2:$C$390,2,0)</f>
        <v>-870.15</v>
      </c>
    </row>
    <row r="441" spans="1:6" x14ac:dyDescent="0.2">
      <c r="A441" s="3" t="s">
        <v>379</v>
      </c>
      <c r="B441" s="3" t="s">
        <v>382</v>
      </c>
      <c r="C441" s="4">
        <v>18197.09</v>
      </c>
      <c r="D441" s="4">
        <v>16431.47</v>
      </c>
      <c r="E441" s="4">
        <v>1765.62</v>
      </c>
      <c r="F441" s="3">
        <f>VLOOKUP(B441,'Profit &amp; Loss'!$B$2:$C$390,2,0)</f>
        <v>-237.73</v>
      </c>
    </row>
    <row r="442" spans="1:6" x14ac:dyDescent="0.2">
      <c r="A442" s="3" t="s">
        <v>379</v>
      </c>
      <c r="B442" s="3" t="s">
        <v>2</v>
      </c>
      <c r="C442" s="4">
        <v>48930.9</v>
      </c>
      <c r="D442" s="4">
        <v>42548.51</v>
      </c>
      <c r="E442" s="4">
        <v>6382.39</v>
      </c>
      <c r="F442" s="3" t="e">
        <f>VLOOKUP(B442,'Profit &amp; Loss'!$B$2:$C$390,2,0)</f>
        <v>#N/A</v>
      </c>
    </row>
    <row r="443" spans="1:6" x14ac:dyDescent="0.2">
      <c r="A443" s="3" t="s">
        <v>383</v>
      </c>
      <c r="B443" s="3" t="s">
        <v>384</v>
      </c>
      <c r="C443" s="4">
        <v>6027.24</v>
      </c>
      <c r="D443" s="4">
        <v>1133.72</v>
      </c>
      <c r="E443" s="4">
        <v>4893.5200000000004</v>
      </c>
      <c r="F443" s="3">
        <f>VLOOKUP(B443,'Profit &amp; Loss'!$B$2:$C$390,2,0)</f>
        <v>152.97999999999999</v>
      </c>
    </row>
    <row r="444" spans="1:6" x14ac:dyDescent="0.2">
      <c r="A444" s="3" t="s">
        <v>383</v>
      </c>
      <c r="B444" s="3" t="s">
        <v>993</v>
      </c>
      <c r="C444" s="4">
        <v>-130594.91</v>
      </c>
      <c r="D444" s="4">
        <v>-130594.91</v>
      </c>
      <c r="E444" s="4">
        <v>0</v>
      </c>
      <c r="F444" s="3">
        <f>VLOOKUP(B444,'Profit &amp; Loss'!$B$2:$C$390,2,0)</f>
        <v>-130594.91</v>
      </c>
    </row>
    <row r="445" spans="1:6" x14ac:dyDescent="0.2">
      <c r="A445" s="3" t="s">
        <v>383</v>
      </c>
      <c r="B445" s="3" t="s">
        <v>385</v>
      </c>
      <c r="C445" s="4">
        <v>194253.27</v>
      </c>
      <c r="D445" s="4">
        <v>190225.82</v>
      </c>
      <c r="E445" s="4">
        <v>4027.45</v>
      </c>
      <c r="F445" s="3">
        <f>VLOOKUP(B445,'Profit &amp; Loss'!$B$2:$C$390,2,0)</f>
        <v>3245.65</v>
      </c>
    </row>
    <row r="446" spans="1:6" x14ac:dyDescent="0.2">
      <c r="A446" s="3" t="s">
        <v>383</v>
      </c>
      <c r="B446" s="3" t="s">
        <v>386</v>
      </c>
      <c r="C446" s="4">
        <v>42329.09</v>
      </c>
      <c r="D446" s="4">
        <v>41710.44</v>
      </c>
      <c r="E446" s="4">
        <v>618.65</v>
      </c>
      <c r="F446" s="3">
        <f>VLOOKUP(B446,'Profit &amp; Loss'!$B$2:$C$390,2,0)</f>
        <v>4774.8</v>
      </c>
    </row>
    <row r="447" spans="1:6" x14ac:dyDescent="0.2">
      <c r="A447" s="3" t="s">
        <v>383</v>
      </c>
      <c r="B447" s="3" t="s">
        <v>387</v>
      </c>
      <c r="C447" s="4">
        <v>66338.149999999994</v>
      </c>
      <c r="D447" s="4">
        <v>56667.39</v>
      </c>
      <c r="E447" s="4">
        <v>9670.76</v>
      </c>
      <c r="F447" s="3">
        <f>VLOOKUP(B447,'Profit &amp; Loss'!$B$2:$C$390,2,0)</f>
        <v>5944.89</v>
      </c>
    </row>
    <row r="448" spans="1:6" x14ac:dyDescent="0.2">
      <c r="A448" s="3" t="s">
        <v>383</v>
      </c>
      <c r="B448" s="3" t="s">
        <v>2</v>
      </c>
      <c r="C448" s="4">
        <v>178352.84</v>
      </c>
      <c r="D448" s="4">
        <v>159142.46</v>
      </c>
      <c r="E448" s="4">
        <v>19210.38</v>
      </c>
      <c r="F448" s="3" t="e">
        <f>VLOOKUP(B448,'Profit &amp; Loss'!$B$2:$C$390,2,0)</f>
        <v>#N/A</v>
      </c>
    </row>
    <row r="449" spans="1:6" x14ac:dyDescent="0.2">
      <c r="A449" s="3" t="s">
        <v>678</v>
      </c>
      <c r="B449" s="3" t="s">
        <v>994</v>
      </c>
      <c r="C449" s="4">
        <v>249.17</v>
      </c>
      <c r="D449" s="4">
        <v>249.17</v>
      </c>
      <c r="E449" s="4">
        <v>0</v>
      </c>
      <c r="F449" s="3">
        <f>VLOOKUP(B449,'Profit &amp; Loss'!$B$2:$C$390,2,0)</f>
        <v>1302.99</v>
      </c>
    </row>
    <row r="450" spans="1:6" x14ac:dyDescent="0.2">
      <c r="A450" s="3" t="s">
        <v>678</v>
      </c>
      <c r="B450" s="3" t="s">
        <v>679</v>
      </c>
      <c r="C450" s="4">
        <v>1741.22</v>
      </c>
      <c r="D450" s="4">
        <v>1741.22</v>
      </c>
      <c r="E450" s="4">
        <v>0</v>
      </c>
      <c r="F450" s="3" t="e">
        <f>VLOOKUP(B450,'Profit &amp; Loss'!$B$2:$C$390,2,0)</f>
        <v>#N/A</v>
      </c>
    </row>
    <row r="451" spans="1:6" x14ac:dyDescent="0.2">
      <c r="A451" s="3" t="s">
        <v>678</v>
      </c>
      <c r="B451" s="3" t="s">
        <v>2</v>
      </c>
      <c r="C451" s="4">
        <v>1990.39</v>
      </c>
      <c r="D451" s="4">
        <v>1990.39</v>
      </c>
      <c r="E451" s="4">
        <v>0</v>
      </c>
      <c r="F451" s="3" t="e">
        <f>VLOOKUP(B451,'Profit &amp; Loss'!$B$2:$C$390,2,0)</f>
        <v>#N/A</v>
      </c>
    </row>
    <row r="452" spans="1:6" x14ac:dyDescent="0.2">
      <c r="A452" s="3" t="s">
        <v>388</v>
      </c>
      <c r="B452" s="3" t="s">
        <v>390</v>
      </c>
      <c r="C452" s="4">
        <v>19810.650000000001</v>
      </c>
      <c r="D452" s="4">
        <v>16020.76</v>
      </c>
      <c r="E452" s="4">
        <v>3789.89</v>
      </c>
      <c r="F452" s="3" t="e">
        <f>VLOOKUP(B452,'Profit &amp; Loss'!$B$2:$C$390,2,0)</f>
        <v>#N/A</v>
      </c>
    </row>
    <row r="453" spans="1:6" x14ac:dyDescent="0.2">
      <c r="A453" s="3" t="s">
        <v>388</v>
      </c>
      <c r="B453" s="3" t="s">
        <v>2</v>
      </c>
      <c r="C453" s="4">
        <v>19810.650000000001</v>
      </c>
      <c r="D453" s="4">
        <v>16020.76</v>
      </c>
      <c r="E453" s="4">
        <v>3789.89</v>
      </c>
      <c r="F453" s="3" t="e">
        <f>VLOOKUP(B453,'Profit &amp; Loss'!$B$2:$C$390,2,0)</f>
        <v>#N/A</v>
      </c>
    </row>
    <row r="454" spans="1:6" x14ac:dyDescent="0.2">
      <c r="A454" s="3" t="s">
        <v>391</v>
      </c>
      <c r="B454" s="3" t="s">
        <v>579</v>
      </c>
      <c r="C454" s="4">
        <v>2340.2199999999998</v>
      </c>
      <c r="D454" s="4">
        <v>1738.58</v>
      </c>
      <c r="E454" s="4">
        <v>601.64</v>
      </c>
      <c r="F454" s="3">
        <f>VLOOKUP(B454,'Profit &amp; Loss'!$B$2:$C$390,2,0)</f>
        <v>2.69</v>
      </c>
    </row>
    <row r="455" spans="1:6" x14ac:dyDescent="0.2">
      <c r="A455" s="3" t="s">
        <v>391</v>
      </c>
      <c r="B455" s="3" t="s">
        <v>392</v>
      </c>
      <c r="C455" s="4">
        <v>54676.89</v>
      </c>
      <c r="D455" s="4">
        <v>50451.87</v>
      </c>
      <c r="E455" s="4">
        <v>4225.0200000000004</v>
      </c>
      <c r="F455" s="3">
        <f>VLOOKUP(B455,'Profit &amp; Loss'!$B$2:$C$390,2,0)</f>
        <v>904.52</v>
      </c>
    </row>
    <row r="456" spans="1:6" x14ac:dyDescent="0.2">
      <c r="A456" s="3" t="s">
        <v>391</v>
      </c>
      <c r="B456" s="3" t="s">
        <v>967</v>
      </c>
      <c r="C456" s="4">
        <v>2062.6799999999998</v>
      </c>
      <c r="D456" s="4">
        <v>2062.6799999999998</v>
      </c>
      <c r="E456" s="4">
        <v>0</v>
      </c>
      <c r="F456" s="3">
        <f>VLOOKUP(B456,'Profit &amp; Loss'!$B$2:$C$390,2,0)</f>
        <v>0</v>
      </c>
    </row>
    <row r="457" spans="1:6" x14ac:dyDescent="0.2">
      <c r="A457" s="3" t="s">
        <v>391</v>
      </c>
      <c r="B457" s="3" t="s">
        <v>1435</v>
      </c>
      <c r="C457" s="4">
        <v>9800.8700000000008</v>
      </c>
      <c r="D457" s="4">
        <v>6489</v>
      </c>
      <c r="E457" s="4">
        <v>3311.87</v>
      </c>
      <c r="F457" s="3">
        <f>VLOOKUP(B457,'Profit &amp; Loss'!$B$2:$C$390,2,0)</f>
        <v>0</v>
      </c>
    </row>
    <row r="458" spans="1:6" x14ac:dyDescent="0.2">
      <c r="A458" s="3" t="s">
        <v>391</v>
      </c>
      <c r="B458" s="3" t="s">
        <v>1525</v>
      </c>
      <c r="C458" s="4">
        <v>0</v>
      </c>
      <c r="D458" s="4">
        <v>835.02</v>
      </c>
      <c r="E458" s="4">
        <v>-835.02</v>
      </c>
      <c r="F458" s="3">
        <f>VLOOKUP(B458,'Profit &amp; Loss'!$B$2:$C$390,2,0)</f>
        <v>0</v>
      </c>
    </row>
    <row r="459" spans="1:6" x14ac:dyDescent="0.2">
      <c r="A459" s="3" t="s">
        <v>391</v>
      </c>
      <c r="B459" s="3" t="s">
        <v>2</v>
      </c>
      <c r="C459" s="4">
        <v>68880.66</v>
      </c>
      <c r="D459" s="4">
        <v>61577.15</v>
      </c>
      <c r="E459" s="4">
        <v>7303.51</v>
      </c>
      <c r="F459" s="3" t="e">
        <f>VLOOKUP(B459,'Profit &amp; Loss'!$B$2:$C$390,2,0)</f>
        <v>#N/A</v>
      </c>
    </row>
    <row r="460" spans="1:6" x14ac:dyDescent="0.2">
      <c r="A460" s="3" t="s">
        <v>393</v>
      </c>
      <c r="B460" s="3" t="s">
        <v>394</v>
      </c>
      <c r="C460" s="4">
        <v>25477.64</v>
      </c>
      <c r="D460" s="4">
        <v>20452.689999999999</v>
      </c>
      <c r="E460" s="4">
        <v>5024.95</v>
      </c>
      <c r="F460" s="3">
        <f>VLOOKUP(B460,'Profit &amp; Loss'!$B$2:$C$390,2,0)</f>
        <v>1534.08</v>
      </c>
    </row>
    <row r="461" spans="1:6" x14ac:dyDescent="0.2">
      <c r="A461" s="3" t="s">
        <v>393</v>
      </c>
      <c r="B461" s="3" t="s">
        <v>395</v>
      </c>
      <c r="C461" s="4">
        <v>19716.18</v>
      </c>
      <c r="D461" s="4">
        <v>17564.37</v>
      </c>
      <c r="E461" s="4">
        <v>2151.81</v>
      </c>
      <c r="F461" s="3">
        <f>VLOOKUP(B461,'Profit &amp; Loss'!$B$2:$C$390,2,0)</f>
        <v>2034.12</v>
      </c>
    </row>
    <row r="462" spans="1:6" x14ac:dyDescent="0.2">
      <c r="A462" s="3" t="s">
        <v>393</v>
      </c>
      <c r="B462" s="3" t="s">
        <v>2</v>
      </c>
      <c r="C462" s="4">
        <v>45193.82</v>
      </c>
      <c r="D462" s="4">
        <v>38017.06</v>
      </c>
      <c r="E462" s="4">
        <v>7176.76</v>
      </c>
      <c r="F462" s="3" t="e">
        <f>VLOOKUP(B462,'Profit &amp; Loss'!$B$2:$C$390,2,0)</f>
        <v>#N/A</v>
      </c>
    </row>
    <row r="463" spans="1:6" x14ac:dyDescent="0.2">
      <c r="A463" s="3" t="s">
        <v>582</v>
      </c>
      <c r="B463" s="3" t="s">
        <v>583</v>
      </c>
      <c r="C463" s="4">
        <v>214556.05</v>
      </c>
      <c r="D463" s="4">
        <v>172414.13</v>
      </c>
      <c r="E463" s="4">
        <v>42141.919999999998</v>
      </c>
      <c r="F463" s="3">
        <f>VLOOKUP(B463,'Profit &amp; Loss'!$B$2:$C$390,2,0)</f>
        <v>-54602.16</v>
      </c>
    </row>
    <row r="464" spans="1:6" x14ac:dyDescent="0.2">
      <c r="A464" s="3" t="s">
        <v>582</v>
      </c>
      <c r="B464" s="3" t="s">
        <v>584</v>
      </c>
      <c r="C464" s="4">
        <v>210988.06</v>
      </c>
      <c r="D464" s="4">
        <v>210988.06</v>
      </c>
      <c r="E464" s="4">
        <v>0</v>
      </c>
      <c r="F464" s="3">
        <f>VLOOKUP(B464,'Profit &amp; Loss'!$B$2:$C$390,2,0)</f>
        <v>-28044.34</v>
      </c>
    </row>
    <row r="465" spans="1:6" x14ac:dyDescent="0.2">
      <c r="A465" s="3" t="s">
        <v>582</v>
      </c>
      <c r="B465" s="3" t="s">
        <v>684</v>
      </c>
      <c r="C465" s="4">
        <v>97025.58</v>
      </c>
      <c r="D465" s="4">
        <v>86609.35</v>
      </c>
      <c r="E465" s="4">
        <v>10416.23</v>
      </c>
      <c r="F465" s="3">
        <f>VLOOKUP(B465,'Profit &amp; Loss'!$B$2:$C$390,2,0)</f>
        <v>-37.07</v>
      </c>
    </row>
    <row r="466" spans="1:6" x14ac:dyDescent="0.2">
      <c r="A466" s="3" t="s">
        <v>582</v>
      </c>
      <c r="B466" s="3" t="s">
        <v>2</v>
      </c>
      <c r="C466" s="4">
        <v>522569.69</v>
      </c>
      <c r="D466" s="4">
        <v>470011.54</v>
      </c>
      <c r="E466" s="4">
        <v>52558.15</v>
      </c>
      <c r="F466" s="3" t="e">
        <f>VLOOKUP(B466,'Profit &amp; Loss'!$B$2:$C$390,2,0)</f>
        <v>#N/A</v>
      </c>
    </row>
    <row r="467" spans="1:6" x14ac:dyDescent="0.2">
      <c r="A467" s="3" t="s">
        <v>396</v>
      </c>
      <c r="B467" s="3" t="s">
        <v>1403</v>
      </c>
      <c r="C467" s="4">
        <v>162.94</v>
      </c>
      <c r="D467" s="4">
        <v>162.94</v>
      </c>
      <c r="E467" s="4">
        <v>0</v>
      </c>
      <c r="F467" s="3">
        <f>VLOOKUP(B467,'Profit &amp; Loss'!$B$2:$C$390,2,0)</f>
        <v>0</v>
      </c>
    </row>
    <row r="468" spans="1:6" x14ac:dyDescent="0.2">
      <c r="A468" s="3" t="s">
        <v>396</v>
      </c>
      <c r="B468" s="3" t="s">
        <v>397</v>
      </c>
      <c r="C468" s="4">
        <v>18886.79</v>
      </c>
      <c r="D468" s="4">
        <v>17550.72</v>
      </c>
      <c r="E468" s="4">
        <v>1336.07</v>
      </c>
      <c r="F468" s="3">
        <f>VLOOKUP(B468,'Profit &amp; Loss'!$B$2:$C$390,2,0)</f>
        <v>4528.21</v>
      </c>
    </row>
    <row r="469" spans="1:6" x14ac:dyDescent="0.2">
      <c r="A469" s="3" t="s">
        <v>396</v>
      </c>
      <c r="B469" s="3" t="s">
        <v>2</v>
      </c>
      <c r="C469" s="4">
        <v>19049.73</v>
      </c>
      <c r="D469" s="4">
        <v>17713.66</v>
      </c>
      <c r="E469" s="4">
        <v>1336.07</v>
      </c>
      <c r="F469" s="3" t="e">
        <f>VLOOKUP(B469,'Profit &amp; Loss'!$B$2:$C$390,2,0)</f>
        <v>#N/A</v>
      </c>
    </row>
    <row r="470" spans="1:6" x14ac:dyDescent="0.2">
      <c r="A470" s="3" t="s">
        <v>398</v>
      </c>
      <c r="B470" s="3" t="s">
        <v>399</v>
      </c>
      <c r="C470" s="4">
        <v>22690.799999999999</v>
      </c>
      <c r="D470" s="4">
        <v>19161.97</v>
      </c>
      <c r="E470" s="4">
        <v>3528.83</v>
      </c>
      <c r="F470" s="3">
        <f>VLOOKUP(B470,'Profit &amp; Loss'!$B$2:$C$390,2,0)</f>
        <v>6517.4</v>
      </c>
    </row>
    <row r="471" spans="1:6" x14ac:dyDescent="0.2">
      <c r="A471" s="3" t="s">
        <v>398</v>
      </c>
      <c r="B471" s="3" t="s">
        <v>400</v>
      </c>
      <c r="C471" s="4">
        <v>21958.11</v>
      </c>
      <c r="D471" s="4">
        <v>21958.11</v>
      </c>
      <c r="E471" s="4">
        <v>0</v>
      </c>
      <c r="F471" s="3">
        <f>VLOOKUP(B471,'Profit &amp; Loss'!$B$2:$C$390,2,0)</f>
        <v>0</v>
      </c>
    </row>
    <row r="472" spans="1:6" x14ac:dyDescent="0.2">
      <c r="A472" s="3" t="s">
        <v>398</v>
      </c>
      <c r="B472" s="3" t="s">
        <v>2</v>
      </c>
      <c r="C472" s="4">
        <v>44648.91</v>
      </c>
      <c r="D472" s="4">
        <v>41120.080000000002</v>
      </c>
      <c r="E472" s="4">
        <v>3528.83</v>
      </c>
      <c r="F472" s="3" t="e">
        <f>VLOOKUP(B472,'Profit &amp; Loss'!$B$2:$C$390,2,0)</f>
        <v>#N/A</v>
      </c>
    </row>
    <row r="473" spans="1:6" x14ac:dyDescent="0.2">
      <c r="A473" s="3" t="s">
        <v>401</v>
      </c>
      <c r="B473" s="3" t="s">
        <v>402</v>
      </c>
      <c r="C473" s="4">
        <v>447.33</v>
      </c>
      <c r="D473" s="4">
        <v>447.33</v>
      </c>
      <c r="E473" s="4">
        <v>0</v>
      </c>
      <c r="F473" s="3">
        <f>VLOOKUP(B473,'Profit &amp; Loss'!$B$2:$C$390,2,0)</f>
        <v>139.75</v>
      </c>
    </row>
    <row r="474" spans="1:6" x14ac:dyDescent="0.2">
      <c r="A474" s="3" t="s">
        <v>401</v>
      </c>
      <c r="B474" s="3" t="s">
        <v>2</v>
      </c>
      <c r="C474" s="4">
        <v>447.33</v>
      </c>
      <c r="D474" s="4">
        <v>447.33</v>
      </c>
      <c r="E474" s="4">
        <v>0</v>
      </c>
      <c r="F474" s="3" t="e">
        <f>VLOOKUP(B474,'Profit &amp; Loss'!$B$2:$C$390,2,0)</f>
        <v>#N/A</v>
      </c>
    </row>
    <row r="475" spans="1:6" x14ac:dyDescent="0.2">
      <c r="A475" s="3" t="s">
        <v>403</v>
      </c>
      <c r="B475" s="3" t="s">
        <v>404</v>
      </c>
      <c r="C475" s="4">
        <v>16201.94</v>
      </c>
      <c r="D475" s="4">
        <v>15282.63</v>
      </c>
      <c r="E475" s="4">
        <v>919.31</v>
      </c>
      <c r="F475" s="3">
        <f>VLOOKUP(B475,'Profit &amp; Loss'!$B$2:$C$390,2,0)</f>
        <v>1539.76</v>
      </c>
    </row>
    <row r="476" spans="1:6" x14ac:dyDescent="0.2">
      <c r="A476" s="3" t="s">
        <v>403</v>
      </c>
      <c r="B476" s="3" t="s">
        <v>405</v>
      </c>
      <c r="C476" s="4">
        <v>196615.51</v>
      </c>
      <c r="D476" s="4">
        <v>172815.22</v>
      </c>
      <c r="E476" s="4">
        <v>23800.29</v>
      </c>
      <c r="F476" s="3">
        <f>VLOOKUP(B476,'Profit &amp; Loss'!$B$2:$C$390,2,0)</f>
        <v>2743.74</v>
      </c>
    </row>
    <row r="477" spans="1:6" x14ac:dyDescent="0.2">
      <c r="A477" s="3" t="s">
        <v>403</v>
      </c>
      <c r="B477" s="3" t="s">
        <v>1527</v>
      </c>
      <c r="C477" s="4">
        <v>7877.92</v>
      </c>
      <c r="D477" s="4">
        <v>3978.18</v>
      </c>
      <c r="E477" s="4">
        <v>3899.74</v>
      </c>
      <c r="F477" s="3">
        <f>VLOOKUP(B477,'Profit &amp; Loss'!$B$2:$C$390,2,0)</f>
        <v>0</v>
      </c>
    </row>
    <row r="478" spans="1:6" x14ac:dyDescent="0.2">
      <c r="A478" s="3" t="s">
        <v>403</v>
      </c>
      <c r="B478" s="3" t="s">
        <v>406</v>
      </c>
      <c r="C478" s="4">
        <v>112.76</v>
      </c>
      <c r="D478" s="4">
        <v>102.91</v>
      </c>
      <c r="E478" s="4">
        <v>9.85</v>
      </c>
      <c r="F478" s="3">
        <f>VLOOKUP(B478,'Profit &amp; Loss'!$B$2:$C$390,2,0)</f>
        <v>28.84</v>
      </c>
    </row>
    <row r="479" spans="1:6" x14ac:dyDescent="0.2">
      <c r="A479" s="3" t="s">
        <v>403</v>
      </c>
      <c r="B479" s="3" t="s">
        <v>407</v>
      </c>
      <c r="C479" s="4">
        <v>174.21</v>
      </c>
      <c r="D479" s="4">
        <v>174.21</v>
      </c>
      <c r="E479" s="4">
        <v>0</v>
      </c>
      <c r="F479" s="3">
        <f>VLOOKUP(B479,'Profit &amp; Loss'!$B$2:$C$390,2,0)</f>
        <v>0</v>
      </c>
    </row>
    <row r="480" spans="1:6" x14ac:dyDescent="0.2">
      <c r="A480" s="3" t="s">
        <v>403</v>
      </c>
      <c r="B480" s="3" t="s">
        <v>686</v>
      </c>
      <c r="C480" s="4">
        <v>949.51</v>
      </c>
      <c r="D480" s="4">
        <v>949.51</v>
      </c>
      <c r="E480" s="4">
        <v>0</v>
      </c>
      <c r="F480" s="3">
        <f>VLOOKUP(B480,'Profit &amp; Loss'!$B$2:$C$390,2,0)</f>
        <v>494.67</v>
      </c>
    </row>
    <row r="481" spans="1:6" x14ac:dyDescent="0.2">
      <c r="A481" s="3" t="s">
        <v>403</v>
      </c>
      <c r="B481" s="3" t="s">
        <v>2</v>
      </c>
      <c r="C481" s="4">
        <v>221931.85</v>
      </c>
      <c r="D481" s="4">
        <v>193302.66</v>
      </c>
      <c r="E481" s="4">
        <v>28629.19</v>
      </c>
      <c r="F481" s="3" t="e">
        <f>VLOOKUP(B481,'Profit &amp; Loss'!$B$2:$C$390,2,0)</f>
        <v>#N/A</v>
      </c>
    </row>
    <row r="482" spans="1:6" x14ac:dyDescent="0.2">
      <c r="A482" s="3" t="s">
        <v>408</v>
      </c>
      <c r="B482" s="3" t="s">
        <v>409</v>
      </c>
      <c r="C482" s="4">
        <v>54065.27</v>
      </c>
      <c r="D482" s="4">
        <v>48149</v>
      </c>
      <c r="E482" s="4">
        <v>5916.27</v>
      </c>
      <c r="F482" s="3">
        <f>VLOOKUP(B482,'Profit &amp; Loss'!$B$2:$C$390,2,0)</f>
        <v>3504.81</v>
      </c>
    </row>
    <row r="483" spans="1:6" x14ac:dyDescent="0.2">
      <c r="A483" s="3" t="s">
        <v>408</v>
      </c>
      <c r="B483" s="3" t="s">
        <v>995</v>
      </c>
      <c r="C483" s="4">
        <v>33.01</v>
      </c>
      <c r="D483" s="4">
        <v>33.01</v>
      </c>
      <c r="E483" s="4">
        <v>0</v>
      </c>
      <c r="F483" s="3">
        <f>VLOOKUP(B483,'Profit &amp; Loss'!$B$2:$C$390,2,0)</f>
        <v>8.25</v>
      </c>
    </row>
    <row r="484" spans="1:6" x14ac:dyDescent="0.2">
      <c r="A484" s="3" t="s">
        <v>408</v>
      </c>
      <c r="B484" s="3" t="s">
        <v>410</v>
      </c>
      <c r="C484" s="4">
        <v>1321.21</v>
      </c>
      <c r="D484" s="4">
        <v>1062.46</v>
      </c>
      <c r="E484" s="4">
        <v>258.75</v>
      </c>
      <c r="F484" s="3">
        <f>VLOOKUP(B484,'Profit &amp; Loss'!$B$2:$C$390,2,0)</f>
        <v>34.97</v>
      </c>
    </row>
    <row r="485" spans="1:6" x14ac:dyDescent="0.2">
      <c r="A485" s="3" t="s">
        <v>408</v>
      </c>
      <c r="B485" s="3" t="s">
        <v>411</v>
      </c>
      <c r="C485" s="4">
        <v>23904.32</v>
      </c>
      <c r="D485" s="4">
        <v>20931.8</v>
      </c>
      <c r="E485" s="4">
        <v>2972.52</v>
      </c>
      <c r="F485" s="3">
        <f>VLOOKUP(B485,'Profit &amp; Loss'!$B$2:$C$390,2,0)</f>
        <v>2065.9299999999998</v>
      </c>
    </row>
    <row r="486" spans="1:6" x14ac:dyDescent="0.2">
      <c r="A486" s="3" t="s">
        <v>408</v>
      </c>
      <c r="B486" s="3" t="s">
        <v>412</v>
      </c>
      <c r="C486" s="4">
        <v>2880.1</v>
      </c>
      <c r="D486" s="4">
        <v>2605.5500000000002</v>
      </c>
      <c r="E486" s="4">
        <v>274.55</v>
      </c>
      <c r="F486" s="3">
        <f>VLOOKUP(B486,'Profit &amp; Loss'!$B$2:$C$390,2,0)</f>
        <v>409.3</v>
      </c>
    </row>
    <row r="487" spans="1:6" x14ac:dyDescent="0.2">
      <c r="A487" s="3" t="s">
        <v>408</v>
      </c>
      <c r="B487" s="3" t="s">
        <v>413</v>
      </c>
      <c r="C487" s="4">
        <v>25053.91</v>
      </c>
      <c r="D487" s="4">
        <v>18479.62</v>
      </c>
      <c r="E487" s="4">
        <v>6574.29</v>
      </c>
      <c r="F487" s="3">
        <f>VLOOKUP(B487,'Profit &amp; Loss'!$B$2:$C$390,2,0)</f>
        <v>1687.53</v>
      </c>
    </row>
    <row r="488" spans="1:6" x14ac:dyDescent="0.2">
      <c r="A488" s="3" t="s">
        <v>408</v>
      </c>
      <c r="B488" s="3" t="s">
        <v>414</v>
      </c>
      <c r="C488" s="4">
        <v>11147.71</v>
      </c>
      <c r="D488" s="4">
        <v>10032.950000000001</v>
      </c>
      <c r="E488" s="4">
        <v>1114.76</v>
      </c>
      <c r="F488" s="3">
        <f>VLOOKUP(B488,'Profit &amp; Loss'!$B$2:$C$390,2,0)</f>
        <v>1114.78</v>
      </c>
    </row>
    <row r="489" spans="1:6" x14ac:dyDescent="0.2">
      <c r="A489" s="3" t="s">
        <v>408</v>
      </c>
      <c r="B489" s="3" t="s">
        <v>415</v>
      </c>
      <c r="C489" s="4">
        <v>555.84</v>
      </c>
      <c r="D489" s="4">
        <v>500.25</v>
      </c>
      <c r="E489" s="4">
        <v>55.59</v>
      </c>
      <c r="F489" s="3">
        <f>VLOOKUP(B489,'Profit &amp; Loss'!$B$2:$C$390,2,0)</f>
        <v>55.58</v>
      </c>
    </row>
    <row r="490" spans="1:6" x14ac:dyDescent="0.2">
      <c r="A490" s="3" t="s">
        <v>408</v>
      </c>
      <c r="B490" s="3" t="s">
        <v>416</v>
      </c>
      <c r="C490" s="4">
        <v>21470.93</v>
      </c>
      <c r="D490" s="4">
        <v>19770</v>
      </c>
      <c r="E490" s="4">
        <v>1700.93</v>
      </c>
      <c r="F490" s="3">
        <f>VLOOKUP(B490,'Profit &amp; Loss'!$B$2:$C$390,2,0)</f>
        <v>5433.31</v>
      </c>
    </row>
    <row r="491" spans="1:6" x14ac:dyDescent="0.2">
      <c r="A491" s="3" t="s">
        <v>408</v>
      </c>
      <c r="B491" s="3" t="s">
        <v>417</v>
      </c>
      <c r="C491" s="4">
        <v>26760.86</v>
      </c>
      <c r="D491" s="4">
        <v>24325.13</v>
      </c>
      <c r="E491" s="4">
        <v>2435.73</v>
      </c>
      <c r="F491" s="3">
        <f>VLOOKUP(B491,'Profit &amp; Loss'!$B$2:$C$390,2,0)</f>
        <v>2916.44</v>
      </c>
    </row>
    <row r="492" spans="1:6" x14ac:dyDescent="0.2">
      <c r="A492" s="3" t="s">
        <v>408</v>
      </c>
      <c r="B492" s="3" t="s">
        <v>689</v>
      </c>
      <c r="C492" s="4">
        <v>642502.41</v>
      </c>
      <c r="D492" s="4">
        <v>584313.93999999994</v>
      </c>
      <c r="E492" s="4">
        <v>58188.47</v>
      </c>
      <c r="F492" s="3">
        <f>VLOOKUP(B492,'Profit &amp; Loss'!$B$2:$C$390,2,0)</f>
        <v>60617.71</v>
      </c>
    </row>
    <row r="493" spans="1:6" x14ac:dyDescent="0.2">
      <c r="A493" s="3" t="s">
        <v>408</v>
      </c>
      <c r="B493" s="3" t="s">
        <v>418</v>
      </c>
      <c r="C493" s="4">
        <v>118974.28</v>
      </c>
      <c r="D493" s="4">
        <v>97683.37</v>
      </c>
      <c r="E493" s="4">
        <v>21290.91</v>
      </c>
      <c r="F493" s="3">
        <f>VLOOKUP(B493,'Profit &amp; Loss'!$B$2:$C$390,2,0)</f>
        <v>10835.77</v>
      </c>
    </row>
    <row r="494" spans="1:6" x14ac:dyDescent="0.2">
      <c r="A494" s="3" t="s">
        <v>408</v>
      </c>
      <c r="B494" s="3" t="s">
        <v>419</v>
      </c>
      <c r="C494" s="4">
        <v>53303.09</v>
      </c>
      <c r="D494" s="4">
        <v>48787.61</v>
      </c>
      <c r="E494" s="4">
        <v>4515.4799999999996</v>
      </c>
      <c r="F494" s="3">
        <f>VLOOKUP(B494,'Profit &amp; Loss'!$B$2:$C$390,2,0)</f>
        <v>5356.49</v>
      </c>
    </row>
    <row r="495" spans="1:6" x14ac:dyDescent="0.2">
      <c r="A495" s="3" t="s">
        <v>408</v>
      </c>
      <c r="B495" s="3" t="s">
        <v>2</v>
      </c>
      <c r="C495" s="4">
        <v>981972.94</v>
      </c>
      <c r="D495" s="4">
        <v>876674.69</v>
      </c>
      <c r="E495" s="4">
        <v>105298.25</v>
      </c>
      <c r="F495" s="3" t="e">
        <f>VLOOKUP(B495,'Profit &amp; Loss'!$B$2:$C$390,2,0)</f>
        <v>#N/A</v>
      </c>
    </row>
    <row r="496" spans="1:6" x14ac:dyDescent="0.2">
      <c r="A496" s="3" t="s">
        <v>420</v>
      </c>
      <c r="B496" s="3" t="s">
        <v>421</v>
      </c>
      <c r="C496" s="4">
        <v>79058.62</v>
      </c>
      <c r="D496" s="4">
        <v>68772.7</v>
      </c>
      <c r="E496" s="4">
        <v>10285.92</v>
      </c>
      <c r="F496" s="3">
        <f>VLOOKUP(B496,'Profit &amp; Loss'!$B$2:$C$390,2,0)</f>
        <v>9127.73</v>
      </c>
    </row>
    <row r="497" spans="1:6" x14ac:dyDescent="0.2">
      <c r="A497" s="3" t="s">
        <v>420</v>
      </c>
      <c r="B497" s="3" t="s">
        <v>422</v>
      </c>
      <c r="C497" s="4">
        <v>43816.63</v>
      </c>
      <c r="D497" s="4">
        <v>38993.629999999997</v>
      </c>
      <c r="E497" s="4">
        <v>4823</v>
      </c>
      <c r="F497" s="3">
        <f>VLOOKUP(B497,'Profit &amp; Loss'!$B$2:$C$390,2,0)</f>
        <v>4172.96</v>
      </c>
    </row>
    <row r="498" spans="1:6" x14ac:dyDescent="0.2">
      <c r="A498" s="3" t="s">
        <v>420</v>
      </c>
      <c r="B498" s="3" t="s">
        <v>423</v>
      </c>
      <c r="C498" s="4">
        <v>40519.980000000003</v>
      </c>
      <c r="D498" s="4">
        <v>39219.17</v>
      </c>
      <c r="E498" s="4">
        <v>1300.81</v>
      </c>
      <c r="F498" s="3">
        <f>VLOOKUP(B498,'Profit &amp; Loss'!$B$2:$C$390,2,0)</f>
        <v>6431.37</v>
      </c>
    </row>
    <row r="499" spans="1:6" x14ac:dyDescent="0.2">
      <c r="A499" s="3" t="s">
        <v>420</v>
      </c>
      <c r="B499" s="3" t="s">
        <v>424</v>
      </c>
      <c r="C499" s="4">
        <v>34909.26</v>
      </c>
      <c r="D499" s="4">
        <v>30840.639999999999</v>
      </c>
      <c r="E499" s="4">
        <v>4068.62</v>
      </c>
      <c r="F499" s="3">
        <f>VLOOKUP(B499,'Profit &amp; Loss'!$B$2:$C$390,2,0)</f>
        <v>2832.61</v>
      </c>
    </row>
    <row r="500" spans="1:6" x14ac:dyDescent="0.2">
      <c r="A500" s="3" t="s">
        <v>420</v>
      </c>
      <c r="B500" s="3" t="s">
        <v>1437</v>
      </c>
      <c r="C500" s="4">
        <v>0</v>
      </c>
      <c r="D500" s="4">
        <v>14.16</v>
      </c>
      <c r="E500" s="4">
        <v>-14.16</v>
      </c>
      <c r="F500" s="3">
        <f>VLOOKUP(B500,'Profit &amp; Loss'!$B$2:$C$390,2,0)</f>
        <v>0</v>
      </c>
    </row>
    <row r="501" spans="1:6" x14ac:dyDescent="0.2">
      <c r="A501" s="3" t="s">
        <v>420</v>
      </c>
      <c r="B501" s="3" t="s">
        <v>588</v>
      </c>
      <c r="C501" s="4">
        <v>4710.9399999999996</v>
      </c>
      <c r="D501" s="4">
        <v>2459.56</v>
      </c>
      <c r="E501" s="4">
        <v>2251.38</v>
      </c>
      <c r="F501" s="3">
        <f>VLOOKUP(B501,'Profit &amp; Loss'!$B$2:$C$390,2,0)</f>
        <v>104.5</v>
      </c>
    </row>
    <row r="502" spans="1:6" x14ac:dyDescent="0.2">
      <c r="A502" s="3" t="s">
        <v>420</v>
      </c>
      <c r="B502" s="3" t="s">
        <v>425</v>
      </c>
      <c r="C502" s="4">
        <v>9810.4699999999993</v>
      </c>
      <c r="D502" s="4">
        <v>7826.11</v>
      </c>
      <c r="E502" s="4">
        <v>1984.36</v>
      </c>
      <c r="F502" s="3">
        <f>VLOOKUP(B502,'Profit &amp; Loss'!$B$2:$C$390,2,0)</f>
        <v>330.94</v>
      </c>
    </row>
    <row r="503" spans="1:6" x14ac:dyDescent="0.2">
      <c r="A503" s="3" t="s">
        <v>420</v>
      </c>
      <c r="B503" s="3" t="s">
        <v>795</v>
      </c>
      <c r="C503" s="4">
        <v>79922.399999999994</v>
      </c>
      <c r="D503" s="4">
        <v>71649.259999999995</v>
      </c>
      <c r="E503" s="4">
        <v>8273.14</v>
      </c>
      <c r="F503" s="3">
        <f>VLOOKUP(B503,'Profit &amp; Loss'!$B$2:$C$390,2,0)</f>
        <v>-7152.42</v>
      </c>
    </row>
    <row r="504" spans="1:6" x14ac:dyDescent="0.2">
      <c r="A504" s="3" t="s">
        <v>420</v>
      </c>
      <c r="B504" s="3" t="s">
        <v>2</v>
      </c>
      <c r="C504" s="4">
        <v>292748.3</v>
      </c>
      <c r="D504" s="4">
        <v>259775.23</v>
      </c>
      <c r="E504" s="4">
        <v>32973.07</v>
      </c>
      <c r="F504" s="3" t="e">
        <f>VLOOKUP(B504,'Profit &amp; Loss'!$B$2:$C$390,2,0)</f>
        <v>#N/A</v>
      </c>
    </row>
    <row r="505" spans="1:6" x14ac:dyDescent="0.2">
      <c r="A505" s="3" t="s">
        <v>426</v>
      </c>
      <c r="B505" s="3" t="s">
        <v>427</v>
      </c>
      <c r="C505" s="4">
        <v>1195.8399999999999</v>
      </c>
      <c r="D505" s="4">
        <v>1195.8399999999999</v>
      </c>
      <c r="E505" s="4">
        <v>0</v>
      </c>
      <c r="F505" s="3">
        <f>VLOOKUP(B505,'Profit &amp; Loss'!$B$2:$C$390,2,0)</f>
        <v>0</v>
      </c>
    </row>
    <row r="506" spans="1:6" x14ac:dyDescent="0.2">
      <c r="A506" s="3" t="s">
        <v>426</v>
      </c>
      <c r="B506" s="3" t="s">
        <v>428</v>
      </c>
      <c r="C506" s="4">
        <v>6803.65</v>
      </c>
      <c r="D506" s="4">
        <v>5757.32</v>
      </c>
      <c r="E506" s="4">
        <v>1046.33</v>
      </c>
      <c r="F506" s="3">
        <f>VLOOKUP(B506,'Profit &amp; Loss'!$B$2:$C$390,2,0)</f>
        <v>-347.23</v>
      </c>
    </row>
    <row r="507" spans="1:6" x14ac:dyDescent="0.2">
      <c r="A507" s="3" t="s">
        <v>426</v>
      </c>
      <c r="B507" s="3" t="s">
        <v>429</v>
      </c>
      <c r="C507" s="4">
        <v>55246.98</v>
      </c>
      <c r="D507" s="4">
        <v>49389.5</v>
      </c>
      <c r="E507" s="4">
        <v>5857.48</v>
      </c>
      <c r="F507" s="3">
        <f>VLOOKUP(B507,'Profit &amp; Loss'!$B$2:$C$390,2,0)</f>
        <v>7237.53</v>
      </c>
    </row>
    <row r="508" spans="1:6" x14ac:dyDescent="0.2">
      <c r="A508" s="3" t="s">
        <v>426</v>
      </c>
      <c r="B508" s="3" t="s">
        <v>430</v>
      </c>
      <c r="C508" s="4">
        <v>22740.36</v>
      </c>
      <c r="D508" s="4">
        <v>18301.21</v>
      </c>
      <c r="E508" s="4">
        <v>4439.1499999999996</v>
      </c>
      <c r="F508" s="3">
        <f>VLOOKUP(B508,'Profit &amp; Loss'!$B$2:$C$390,2,0)</f>
        <v>378.03</v>
      </c>
    </row>
    <row r="509" spans="1:6" x14ac:dyDescent="0.2">
      <c r="A509" s="3" t="s">
        <v>426</v>
      </c>
      <c r="B509" s="3" t="s">
        <v>2</v>
      </c>
      <c r="C509" s="4">
        <v>85986.83</v>
      </c>
      <c r="D509" s="4">
        <v>74643.87</v>
      </c>
      <c r="E509" s="4">
        <v>11342.96</v>
      </c>
      <c r="F509" s="3" t="e">
        <f>VLOOKUP(B509,'Profit &amp; Loss'!$B$2:$C$390,2,0)</f>
        <v>#N/A</v>
      </c>
    </row>
    <row r="510" spans="1:6" x14ac:dyDescent="0.2">
      <c r="A510" s="3" t="s">
        <v>431</v>
      </c>
      <c r="B510" s="3" t="s">
        <v>432</v>
      </c>
      <c r="C510" s="4">
        <v>-1106691.27</v>
      </c>
      <c r="D510" s="4">
        <v>-983370.43</v>
      </c>
      <c r="E510" s="4">
        <v>-123320.84</v>
      </c>
      <c r="F510" s="3">
        <f>VLOOKUP(B510,'Profit &amp; Loss'!$B$2:$C$390,2,0)</f>
        <v>-104275.76</v>
      </c>
    </row>
    <row r="511" spans="1:6" x14ac:dyDescent="0.2">
      <c r="A511" s="3" t="s">
        <v>431</v>
      </c>
      <c r="B511" s="3" t="s">
        <v>2</v>
      </c>
      <c r="C511" s="4">
        <v>-1106691.27</v>
      </c>
      <c r="D511" s="4">
        <v>-983370.43</v>
      </c>
      <c r="E511" s="4">
        <v>-123320.84</v>
      </c>
      <c r="F511" s="3" t="e">
        <f>VLOOKUP(B511,'Profit &amp; Loss'!$B$2:$C$390,2,0)</f>
        <v>#N/A</v>
      </c>
    </row>
    <row r="512" spans="1:6" x14ac:dyDescent="0.2">
      <c r="A512" s="3" t="s">
        <v>433</v>
      </c>
      <c r="B512" s="3" t="s">
        <v>2</v>
      </c>
      <c r="C512" s="4">
        <v>3920907.82</v>
      </c>
      <c r="D512" s="4">
        <v>3530368.33</v>
      </c>
      <c r="E512" s="4">
        <v>390539.49</v>
      </c>
      <c r="F512" s="3" t="e">
        <f>VLOOKUP(B512,'Profit &amp; Loss'!$B$2:$C$390,2,0)</f>
        <v>#N/A</v>
      </c>
    </row>
    <row r="513" spans="1:6" x14ac:dyDescent="0.2">
      <c r="A513" s="3" t="s">
        <v>434</v>
      </c>
      <c r="B513" s="3" t="s">
        <v>796</v>
      </c>
      <c r="C513" s="4">
        <v>-39432.78</v>
      </c>
      <c r="D513" s="4">
        <v>-39432.78</v>
      </c>
      <c r="E513" s="4">
        <v>0</v>
      </c>
      <c r="F513" s="3">
        <f>VLOOKUP(B513,'Profit &amp; Loss'!$B$2:$C$390,2,0)</f>
        <v>0</v>
      </c>
    </row>
    <row r="514" spans="1:6" x14ac:dyDescent="0.2">
      <c r="A514" s="3" t="s">
        <v>434</v>
      </c>
      <c r="B514" s="3" t="s">
        <v>870</v>
      </c>
      <c r="C514" s="4">
        <v>13508.62</v>
      </c>
      <c r="D514" s="4">
        <v>13508.62</v>
      </c>
      <c r="E514" s="4">
        <v>0</v>
      </c>
      <c r="F514" s="3">
        <f>VLOOKUP(B514,'Profit &amp; Loss'!$B$2:$C$390,2,0)</f>
        <v>0</v>
      </c>
    </row>
    <row r="515" spans="1:6" x14ac:dyDescent="0.2">
      <c r="A515" s="3" t="s">
        <v>434</v>
      </c>
      <c r="B515" s="3" t="s">
        <v>590</v>
      </c>
      <c r="C515" s="4">
        <v>-7261.59</v>
      </c>
      <c r="D515" s="4">
        <v>-7261.59</v>
      </c>
      <c r="E515" s="4">
        <v>0</v>
      </c>
      <c r="F515" s="3">
        <f>VLOOKUP(B515,'Profit &amp; Loss'!$B$2:$C$390,2,0)</f>
        <v>-98.26</v>
      </c>
    </row>
    <row r="516" spans="1:6" x14ac:dyDescent="0.2">
      <c r="A516" s="3" t="s">
        <v>434</v>
      </c>
      <c r="B516" s="3" t="s">
        <v>1310</v>
      </c>
      <c r="C516" s="4">
        <v>5598.32</v>
      </c>
      <c r="D516" s="4">
        <v>5598.32</v>
      </c>
      <c r="E516" s="4">
        <v>0</v>
      </c>
      <c r="F516" s="3">
        <f>VLOOKUP(B516,'Profit &amp; Loss'!$B$2:$C$390,2,0)</f>
        <v>0</v>
      </c>
    </row>
    <row r="517" spans="1:6" x14ac:dyDescent="0.2">
      <c r="A517" s="3" t="s">
        <v>434</v>
      </c>
      <c r="B517" s="3" t="s">
        <v>436</v>
      </c>
      <c r="C517" s="4">
        <v>738703.49</v>
      </c>
      <c r="D517" s="4">
        <v>627287.07999999996</v>
      </c>
      <c r="E517" s="4">
        <v>111416.41</v>
      </c>
      <c r="F517" s="3">
        <f>VLOOKUP(B517,'Profit &amp; Loss'!$B$2:$C$390,2,0)</f>
        <v>26750</v>
      </c>
    </row>
    <row r="518" spans="1:6" x14ac:dyDescent="0.2">
      <c r="A518" s="3" t="s">
        <v>434</v>
      </c>
      <c r="B518" s="3" t="s">
        <v>2</v>
      </c>
      <c r="C518" s="4">
        <v>711116.06</v>
      </c>
      <c r="D518" s="4">
        <v>599699.65</v>
      </c>
      <c r="E518" s="4">
        <v>111416.41</v>
      </c>
      <c r="F518" s="3" t="e">
        <f>VLOOKUP(B518,'Profit &amp; Loss'!$B$2:$C$390,2,0)</f>
        <v>#N/A</v>
      </c>
    </row>
    <row r="519" spans="1:6" x14ac:dyDescent="0.2">
      <c r="A519" s="3" t="s">
        <v>437</v>
      </c>
      <c r="B519" s="3" t="s">
        <v>592</v>
      </c>
      <c r="C519" s="4">
        <v>9986.7800000000007</v>
      </c>
      <c r="D519" s="4">
        <v>9986.7800000000007</v>
      </c>
      <c r="E519" s="4">
        <v>0</v>
      </c>
      <c r="F519" s="3">
        <f>VLOOKUP(B519,'Profit &amp; Loss'!$B$2:$C$390,2,0)</f>
        <v>0</v>
      </c>
    </row>
    <row r="520" spans="1:6" x14ac:dyDescent="0.2">
      <c r="A520" s="3" t="s">
        <v>437</v>
      </c>
      <c r="B520" s="3" t="s">
        <v>1438</v>
      </c>
      <c r="C520" s="4">
        <v>8.1</v>
      </c>
      <c r="D520" s="4">
        <v>8.1</v>
      </c>
      <c r="E520" s="4">
        <v>0</v>
      </c>
      <c r="F520" s="3">
        <f>VLOOKUP(B520,'Profit &amp; Loss'!$B$2:$C$390,2,0)</f>
        <v>0</v>
      </c>
    </row>
    <row r="521" spans="1:6" x14ac:dyDescent="0.2">
      <c r="A521" s="3" t="s">
        <v>437</v>
      </c>
      <c r="B521" s="3" t="s">
        <v>1311</v>
      </c>
      <c r="C521" s="4">
        <v>1673.69</v>
      </c>
      <c r="D521" s="4">
        <v>1673.69</v>
      </c>
      <c r="E521" s="4">
        <v>0</v>
      </c>
      <c r="F521" s="3">
        <f>VLOOKUP(B521,'Profit &amp; Loss'!$B$2:$C$390,2,0)</f>
        <v>0</v>
      </c>
    </row>
    <row r="522" spans="1:6" x14ac:dyDescent="0.2">
      <c r="A522" s="3" t="s">
        <v>437</v>
      </c>
      <c r="B522" s="3" t="s">
        <v>438</v>
      </c>
      <c r="C522" s="4">
        <v>253204.35</v>
      </c>
      <c r="D522" s="4">
        <v>206154.96</v>
      </c>
      <c r="E522" s="4">
        <v>47049.39</v>
      </c>
      <c r="F522" s="3">
        <f>VLOOKUP(B522,'Profit &amp; Loss'!$B$2:$C$390,2,0)</f>
        <v>9806.14</v>
      </c>
    </row>
    <row r="523" spans="1:6" x14ac:dyDescent="0.2">
      <c r="A523" s="3" t="s">
        <v>437</v>
      </c>
      <c r="B523" s="3" t="s">
        <v>439</v>
      </c>
      <c r="C523" s="4">
        <v>16637</v>
      </c>
      <c r="D523" s="4">
        <v>14338.62</v>
      </c>
      <c r="E523" s="4">
        <v>2298.38</v>
      </c>
      <c r="F523" s="3">
        <f>VLOOKUP(B523,'Profit &amp; Loss'!$B$2:$C$390,2,0)</f>
        <v>1430.38</v>
      </c>
    </row>
    <row r="524" spans="1:6" x14ac:dyDescent="0.2">
      <c r="A524" s="3" t="s">
        <v>437</v>
      </c>
      <c r="B524" s="3" t="s">
        <v>440</v>
      </c>
      <c r="C524" s="4">
        <v>65422.21</v>
      </c>
      <c r="D524" s="4">
        <v>63732.39</v>
      </c>
      <c r="E524" s="4">
        <v>1689.82</v>
      </c>
      <c r="F524" s="3">
        <f>VLOOKUP(B524,'Profit &amp; Loss'!$B$2:$C$390,2,0)</f>
        <v>7785.86</v>
      </c>
    </row>
    <row r="525" spans="1:6" x14ac:dyDescent="0.2">
      <c r="A525" s="3" t="s">
        <v>437</v>
      </c>
      <c r="B525" s="3" t="s">
        <v>2</v>
      </c>
      <c r="C525" s="4">
        <v>346932.13</v>
      </c>
      <c r="D525" s="4">
        <v>295894.53999999998</v>
      </c>
      <c r="E525" s="4">
        <v>51037.59</v>
      </c>
      <c r="F525" s="3" t="e">
        <f>VLOOKUP(B525,'Profit &amp; Loss'!$B$2:$C$390,2,0)</f>
        <v>#N/A</v>
      </c>
    </row>
    <row r="526" spans="1:6" x14ac:dyDescent="0.2">
      <c r="A526" s="3" t="s">
        <v>441</v>
      </c>
      <c r="B526" s="3" t="s">
        <v>2</v>
      </c>
      <c r="C526" s="4">
        <v>1058048.19</v>
      </c>
      <c r="D526" s="4">
        <v>895594.19</v>
      </c>
      <c r="E526" s="4">
        <v>162454</v>
      </c>
      <c r="F526" s="3" t="e">
        <f>VLOOKUP(B526,'Profit &amp; Loss'!$B$2:$C$390,2,0)</f>
        <v>#N/A</v>
      </c>
    </row>
    <row r="527" spans="1:6" x14ac:dyDescent="0.2">
      <c r="A527" s="3" t="s">
        <v>442</v>
      </c>
      <c r="B527" s="3" t="s">
        <v>443</v>
      </c>
      <c r="C527" s="4">
        <v>-16.989999999999998</v>
      </c>
      <c r="D527" s="4">
        <v>-9.25</v>
      </c>
      <c r="E527" s="4">
        <v>-7.74</v>
      </c>
      <c r="F527" s="3">
        <f>VLOOKUP(B527,'Profit &amp; Loss'!$B$2:$C$390,2,0)</f>
        <v>-0.33</v>
      </c>
    </row>
    <row r="528" spans="1:6" x14ac:dyDescent="0.2">
      <c r="A528" s="3" t="s">
        <v>442</v>
      </c>
      <c r="B528" s="3" t="s">
        <v>2</v>
      </c>
      <c r="C528" s="4">
        <v>-16.989999999999998</v>
      </c>
      <c r="D528" s="4">
        <v>-9.25</v>
      </c>
      <c r="E528" s="4">
        <v>-7.74</v>
      </c>
      <c r="F528" s="3" t="e">
        <f>VLOOKUP(B528,'Profit &amp; Loss'!$B$2:$C$390,2,0)</f>
        <v>#N/A</v>
      </c>
    </row>
    <row r="529" spans="1:6" x14ac:dyDescent="0.2">
      <c r="A529" s="3" t="s">
        <v>444</v>
      </c>
      <c r="B529" s="3" t="s">
        <v>2</v>
      </c>
      <c r="C529" s="4">
        <v>-16.989999999999998</v>
      </c>
      <c r="D529" s="4">
        <v>-9.25</v>
      </c>
      <c r="E529" s="4">
        <v>-7.74</v>
      </c>
      <c r="F529" s="3" t="e">
        <f>VLOOKUP(B529,'Profit &amp; Loss'!$B$2:$C$390,2,0)</f>
        <v>#N/A</v>
      </c>
    </row>
    <row r="530" spans="1:6" x14ac:dyDescent="0.2">
      <c r="A530" s="3" t="s">
        <v>445</v>
      </c>
      <c r="B530" s="3" t="s">
        <v>692</v>
      </c>
      <c r="C530" s="4">
        <v>356.76</v>
      </c>
      <c r="D530" s="4">
        <v>356.76</v>
      </c>
      <c r="E530" s="4">
        <v>0</v>
      </c>
      <c r="F530" s="3">
        <f>VLOOKUP(B530,'Profit &amp; Loss'!$B$2:$C$390,2,0)</f>
        <v>69.52</v>
      </c>
    </row>
    <row r="531" spans="1:6" x14ac:dyDescent="0.2">
      <c r="A531" s="3" t="s">
        <v>445</v>
      </c>
      <c r="B531" s="3" t="s">
        <v>1161</v>
      </c>
      <c r="C531" s="4">
        <v>3.48</v>
      </c>
      <c r="D531" s="4">
        <v>3.48</v>
      </c>
      <c r="E531" s="4">
        <v>0</v>
      </c>
      <c r="F531" s="3">
        <f>VLOOKUP(B531,'Profit &amp; Loss'!$B$2:$C$390,2,0)</f>
        <v>0</v>
      </c>
    </row>
    <row r="532" spans="1:6" x14ac:dyDescent="0.2">
      <c r="A532" s="3" t="s">
        <v>445</v>
      </c>
      <c r="B532" s="3" t="s">
        <v>446</v>
      </c>
      <c r="C532" s="4">
        <v>62042.47</v>
      </c>
      <c r="D532" s="4">
        <v>56981.27</v>
      </c>
      <c r="E532" s="4">
        <v>5061.2</v>
      </c>
      <c r="F532" s="3">
        <f>VLOOKUP(B532,'Profit &amp; Loss'!$B$2:$C$390,2,0)</f>
        <v>2583.69</v>
      </c>
    </row>
    <row r="533" spans="1:6" x14ac:dyDescent="0.2">
      <c r="A533" s="3" t="s">
        <v>445</v>
      </c>
      <c r="B533" s="3" t="s">
        <v>996</v>
      </c>
      <c r="C533" s="4">
        <v>-4183</v>
      </c>
      <c r="D533" s="4">
        <v>-4183</v>
      </c>
      <c r="E533" s="4">
        <v>0</v>
      </c>
      <c r="F533" s="3">
        <f>VLOOKUP(B533,'Profit &amp; Loss'!$B$2:$C$390,2,0)</f>
        <v>-2863.58</v>
      </c>
    </row>
    <row r="534" spans="1:6" x14ac:dyDescent="0.2">
      <c r="A534" s="3" t="s">
        <v>445</v>
      </c>
      <c r="B534" s="3" t="s">
        <v>2</v>
      </c>
      <c r="C534" s="4">
        <v>58219.71</v>
      </c>
      <c r="D534" s="4">
        <v>53158.51</v>
      </c>
      <c r="E534" s="4">
        <v>5061.2</v>
      </c>
      <c r="F534" s="3" t="e">
        <f>VLOOKUP(B534,'Profit &amp; Loss'!$B$2:$C$390,2,0)</f>
        <v>#N/A</v>
      </c>
    </row>
    <row r="535" spans="1:6" x14ac:dyDescent="0.2">
      <c r="A535" s="3" t="s">
        <v>447</v>
      </c>
      <c r="B535" s="3" t="s">
        <v>2</v>
      </c>
      <c r="C535" s="4">
        <v>58219.71</v>
      </c>
      <c r="D535" s="4">
        <v>53158.51</v>
      </c>
      <c r="E535" s="4">
        <v>5061.2</v>
      </c>
      <c r="F535" s="3" t="e">
        <f>VLOOKUP(B535,'Profit &amp; Loss'!$B$2:$C$390,2,0)</f>
        <v>#N/A</v>
      </c>
    </row>
    <row r="536" spans="1:6" x14ac:dyDescent="0.2">
      <c r="A536" s="3" t="s">
        <v>237</v>
      </c>
      <c r="B536" s="3" t="s">
        <v>448</v>
      </c>
      <c r="C536" s="4">
        <v>-18122049.75</v>
      </c>
      <c r="D536" s="4">
        <v>-16229280.949999999</v>
      </c>
      <c r="E536" s="4">
        <v>-1892768.8</v>
      </c>
      <c r="F536" s="3">
        <f>VLOOKUP(B536,'Profit &amp; Loss'!$B$2:$C$390,2,0)</f>
        <v>-2188985.1399999992</v>
      </c>
    </row>
    <row r="537" spans="1:6" x14ac:dyDescent="0.2">
      <c r="A537" s="3" t="s">
        <v>237</v>
      </c>
      <c r="B537" s="5" t="s">
        <v>449</v>
      </c>
      <c r="C537" s="4">
        <v>0</v>
      </c>
      <c r="D537" s="4">
        <v>0</v>
      </c>
      <c r="E537" s="4">
        <v>0</v>
      </c>
      <c r="F537" s="3" t="e">
        <f>VLOOKUP(B537,'Profit &amp; Loss'!$B$2:$C$390,2,0)</f>
        <v>#N/A</v>
      </c>
    </row>
    <row r="538" spans="1:6" x14ac:dyDescent="0.2">
      <c r="A538" s="3" t="s">
        <v>450</v>
      </c>
      <c r="B538" s="3" t="s">
        <v>451</v>
      </c>
      <c r="C538" s="4">
        <v>0</v>
      </c>
      <c r="D538" s="4">
        <v>0</v>
      </c>
      <c r="E538" s="4">
        <v>0</v>
      </c>
      <c r="F538" s="3" t="e">
        <f>VLOOKUP(B538,'Profit &amp; Loss'!$B$2:$C$390,2,0)</f>
        <v>#N/A</v>
      </c>
    </row>
    <row r="539" spans="1:6" x14ac:dyDescent="0.2">
      <c r="A539" s="3" t="s">
        <v>450</v>
      </c>
      <c r="B539" s="5" t="s">
        <v>234</v>
      </c>
      <c r="C539" s="4">
        <v>0</v>
      </c>
      <c r="D539" s="4">
        <v>0</v>
      </c>
      <c r="E539" s="4">
        <v>0</v>
      </c>
      <c r="F539" s="3" t="e">
        <f>VLOOKUP(B539,'Profit &amp; Loss'!$B$2:$C$390,2,0)</f>
        <v>#N/A</v>
      </c>
    </row>
    <row r="540" spans="1:6" x14ac:dyDescent="0.2">
      <c r="A540" s="3" t="s">
        <v>452</v>
      </c>
      <c r="B540" s="3" t="s">
        <v>453</v>
      </c>
      <c r="C540" s="4">
        <v>0</v>
      </c>
      <c r="D540" s="4">
        <v>0</v>
      </c>
      <c r="E540" s="4">
        <v>0</v>
      </c>
      <c r="F540" s="3" t="e">
        <f>VLOOKUP(B540,'Profit &amp; Loss'!$B$2:$C$390,2,0)</f>
        <v>#N/A</v>
      </c>
    </row>
    <row r="541" spans="1:6" x14ac:dyDescent="0.2">
      <c r="A541" s="3" t="s">
        <v>452</v>
      </c>
      <c r="B541" s="3" t="s">
        <v>2</v>
      </c>
      <c r="C541" s="4">
        <v>18122049.75</v>
      </c>
      <c r="D541" s="4">
        <v>16229280.949999999</v>
      </c>
      <c r="E541" s="4">
        <v>1892768.8</v>
      </c>
      <c r="F541" s="3" t="e">
        <f>VLOOKUP(B541,'Profit &amp; Loss'!$B$2:$C$390,2,0)</f>
        <v>#N/A</v>
      </c>
    </row>
    <row r="542" spans="1:6" x14ac:dyDescent="0.2">
      <c r="A542" s="3" t="s">
        <v>450</v>
      </c>
      <c r="B542" s="3" t="s">
        <v>2</v>
      </c>
      <c r="C542" s="4">
        <v>18122049.75</v>
      </c>
      <c r="D542" s="4">
        <v>16229280.949999999</v>
      </c>
      <c r="E542" s="4">
        <v>1892768.8</v>
      </c>
      <c r="F542" s="3" t="e">
        <f>VLOOKUP(B542,'Profit &amp; Loss'!$B$2:$C$390,2,0)</f>
        <v>#N/A</v>
      </c>
    </row>
    <row r="543" spans="1:6" x14ac:dyDescent="0.2">
      <c r="A543" s="3" t="s">
        <v>454</v>
      </c>
      <c r="B543" s="3" t="s">
        <v>455</v>
      </c>
      <c r="C543" s="4">
        <v>0</v>
      </c>
      <c r="D543" s="4">
        <v>0</v>
      </c>
      <c r="E543" s="4">
        <v>0</v>
      </c>
      <c r="F543" s="3" t="e">
        <f>VLOOKUP(B543,'Profit &amp; Loss'!$B$2:$C$390,2,0)</f>
        <v>#N/A</v>
      </c>
    </row>
    <row r="544" spans="1:6" x14ac:dyDescent="0.2">
      <c r="A544" s="3" t="s">
        <v>454</v>
      </c>
      <c r="B544" s="5" t="s">
        <v>456</v>
      </c>
      <c r="C544" s="4">
        <v>0</v>
      </c>
      <c r="D544" s="4">
        <v>0</v>
      </c>
      <c r="E544" s="4">
        <v>0</v>
      </c>
      <c r="F544" s="3" t="e">
        <f>VLOOKUP(B544,'Profit &amp; Loss'!$B$2:$C$390,2,0)</f>
        <v>#N/A</v>
      </c>
    </row>
    <row r="545" spans="1:6" x14ac:dyDescent="0.2">
      <c r="A545" s="3" t="s">
        <v>454</v>
      </c>
      <c r="B545" s="3" t="s">
        <v>457</v>
      </c>
      <c r="C545" s="4">
        <v>-53546.31</v>
      </c>
      <c r="D545" s="4">
        <v>-70195.02</v>
      </c>
      <c r="E545" s="4">
        <v>16648.71</v>
      </c>
      <c r="F545" s="3" t="e">
        <f>VLOOKUP(B545,'Profit &amp; Loss'!$B$2:$C$390,2,0)</f>
        <v>#N/A</v>
      </c>
    </row>
    <row r="546" spans="1:6" x14ac:dyDescent="0.2">
      <c r="A546" s="3" t="s">
        <v>454</v>
      </c>
      <c r="B546" s="3" t="s">
        <v>458</v>
      </c>
      <c r="C546" s="4">
        <v>-72613.279999999999</v>
      </c>
      <c r="D546" s="4">
        <v>-37759.93</v>
      </c>
      <c r="E546" s="4">
        <v>-34853.35</v>
      </c>
      <c r="F546" s="3" t="e">
        <f>VLOOKUP(B546,'Profit &amp; Loss'!$B$2:$C$390,2,0)</f>
        <v>#N/A</v>
      </c>
    </row>
    <row r="547" spans="1:6" x14ac:dyDescent="0.2">
      <c r="A547" s="3" t="s">
        <v>454</v>
      </c>
      <c r="B547" s="3" t="s">
        <v>694</v>
      </c>
      <c r="C547" s="4">
        <v>-119.29</v>
      </c>
      <c r="D547" s="4">
        <v>-867.08</v>
      </c>
      <c r="E547" s="4">
        <v>747.79</v>
      </c>
      <c r="F547" s="3" t="e">
        <f>VLOOKUP(B547,'Profit &amp; Loss'!$B$2:$C$390,2,0)</f>
        <v>#N/A</v>
      </c>
    </row>
    <row r="548" spans="1:6" x14ac:dyDescent="0.2">
      <c r="A548" s="3" t="s">
        <v>454</v>
      </c>
      <c r="B548" s="3" t="s">
        <v>459</v>
      </c>
      <c r="C548" s="4">
        <v>31658.93</v>
      </c>
      <c r="D548" s="4">
        <v>19488.669999999998</v>
      </c>
      <c r="E548" s="4">
        <v>12170.26</v>
      </c>
      <c r="F548" s="3" t="e">
        <f>VLOOKUP(B548,'Profit &amp; Loss'!$B$2:$C$390,2,0)</f>
        <v>#N/A</v>
      </c>
    </row>
    <row r="549" spans="1:6" x14ac:dyDescent="0.2">
      <c r="A549" s="3" t="s">
        <v>454</v>
      </c>
      <c r="B549" s="3" t="s">
        <v>460</v>
      </c>
      <c r="C549" s="4">
        <v>-40507.79</v>
      </c>
      <c r="D549" s="4">
        <v>-40507.79</v>
      </c>
      <c r="E549" s="4">
        <v>0</v>
      </c>
      <c r="F549" s="3" t="e">
        <f>VLOOKUP(B549,'Profit &amp; Loss'!$B$2:$C$390,2,0)</f>
        <v>#N/A</v>
      </c>
    </row>
    <row r="550" spans="1:6" x14ac:dyDescent="0.2">
      <c r="A550" s="3" t="s">
        <v>454</v>
      </c>
      <c r="B550" s="3" t="s">
        <v>1439</v>
      </c>
      <c r="C550" s="4">
        <v>12895.01</v>
      </c>
      <c r="D550" s="4">
        <v>11350.85</v>
      </c>
      <c r="E550" s="4">
        <v>1544.16</v>
      </c>
      <c r="F550" s="3">
        <f>VLOOKUP(B550,'Profit &amp; Loss'!$B$2:$C$390,2,0)</f>
        <v>0</v>
      </c>
    </row>
    <row r="551" spans="1:6" x14ac:dyDescent="0.2">
      <c r="A551" s="3" t="s">
        <v>454</v>
      </c>
      <c r="B551" s="3" t="s">
        <v>874</v>
      </c>
      <c r="C551" s="4">
        <v>259022.35</v>
      </c>
      <c r="D551" s="4">
        <v>230617.9</v>
      </c>
      <c r="E551" s="4">
        <v>28404.45</v>
      </c>
      <c r="F551" s="3">
        <f>VLOOKUP(B551,'Profit &amp; Loss'!$B$2:$C$390,2,0)</f>
        <v>0</v>
      </c>
    </row>
    <row r="552" spans="1:6" x14ac:dyDescent="0.2">
      <c r="A552" s="3" t="s">
        <v>454</v>
      </c>
      <c r="B552" s="3" t="s">
        <v>461</v>
      </c>
      <c r="C552" s="4">
        <v>136789.62</v>
      </c>
      <c r="D552" s="4">
        <v>112127.6</v>
      </c>
      <c r="E552" s="4">
        <v>24662.02</v>
      </c>
      <c r="F552" s="3" t="e">
        <f>VLOOKUP(B552,'Profit &amp; Loss'!$B$2:$C$390,2,0)</f>
        <v>#N/A</v>
      </c>
    </row>
    <row r="553" spans="1:6" x14ac:dyDescent="0.2">
      <c r="A553" s="3" t="s">
        <v>454</v>
      </c>
      <c r="B553" s="5" t="s">
        <v>462</v>
      </c>
      <c r="C553" s="4">
        <v>0</v>
      </c>
      <c r="D553" s="4">
        <v>0</v>
      </c>
      <c r="E553" s="4">
        <v>0</v>
      </c>
      <c r="F553" s="3" t="e">
        <f>VLOOKUP(B553,'Profit &amp; Loss'!$B$2:$C$390,2,0)</f>
        <v>#N/A</v>
      </c>
    </row>
  </sheetData>
  <autoFilter ref="A1:F553" xr:uid="{DBBC0AB1-98EB-44B7-AD9B-AB49F9A56F3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92A1-DC9E-4051-9D8B-789AA6CB19BF}">
  <dimension ref="A1:F556"/>
  <sheetViews>
    <sheetView topLeftCell="A541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VLOOKUP(B2,'Profit &amp; Loss'!$B$2:$C$390,2,0)</f>
        <v>#N/A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VLOOKUP(B3,'Profit &amp; Loss'!$B$2:$C$390,2,0)</f>
        <v>#N/A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VLOOKUP(B4,'Profit &amp; Loss'!$B$2:$C$390,2,0)</f>
        <v>#N/A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VLOOKUP(B5,'Profit &amp; Loss'!$B$2:$C$390,2,0)</f>
        <v>#N/A</v>
      </c>
    </row>
    <row r="6" spans="1:6" x14ac:dyDescent="0.2">
      <c r="A6" s="3" t="s">
        <v>4</v>
      </c>
      <c r="B6" s="3" t="s">
        <v>8</v>
      </c>
      <c r="C6" s="4">
        <v>24209.67</v>
      </c>
      <c r="D6" s="4">
        <v>26824.01</v>
      </c>
      <c r="E6" s="4">
        <v>-2614.34</v>
      </c>
      <c r="F6" s="3" t="e">
        <f>VLOOKUP(B6,'Profit &amp; Loss'!$B$2:$C$390,2,0)</f>
        <v>#N/A</v>
      </c>
    </row>
    <row r="7" spans="1:6" x14ac:dyDescent="0.2">
      <c r="A7" s="3" t="s">
        <v>4</v>
      </c>
      <c r="B7" s="3" t="s">
        <v>9</v>
      </c>
      <c r="C7" s="4">
        <v>-24118.03</v>
      </c>
      <c r="D7" s="4">
        <v>-23898.34</v>
      </c>
      <c r="E7" s="4">
        <v>-219.69</v>
      </c>
      <c r="F7" s="3" t="e">
        <f>VLOOKUP(B7,'Profit &amp; Loss'!$B$2:$C$390,2,0)</f>
        <v>#N/A</v>
      </c>
    </row>
    <row r="8" spans="1:6" x14ac:dyDescent="0.2">
      <c r="A8" s="3" t="s">
        <v>4</v>
      </c>
      <c r="B8" s="3" t="s">
        <v>10</v>
      </c>
      <c r="C8" s="4">
        <v>68.8</v>
      </c>
      <c r="D8" s="4">
        <v>68.739999999999995</v>
      </c>
      <c r="E8" s="4">
        <v>0.06</v>
      </c>
      <c r="F8" s="3" t="e">
        <f>VLOOKUP(B8,'Profit &amp; Loss'!$B$2:$C$390,2,0)</f>
        <v>#N/A</v>
      </c>
    </row>
    <row r="9" spans="1:6" x14ac:dyDescent="0.2">
      <c r="A9" s="3" t="s">
        <v>4</v>
      </c>
      <c r="B9" s="3" t="s">
        <v>11</v>
      </c>
      <c r="C9" s="4">
        <v>-3.67</v>
      </c>
      <c r="D9" s="4">
        <v>-2.79</v>
      </c>
      <c r="E9" s="4">
        <v>-0.88</v>
      </c>
      <c r="F9" s="3" t="e">
        <f>VLOOKUP(B9,'Profit &amp; Loss'!$B$2:$C$390,2,0)</f>
        <v>#N/A</v>
      </c>
    </row>
    <row r="10" spans="1:6" x14ac:dyDescent="0.2">
      <c r="A10" s="3" t="s">
        <v>4</v>
      </c>
      <c r="B10" s="3" t="s">
        <v>2</v>
      </c>
      <c r="C10" s="4">
        <v>1096.29</v>
      </c>
      <c r="D10" s="4">
        <v>3931.14</v>
      </c>
      <c r="E10" s="4">
        <v>-2834.85</v>
      </c>
      <c r="F10" s="3" t="e">
        <f>VLOOKUP(B10,'Profit &amp; Loss'!$B$2:$C$390,2,0)</f>
        <v>#N/A</v>
      </c>
    </row>
    <row r="11" spans="1:6" x14ac:dyDescent="0.2">
      <c r="A11" s="3" t="s">
        <v>12</v>
      </c>
      <c r="B11" s="3" t="s">
        <v>2</v>
      </c>
      <c r="C11" s="4">
        <v>1096.29</v>
      </c>
      <c r="D11" s="4">
        <v>3931.14</v>
      </c>
      <c r="E11" s="4">
        <v>-2834.85</v>
      </c>
      <c r="F11" s="3" t="e">
        <f>VLOOKUP(B11,'Profit &amp; Loss'!$B$2:$C$390,2,0)</f>
        <v>#N/A</v>
      </c>
    </row>
    <row r="12" spans="1:6" x14ac:dyDescent="0.2">
      <c r="A12" s="3" t="s">
        <v>13</v>
      </c>
      <c r="B12" s="3" t="s">
        <v>14</v>
      </c>
      <c r="C12" s="4">
        <v>26173881.300000001</v>
      </c>
      <c r="D12" s="4">
        <v>22434189.140000001</v>
      </c>
      <c r="E12" s="4">
        <v>3739692.16</v>
      </c>
      <c r="F12" s="3" t="e">
        <f>VLOOKUP(B12,'Profit &amp; Loss'!$B$2:$C$390,2,0)</f>
        <v>#N/A</v>
      </c>
    </row>
    <row r="13" spans="1:6" x14ac:dyDescent="0.2">
      <c r="A13" s="3" t="s">
        <v>13</v>
      </c>
      <c r="B13" s="3" t="s">
        <v>15</v>
      </c>
      <c r="C13" s="4">
        <v>-314786.45</v>
      </c>
      <c r="D13" s="4">
        <v>-481051.73</v>
      </c>
      <c r="E13" s="4">
        <v>166265.28</v>
      </c>
      <c r="F13" s="3" t="e">
        <f>VLOOKUP(B13,'Profit &amp; Loss'!$B$2:$C$390,2,0)</f>
        <v>#N/A</v>
      </c>
    </row>
    <row r="14" spans="1:6" x14ac:dyDescent="0.2">
      <c r="A14" s="3" t="s">
        <v>13</v>
      </c>
      <c r="B14" s="3" t="s">
        <v>16</v>
      </c>
      <c r="C14" s="4">
        <v>1475835.15</v>
      </c>
      <c r="D14" s="4">
        <v>1596085.9</v>
      </c>
      <c r="E14" s="4">
        <v>-120250.75</v>
      </c>
      <c r="F14" s="3" t="e">
        <f>VLOOKUP(B14,'Profit &amp; Loss'!$B$2:$C$390,2,0)</f>
        <v>#N/A</v>
      </c>
    </row>
    <row r="15" spans="1:6" x14ac:dyDescent="0.2">
      <c r="A15" s="3" t="s">
        <v>13</v>
      </c>
      <c r="B15" s="3" t="s">
        <v>17</v>
      </c>
      <c r="C15" s="4">
        <v>-218818.13</v>
      </c>
      <c r="D15" s="4">
        <v>-211768.59</v>
      </c>
      <c r="E15" s="4">
        <v>-7049.54</v>
      </c>
      <c r="F15" s="3" t="e">
        <f>VLOOKUP(B15,'Profit &amp; Loss'!$B$2:$C$390,2,0)</f>
        <v>#N/A</v>
      </c>
    </row>
    <row r="16" spans="1:6" x14ac:dyDescent="0.2">
      <c r="A16" s="3" t="s">
        <v>13</v>
      </c>
      <c r="B16" s="3" t="s">
        <v>2</v>
      </c>
      <c r="C16" s="4">
        <v>27116111.870000001</v>
      </c>
      <c r="D16" s="4">
        <v>23337454.719999999</v>
      </c>
      <c r="E16" s="4">
        <v>3778657.15</v>
      </c>
      <c r="F16" s="3" t="e">
        <f>VLOOKUP(B16,'Profit &amp; Loss'!$B$2:$C$390,2,0)</f>
        <v>#N/A</v>
      </c>
    </row>
    <row r="17" spans="1:6" x14ac:dyDescent="0.2">
      <c r="A17" s="3" t="s">
        <v>18</v>
      </c>
      <c r="B17" s="3" t="s">
        <v>19</v>
      </c>
      <c r="C17" s="4">
        <v>-61963.65</v>
      </c>
      <c r="D17" s="4">
        <v>-53596.23</v>
      </c>
      <c r="E17" s="4">
        <v>-8367.42</v>
      </c>
      <c r="F17" s="3" t="e">
        <f>VLOOKUP(B17,'Profit &amp; Loss'!$B$2:$C$390,2,0)</f>
        <v>#N/A</v>
      </c>
    </row>
    <row r="18" spans="1:6" x14ac:dyDescent="0.2">
      <c r="A18" s="3" t="s">
        <v>18</v>
      </c>
      <c r="B18" s="3" t="s">
        <v>2</v>
      </c>
      <c r="C18" s="4">
        <v>-61963.65</v>
      </c>
      <c r="D18" s="4">
        <v>-53596.23</v>
      </c>
      <c r="E18" s="4">
        <v>-8367.42</v>
      </c>
      <c r="F18" s="3" t="e">
        <f>VLOOKUP(B18,'Profit &amp; Loss'!$B$2:$C$390,2,0)</f>
        <v>#N/A</v>
      </c>
    </row>
    <row r="19" spans="1:6" x14ac:dyDescent="0.2">
      <c r="A19" s="3" t="s">
        <v>20</v>
      </c>
      <c r="B19" s="3" t="s">
        <v>2</v>
      </c>
      <c r="C19" s="4">
        <v>27054148.219999999</v>
      </c>
      <c r="D19" s="4">
        <v>23283858.489999998</v>
      </c>
      <c r="E19" s="4">
        <v>3770289.73</v>
      </c>
      <c r="F19" s="3" t="e">
        <f>VLOOKUP(B19,'Profit &amp; Loss'!$B$2:$C$390,2,0)</f>
        <v>#N/A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VLOOKUP(B20,'Profit &amp; Loss'!$B$2:$C$390,2,0)</f>
        <v>#N/A</v>
      </c>
    </row>
    <row r="21" spans="1:6" x14ac:dyDescent="0.2">
      <c r="A21" s="3" t="s">
        <v>21</v>
      </c>
      <c r="B21" s="3" t="s">
        <v>23</v>
      </c>
      <c r="C21" s="4">
        <v>-58.36</v>
      </c>
      <c r="D21" s="4">
        <v>1792.69</v>
      </c>
      <c r="E21" s="4">
        <v>-1851.05</v>
      </c>
      <c r="F21" s="3" t="e">
        <f>VLOOKUP(B21,'Profit &amp; Loss'!$B$2:$C$390,2,0)</f>
        <v>#N/A</v>
      </c>
    </row>
    <row r="22" spans="1:6" x14ac:dyDescent="0.2">
      <c r="A22" s="3" t="s">
        <v>21</v>
      </c>
      <c r="B22" s="3" t="s">
        <v>25</v>
      </c>
      <c r="C22" s="4">
        <v>66415.64</v>
      </c>
      <c r="D22" s="4">
        <v>66415.64</v>
      </c>
      <c r="E22" s="4">
        <v>0</v>
      </c>
      <c r="F22" s="3" t="e">
        <f>VLOOKUP(B22,'Profit &amp; Loss'!$B$2:$C$390,2,0)</f>
        <v>#N/A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VLOOKUP(B23,'Profit &amp; Loss'!$B$2:$C$390,2,0)</f>
        <v>#N/A</v>
      </c>
    </row>
    <row r="24" spans="1:6" x14ac:dyDescent="0.2">
      <c r="A24" s="3" t="s">
        <v>21</v>
      </c>
      <c r="B24" s="3" t="s">
        <v>27</v>
      </c>
      <c r="C24" s="4">
        <v>71724.27</v>
      </c>
      <c r="D24" s="4">
        <v>30568.04</v>
      </c>
      <c r="E24" s="4">
        <v>41156.230000000003</v>
      </c>
      <c r="F24" s="3" t="e">
        <f>VLOOKUP(B24,'Profit &amp; Loss'!$B$2:$C$390,2,0)</f>
        <v>#N/A</v>
      </c>
    </row>
    <row r="25" spans="1:6" x14ac:dyDescent="0.2">
      <c r="A25" s="3" t="s">
        <v>21</v>
      </c>
      <c r="B25" s="3" t="s">
        <v>28</v>
      </c>
      <c r="C25" s="4">
        <v>81418.31</v>
      </c>
      <c r="D25" s="4">
        <v>34141.199999999997</v>
      </c>
      <c r="E25" s="4">
        <v>47277.11</v>
      </c>
      <c r="F25" s="3" t="e">
        <f>VLOOKUP(B25,'Profit &amp; Loss'!$B$2:$C$390,2,0)</f>
        <v>#N/A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VLOOKUP(B26,'Profit &amp; Loss'!$B$2:$C$390,2,0)</f>
        <v>#N/A</v>
      </c>
    </row>
    <row r="27" spans="1:6" x14ac:dyDescent="0.2">
      <c r="A27" s="3" t="s">
        <v>21</v>
      </c>
      <c r="B27" s="3" t="s">
        <v>2</v>
      </c>
      <c r="C27" s="4">
        <v>219519.23</v>
      </c>
      <c r="D27" s="4">
        <v>132936.94</v>
      </c>
      <c r="E27" s="4">
        <v>86582.29</v>
      </c>
      <c r="F27" s="3" t="e">
        <f>VLOOKUP(B27,'Profit &amp; Loss'!$B$2:$C$390,2,0)</f>
        <v>#N/A</v>
      </c>
    </row>
    <row r="28" spans="1:6" x14ac:dyDescent="0.2">
      <c r="A28" s="3" t="s">
        <v>30</v>
      </c>
      <c r="B28" s="3" t="s">
        <v>31</v>
      </c>
      <c r="C28" s="4">
        <v>69672.67</v>
      </c>
      <c r="D28" s="4">
        <v>4232.63</v>
      </c>
      <c r="E28" s="4">
        <v>65440.04</v>
      </c>
      <c r="F28" s="3" t="e">
        <f>VLOOKUP(B28,'Profit &amp; Loss'!$B$2:$C$390,2,0)</f>
        <v>#N/A</v>
      </c>
    </row>
    <row r="29" spans="1:6" x14ac:dyDescent="0.2">
      <c r="A29" s="3" t="s">
        <v>30</v>
      </c>
      <c r="B29" s="3" t="s">
        <v>2</v>
      </c>
      <c r="C29" s="4">
        <v>69672.67</v>
      </c>
      <c r="D29" s="4">
        <v>4232.63</v>
      </c>
      <c r="E29" s="4">
        <v>65440.04</v>
      </c>
      <c r="F29" s="3" t="e">
        <f>VLOOKUP(B29,'Profit &amp; Loss'!$B$2:$C$390,2,0)</f>
        <v>#N/A</v>
      </c>
    </row>
    <row r="30" spans="1:6" x14ac:dyDescent="0.2">
      <c r="A30" s="3" t="s">
        <v>32</v>
      </c>
      <c r="B30" s="3" t="s">
        <v>33</v>
      </c>
      <c r="C30" s="4">
        <v>59414.32</v>
      </c>
      <c r="D30" s="4">
        <v>65501.919999999998</v>
      </c>
      <c r="E30" s="4">
        <v>-6087.6</v>
      </c>
      <c r="F30" s="3" t="e">
        <f>VLOOKUP(B30,'Profit &amp; Loss'!$B$2:$C$390,2,0)</f>
        <v>#N/A</v>
      </c>
    </row>
    <row r="31" spans="1:6" x14ac:dyDescent="0.2">
      <c r="A31" s="3" t="s">
        <v>32</v>
      </c>
      <c r="B31" s="3" t="s">
        <v>34</v>
      </c>
      <c r="C31" s="4">
        <v>-538.15</v>
      </c>
      <c r="D31" s="4">
        <v>-793.58</v>
      </c>
      <c r="E31" s="4">
        <v>255.43</v>
      </c>
      <c r="F31" s="3" t="e">
        <f>VLOOKUP(B31,'Profit &amp; Loss'!$B$2:$C$390,2,0)</f>
        <v>#N/A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VLOOKUP(B32,'Profit &amp; Loss'!$B$2:$C$390,2,0)</f>
        <v>#N/A</v>
      </c>
    </row>
    <row r="33" spans="1:6" x14ac:dyDescent="0.2">
      <c r="A33" s="3" t="s">
        <v>32</v>
      </c>
      <c r="B33" s="3" t="s">
        <v>36</v>
      </c>
      <c r="C33" s="4">
        <v>1810.29</v>
      </c>
      <c r="D33" s="4">
        <v>3666.17</v>
      </c>
      <c r="E33" s="4">
        <v>-1855.88</v>
      </c>
      <c r="F33" s="3" t="e">
        <f>VLOOKUP(B33,'Profit &amp; Loss'!$B$2:$C$390,2,0)</f>
        <v>#N/A</v>
      </c>
    </row>
    <row r="34" spans="1:6" x14ac:dyDescent="0.2">
      <c r="A34" s="3" t="s">
        <v>32</v>
      </c>
      <c r="B34" s="3" t="s">
        <v>39</v>
      </c>
      <c r="C34" s="4">
        <v>1364.66</v>
      </c>
      <c r="D34" s="4">
        <v>-3226.35</v>
      </c>
      <c r="E34" s="4">
        <v>4591.01</v>
      </c>
      <c r="F34" s="3" t="e">
        <f>VLOOKUP(B34,'Profit &amp; Loss'!$B$2:$C$390,2,0)</f>
        <v>#N/A</v>
      </c>
    </row>
    <row r="35" spans="1:6" x14ac:dyDescent="0.2">
      <c r="A35" s="3" t="s">
        <v>32</v>
      </c>
      <c r="B35" s="3" t="s">
        <v>42</v>
      </c>
      <c r="C35" s="4">
        <v>59.88</v>
      </c>
      <c r="D35" s="4">
        <v>57.28</v>
      </c>
      <c r="E35" s="4">
        <v>2.6</v>
      </c>
      <c r="F35" s="3" t="e">
        <f>VLOOKUP(B35,'Profit &amp; Loss'!$B$2:$C$390,2,0)</f>
        <v>#N/A</v>
      </c>
    </row>
    <row r="36" spans="1:6" x14ac:dyDescent="0.2">
      <c r="A36" s="3" t="s">
        <v>32</v>
      </c>
      <c r="B36" s="3" t="s">
        <v>2</v>
      </c>
      <c r="C36" s="4">
        <v>64708.52</v>
      </c>
      <c r="D36" s="4">
        <v>67802.960000000006</v>
      </c>
      <c r="E36" s="4">
        <v>-3094.44</v>
      </c>
      <c r="F36" s="3" t="e">
        <f>VLOOKUP(B36,'Profit &amp; Loss'!$B$2:$C$390,2,0)</f>
        <v>#N/A</v>
      </c>
    </row>
    <row r="37" spans="1:6" x14ac:dyDescent="0.2">
      <c r="A37" s="3" t="s">
        <v>43</v>
      </c>
      <c r="B37" s="3" t="s">
        <v>2</v>
      </c>
      <c r="C37" s="4">
        <v>353900.42</v>
      </c>
      <c r="D37" s="4">
        <v>204972.53</v>
      </c>
      <c r="E37" s="4">
        <v>148927.89000000001</v>
      </c>
      <c r="F37" s="3" t="e">
        <f>VLOOKUP(B37,'Profit &amp; Loss'!$B$2:$C$390,2,0)</f>
        <v>#N/A</v>
      </c>
    </row>
    <row r="38" spans="1:6" x14ac:dyDescent="0.2">
      <c r="A38" s="3" t="s">
        <v>44</v>
      </c>
      <c r="B38" s="3" t="s">
        <v>1440</v>
      </c>
      <c r="C38" s="4">
        <v>0</v>
      </c>
      <c r="D38" s="4">
        <v>89913.73</v>
      </c>
      <c r="E38" s="4">
        <v>-89913.73</v>
      </c>
      <c r="F38" s="3" t="e">
        <f>VLOOKUP(B38,'Profit &amp; Loss'!$B$2:$C$390,2,0)</f>
        <v>#N/A</v>
      </c>
    </row>
    <row r="39" spans="1:6" x14ac:dyDescent="0.2">
      <c r="A39" s="3" t="s">
        <v>44</v>
      </c>
      <c r="B39" s="3" t="s">
        <v>973</v>
      </c>
      <c r="C39" s="4">
        <v>-0.1</v>
      </c>
      <c r="D39" s="4">
        <v>-0.1</v>
      </c>
      <c r="E39" s="4">
        <v>0</v>
      </c>
      <c r="F39" s="3" t="e">
        <f>VLOOKUP(B39,'Profit &amp; Loss'!$B$2:$C$390,2,0)</f>
        <v>#N/A</v>
      </c>
    </row>
    <row r="40" spans="1:6" x14ac:dyDescent="0.2">
      <c r="A40" s="3" t="s">
        <v>44</v>
      </c>
      <c r="B40" s="3" t="s">
        <v>46</v>
      </c>
      <c r="C40" s="4">
        <v>601.42999999999995</v>
      </c>
      <c r="D40" s="4">
        <v>601.42999999999995</v>
      </c>
      <c r="E40" s="4">
        <v>0</v>
      </c>
      <c r="F40" s="3" t="e">
        <f>VLOOKUP(B40,'Profit &amp; Loss'!$B$2:$C$390,2,0)</f>
        <v>#N/A</v>
      </c>
    </row>
    <row r="41" spans="1:6" x14ac:dyDescent="0.2">
      <c r="A41" s="3" t="s">
        <v>44</v>
      </c>
      <c r="B41" s="3" t="s">
        <v>2</v>
      </c>
      <c r="C41" s="4">
        <v>601.33000000000004</v>
      </c>
      <c r="D41" s="4">
        <v>90515.06</v>
      </c>
      <c r="E41" s="4">
        <v>-89913.73</v>
      </c>
      <c r="F41" s="3" t="e">
        <f>VLOOKUP(B41,'Profit &amp; Loss'!$B$2:$C$390,2,0)</f>
        <v>#N/A</v>
      </c>
    </row>
    <row r="42" spans="1:6" x14ac:dyDescent="0.2">
      <c r="A42" s="3" t="s">
        <v>47</v>
      </c>
      <c r="B42" s="3" t="s">
        <v>48</v>
      </c>
      <c r="C42" s="4">
        <v>19362054.25</v>
      </c>
      <c r="D42" s="4">
        <v>20448943.149999999</v>
      </c>
      <c r="E42" s="4">
        <v>-1086888.8999999999</v>
      </c>
      <c r="F42" s="3" t="e">
        <f>VLOOKUP(B42,'Profit &amp; Loss'!$B$2:$C$390,2,0)</f>
        <v>#N/A</v>
      </c>
    </row>
    <row r="43" spans="1:6" x14ac:dyDescent="0.2">
      <c r="A43" s="3" t="s">
        <v>47</v>
      </c>
      <c r="B43" s="3" t="s">
        <v>599</v>
      </c>
      <c r="C43" s="4">
        <v>936.58</v>
      </c>
      <c r="D43" s="4">
        <v>0</v>
      </c>
      <c r="E43" s="4">
        <v>936.58</v>
      </c>
      <c r="F43" s="3" t="e">
        <f>VLOOKUP(B43,'Profit &amp; Loss'!$B$2:$C$390,2,0)</f>
        <v>#N/A</v>
      </c>
    </row>
    <row r="44" spans="1:6" x14ac:dyDescent="0.2">
      <c r="A44" s="3" t="s">
        <v>47</v>
      </c>
      <c r="B44" s="3" t="s">
        <v>49</v>
      </c>
      <c r="C44" s="4">
        <v>-151463.35999999999</v>
      </c>
      <c r="D44" s="4">
        <v>-152788.46</v>
      </c>
      <c r="E44" s="4">
        <v>1325.1</v>
      </c>
      <c r="F44" s="3" t="e">
        <f>VLOOKUP(B44,'Profit &amp; Loss'!$B$2:$C$390,2,0)</f>
        <v>#N/A</v>
      </c>
    </row>
    <row r="45" spans="1:6" x14ac:dyDescent="0.2">
      <c r="A45" s="3" t="s">
        <v>47</v>
      </c>
      <c r="B45" s="3" t="s">
        <v>50</v>
      </c>
      <c r="C45" s="4">
        <v>3183702.46</v>
      </c>
      <c r="D45" s="4">
        <v>3032188.6</v>
      </c>
      <c r="E45" s="4">
        <v>151513.85999999999</v>
      </c>
      <c r="F45" s="3" t="e">
        <f>VLOOKUP(B45,'Profit &amp; Loss'!$B$2:$C$390,2,0)</f>
        <v>#N/A</v>
      </c>
    </row>
    <row r="46" spans="1:6" x14ac:dyDescent="0.2">
      <c r="A46" s="3" t="s">
        <v>47</v>
      </c>
      <c r="B46" s="3" t="s">
        <v>51</v>
      </c>
      <c r="C46" s="4">
        <v>2768609.27</v>
      </c>
      <c r="D46" s="4">
        <v>4032664.93</v>
      </c>
      <c r="E46" s="4">
        <v>-1264055.6599999999</v>
      </c>
      <c r="F46" s="3" t="e">
        <f>VLOOKUP(B46,'Profit &amp; Loss'!$B$2:$C$390,2,0)</f>
        <v>#N/A</v>
      </c>
    </row>
    <row r="47" spans="1:6" x14ac:dyDescent="0.2">
      <c r="A47" s="3" t="s">
        <v>47</v>
      </c>
      <c r="B47" s="3" t="s">
        <v>52</v>
      </c>
      <c r="C47" s="4">
        <v>2543038.7999999998</v>
      </c>
      <c r="D47" s="4">
        <v>3187193.87</v>
      </c>
      <c r="E47" s="4">
        <v>-644155.06999999995</v>
      </c>
      <c r="F47" s="3" t="e">
        <f>VLOOKUP(B47,'Profit &amp; Loss'!$B$2:$C$390,2,0)</f>
        <v>#N/A</v>
      </c>
    </row>
    <row r="48" spans="1:6" x14ac:dyDescent="0.2">
      <c r="A48" s="3" t="s">
        <v>47</v>
      </c>
      <c r="B48" s="3" t="s">
        <v>53</v>
      </c>
      <c r="C48" s="4">
        <v>-268.06</v>
      </c>
      <c r="D48" s="4">
        <v>-73</v>
      </c>
      <c r="E48" s="4">
        <v>-195.06</v>
      </c>
      <c r="F48" s="3" t="e">
        <f>VLOOKUP(B48,'Profit &amp; Loss'!$B$2:$C$390,2,0)</f>
        <v>#N/A</v>
      </c>
    </row>
    <row r="49" spans="1:6" x14ac:dyDescent="0.2">
      <c r="A49" s="3" t="s">
        <v>47</v>
      </c>
      <c r="B49" s="3" t="s">
        <v>54</v>
      </c>
      <c r="C49" s="4">
        <v>25283.7</v>
      </c>
      <c r="D49" s="4">
        <v>33302.58</v>
      </c>
      <c r="E49" s="4">
        <v>-8018.88</v>
      </c>
      <c r="F49" s="3" t="e">
        <f>VLOOKUP(B49,'Profit &amp; Loss'!$B$2:$C$390,2,0)</f>
        <v>#N/A</v>
      </c>
    </row>
    <row r="50" spans="1:6" x14ac:dyDescent="0.2">
      <c r="A50" s="3" t="s">
        <v>47</v>
      </c>
      <c r="B50" s="3" t="s">
        <v>55</v>
      </c>
      <c r="C50" s="4">
        <v>-1510996.42</v>
      </c>
      <c r="D50" s="4">
        <v>-1494945.33</v>
      </c>
      <c r="E50" s="4">
        <v>-16051.09</v>
      </c>
      <c r="F50" s="3" t="e">
        <f>VLOOKUP(B50,'Profit &amp; Loss'!$B$2:$C$390,2,0)</f>
        <v>#N/A</v>
      </c>
    </row>
    <row r="51" spans="1:6" x14ac:dyDescent="0.2">
      <c r="A51" s="3" t="s">
        <v>47</v>
      </c>
      <c r="B51" s="3" t="s">
        <v>56</v>
      </c>
      <c r="C51" s="4">
        <v>-10068.92</v>
      </c>
      <c r="D51" s="4">
        <v>-10061.69</v>
      </c>
      <c r="E51" s="4">
        <v>-7.23</v>
      </c>
      <c r="F51" s="3" t="e">
        <f>VLOOKUP(B51,'Profit &amp; Loss'!$B$2:$C$390,2,0)</f>
        <v>#N/A</v>
      </c>
    </row>
    <row r="52" spans="1:6" x14ac:dyDescent="0.2">
      <c r="A52" s="3" t="s">
        <v>47</v>
      </c>
      <c r="B52" s="3" t="s">
        <v>57</v>
      </c>
      <c r="C52" s="4">
        <v>-26660.799999999999</v>
      </c>
      <c r="D52" s="4">
        <v>-26596.49</v>
      </c>
      <c r="E52" s="4">
        <v>-64.31</v>
      </c>
      <c r="F52" s="3" t="e">
        <f>VLOOKUP(B52,'Profit &amp; Loss'!$B$2:$C$390,2,0)</f>
        <v>#N/A</v>
      </c>
    </row>
    <row r="53" spans="1:6" x14ac:dyDescent="0.2">
      <c r="A53" s="3" t="s">
        <v>47</v>
      </c>
      <c r="B53" s="3" t="s">
        <v>58</v>
      </c>
      <c r="C53" s="4">
        <v>-14272.25</v>
      </c>
      <c r="D53" s="4">
        <v>-14272.25</v>
      </c>
      <c r="E53" s="4">
        <v>0</v>
      </c>
      <c r="F53" s="3" t="e">
        <f>VLOOKUP(B53,'Profit &amp; Loss'!$B$2:$C$390,2,0)</f>
        <v>#N/A</v>
      </c>
    </row>
    <row r="54" spans="1:6" x14ac:dyDescent="0.2">
      <c r="A54" s="3" t="s">
        <v>47</v>
      </c>
      <c r="B54" s="3" t="s">
        <v>2</v>
      </c>
      <c r="C54" s="4">
        <v>26169895.25</v>
      </c>
      <c r="D54" s="4">
        <v>29035555.91</v>
      </c>
      <c r="E54" s="4">
        <v>-2865660.66</v>
      </c>
      <c r="F54" s="3" t="e">
        <f>VLOOKUP(B54,'Profit &amp; Loss'!$B$2:$C$390,2,0)</f>
        <v>#N/A</v>
      </c>
    </row>
    <row r="55" spans="1:6" x14ac:dyDescent="0.2">
      <c r="A55" s="3" t="s">
        <v>59</v>
      </c>
      <c r="B55" s="3" t="s">
        <v>60</v>
      </c>
      <c r="C55" s="4">
        <v>420671.37</v>
      </c>
      <c r="D55" s="4">
        <v>319942.78000000003</v>
      </c>
      <c r="E55" s="4">
        <v>100728.59</v>
      </c>
      <c r="F55" s="3" t="e">
        <f>VLOOKUP(B55,'Profit &amp; Loss'!$B$2:$C$390,2,0)</f>
        <v>#N/A</v>
      </c>
    </row>
    <row r="56" spans="1:6" x14ac:dyDescent="0.2">
      <c r="A56" s="3" t="s">
        <v>59</v>
      </c>
      <c r="B56" s="3" t="s">
        <v>975</v>
      </c>
      <c r="C56" s="4">
        <v>100.78</v>
      </c>
      <c r="D56" s="4">
        <v>100.78</v>
      </c>
      <c r="E56" s="4">
        <v>0</v>
      </c>
      <c r="F56" s="3" t="e">
        <f>VLOOKUP(B56,'Profit &amp; Loss'!$B$2:$C$390,2,0)</f>
        <v>#N/A</v>
      </c>
    </row>
    <row r="57" spans="1:6" x14ac:dyDescent="0.2">
      <c r="A57" s="3" t="s">
        <v>59</v>
      </c>
      <c r="B57" s="3" t="s">
        <v>883</v>
      </c>
      <c r="C57" s="4">
        <v>400468.29</v>
      </c>
      <c r="D57" s="4">
        <v>196677.79</v>
      </c>
      <c r="E57" s="4">
        <v>203790.5</v>
      </c>
      <c r="F57" s="3" t="e">
        <f>VLOOKUP(B57,'Profit &amp; Loss'!$B$2:$C$390,2,0)</f>
        <v>#N/A</v>
      </c>
    </row>
    <row r="58" spans="1:6" x14ac:dyDescent="0.2">
      <c r="A58" s="3" t="s">
        <v>59</v>
      </c>
      <c r="B58" s="3" t="s">
        <v>61</v>
      </c>
      <c r="C58" s="4">
        <v>211.04</v>
      </c>
      <c r="D58" s="4">
        <v>287.89999999999998</v>
      </c>
      <c r="E58" s="4">
        <v>-76.86</v>
      </c>
      <c r="F58" s="3" t="e">
        <f>VLOOKUP(B58,'Profit &amp; Loss'!$B$2:$C$390,2,0)</f>
        <v>#N/A</v>
      </c>
    </row>
    <row r="59" spans="1:6" x14ac:dyDescent="0.2">
      <c r="A59" s="3" t="s">
        <v>59</v>
      </c>
      <c r="B59" s="3" t="s">
        <v>62</v>
      </c>
      <c r="C59" s="4">
        <v>217967.19</v>
      </c>
      <c r="D59" s="4">
        <v>224505.98</v>
      </c>
      <c r="E59" s="4">
        <v>-6538.79</v>
      </c>
      <c r="F59" s="3" t="e">
        <f>VLOOKUP(B59,'Profit &amp; Loss'!$B$2:$C$390,2,0)</f>
        <v>#N/A</v>
      </c>
    </row>
    <row r="60" spans="1:6" x14ac:dyDescent="0.2">
      <c r="A60" s="3" t="s">
        <v>59</v>
      </c>
      <c r="B60" s="3" t="s">
        <v>63</v>
      </c>
      <c r="C60" s="4">
        <v>47911.35</v>
      </c>
      <c r="D60" s="4">
        <v>65944.52</v>
      </c>
      <c r="E60" s="4">
        <v>-18033.169999999998</v>
      </c>
      <c r="F60" s="3" t="e">
        <f>VLOOKUP(B60,'Profit &amp; Loss'!$B$2:$C$390,2,0)</f>
        <v>#N/A</v>
      </c>
    </row>
    <row r="61" spans="1:6" x14ac:dyDescent="0.2">
      <c r="A61" s="3" t="s">
        <v>59</v>
      </c>
      <c r="B61" s="3" t="s">
        <v>64</v>
      </c>
      <c r="C61" s="4">
        <v>522.05999999999995</v>
      </c>
      <c r="D61" s="4">
        <v>730.52</v>
      </c>
      <c r="E61" s="4">
        <v>-208.46</v>
      </c>
      <c r="F61" s="3" t="e">
        <f>VLOOKUP(B61,'Profit &amp; Loss'!$B$2:$C$390,2,0)</f>
        <v>#N/A</v>
      </c>
    </row>
    <row r="62" spans="1:6" x14ac:dyDescent="0.2">
      <c r="A62" s="3" t="s">
        <v>59</v>
      </c>
      <c r="B62" s="3" t="s">
        <v>2</v>
      </c>
      <c r="C62" s="4">
        <v>1087852.08</v>
      </c>
      <c r="D62" s="4">
        <v>808190.27</v>
      </c>
      <c r="E62" s="4">
        <v>279661.81</v>
      </c>
      <c r="F62" s="3" t="e">
        <f>VLOOKUP(B62,'Profit &amp; Loss'!$B$2:$C$390,2,0)</f>
        <v>#N/A</v>
      </c>
    </row>
    <row r="63" spans="1:6" x14ac:dyDescent="0.2">
      <c r="A63" s="3" t="s">
        <v>65</v>
      </c>
      <c r="B63" s="3" t="s">
        <v>2</v>
      </c>
      <c r="C63" s="4">
        <v>27258348.66</v>
      </c>
      <c r="D63" s="4">
        <v>29934261.239999998</v>
      </c>
      <c r="E63" s="4">
        <v>-2675912.58</v>
      </c>
      <c r="F63" s="3" t="e">
        <f>VLOOKUP(B63,'Profit &amp; Loss'!$B$2:$C$390,2,0)</f>
        <v>#N/A</v>
      </c>
    </row>
    <row r="64" spans="1:6" x14ac:dyDescent="0.2">
      <c r="A64" s="3" t="s">
        <v>66</v>
      </c>
      <c r="B64" s="3" t="s">
        <v>67</v>
      </c>
      <c r="C64" s="4">
        <v>-6135.39</v>
      </c>
      <c r="D64" s="4">
        <v>-6135.39</v>
      </c>
      <c r="E64" s="4">
        <v>0</v>
      </c>
      <c r="F64" s="3" t="e">
        <f>VLOOKUP(B64,'Profit &amp; Loss'!$B$2:$C$390,2,0)</f>
        <v>#N/A</v>
      </c>
    </row>
    <row r="65" spans="1:6" x14ac:dyDescent="0.2">
      <c r="A65" s="3" t="s">
        <v>66</v>
      </c>
      <c r="B65" s="3" t="s">
        <v>68</v>
      </c>
      <c r="C65" s="4">
        <v>5717.8</v>
      </c>
      <c r="D65" s="4">
        <v>6294.51</v>
      </c>
      <c r="E65" s="4">
        <v>-576.71</v>
      </c>
      <c r="F65" s="3" t="e">
        <f>VLOOKUP(B65,'Profit &amp; Loss'!$B$2:$C$390,2,0)</f>
        <v>#N/A</v>
      </c>
    </row>
    <row r="66" spans="1:6" x14ac:dyDescent="0.2">
      <c r="A66" s="3" t="s">
        <v>66</v>
      </c>
      <c r="B66" s="3" t="s">
        <v>979</v>
      </c>
      <c r="C66" s="4">
        <v>6329.17</v>
      </c>
      <c r="D66" s="4">
        <v>6329.17</v>
      </c>
      <c r="E66" s="4">
        <v>0</v>
      </c>
      <c r="F66" s="3" t="e">
        <f>VLOOKUP(B66,'Profit &amp; Loss'!$B$2:$C$390,2,0)</f>
        <v>#N/A</v>
      </c>
    </row>
    <row r="67" spans="1:6" x14ac:dyDescent="0.2">
      <c r="A67" s="3" t="s">
        <v>66</v>
      </c>
      <c r="B67" s="3" t="s">
        <v>491</v>
      </c>
      <c r="C67" s="4">
        <v>2035.93</v>
      </c>
      <c r="D67" s="4">
        <v>96.18</v>
      </c>
      <c r="E67" s="4">
        <v>1939.75</v>
      </c>
      <c r="F67" s="3" t="e">
        <f>VLOOKUP(B67,'Profit &amp; Loss'!$B$2:$C$390,2,0)</f>
        <v>#N/A</v>
      </c>
    </row>
    <row r="68" spans="1:6" x14ac:dyDescent="0.2">
      <c r="A68" s="3" t="s">
        <v>66</v>
      </c>
      <c r="B68" s="3" t="s">
        <v>492</v>
      </c>
      <c r="C68" s="4">
        <v>-2.65</v>
      </c>
      <c r="D68" s="4">
        <v>0.33</v>
      </c>
      <c r="E68" s="4">
        <v>-2.98</v>
      </c>
      <c r="F68" s="3" t="e">
        <f>VLOOKUP(B68,'Profit &amp; Loss'!$B$2:$C$390,2,0)</f>
        <v>#N/A</v>
      </c>
    </row>
    <row r="69" spans="1:6" x14ac:dyDescent="0.2">
      <c r="A69" s="3" t="s">
        <v>66</v>
      </c>
      <c r="B69" s="3" t="s">
        <v>493</v>
      </c>
      <c r="C69" s="4">
        <v>-257.29000000000002</v>
      </c>
      <c r="D69" s="4">
        <v>0</v>
      </c>
      <c r="E69" s="4">
        <v>-257.29000000000002</v>
      </c>
      <c r="F69" s="3" t="e">
        <f>VLOOKUP(B69,'Profit &amp; Loss'!$B$2:$C$390,2,0)</f>
        <v>#N/A</v>
      </c>
    </row>
    <row r="70" spans="1:6" x14ac:dyDescent="0.2">
      <c r="A70" s="3" t="s">
        <v>66</v>
      </c>
      <c r="B70" s="3" t="s">
        <v>494</v>
      </c>
      <c r="C70" s="4">
        <v>0.14000000000000001</v>
      </c>
      <c r="D70" s="4">
        <v>0</v>
      </c>
      <c r="E70" s="4">
        <v>0.14000000000000001</v>
      </c>
      <c r="F70" s="3" t="e">
        <f>VLOOKUP(B70,'Profit &amp; Loss'!$B$2:$C$390,2,0)</f>
        <v>#N/A</v>
      </c>
    </row>
    <row r="71" spans="1:6" x14ac:dyDescent="0.2">
      <c r="A71" s="3" t="s">
        <v>66</v>
      </c>
      <c r="B71" s="3" t="s">
        <v>2</v>
      </c>
      <c r="C71" s="4">
        <v>7687.71</v>
      </c>
      <c r="D71" s="4">
        <v>6584.8</v>
      </c>
      <c r="E71" s="4">
        <v>1102.9100000000001</v>
      </c>
      <c r="F71" s="3" t="e">
        <f>VLOOKUP(B71,'Profit &amp; Loss'!$B$2:$C$390,2,0)</f>
        <v>#N/A</v>
      </c>
    </row>
    <row r="72" spans="1:6" x14ac:dyDescent="0.2">
      <c r="A72" s="3" t="s">
        <v>69</v>
      </c>
      <c r="B72" s="3" t="s">
        <v>2</v>
      </c>
      <c r="C72" s="4">
        <v>7687.71</v>
      </c>
      <c r="D72" s="4">
        <v>6584.8</v>
      </c>
      <c r="E72" s="4">
        <v>1102.9100000000001</v>
      </c>
      <c r="F72" s="3" t="e">
        <f>VLOOKUP(B72,'Profit &amp; Loss'!$B$2:$C$390,2,0)</f>
        <v>#N/A</v>
      </c>
    </row>
    <row r="73" spans="1:6" x14ac:dyDescent="0.2">
      <c r="A73" s="3" t="s">
        <v>70</v>
      </c>
      <c r="B73" s="3" t="s">
        <v>71</v>
      </c>
      <c r="C73" s="4">
        <v>359163.46</v>
      </c>
      <c r="D73" s="4">
        <v>359163.46</v>
      </c>
      <c r="E73" s="4">
        <v>0</v>
      </c>
      <c r="F73" s="3" t="e">
        <f>VLOOKUP(B73,'Profit &amp; Loss'!$B$2:$C$390,2,0)</f>
        <v>#N/A</v>
      </c>
    </row>
    <row r="74" spans="1:6" x14ac:dyDescent="0.2">
      <c r="A74" s="3" t="s">
        <v>70</v>
      </c>
      <c r="B74" s="3" t="s">
        <v>72</v>
      </c>
      <c r="C74" s="4">
        <v>-268185.25</v>
      </c>
      <c r="D74" s="4">
        <v>-267070.40999999997</v>
      </c>
      <c r="E74" s="4">
        <v>-1114.8399999999999</v>
      </c>
      <c r="F74" s="3" t="e">
        <f>VLOOKUP(B74,'Profit &amp; Loss'!$B$2:$C$390,2,0)</f>
        <v>#N/A</v>
      </c>
    </row>
    <row r="75" spans="1:6" x14ac:dyDescent="0.2">
      <c r="A75" s="3" t="s">
        <v>70</v>
      </c>
      <c r="B75" s="3" t="s">
        <v>2</v>
      </c>
      <c r="C75" s="4">
        <v>90978.21</v>
      </c>
      <c r="D75" s="4">
        <v>92093.05</v>
      </c>
      <c r="E75" s="4">
        <v>-1114.8399999999999</v>
      </c>
      <c r="F75" s="3" t="e">
        <f>VLOOKUP(B75,'Profit &amp; Loss'!$B$2:$C$390,2,0)</f>
        <v>#N/A</v>
      </c>
    </row>
    <row r="76" spans="1:6" x14ac:dyDescent="0.2">
      <c r="A76" s="3" t="s">
        <v>73</v>
      </c>
      <c r="B76" s="3" t="s">
        <v>74</v>
      </c>
      <c r="C76" s="4">
        <v>131302.1</v>
      </c>
      <c r="D76" s="4">
        <v>132848.63</v>
      </c>
      <c r="E76" s="4">
        <v>-1546.53</v>
      </c>
      <c r="F76" s="3" t="e">
        <f>VLOOKUP(B76,'Profit &amp; Loss'!$B$2:$C$390,2,0)</f>
        <v>#N/A</v>
      </c>
    </row>
    <row r="77" spans="1:6" x14ac:dyDescent="0.2">
      <c r="A77" s="3" t="s">
        <v>73</v>
      </c>
      <c r="B77" s="3" t="s">
        <v>75</v>
      </c>
      <c r="C77" s="4">
        <v>743103.57</v>
      </c>
      <c r="D77" s="4">
        <v>778877.58</v>
      </c>
      <c r="E77" s="4">
        <v>-35774.01</v>
      </c>
      <c r="F77" s="3" t="e">
        <f>VLOOKUP(B77,'Profit &amp; Loss'!$B$2:$C$390,2,0)</f>
        <v>#N/A</v>
      </c>
    </row>
    <row r="78" spans="1:6" x14ac:dyDescent="0.2">
      <c r="A78" s="3" t="s">
        <v>73</v>
      </c>
      <c r="B78" s="3" t="s">
        <v>76</v>
      </c>
      <c r="C78" s="4">
        <v>400273.05</v>
      </c>
      <c r="D78" s="4">
        <v>410484.64</v>
      </c>
      <c r="E78" s="4">
        <v>-10211.59</v>
      </c>
      <c r="F78" s="3" t="e">
        <f>VLOOKUP(B78,'Profit &amp; Loss'!$B$2:$C$390,2,0)</f>
        <v>#N/A</v>
      </c>
    </row>
    <row r="79" spans="1:6" x14ac:dyDescent="0.2">
      <c r="A79" s="3" t="s">
        <v>73</v>
      </c>
      <c r="B79" s="3" t="s">
        <v>77</v>
      </c>
      <c r="C79" s="4">
        <v>495.24</v>
      </c>
      <c r="D79" s="4">
        <v>495.24</v>
      </c>
      <c r="E79" s="4">
        <v>0</v>
      </c>
      <c r="F79" s="3" t="e">
        <f>VLOOKUP(B79,'Profit &amp; Loss'!$B$2:$C$390,2,0)</f>
        <v>#N/A</v>
      </c>
    </row>
    <row r="80" spans="1:6" x14ac:dyDescent="0.2">
      <c r="A80" s="3" t="s">
        <v>73</v>
      </c>
      <c r="B80" s="3" t="s">
        <v>78</v>
      </c>
      <c r="C80" s="4">
        <v>301135.59999999998</v>
      </c>
      <c r="D80" s="4">
        <v>318151.83</v>
      </c>
      <c r="E80" s="4">
        <v>-17016.23</v>
      </c>
      <c r="F80" s="3" t="e">
        <f>VLOOKUP(B80,'Profit &amp; Loss'!$B$2:$C$390,2,0)</f>
        <v>#N/A</v>
      </c>
    </row>
    <row r="81" spans="1:6" x14ac:dyDescent="0.2">
      <c r="A81" s="3" t="s">
        <v>73</v>
      </c>
      <c r="B81" s="3" t="s">
        <v>79</v>
      </c>
      <c r="C81" s="4">
        <v>-126448.03</v>
      </c>
      <c r="D81" s="4">
        <v>-127742.14</v>
      </c>
      <c r="E81" s="4">
        <v>1294.1099999999999</v>
      </c>
      <c r="F81" s="3" t="e">
        <f>VLOOKUP(B81,'Profit &amp; Loss'!$B$2:$C$390,2,0)</f>
        <v>#N/A</v>
      </c>
    </row>
    <row r="82" spans="1:6" x14ac:dyDescent="0.2">
      <c r="A82" s="3" t="s">
        <v>73</v>
      </c>
      <c r="B82" s="3" t="s">
        <v>80</v>
      </c>
      <c r="C82" s="4">
        <v>-436029.99</v>
      </c>
      <c r="D82" s="4">
        <v>-466352.27</v>
      </c>
      <c r="E82" s="4">
        <v>30322.28</v>
      </c>
      <c r="F82" s="3" t="e">
        <f>VLOOKUP(B82,'Profit &amp; Loss'!$B$2:$C$390,2,0)</f>
        <v>#N/A</v>
      </c>
    </row>
    <row r="83" spans="1:6" x14ac:dyDescent="0.2">
      <c r="A83" s="3" t="s">
        <v>73</v>
      </c>
      <c r="B83" s="3" t="s">
        <v>81</v>
      </c>
      <c r="C83" s="4">
        <v>-305641.7</v>
      </c>
      <c r="D83" s="4">
        <v>-312912.93</v>
      </c>
      <c r="E83" s="4">
        <v>7271.23</v>
      </c>
      <c r="F83" s="3" t="e">
        <f>VLOOKUP(B83,'Profit &amp; Loss'!$B$2:$C$390,2,0)</f>
        <v>#N/A</v>
      </c>
    </row>
    <row r="84" spans="1:6" x14ac:dyDescent="0.2">
      <c r="A84" s="3" t="s">
        <v>73</v>
      </c>
      <c r="B84" s="3" t="s">
        <v>82</v>
      </c>
      <c r="C84" s="4">
        <v>-495.24</v>
      </c>
      <c r="D84" s="4">
        <v>-495.24</v>
      </c>
      <c r="E84" s="4">
        <v>0</v>
      </c>
      <c r="F84" s="3" t="e">
        <f>VLOOKUP(B84,'Profit &amp; Loss'!$B$2:$C$390,2,0)</f>
        <v>#N/A</v>
      </c>
    </row>
    <row r="85" spans="1:6" x14ac:dyDescent="0.2">
      <c r="A85" s="3" t="s">
        <v>73</v>
      </c>
      <c r="B85" s="3" t="s">
        <v>83</v>
      </c>
      <c r="C85" s="4">
        <v>-202407.05</v>
      </c>
      <c r="D85" s="4">
        <v>-217100.17</v>
      </c>
      <c r="E85" s="4">
        <v>14693.12</v>
      </c>
      <c r="F85" s="3" t="e">
        <f>VLOOKUP(B85,'Profit &amp; Loss'!$B$2:$C$390,2,0)</f>
        <v>#N/A</v>
      </c>
    </row>
    <row r="86" spans="1:6" x14ac:dyDescent="0.2">
      <c r="A86" s="3" t="s">
        <v>73</v>
      </c>
      <c r="B86" s="3" t="s">
        <v>2</v>
      </c>
      <c r="C86" s="4">
        <v>505287.55</v>
      </c>
      <c r="D86" s="4">
        <v>516255.17</v>
      </c>
      <c r="E86" s="4">
        <v>-10967.62</v>
      </c>
      <c r="F86" s="3" t="e">
        <f>VLOOKUP(B86,'Profit &amp; Loss'!$B$2:$C$390,2,0)</f>
        <v>#N/A</v>
      </c>
    </row>
    <row r="87" spans="1:6" x14ac:dyDescent="0.2">
      <c r="A87" s="3" t="s">
        <v>84</v>
      </c>
      <c r="B87" s="3" t="s">
        <v>85</v>
      </c>
      <c r="C87" s="4">
        <v>19937714.68</v>
      </c>
      <c r="D87" s="4">
        <v>19408662.899999999</v>
      </c>
      <c r="E87" s="4">
        <v>529051.78</v>
      </c>
      <c r="F87" s="3" t="e">
        <f>VLOOKUP(B87,'Profit &amp; Loss'!$B$2:$C$390,2,0)</f>
        <v>#N/A</v>
      </c>
    </row>
    <row r="88" spans="1:6" x14ac:dyDescent="0.2">
      <c r="A88" s="3" t="s">
        <v>84</v>
      </c>
      <c r="B88" s="3" t="s">
        <v>86</v>
      </c>
      <c r="C88" s="4">
        <v>-7525549.8799999999</v>
      </c>
      <c r="D88" s="4">
        <v>-7315460.1699999999</v>
      </c>
      <c r="E88" s="4">
        <v>-210089.71</v>
      </c>
      <c r="F88" s="3" t="e">
        <f>VLOOKUP(B88,'Profit &amp; Loss'!$B$2:$C$390,2,0)</f>
        <v>#N/A</v>
      </c>
    </row>
    <row r="89" spans="1:6" x14ac:dyDescent="0.2">
      <c r="A89" s="3" t="s">
        <v>84</v>
      </c>
      <c r="B89" s="3" t="s">
        <v>2</v>
      </c>
      <c r="C89" s="4">
        <v>12412164.800000001</v>
      </c>
      <c r="D89" s="4">
        <v>12093202.73</v>
      </c>
      <c r="E89" s="4">
        <v>318962.07</v>
      </c>
      <c r="F89" s="3" t="e">
        <f>VLOOKUP(B89,'Profit &amp; Loss'!$B$2:$C$390,2,0)</f>
        <v>#N/A</v>
      </c>
    </row>
    <row r="90" spans="1:6" x14ac:dyDescent="0.2">
      <c r="A90" s="3" t="s">
        <v>87</v>
      </c>
      <c r="B90" s="3" t="s">
        <v>88</v>
      </c>
      <c r="C90" s="4">
        <v>103060.72</v>
      </c>
      <c r="D90" s="4">
        <v>103060.72</v>
      </c>
      <c r="E90" s="4">
        <v>0</v>
      </c>
      <c r="F90" s="3" t="e">
        <f>VLOOKUP(B90,'Profit &amp; Loss'!$B$2:$C$390,2,0)</f>
        <v>#N/A</v>
      </c>
    </row>
    <row r="91" spans="1:6" x14ac:dyDescent="0.2">
      <c r="A91" s="3" t="s">
        <v>87</v>
      </c>
      <c r="B91" s="3" t="s">
        <v>89</v>
      </c>
      <c r="C91" s="4">
        <v>708500.64</v>
      </c>
      <c r="D91" s="4">
        <v>655044.07999999996</v>
      </c>
      <c r="E91" s="4">
        <v>53456.56</v>
      </c>
      <c r="F91" s="3" t="e">
        <f>VLOOKUP(B91,'Profit &amp; Loss'!$B$2:$C$390,2,0)</f>
        <v>#N/A</v>
      </c>
    </row>
    <row r="92" spans="1:6" x14ac:dyDescent="0.2">
      <c r="A92" s="3" t="s">
        <v>87</v>
      </c>
      <c r="B92" s="3" t="s">
        <v>90</v>
      </c>
      <c r="C92" s="4">
        <v>-102338.13</v>
      </c>
      <c r="D92" s="4">
        <v>-102282.55</v>
      </c>
      <c r="E92" s="4">
        <v>-55.58</v>
      </c>
      <c r="F92" s="3" t="e">
        <f>VLOOKUP(B92,'Profit &amp; Loss'!$B$2:$C$390,2,0)</f>
        <v>#N/A</v>
      </c>
    </row>
    <row r="93" spans="1:6" x14ac:dyDescent="0.2">
      <c r="A93" s="3" t="s">
        <v>87</v>
      </c>
      <c r="B93" s="3" t="s">
        <v>91</v>
      </c>
      <c r="C93" s="4">
        <v>-684614.17</v>
      </c>
      <c r="D93" s="4">
        <v>-681428.33</v>
      </c>
      <c r="E93" s="4">
        <v>-3185.84</v>
      </c>
      <c r="F93" s="3" t="e">
        <f>VLOOKUP(B93,'Profit &amp; Loss'!$B$2:$C$390,2,0)</f>
        <v>#N/A</v>
      </c>
    </row>
    <row r="94" spans="1:6" x14ac:dyDescent="0.2">
      <c r="A94" s="3" t="s">
        <v>87</v>
      </c>
      <c r="B94" s="3" t="s">
        <v>2</v>
      </c>
      <c r="C94" s="4">
        <v>24609.06</v>
      </c>
      <c r="D94" s="4">
        <v>-25606.080000000002</v>
      </c>
      <c r="E94" s="4">
        <v>50215.14</v>
      </c>
      <c r="F94" s="3" t="e">
        <f>VLOOKUP(B94,'Profit &amp; Loss'!$B$2:$C$390,2,0)</f>
        <v>#N/A</v>
      </c>
    </row>
    <row r="95" spans="1:6" x14ac:dyDescent="0.2">
      <c r="A95" s="3" t="s">
        <v>92</v>
      </c>
      <c r="B95" s="3" t="s">
        <v>93</v>
      </c>
      <c r="C95" s="4">
        <v>9741.7000000000007</v>
      </c>
      <c r="D95" s="4">
        <v>9741.7000000000007</v>
      </c>
      <c r="E95" s="4">
        <v>0</v>
      </c>
      <c r="F95" s="3" t="e">
        <f>VLOOKUP(B95,'Profit &amp; Loss'!$B$2:$C$390,2,0)</f>
        <v>#N/A</v>
      </c>
    </row>
    <row r="96" spans="1:6" x14ac:dyDescent="0.2">
      <c r="A96" s="3" t="s">
        <v>92</v>
      </c>
      <c r="B96" s="3" t="s">
        <v>94</v>
      </c>
      <c r="C96" s="4">
        <v>255044.67</v>
      </c>
      <c r="D96" s="4">
        <v>255044.67</v>
      </c>
      <c r="E96" s="4">
        <v>0</v>
      </c>
      <c r="F96" s="3" t="e">
        <f>VLOOKUP(B96,'Profit &amp; Loss'!$B$2:$C$390,2,0)</f>
        <v>#N/A</v>
      </c>
    </row>
    <row r="97" spans="1:6" x14ac:dyDescent="0.2">
      <c r="A97" s="3" t="s">
        <v>92</v>
      </c>
      <c r="B97" s="3" t="s">
        <v>95</v>
      </c>
      <c r="C97" s="4">
        <v>-4700.07</v>
      </c>
      <c r="D97" s="4">
        <v>-4493.51</v>
      </c>
      <c r="E97" s="4">
        <v>-206.56</v>
      </c>
      <c r="F97" s="3" t="e">
        <f>VLOOKUP(B97,'Profit &amp; Loss'!$B$2:$C$390,2,0)</f>
        <v>#N/A</v>
      </c>
    </row>
    <row r="98" spans="1:6" x14ac:dyDescent="0.2">
      <c r="A98" s="3" t="s">
        <v>92</v>
      </c>
      <c r="B98" s="3" t="s">
        <v>96</v>
      </c>
      <c r="C98" s="4">
        <v>-197034.58</v>
      </c>
      <c r="D98" s="4">
        <v>-192642.88</v>
      </c>
      <c r="E98" s="4">
        <v>-4391.7</v>
      </c>
      <c r="F98" s="3" t="e">
        <f>VLOOKUP(B98,'Profit &amp; Loss'!$B$2:$C$390,2,0)</f>
        <v>#N/A</v>
      </c>
    </row>
    <row r="99" spans="1:6" x14ac:dyDescent="0.2">
      <c r="A99" s="3" t="s">
        <v>92</v>
      </c>
      <c r="B99" s="3" t="s">
        <v>2</v>
      </c>
      <c r="C99" s="4">
        <v>63051.72</v>
      </c>
      <c r="D99" s="4">
        <v>67649.98</v>
      </c>
      <c r="E99" s="4">
        <v>-4598.26</v>
      </c>
      <c r="F99" s="3" t="e">
        <f>VLOOKUP(B99,'Profit &amp; Loss'!$B$2:$C$390,2,0)</f>
        <v>#N/A</v>
      </c>
    </row>
    <row r="100" spans="1:6" x14ac:dyDescent="0.2">
      <c r="A100" s="3" t="s">
        <v>97</v>
      </c>
      <c r="B100" s="3" t="s">
        <v>98</v>
      </c>
      <c r="C100" s="4">
        <v>159522.06</v>
      </c>
      <c r="D100" s="4">
        <v>146144.09</v>
      </c>
      <c r="E100" s="4">
        <v>13377.97</v>
      </c>
      <c r="F100" s="3" t="e">
        <f>VLOOKUP(B100,'Profit &amp; Loss'!$B$2:$C$390,2,0)</f>
        <v>#N/A</v>
      </c>
    </row>
    <row r="101" spans="1:6" x14ac:dyDescent="0.2">
      <c r="A101" s="3" t="s">
        <v>97</v>
      </c>
      <c r="B101" s="3" t="s">
        <v>99</v>
      </c>
      <c r="C101" s="4">
        <v>-107168.41</v>
      </c>
      <c r="D101" s="4">
        <v>-94428.72</v>
      </c>
      <c r="E101" s="4">
        <v>-12739.69</v>
      </c>
      <c r="F101" s="3" t="e">
        <f>VLOOKUP(B101,'Profit &amp; Loss'!$B$2:$C$390,2,0)</f>
        <v>#N/A</v>
      </c>
    </row>
    <row r="102" spans="1:6" x14ac:dyDescent="0.2">
      <c r="A102" s="3" t="s">
        <v>97</v>
      </c>
      <c r="B102" s="3" t="s">
        <v>2</v>
      </c>
      <c r="C102" s="4">
        <v>52353.65</v>
      </c>
      <c r="D102" s="4">
        <v>51715.37</v>
      </c>
      <c r="E102" s="4">
        <v>638.28</v>
      </c>
      <c r="F102" s="3" t="e">
        <f>VLOOKUP(B102,'Profit &amp; Loss'!$B$2:$C$390,2,0)</f>
        <v>#N/A</v>
      </c>
    </row>
    <row r="103" spans="1:6" x14ac:dyDescent="0.2">
      <c r="A103" s="3" t="s">
        <v>100</v>
      </c>
      <c r="B103" s="3" t="s">
        <v>101</v>
      </c>
      <c r="C103" s="4">
        <v>124665.27</v>
      </c>
      <c r="D103" s="4">
        <v>126094.79</v>
      </c>
      <c r="E103" s="4">
        <v>-1429.52</v>
      </c>
      <c r="F103" s="3" t="e">
        <f>VLOOKUP(B103,'Profit &amp; Loss'!$B$2:$C$390,2,0)</f>
        <v>#N/A</v>
      </c>
    </row>
    <row r="104" spans="1:6" x14ac:dyDescent="0.2">
      <c r="A104" s="3" t="s">
        <v>100</v>
      </c>
      <c r="B104" s="3" t="s">
        <v>980</v>
      </c>
      <c r="C104" s="4">
        <v>99779.96</v>
      </c>
      <c r="D104" s="4">
        <v>99779.96</v>
      </c>
      <c r="E104" s="4">
        <v>0</v>
      </c>
      <c r="F104" s="3" t="e">
        <f>VLOOKUP(B104,'Profit &amp; Loss'!$B$2:$C$390,2,0)</f>
        <v>#N/A</v>
      </c>
    </row>
    <row r="105" spans="1:6" x14ac:dyDescent="0.2">
      <c r="A105" s="3" t="s">
        <v>100</v>
      </c>
      <c r="B105" s="3" t="s">
        <v>102</v>
      </c>
      <c r="C105" s="4">
        <v>-108862.56</v>
      </c>
      <c r="D105" s="4">
        <v>-109630.26</v>
      </c>
      <c r="E105" s="4">
        <v>767.7</v>
      </c>
      <c r="F105" s="3" t="e">
        <f>VLOOKUP(B105,'Profit &amp; Loss'!$B$2:$C$390,2,0)</f>
        <v>#N/A</v>
      </c>
    </row>
    <row r="106" spans="1:6" x14ac:dyDescent="0.2">
      <c r="A106" s="3" t="s">
        <v>100</v>
      </c>
      <c r="B106" s="3" t="s">
        <v>981</v>
      </c>
      <c r="C106" s="4">
        <v>-99779.96</v>
      </c>
      <c r="D106" s="4">
        <v>-99779.96</v>
      </c>
      <c r="E106" s="4">
        <v>0</v>
      </c>
      <c r="F106" s="3" t="e">
        <f>VLOOKUP(B106,'Profit &amp; Loss'!$B$2:$C$390,2,0)</f>
        <v>#N/A</v>
      </c>
    </row>
    <row r="107" spans="1:6" x14ac:dyDescent="0.2">
      <c r="A107" s="3" t="s">
        <v>100</v>
      </c>
      <c r="B107" s="3" t="s">
        <v>2</v>
      </c>
      <c r="C107" s="4">
        <v>15802.71</v>
      </c>
      <c r="D107" s="4">
        <v>16464.53</v>
      </c>
      <c r="E107" s="4">
        <v>-661.82</v>
      </c>
      <c r="F107" s="3" t="e">
        <f>VLOOKUP(B107,'Profit &amp; Loss'!$B$2:$C$390,2,0)</f>
        <v>#N/A</v>
      </c>
    </row>
    <row r="108" spans="1:6" x14ac:dyDescent="0.2">
      <c r="A108" s="3" t="s">
        <v>103</v>
      </c>
      <c r="B108" s="3" t="s">
        <v>2</v>
      </c>
      <c r="C108" s="4">
        <v>13164247.699999999</v>
      </c>
      <c r="D108" s="4">
        <v>12811774.75</v>
      </c>
      <c r="E108" s="4">
        <v>352472.95</v>
      </c>
      <c r="F108" s="3" t="e">
        <f>VLOOKUP(B108,'Profit &amp; Loss'!$B$2:$C$390,2,0)</f>
        <v>#N/A</v>
      </c>
    </row>
    <row r="109" spans="1:6" x14ac:dyDescent="0.2">
      <c r="A109" s="3" t="s">
        <v>104</v>
      </c>
      <c r="B109" s="3" t="s">
        <v>105</v>
      </c>
      <c r="C109" s="4">
        <v>2811368.31</v>
      </c>
      <c r="D109" s="4">
        <v>2811368.31</v>
      </c>
      <c r="E109" s="4">
        <v>0</v>
      </c>
      <c r="F109" s="3" t="e">
        <f>VLOOKUP(B109,'Profit &amp; Loss'!$B$2:$C$390,2,0)</f>
        <v>#N/A</v>
      </c>
    </row>
    <row r="110" spans="1:6" x14ac:dyDescent="0.2">
      <c r="A110" s="3" t="s">
        <v>104</v>
      </c>
      <c r="B110" s="3" t="s">
        <v>106</v>
      </c>
      <c r="C110" s="4">
        <v>834500.42</v>
      </c>
      <c r="D110" s="4">
        <v>834500.42</v>
      </c>
      <c r="E110" s="4">
        <v>0</v>
      </c>
      <c r="F110" s="3" t="e">
        <f>VLOOKUP(B110,'Profit &amp; Loss'!$B$2:$C$390,2,0)</f>
        <v>#N/A</v>
      </c>
    </row>
    <row r="111" spans="1:6" x14ac:dyDescent="0.2">
      <c r="A111" s="3" t="s">
        <v>104</v>
      </c>
      <c r="B111" s="3" t="s">
        <v>107</v>
      </c>
      <c r="C111" s="4">
        <v>-2753179.77</v>
      </c>
      <c r="D111" s="4">
        <v>-2694991.3</v>
      </c>
      <c r="E111" s="4">
        <v>-58188.47</v>
      </c>
      <c r="F111" s="3" t="e">
        <f>VLOOKUP(B111,'Profit &amp; Loss'!$B$2:$C$390,2,0)</f>
        <v>#N/A</v>
      </c>
    </row>
    <row r="112" spans="1:6" x14ac:dyDescent="0.2">
      <c r="A112" s="3" t="s">
        <v>104</v>
      </c>
      <c r="B112" s="3" t="s">
        <v>108</v>
      </c>
      <c r="C112" s="4">
        <v>-659791.57999999996</v>
      </c>
      <c r="D112" s="4">
        <v>-645457.31000000006</v>
      </c>
      <c r="E112" s="4">
        <v>-14334.27</v>
      </c>
      <c r="F112" s="3" t="e">
        <f>VLOOKUP(B112,'Profit &amp; Loss'!$B$2:$C$390,2,0)</f>
        <v>#N/A</v>
      </c>
    </row>
    <row r="113" spans="1:6" x14ac:dyDescent="0.2">
      <c r="A113" s="3" t="s">
        <v>104</v>
      </c>
      <c r="B113" s="3" t="s">
        <v>109</v>
      </c>
      <c r="C113" s="4">
        <v>-80257.42</v>
      </c>
      <c r="D113" s="4">
        <v>-80257.42</v>
      </c>
      <c r="E113" s="4">
        <v>0</v>
      </c>
      <c r="F113" s="3" t="e">
        <f>VLOOKUP(B113,'Profit &amp; Loss'!$B$2:$C$390,2,0)</f>
        <v>#N/A</v>
      </c>
    </row>
    <row r="114" spans="1:6" x14ac:dyDescent="0.2">
      <c r="A114" s="3" t="s">
        <v>104</v>
      </c>
      <c r="B114" s="3" t="s">
        <v>110</v>
      </c>
      <c r="C114" s="4">
        <v>11976.55</v>
      </c>
      <c r="D114" s="4">
        <v>11976.55</v>
      </c>
      <c r="E114" s="4">
        <v>0</v>
      </c>
      <c r="F114" s="3" t="e">
        <f>VLOOKUP(B114,'Profit &amp; Loss'!$B$2:$C$390,2,0)</f>
        <v>#N/A</v>
      </c>
    </row>
    <row r="115" spans="1:6" x14ac:dyDescent="0.2">
      <c r="A115" s="3" t="s">
        <v>104</v>
      </c>
      <c r="B115" s="3" t="s">
        <v>111</v>
      </c>
      <c r="C115" s="4">
        <v>10624.89</v>
      </c>
      <c r="D115" s="4">
        <v>10624.89</v>
      </c>
      <c r="E115" s="4">
        <v>0</v>
      </c>
      <c r="F115" s="3" t="e">
        <f>VLOOKUP(B115,'Profit &amp; Loss'!$B$2:$C$390,2,0)</f>
        <v>#N/A</v>
      </c>
    </row>
    <row r="116" spans="1:6" x14ac:dyDescent="0.2">
      <c r="A116" s="3" t="s">
        <v>104</v>
      </c>
      <c r="B116" s="3" t="s">
        <v>2</v>
      </c>
      <c r="C116" s="4">
        <v>175241.4</v>
      </c>
      <c r="D116" s="4">
        <v>247764.14</v>
      </c>
      <c r="E116" s="4">
        <v>-72522.740000000005</v>
      </c>
      <c r="F116" s="3" t="e">
        <f>VLOOKUP(B116,'Profit &amp; Loss'!$B$2:$C$390,2,0)</f>
        <v>#N/A</v>
      </c>
    </row>
    <row r="117" spans="1:6" x14ac:dyDescent="0.2">
      <c r="A117" s="3" t="s">
        <v>112</v>
      </c>
      <c r="B117" s="3" t="s">
        <v>2</v>
      </c>
      <c r="C117" s="4">
        <v>175241.4</v>
      </c>
      <c r="D117" s="4">
        <v>247764.14</v>
      </c>
      <c r="E117" s="4">
        <v>-72522.740000000005</v>
      </c>
      <c r="F117" s="3" t="e">
        <f>VLOOKUP(B117,'Profit &amp; Loss'!$B$2:$C$390,2,0)</f>
        <v>#N/A</v>
      </c>
    </row>
    <row r="118" spans="1:6" x14ac:dyDescent="0.2">
      <c r="A118" s="3" t="s">
        <v>0</v>
      </c>
      <c r="B118" s="3" t="s">
        <v>113</v>
      </c>
      <c r="C118" s="4">
        <v>68014670.400000006</v>
      </c>
      <c r="D118" s="4">
        <v>66493147.090000004</v>
      </c>
      <c r="E118" s="4">
        <v>1521523.31</v>
      </c>
      <c r="F118" s="3" t="e">
        <f>VLOOKUP(B118,'Profit &amp; Loss'!$B$2:$C$390,2,0)</f>
        <v>#N/A</v>
      </c>
    </row>
    <row r="119" spans="1:6" x14ac:dyDescent="0.2">
      <c r="A119" s="3" t="s">
        <v>0</v>
      </c>
      <c r="B119" s="5" t="s">
        <v>114</v>
      </c>
      <c r="C119" s="4">
        <v>0</v>
      </c>
      <c r="D119" s="4">
        <v>0</v>
      </c>
      <c r="E119" s="4">
        <v>0</v>
      </c>
      <c r="F119" s="3" t="e">
        <f>VLOOKUP(B119,'Profit &amp; Loss'!$B$2:$C$390,2,0)</f>
        <v>#N/A</v>
      </c>
    </row>
    <row r="120" spans="1:6" x14ac:dyDescent="0.2">
      <c r="A120" s="3" t="s">
        <v>115</v>
      </c>
      <c r="B120" s="3" t="s">
        <v>116</v>
      </c>
      <c r="C120" s="4">
        <v>0</v>
      </c>
      <c r="D120" s="4">
        <v>0</v>
      </c>
      <c r="E120" s="4">
        <v>0</v>
      </c>
      <c r="F120" s="3" t="e">
        <f>VLOOKUP(B120,'Profit &amp; Loss'!$B$2:$C$390,2,0)</f>
        <v>#N/A</v>
      </c>
    </row>
    <row r="121" spans="1:6" x14ac:dyDescent="0.2">
      <c r="A121" s="3" t="s">
        <v>115</v>
      </c>
      <c r="B121" s="5" t="s">
        <v>117</v>
      </c>
      <c r="C121" s="4">
        <v>0</v>
      </c>
      <c r="D121" s="4">
        <v>0</v>
      </c>
      <c r="E121" s="4">
        <v>0</v>
      </c>
      <c r="F121" s="3" t="e">
        <f>VLOOKUP(B121,'Profit &amp; Loss'!$B$2:$C$390,2,0)</f>
        <v>#N/A</v>
      </c>
    </row>
    <row r="122" spans="1:6" x14ac:dyDescent="0.2">
      <c r="A122" s="3" t="s">
        <v>118</v>
      </c>
      <c r="B122" s="3" t="s">
        <v>119</v>
      </c>
      <c r="C122" s="4">
        <v>-95213.11</v>
      </c>
      <c r="D122" s="4">
        <v>-62336.15</v>
      </c>
      <c r="E122" s="4">
        <v>-32876.959999999999</v>
      </c>
      <c r="F122" s="3" t="e">
        <f>VLOOKUP(B122,'Profit &amp; Loss'!$B$2:$C$390,2,0)</f>
        <v>#N/A</v>
      </c>
    </row>
    <row r="123" spans="1:6" x14ac:dyDescent="0.2">
      <c r="A123" s="3" t="s">
        <v>118</v>
      </c>
      <c r="B123" s="3" t="s">
        <v>120</v>
      </c>
      <c r="C123" s="4">
        <v>758.58</v>
      </c>
      <c r="D123" s="4">
        <v>41.13</v>
      </c>
      <c r="E123" s="4">
        <v>717.45</v>
      </c>
      <c r="F123" s="3" t="e">
        <f>VLOOKUP(B123,'Profit &amp; Loss'!$B$2:$C$390,2,0)</f>
        <v>#N/A</v>
      </c>
    </row>
    <row r="124" spans="1:6" x14ac:dyDescent="0.2">
      <c r="A124" s="3" t="s">
        <v>118</v>
      </c>
      <c r="B124" s="3" t="s">
        <v>982</v>
      </c>
      <c r="C124" s="4">
        <v>0</v>
      </c>
      <c r="D124" s="4">
        <v>-96.15</v>
      </c>
      <c r="E124" s="4">
        <v>96.15</v>
      </c>
      <c r="F124" s="3" t="e">
        <f>VLOOKUP(B124,'Profit &amp; Loss'!$B$2:$C$390,2,0)</f>
        <v>#N/A</v>
      </c>
    </row>
    <row r="125" spans="1:6" x14ac:dyDescent="0.2">
      <c r="A125" s="3" t="s">
        <v>118</v>
      </c>
      <c r="B125" s="3" t="s">
        <v>983</v>
      </c>
      <c r="C125" s="4">
        <v>0</v>
      </c>
      <c r="D125" s="4">
        <v>1.48</v>
      </c>
      <c r="E125" s="4">
        <v>-1.48</v>
      </c>
      <c r="F125" s="3" t="e">
        <f>VLOOKUP(B125,'Profit &amp; Loss'!$B$2:$C$390,2,0)</f>
        <v>#N/A</v>
      </c>
    </row>
    <row r="126" spans="1:6" x14ac:dyDescent="0.2">
      <c r="A126" s="3" t="s">
        <v>118</v>
      </c>
      <c r="B126" s="3" t="s">
        <v>2</v>
      </c>
      <c r="C126" s="4">
        <v>-94454.53</v>
      </c>
      <c r="D126" s="4">
        <v>-62389.69</v>
      </c>
      <c r="E126" s="4">
        <v>-32064.84</v>
      </c>
      <c r="F126" s="3" t="e">
        <f>VLOOKUP(B126,'Profit &amp; Loss'!$B$2:$C$390,2,0)</f>
        <v>#N/A</v>
      </c>
    </row>
    <row r="127" spans="1:6" x14ac:dyDescent="0.2">
      <c r="A127" s="3" t="s">
        <v>121</v>
      </c>
      <c r="B127" s="3" t="s">
        <v>2</v>
      </c>
      <c r="C127" s="4">
        <v>-94454.53</v>
      </c>
      <c r="D127" s="4">
        <v>-62389.69</v>
      </c>
      <c r="E127" s="4">
        <v>-32064.84</v>
      </c>
      <c r="F127" s="3" t="e">
        <f>VLOOKUP(B127,'Profit &amp; Loss'!$B$2:$C$390,2,0)</f>
        <v>#N/A</v>
      </c>
    </row>
    <row r="128" spans="1:6" x14ac:dyDescent="0.2">
      <c r="A128" s="3" t="s">
        <v>122</v>
      </c>
      <c r="B128" s="3" t="s">
        <v>123</v>
      </c>
      <c r="C128" s="4">
        <v>-220094.66</v>
      </c>
      <c r="D128" s="4">
        <v>-284440.7</v>
      </c>
      <c r="E128" s="4">
        <v>64346.04</v>
      </c>
      <c r="F128" s="3" t="e">
        <f>VLOOKUP(B128,'Profit &amp; Loss'!$B$2:$C$390,2,0)</f>
        <v>#N/A</v>
      </c>
    </row>
    <row r="129" spans="1:6" x14ac:dyDescent="0.2">
      <c r="A129" s="3" t="s">
        <v>122</v>
      </c>
      <c r="B129" s="3" t="s">
        <v>124</v>
      </c>
      <c r="C129" s="4">
        <v>1205.58</v>
      </c>
      <c r="D129" s="4">
        <v>302.27999999999997</v>
      </c>
      <c r="E129" s="4">
        <v>903.3</v>
      </c>
      <c r="F129" s="3" t="e">
        <f>VLOOKUP(B129,'Profit &amp; Loss'!$B$2:$C$390,2,0)</f>
        <v>#N/A</v>
      </c>
    </row>
    <row r="130" spans="1:6" x14ac:dyDescent="0.2">
      <c r="A130" s="3" t="s">
        <v>122</v>
      </c>
      <c r="B130" s="3" t="s">
        <v>125</v>
      </c>
      <c r="C130" s="4">
        <v>269.45</v>
      </c>
      <c r="D130" s="4">
        <v>0</v>
      </c>
      <c r="E130" s="4">
        <v>269.45</v>
      </c>
      <c r="F130" s="3" t="e">
        <f>VLOOKUP(B130,'Profit &amp; Loss'!$B$2:$C$390,2,0)</f>
        <v>#N/A</v>
      </c>
    </row>
    <row r="131" spans="1:6" x14ac:dyDescent="0.2">
      <c r="A131" s="3" t="s">
        <v>122</v>
      </c>
      <c r="B131" s="3" t="s">
        <v>126</v>
      </c>
      <c r="C131" s="4">
        <v>2649661.4700000002</v>
      </c>
      <c r="D131" s="4">
        <v>3280849.48</v>
      </c>
      <c r="E131" s="4">
        <v>-631188.01</v>
      </c>
      <c r="F131" s="3" t="e">
        <f>VLOOKUP(B131,'Profit &amp; Loss'!$B$2:$C$390,2,0)</f>
        <v>#N/A</v>
      </c>
    </row>
    <row r="132" spans="1:6" x14ac:dyDescent="0.2">
      <c r="A132" s="3" t="s">
        <v>122</v>
      </c>
      <c r="B132" s="3" t="s">
        <v>127</v>
      </c>
      <c r="C132" s="4">
        <v>-468.53</v>
      </c>
      <c r="D132" s="4">
        <v>117.9</v>
      </c>
      <c r="E132" s="4">
        <v>-586.42999999999995</v>
      </c>
      <c r="F132" s="3" t="e">
        <f>VLOOKUP(B132,'Profit &amp; Loss'!$B$2:$C$390,2,0)</f>
        <v>#N/A</v>
      </c>
    </row>
    <row r="133" spans="1:6" x14ac:dyDescent="0.2">
      <c r="A133" s="3" t="s">
        <v>122</v>
      </c>
      <c r="B133" s="3" t="s">
        <v>128</v>
      </c>
      <c r="C133" s="4">
        <v>7784.27</v>
      </c>
      <c r="D133" s="4">
        <v>17186.95</v>
      </c>
      <c r="E133" s="4">
        <v>-9402.68</v>
      </c>
      <c r="F133" s="3" t="e">
        <f>VLOOKUP(B133,'Profit &amp; Loss'!$B$2:$C$390,2,0)</f>
        <v>#N/A</v>
      </c>
    </row>
    <row r="134" spans="1:6" x14ac:dyDescent="0.2">
      <c r="A134" s="3" t="s">
        <v>122</v>
      </c>
      <c r="B134" s="3" t="s">
        <v>129</v>
      </c>
      <c r="C134" s="4">
        <v>-2649661.4700000002</v>
      </c>
      <c r="D134" s="4">
        <v>-3280849.48</v>
      </c>
      <c r="E134" s="4">
        <v>631188.01</v>
      </c>
      <c r="F134" s="3" t="e">
        <f>VLOOKUP(B134,'Profit &amp; Loss'!$B$2:$C$390,2,0)</f>
        <v>#N/A</v>
      </c>
    </row>
    <row r="135" spans="1:6" x14ac:dyDescent="0.2">
      <c r="A135" s="3" t="s">
        <v>122</v>
      </c>
      <c r="B135" s="3" t="s">
        <v>130</v>
      </c>
      <c r="C135" s="4">
        <v>468.53</v>
      </c>
      <c r="D135" s="4">
        <v>-117.9</v>
      </c>
      <c r="E135" s="4">
        <v>586.42999999999995</v>
      </c>
      <c r="F135" s="3" t="e">
        <f>VLOOKUP(B135,'Profit &amp; Loss'!$B$2:$C$390,2,0)</f>
        <v>#N/A</v>
      </c>
    </row>
    <row r="136" spans="1:6" x14ac:dyDescent="0.2">
      <c r="A136" s="3" t="s">
        <v>122</v>
      </c>
      <c r="B136" s="3" t="s">
        <v>131</v>
      </c>
      <c r="C136" s="4">
        <v>-7784.27</v>
      </c>
      <c r="D136" s="4">
        <v>-17186.95</v>
      </c>
      <c r="E136" s="4">
        <v>9402.68</v>
      </c>
      <c r="F136" s="3" t="e">
        <f>VLOOKUP(B136,'Profit &amp; Loss'!$B$2:$C$390,2,0)</f>
        <v>#N/A</v>
      </c>
    </row>
    <row r="137" spans="1:6" x14ac:dyDescent="0.2">
      <c r="A137" s="3" t="s">
        <v>122</v>
      </c>
      <c r="B137" s="3" t="s">
        <v>132</v>
      </c>
      <c r="C137" s="4">
        <v>-19666.599999999999</v>
      </c>
      <c r="D137" s="4">
        <v>-14817.2</v>
      </c>
      <c r="E137" s="4">
        <v>-4849.3999999999996</v>
      </c>
      <c r="F137" s="3" t="e">
        <f>VLOOKUP(B137,'Profit &amp; Loss'!$B$2:$C$390,2,0)</f>
        <v>#N/A</v>
      </c>
    </row>
    <row r="138" spans="1:6" x14ac:dyDescent="0.2">
      <c r="A138" s="3" t="s">
        <v>122</v>
      </c>
      <c r="B138" s="3" t="s">
        <v>133</v>
      </c>
      <c r="C138" s="4">
        <v>8228.49</v>
      </c>
      <c r="D138" s="4">
        <v>9055.2900000000009</v>
      </c>
      <c r="E138" s="4">
        <v>-826.8</v>
      </c>
      <c r="F138" s="3" t="e">
        <f>VLOOKUP(B138,'Profit &amp; Loss'!$B$2:$C$390,2,0)</f>
        <v>#N/A</v>
      </c>
    </row>
    <row r="139" spans="1:6" x14ac:dyDescent="0.2">
      <c r="A139" s="3" t="s">
        <v>122</v>
      </c>
      <c r="B139" s="3" t="s">
        <v>134</v>
      </c>
      <c r="C139" s="4">
        <v>-3678.81</v>
      </c>
      <c r="D139" s="4">
        <v>-1489.81</v>
      </c>
      <c r="E139" s="4">
        <v>-2189</v>
      </c>
      <c r="F139" s="3" t="e">
        <f>VLOOKUP(B139,'Profit &amp; Loss'!$B$2:$C$390,2,0)</f>
        <v>#N/A</v>
      </c>
    </row>
    <row r="140" spans="1:6" x14ac:dyDescent="0.2">
      <c r="A140" s="3" t="s">
        <v>122</v>
      </c>
      <c r="B140" s="3" t="s">
        <v>135</v>
      </c>
      <c r="C140" s="4">
        <v>3678.81</v>
      </c>
      <c r="D140" s="4">
        <v>1489.81</v>
      </c>
      <c r="E140" s="4">
        <v>2189</v>
      </c>
      <c r="F140" s="3" t="e">
        <f>VLOOKUP(B140,'Profit &amp; Loss'!$B$2:$C$390,2,0)</f>
        <v>#N/A</v>
      </c>
    </row>
    <row r="141" spans="1:6" x14ac:dyDescent="0.2">
      <c r="A141" s="3" t="s">
        <v>122</v>
      </c>
      <c r="B141" s="3" t="s">
        <v>136</v>
      </c>
      <c r="C141" s="4">
        <v>-36005.730000000003</v>
      </c>
      <c r="D141" s="4">
        <v>-30271.74</v>
      </c>
      <c r="E141" s="4">
        <v>-5733.99</v>
      </c>
      <c r="F141" s="3" t="e">
        <f>VLOOKUP(B141,'Profit &amp; Loss'!$B$2:$C$390,2,0)</f>
        <v>#N/A</v>
      </c>
    </row>
    <row r="142" spans="1:6" x14ac:dyDescent="0.2">
      <c r="A142" s="3" t="s">
        <v>122</v>
      </c>
      <c r="B142" s="3" t="s">
        <v>137</v>
      </c>
      <c r="C142" s="4">
        <v>34312.949999999997</v>
      </c>
      <c r="D142" s="4">
        <v>28616.91</v>
      </c>
      <c r="E142" s="4">
        <v>5696.04</v>
      </c>
      <c r="F142" s="3" t="e">
        <f>VLOOKUP(B142,'Profit &amp; Loss'!$B$2:$C$390,2,0)</f>
        <v>#N/A</v>
      </c>
    </row>
    <row r="143" spans="1:6" x14ac:dyDescent="0.2">
      <c r="A143" s="3" t="s">
        <v>122</v>
      </c>
      <c r="B143" s="3" t="s">
        <v>138</v>
      </c>
      <c r="C143" s="4">
        <v>-1851.61</v>
      </c>
      <c r="D143" s="4">
        <v>-112.92</v>
      </c>
      <c r="E143" s="4">
        <v>-1738.69</v>
      </c>
      <c r="F143" s="3" t="e">
        <f>VLOOKUP(B143,'Profit &amp; Loss'!$B$2:$C$390,2,0)</f>
        <v>#N/A</v>
      </c>
    </row>
    <row r="144" spans="1:6" x14ac:dyDescent="0.2">
      <c r="A144" s="3" t="s">
        <v>122</v>
      </c>
      <c r="B144" s="3" t="s">
        <v>139</v>
      </c>
      <c r="C144" s="4">
        <v>1831.95</v>
      </c>
      <c r="D144" s="4">
        <v>93.26</v>
      </c>
      <c r="E144" s="4">
        <v>1738.69</v>
      </c>
      <c r="F144" s="3" t="e">
        <f>VLOOKUP(B144,'Profit &amp; Loss'!$B$2:$C$390,2,0)</f>
        <v>#N/A</v>
      </c>
    </row>
    <row r="145" spans="1:6" x14ac:dyDescent="0.2">
      <c r="A145" s="3" t="s">
        <v>122</v>
      </c>
      <c r="B145" s="3" t="s">
        <v>985</v>
      </c>
      <c r="C145" s="4">
        <v>-1586.81</v>
      </c>
      <c r="D145" s="4">
        <v>-186.12</v>
      </c>
      <c r="E145" s="4">
        <v>-1400.69</v>
      </c>
      <c r="F145" s="3" t="e">
        <f>VLOOKUP(B145,'Profit &amp; Loss'!$B$2:$C$390,2,0)</f>
        <v>#N/A</v>
      </c>
    </row>
    <row r="146" spans="1:6" x14ac:dyDescent="0.2">
      <c r="A146" s="3" t="s">
        <v>122</v>
      </c>
      <c r="B146" s="3" t="s">
        <v>986</v>
      </c>
      <c r="C146" s="4">
        <v>1586.81</v>
      </c>
      <c r="D146" s="4">
        <v>186.12</v>
      </c>
      <c r="E146" s="4">
        <v>1400.69</v>
      </c>
      <c r="F146" s="3" t="e">
        <f>VLOOKUP(B146,'Profit &amp; Loss'!$B$2:$C$390,2,0)</f>
        <v>#N/A</v>
      </c>
    </row>
    <row r="147" spans="1:6" x14ac:dyDescent="0.2">
      <c r="A147" s="3" t="s">
        <v>122</v>
      </c>
      <c r="B147" s="3" t="s">
        <v>140</v>
      </c>
      <c r="C147" s="4">
        <v>-58831.83</v>
      </c>
      <c r="D147" s="4">
        <v>-81316.37</v>
      </c>
      <c r="E147" s="4">
        <v>22484.54</v>
      </c>
      <c r="F147" s="3" t="e">
        <f>VLOOKUP(B147,'Profit &amp; Loss'!$B$2:$C$390,2,0)</f>
        <v>#N/A</v>
      </c>
    </row>
    <row r="148" spans="1:6" x14ac:dyDescent="0.2">
      <c r="A148" s="3" t="s">
        <v>122</v>
      </c>
      <c r="B148" s="3" t="s">
        <v>141</v>
      </c>
      <c r="C148" s="4">
        <v>58831.83</v>
      </c>
      <c r="D148" s="4">
        <v>81316.37</v>
      </c>
      <c r="E148" s="4">
        <v>-22484.54</v>
      </c>
      <c r="F148" s="3" t="e">
        <f>VLOOKUP(B148,'Profit &amp; Loss'!$B$2:$C$390,2,0)</f>
        <v>#N/A</v>
      </c>
    </row>
    <row r="149" spans="1:6" x14ac:dyDescent="0.2">
      <c r="A149" s="3" t="s">
        <v>122</v>
      </c>
      <c r="B149" s="3" t="s">
        <v>142</v>
      </c>
      <c r="C149" s="4">
        <v>-190865.74</v>
      </c>
      <c r="D149" s="4">
        <v>-72218.820000000007</v>
      </c>
      <c r="E149" s="4">
        <v>-118646.92</v>
      </c>
      <c r="F149" s="3" t="e">
        <f>VLOOKUP(B149,'Profit &amp; Loss'!$B$2:$C$390,2,0)</f>
        <v>#N/A</v>
      </c>
    </row>
    <row r="150" spans="1:6" x14ac:dyDescent="0.2">
      <c r="A150" s="3" t="s">
        <v>122</v>
      </c>
      <c r="B150" s="3" t="s">
        <v>143</v>
      </c>
      <c r="C150" s="4">
        <v>190734.47</v>
      </c>
      <c r="D150" s="4">
        <v>72131.14</v>
      </c>
      <c r="E150" s="4">
        <v>118603.33</v>
      </c>
      <c r="F150" s="3" t="e">
        <f>VLOOKUP(B150,'Profit &amp; Loss'!$B$2:$C$390,2,0)</f>
        <v>#N/A</v>
      </c>
    </row>
    <row r="151" spans="1:6" x14ac:dyDescent="0.2">
      <c r="A151" s="3" t="s">
        <v>122</v>
      </c>
      <c r="B151" s="3" t="s">
        <v>144</v>
      </c>
      <c r="C151" s="4">
        <v>176731.45</v>
      </c>
      <c r="D151" s="4">
        <v>176731.45</v>
      </c>
      <c r="E151" s="4">
        <v>0</v>
      </c>
      <c r="F151" s="3" t="e">
        <f>VLOOKUP(B151,'Profit &amp; Loss'!$B$2:$C$390,2,0)</f>
        <v>#N/A</v>
      </c>
    </row>
    <row r="152" spans="1:6" x14ac:dyDescent="0.2">
      <c r="A152" s="3" t="s">
        <v>122</v>
      </c>
      <c r="B152" s="3" t="s">
        <v>145</v>
      </c>
      <c r="C152" s="4">
        <v>-0.48</v>
      </c>
      <c r="D152" s="4">
        <v>-0.48</v>
      </c>
      <c r="E152" s="4">
        <v>0</v>
      </c>
      <c r="F152" s="3" t="e">
        <f>VLOOKUP(B152,'Profit &amp; Loss'!$B$2:$C$390,2,0)</f>
        <v>#N/A</v>
      </c>
    </row>
    <row r="153" spans="1:6" x14ac:dyDescent="0.2">
      <c r="A153" s="3" t="s">
        <v>122</v>
      </c>
      <c r="B153" s="3" t="s">
        <v>146</v>
      </c>
      <c r="C153" s="4">
        <v>0.48</v>
      </c>
      <c r="D153" s="4">
        <v>0.48</v>
      </c>
      <c r="E153" s="4">
        <v>0</v>
      </c>
      <c r="F153" s="3" t="e">
        <f>VLOOKUP(B153,'Profit &amp; Loss'!$B$2:$C$390,2,0)</f>
        <v>#N/A</v>
      </c>
    </row>
    <row r="154" spans="1:6" x14ac:dyDescent="0.2">
      <c r="A154" s="3" t="s">
        <v>122</v>
      </c>
      <c r="B154" s="3" t="s">
        <v>147</v>
      </c>
      <c r="C154" s="4">
        <v>-2899900.41</v>
      </c>
      <c r="D154" s="4">
        <v>-2889367.35</v>
      </c>
      <c r="E154" s="4">
        <v>-10533.06</v>
      </c>
      <c r="F154" s="3" t="e">
        <f>VLOOKUP(B154,'Profit &amp; Loss'!$B$2:$C$390,2,0)</f>
        <v>#N/A</v>
      </c>
    </row>
    <row r="155" spans="1:6" x14ac:dyDescent="0.2">
      <c r="A155" s="3" t="s">
        <v>122</v>
      </c>
      <c r="B155" s="3" t="s">
        <v>2</v>
      </c>
      <c r="C155" s="4">
        <v>-2955070.41</v>
      </c>
      <c r="D155" s="4">
        <v>-3004298.4</v>
      </c>
      <c r="E155" s="4">
        <v>49227.99</v>
      </c>
      <c r="F155" s="3" t="e">
        <f>VLOOKUP(B155,'Profit &amp; Loss'!$B$2:$C$390,2,0)</f>
        <v>#N/A</v>
      </c>
    </row>
    <row r="156" spans="1:6" x14ac:dyDescent="0.2">
      <c r="A156" s="3" t="s">
        <v>148</v>
      </c>
      <c r="B156" s="3" t="s">
        <v>2</v>
      </c>
      <c r="C156" s="4">
        <v>-2955070.41</v>
      </c>
      <c r="D156" s="4">
        <v>-3004298.4</v>
      </c>
      <c r="E156" s="4">
        <v>49227.99</v>
      </c>
      <c r="F156" s="3" t="e">
        <f>VLOOKUP(B156,'Profit &amp; Loss'!$B$2:$C$390,2,0)</f>
        <v>#N/A</v>
      </c>
    </row>
    <row r="157" spans="1:6" x14ac:dyDescent="0.2">
      <c r="A157" s="3" t="s">
        <v>149</v>
      </c>
      <c r="B157" s="3" t="s">
        <v>150</v>
      </c>
      <c r="C157" s="4">
        <v>108.76</v>
      </c>
      <c r="D157" s="4">
        <v>108.76</v>
      </c>
      <c r="E157" s="4">
        <v>0</v>
      </c>
      <c r="F157" s="3" t="e">
        <f>VLOOKUP(B157,'Profit &amp; Loss'!$B$2:$C$390,2,0)</f>
        <v>#N/A</v>
      </c>
    </row>
    <row r="158" spans="1:6" x14ac:dyDescent="0.2">
      <c r="A158" s="3" t="s">
        <v>149</v>
      </c>
      <c r="B158" s="3" t="s">
        <v>151</v>
      </c>
      <c r="C158" s="4">
        <v>0</v>
      </c>
      <c r="D158" s="4">
        <v>-53.3</v>
      </c>
      <c r="E158" s="4">
        <v>53.3</v>
      </c>
      <c r="F158" s="3" t="e">
        <f>VLOOKUP(B158,'Profit &amp; Loss'!$B$2:$C$390,2,0)</f>
        <v>#N/A</v>
      </c>
    </row>
    <row r="159" spans="1:6" x14ac:dyDescent="0.2">
      <c r="A159" s="3" t="s">
        <v>149</v>
      </c>
      <c r="B159" s="3" t="s">
        <v>152</v>
      </c>
      <c r="C159" s="4">
        <v>4855.91</v>
      </c>
      <c r="D159" s="4">
        <v>4855.91</v>
      </c>
      <c r="E159" s="4">
        <v>0</v>
      </c>
      <c r="F159" s="3" t="e">
        <f>VLOOKUP(B159,'Profit &amp; Loss'!$B$2:$C$390,2,0)</f>
        <v>#N/A</v>
      </c>
    </row>
    <row r="160" spans="1:6" x14ac:dyDescent="0.2">
      <c r="A160" s="3" t="s">
        <v>149</v>
      </c>
      <c r="B160" s="3" t="s">
        <v>153</v>
      </c>
      <c r="C160" s="4">
        <v>-248.8</v>
      </c>
      <c r="D160" s="4">
        <v>-248.8</v>
      </c>
      <c r="E160" s="4">
        <v>0</v>
      </c>
      <c r="F160" s="3" t="e">
        <f>VLOOKUP(B160,'Profit &amp; Loss'!$B$2:$C$390,2,0)</f>
        <v>#N/A</v>
      </c>
    </row>
    <row r="161" spans="1:6" x14ac:dyDescent="0.2">
      <c r="A161" s="3" t="s">
        <v>149</v>
      </c>
      <c r="B161" s="3" t="s">
        <v>154</v>
      </c>
      <c r="C161" s="4">
        <v>-1537.59</v>
      </c>
      <c r="D161" s="4">
        <v>-2425.7199999999998</v>
      </c>
      <c r="E161" s="4">
        <v>888.13</v>
      </c>
      <c r="F161" s="3" t="e">
        <f>VLOOKUP(B161,'Profit &amp; Loss'!$B$2:$C$390,2,0)</f>
        <v>#N/A</v>
      </c>
    </row>
    <row r="162" spans="1:6" x14ac:dyDescent="0.2">
      <c r="A162" s="3" t="s">
        <v>149</v>
      </c>
      <c r="B162" s="3" t="s">
        <v>2</v>
      </c>
      <c r="C162" s="4">
        <v>3178.28</v>
      </c>
      <c r="D162" s="4">
        <v>2236.85</v>
      </c>
      <c r="E162" s="4">
        <v>941.43</v>
      </c>
      <c r="F162" s="3" t="e">
        <f>VLOOKUP(B162,'Profit &amp; Loss'!$B$2:$C$390,2,0)</f>
        <v>#N/A</v>
      </c>
    </row>
    <row r="163" spans="1:6" x14ac:dyDescent="0.2">
      <c r="A163" s="3" t="s">
        <v>155</v>
      </c>
      <c r="B163" s="3" t="s">
        <v>2</v>
      </c>
      <c r="C163" s="4">
        <v>3178.28</v>
      </c>
      <c r="D163" s="4">
        <v>2236.85</v>
      </c>
      <c r="E163" s="4">
        <v>941.43</v>
      </c>
      <c r="F163" s="3" t="e">
        <f>VLOOKUP(B163,'Profit &amp; Loss'!$B$2:$C$390,2,0)</f>
        <v>#N/A</v>
      </c>
    </row>
    <row r="164" spans="1:6" x14ac:dyDescent="0.2">
      <c r="A164" s="3" t="s">
        <v>156</v>
      </c>
      <c r="B164" s="3" t="s">
        <v>157</v>
      </c>
      <c r="C164" s="4">
        <v>-18850.63</v>
      </c>
      <c r="D164" s="4">
        <v>-17661.53</v>
      </c>
      <c r="E164" s="4">
        <v>-1189.0999999999999</v>
      </c>
      <c r="F164" s="3" t="e">
        <f>VLOOKUP(B164,'Profit &amp; Loss'!$B$2:$C$390,2,0)</f>
        <v>#N/A</v>
      </c>
    </row>
    <row r="165" spans="1:6" x14ac:dyDescent="0.2">
      <c r="A165" s="3" t="s">
        <v>156</v>
      </c>
      <c r="B165" s="3" t="s">
        <v>158</v>
      </c>
      <c r="C165" s="4">
        <v>1168.55</v>
      </c>
      <c r="D165" s="4">
        <v>1168.55</v>
      </c>
      <c r="E165" s="4">
        <v>0</v>
      </c>
      <c r="F165" s="3" t="e">
        <f>VLOOKUP(B165,'Profit &amp; Loss'!$B$2:$C$390,2,0)</f>
        <v>#N/A</v>
      </c>
    </row>
    <row r="166" spans="1:6" x14ac:dyDescent="0.2">
      <c r="A166" s="3" t="s">
        <v>156</v>
      </c>
      <c r="B166" s="3" t="s">
        <v>159</v>
      </c>
      <c r="C166" s="4">
        <v>-45587.32</v>
      </c>
      <c r="D166" s="4">
        <v>-45587.32</v>
      </c>
      <c r="E166" s="4">
        <v>0</v>
      </c>
      <c r="F166" s="3" t="e">
        <f>VLOOKUP(B166,'Profit &amp; Loss'!$B$2:$C$390,2,0)</f>
        <v>#N/A</v>
      </c>
    </row>
    <row r="167" spans="1:6" x14ac:dyDescent="0.2">
      <c r="A167" s="3" t="s">
        <v>156</v>
      </c>
      <c r="B167" s="3" t="s">
        <v>160</v>
      </c>
      <c r="C167" s="4">
        <v>-556.95000000000005</v>
      </c>
      <c r="D167" s="4">
        <v>-556.95000000000005</v>
      </c>
      <c r="E167" s="4">
        <v>0</v>
      </c>
      <c r="F167" s="3" t="e">
        <f>VLOOKUP(B167,'Profit &amp; Loss'!$B$2:$C$390,2,0)</f>
        <v>#N/A</v>
      </c>
    </row>
    <row r="168" spans="1:6" x14ac:dyDescent="0.2">
      <c r="A168" s="3" t="s">
        <v>156</v>
      </c>
      <c r="B168" s="3" t="s">
        <v>161</v>
      </c>
      <c r="C168" s="4">
        <v>14839.24</v>
      </c>
      <c r="D168" s="4">
        <v>12622.27</v>
      </c>
      <c r="E168" s="4">
        <v>2216.9699999999998</v>
      </c>
      <c r="F168" s="3" t="e">
        <f>VLOOKUP(B168,'Profit &amp; Loss'!$B$2:$C$390,2,0)</f>
        <v>#N/A</v>
      </c>
    </row>
    <row r="169" spans="1:6" x14ac:dyDescent="0.2">
      <c r="A169" s="3" t="s">
        <v>156</v>
      </c>
      <c r="B169" s="3" t="s">
        <v>2</v>
      </c>
      <c r="C169" s="4">
        <v>-48987.11</v>
      </c>
      <c r="D169" s="4">
        <v>-50014.98</v>
      </c>
      <c r="E169" s="4">
        <v>1027.8699999999999</v>
      </c>
      <c r="F169" s="3" t="e">
        <f>VLOOKUP(B169,'Profit &amp; Loss'!$B$2:$C$390,2,0)</f>
        <v>#N/A</v>
      </c>
    </row>
    <row r="170" spans="1:6" x14ac:dyDescent="0.2">
      <c r="A170" s="3" t="s">
        <v>162</v>
      </c>
      <c r="B170" s="3" t="s">
        <v>163</v>
      </c>
      <c r="C170" s="4">
        <v>-68234.289999999994</v>
      </c>
      <c r="D170" s="4">
        <v>-68234.289999999994</v>
      </c>
      <c r="E170" s="4">
        <v>0</v>
      </c>
      <c r="F170" s="3" t="e">
        <f>VLOOKUP(B170,'Profit &amp; Loss'!$B$2:$C$390,2,0)</f>
        <v>#N/A</v>
      </c>
    </row>
    <row r="171" spans="1:6" x14ac:dyDescent="0.2">
      <c r="A171" s="3" t="s">
        <v>162</v>
      </c>
      <c r="B171" s="3" t="s">
        <v>164</v>
      </c>
      <c r="C171" s="4">
        <v>-299542.49</v>
      </c>
      <c r="D171" s="4">
        <v>-303018.31</v>
      </c>
      <c r="E171" s="4">
        <v>3475.82</v>
      </c>
      <c r="F171" s="3" t="e">
        <f>VLOOKUP(B171,'Profit &amp; Loss'!$B$2:$C$390,2,0)</f>
        <v>#N/A</v>
      </c>
    </row>
    <row r="172" spans="1:6" x14ac:dyDescent="0.2">
      <c r="A172" s="3" t="s">
        <v>162</v>
      </c>
      <c r="B172" s="3" t="s">
        <v>165</v>
      </c>
      <c r="C172" s="4">
        <v>-278996.33</v>
      </c>
      <c r="D172" s="4">
        <v>-276040.11</v>
      </c>
      <c r="E172" s="4">
        <v>-2956.22</v>
      </c>
      <c r="F172" s="3" t="e">
        <f>VLOOKUP(B172,'Profit &amp; Loss'!$B$2:$C$390,2,0)</f>
        <v>#N/A</v>
      </c>
    </row>
    <row r="173" spans="1:6" x14ac:dyDescent="0.2">
      <c r="A173" s="3" t="s">
        <v>162</v>
      </c>
      <c r="B173" s="3" t="s">
        <v>166</v>
      </c>
      <c r="C173" s="4">
        <v>-45968.43</v>
      </c>
      <c r="D173" s="4">
        <v>-43921.3</v>
      </c>
      <c r="E173" s="4">
        <v>-2047.13</v>
      </c>
      <c r="F173" s="3" t="e">
        <f>VLOOKUP(B173,'Profit &amp; Loss'!$B$2:$C$390,2,0)</f>
        <v>#N/A</v>
      </c>
    </row>
    <row r="174" spans="1:6" x14ac:dyDescent="0.2">
      <c r="A174" s="3" t="s">
        <v>162</v>
      </c>
      <c r="B174" s="3" t="s">
        <v>167</v>
      </c>
      <c r="C174" s="4">
        <v>-510774.38</v>
      </c>
      <c r="D174" s="4">
        <v>-511136.84</v>
      </c>
      <c r="E174" s="4">
        <v>362.46</v>
      </c>
      <c r="F174" s="3" t="e">
        <f>VLOOKUP(B174,'Profit &amp; Loss'!$B$2:$C$390,2,0)</f>
        <v>#N/A</v>
      </c>
    </row>
    <row r="175" spans="1:6" x14ac:dyDescent="0.2">
      <c r="A175" s="3" t="s">
        <v>162</v>
      </c>
      <c r="B175" s="3" t="s">
        <v>168</v>
      </c>
      <c r="C175" s="4">
        <v>-49190.41</v>
      </c>
      <c r="D175" s="4">
        <v>-49803.77</v>
      </c>
      <c r="E175" s="4">
        <v>613.36</v>
      </c>
      <c r="F175" s="3" t="e">
        <f>VLOOKUP(B175,'Profit &amp; Loss'!$B$2:$C$390,2,0)</f>
        <v>#N/A</v>
      </c>
    </row>
    <row r="176" spans="1:6" x14ac:dyDescent="0.2">
      <c r="A176" s="3" t="s">
        <v>162</v>
      </c>
      <c r="B176" s="3" t="s">
        <v>169</v>
      </c>
      <c r="C176" s="4">
        <v>-427.3</v>
      </c>
      <c r="D176" s="4">
        <v>-654.66</v>
      </c>
      <c r="E176" s="4">
        <v>227.36</v>
      </c>
      <c r="F176" s="3" t="e">
        <f>VLOOKUP(B176,'Profit &amp; Loss'!$B$2:$C$390,2,0)</f>
        <v>#N/A</v>
      </c>
    </row>
    <row r="177" spans="1:6" x14ac:dyDescent="0.2">
      <c r="A177" s="3" t="s">
        <v>162</v>
      </c>
      <c r="B177" s="3" t="s">
        <v>170</v>
      </c>
      <c r="C177" s="4">
        <v>-283432.56</v>
      </c>
      <c r="D177" s="4">
        <v>-286743.43</v>
      </c>
      <c r="E177" s="4">
        <v>3310.87</v>
      </c>
      <c r="F177" s="3" t="e">
        <f>VLOOKUP(B177,'Profit &amp; Loss'!$B$2:$C$390,2,0)</f>
        <v>#N/A</v>
      </c>
    </row>
    <row r="178" spans="1:6" x14ac:dyDescent="0.2">
      <c r="A178" s="3" t="s">
        <v>162</v>
      </c>
      <c r="B178" s="3" t="s">
        <v>171</v>
      </c>
      <c r="C178" s="4">
        <v>-237955.66</v>
      </c>
      <c r="D178" s="4">
        <v>-240723.27</v>
      </c>
      <c r="E178" s="4">
        <v>2767.61</v>
      </c>
      <c r="F178" s="3" t="e">
        <f>VLOOKUP(B178,'Profit &amp; Loss'!$B$2:$C$390,2,0)</f>
        <v>#N/A</v>
      </c>
    </row>
    <row r="179" spans="1:6" x14ac:dyDescent="0.2">
      <c r="A179" s="3" t="s">
        <v>162</v>
      </c>
      <c r="B179" s="3" t="s">
        <v>2</v>
      </c>
      <c r="C179" s="4">
        <v>-1774521.85</v>
      </c>
      <c r="D179" s="4">
        <v>-1780275.98</v>
      </c>
      <c r="E179" s="4">
        <v>5754.13</v>
      </c>
      <c r="F179" s="3" t="e">
        <f>VLOOKUP(B179,'Profit &amp; Loss'!$B$2:$C$390,2,0)</f>
        <v>#N/A</v>
      </c>
    </row>
    <row r="180" spans="1:6" x14ac:dyDescent="0.2">
      <c r="A180" s="3" t="s">
        <v>172</v>
      </c>
      <c r="B180" s="3" t="s">
        <v>173</v>
      </c>
      <c r="C180" s="4">
        <v>-599.78</v>
      </c>
      <c r="D180" s="4">
        <v>-710.9</v>
      </c>
      <c r="E180" s="4">
        <v>111.12</v>
      </c>
      <c r="F180" s="3" t="e">
        <f>VLOOKUP(B180,'Profit &amp; Loss'!$B$2:$C$390,2,0)</f>
        <v>#N/A</v>
      </c>
    </row>
    <row r="181" spans="1:6" x14ac:dyDescent="0.2">
      <c r="A181" s="3" t="s">
        <v>172</v>
      </c>
      <c r="B181" s="3" t="s">
        <v>2</v>
      </c>
      <c r="C181" s="4">
        <v>-599.78</v>
      </c>
      <c r="D181" s="4">
        <v>-710.9</v>
      </c>
      <c r="E181" s="4">
        <v>111.12</v>
      </c>
      <c r="F181" s="3" t="e">
        <f>VLOOKUP(B181,'Profit &amp; Loss'!$B$2:$C$390,2,0)</f>
        <v>#N/A</v>
      </c>
    </row>
    <row r="182" spans="1:6" x14ac:dyDescent="0.2">
      <c r="A182" s="3" t="s">
        <v>174</v>
      </c>
      <c r="B182" s="3" t="s">
        <v>175</v>
      </c>
      <c r="C182" s="4">
        <v>6900.17</v>
      </c>
      <c r="D182" s="4">
        <v>6283.35</v>
      </c>
      <c r="E182" s="4">
        <v>616.82000000000005</v>
      </c>
      <c r="F182" s="3" t="e">
        <f>VLOOKUP(B182,'Profit &amp; Loss'!$B$2:$C$390,2,0)</f>
        <v>#N/A</v>
      </c>
    </row>
    <row r="183" spans="1:6" x14ac:dyDescent="0.2">
      <c r="A183" s="3" t="s">
        <v>174</v>
      </c>
      <c r="B183" s="3" t="s">
        <v>176</v>
      </c>
      <c r="C183" s="4">
        <v>-629588.43000000005</v>
      </c>
      <c r="D183" s="4">
        <v>-631242.16</v>
      </c>
      <c r="E183" s="4">
        <v>1653.73</v>
      </c>
      <c r="F183" s="3" t="e">
        <f>VLOOKUP(B183,'Profit &amp; Loss'!$B$2:$C$390,2,0)</f>
        <v>#N/A</v>
      </c>
    </row>
    <row r="184" spans="1:6" x14ac:dyDescent="0.2">
      <c r="A184" s="3" t="s">
        <v>174</v>
      </c>
      <c r="B184" s="3" t="s">
        <v>177</v>
      </c>
      <c r="C184" s="4">
        <v>-61243.8</v>
      </c>
      <c r="D184" s="4">
        <v>-61960.88</v>
      </c>
      <c r="E184" s="4">
        <v>717.08</v>
      </c>
      <c r="F184" s="3" t="e">
        <f>VLOOKUP(B184,'Profit &amp; Loss'!$B$2:$C$390,2,0)</f>
        <v>#N/A</v>
      </c>
    </row>
    <row r="185" spans="1:6" x14ac:dyDescent="0.2">
      <c r="A185" s="3" t="s">
        <v>174</v>
      </c>
      <c r="B185" s="3" t="s">
        <v>2</v>
      </c>
      <c r="C185" s="4">
        <v>-683932.06</v>
      </c>
      <c r="D185" s="4">
        <v>-686919.69</v>
      </c>
      <c r="E185" s="4">
        <v>2987.63</v>
      </c>
      <c r="F185" s="3" t="e">
        <f>VLOOKUP(B185,'Profit &amp; Loss'!$B$2:$C$390,2,0)</f>
        <v>#N/A</v>
      </c>
    </row>
    <row r="186" spans="1:6" x14ac:dyDescent="0.2">
      <c r="A186" s="3" t="s">
        <v>178</v>
      </c>
      <c r="B186" s="3" t="s">
        <v>179</v>
      </c>
      <c r="C186" s="4">
        <v>63589.01</v>
      </c>
      <c r="D186" s="4">
        <v>43749.01</v>
      </c>
      <c r="E186" s="4">
        <v>19840</v>
      </c>
      <c r="F186" s="3" t="e">
        <f>VLOOKUP(B186,'Profit &amp; Loss'!$B$2:$C$390,2,0)</f>
        <v>#N/A</v>
      </c>
    </row>
    <row r="187" spans="1:6" x14ac:dyDescent="0.2">
      <c r="A187" s="3" t="s">
        <v>178</v>
      </c>
      <c r="B187" s="3" t="s">
        <v>180</v>
      </c>
      <c r="C187" s="4">
        <v>-11509.72</v>
      </c>
      <c r="D187" s="4">
        <v>-56699.39</v>
      </c>
      <c r="E187" s="4">
        <v>45189.67</v>
      </c>
      <c r="F187" s="3" t="e">
        <f>VLOOKUP(B187,'Profit &amp; Loss'!$B$2:$C$390,2,0)</f>
        <v>#N/A</v>
      </c>
    </row>
    <row r="188" spans="1:6" x14ac:dyDescent="0.2">
      <c r="A188" s="3" t="s">
        <v>178</v>
      </c>
      <c r="B188" s="3" t="s">
        <v>181</v>
      </c>
      <c r="C188" s="4">
        <v>-1680.7</v>
      </c>
      <c r="D188" s="4">
        <v>-40261.410000000003</v>
      </c>
      <c r="E188" s="4">
        <v>38580.71</v>
      </c>
      <c r="F188" s="3" t="e">
        <f>VLOOKUP(B188,'Profit &amp; Loss'!$B$2:$C$390,2,0)</f>
        <v>#N/A</v>
      </c>
    </row>
    <row r="189" spans="1:6" x14ac:dyDescent="0.2">
      <c r="A189" s="3" t="s">
        <v>178</v>
      </c>
      <c r="B189" s="3" t="s">
        <v>182</v>
      </c>
      <c r="C189" s="4">
        <v>-25035.96</v>
      </c>
      <c r="D189" s="4">
        <v>-22755.55</v>
      </c>
      <c r="E189" s="4">
        <v>-2280.41</v>
      </c>
      <c r="F189" s="3" t="e">
        <f>VLOOKUP(B189,'Profit &amp; Loss'!$B$2:$C$390,2,0)</f>
        <v>#N/A</v>
      </c>
    </row>
    <row r="190" spans="1:6" x14ac:dyDescent="0.2">
      <c r="A190" s="3" t="s">
        <v>178</v>
      </c>
      <c r="B190" s="3" t="s">
        <v>183</v>
      </c>
      <c r="C190" s="4">
        <v>-145.35</v>
      </c>
      <c r="D190" s="4">
        <v>-13226.82</v>
      </c>
      <c r="E190" s="4">
        <v>13081.47</v>
      </c>
      <c r="F190" s="3" t="e">
        <f>VLOOKUP(B190,'Profit &amp; Loss'!$B$2:$C$390,2,0)</f>
        <v>#N/A</v>
      </c>
    </row>
    <row r="191" spans="1:6" x14ac:dyDescent="0.2">
      <c r="A191" s="3" t="s">
        <v>178</v>
      </c>
      <c r="B191" s="3" t="s">
        <v>184</v>
      </c>
      <c r="C191" s="4">
        <v>-5317.88</v>
      </c>
      <c r="D191" s="4">
        <v>-3386.68</v>
      </c>
      <c r="E191" s="4">
        <v>-1931.2</v>
      </c>
      <c r="F191" s="3" t="e">
        <f>VLOOKUP(B191,'Profit &amp; Loss'!$B$2:$C$390,2,0)</f>
        <v>#N/A</v>
      </c>
    </row>
    <row r="192" spans="1:6" x14ac:dyDescent="0.2">
      <c r="A192" s="3" t="s">
        <v>178</v>
      </c>
      <c r="B192" s="3" t="s">
        <v>185</v>
      </c>
      <c r="C192" s="4">
        <v>-51004.27</v>
      </c>
      <c r="D192" s="4">
        <v>-41438.300000000003</v>
      </c>
      <c r="E192" s="4">
        <v>-9565.9699999999993</v>
      </c>
      <c r="F192" s="3" t="e">
        <f>VLOOKUP(B192,'Profit &amp; Loss'!$B$2:$C$390,2,0)</f>
        <v>#N/A</v>
      </c>
    </row>
    <row r="193" spans="1:6" x14ac:dyDescent="0.2">
      <c r="A193" s="3" t="s">
        <v>178</v>
      </c>
      <c r="B193" s="3" t="s">
        <v>186</v>
      </c>
      <c r="C193" s="4">
        <v>-200</v>
      </c>
      <c r="D193" s="4">
        <v>-200</v>
      </c>
      <c r="E193" s="4">
        <v>0</v>
      </c>
      <c r="F193" s="3" t="e">
        <f>VLOOKUP(B193,'Profit &amp; Loss'!$B$2:$C$390,2,0)</f>
        <v>#N/A</v>
      </c>
    </row>
    <row r="194" spans="1:6" x14ac:dyDescent="0.2">
      <c r="A194" s="3" t="s">
        <v>178</v>
      </c>
      <c r="B194" s="3" t="s">
        <v>187</v>
      </c>
      <c r="C194" s="4">
        <v>590.75</v>
      </c>
      <c r="D194" s="4">
        <v>19.309999999999999</v>
      </c>
      <c r="E194" s="4">
        <v>571.44000000000005</v>
      </c>
      <c r="F194" s="3" t="e">
        <f>VLOOKUP(B194,'Profit &amp; Loss'!$B$2:$C$390,2,0)</f>
        <v>#N/A</v>
      </c>
    </row>
    <row r="195" spans="1:6" x14ac:dyDescent="0.2">
      <c r="A195" s="3" t="s">
        <v>178</v>
      </c>
      <c r="B195" s="3" t="s">
        <v>188</v>
      </c>
      <c r="C195" s="4">
        <v>-2422.25</v>
      </c>
      <c r="D195" s="4">
        <v>-1949.75</v>
      </c>
      <c r="E195" s="4">
        <v>-472.5</v>
      </c>
      <c r="F195" s="3" t="e">
        <f>VLOOKUP(B195,'Profit &amp; Loss'!$B$2:$C$390,2,0)</f>
        <v>#N/A</v>
      </c>
    </row>
    <row r="196" spans="1:6" x14ac:dyDescent="0.2">
      <c r="A196" s="3" t="s">
        <v>178</v>
      </c>
      <c r="B196" s="3" t="s">
        <v>189</v>
      </c>
      <c r="C196" s="4">
        <v>15.92</v>
      </c>
      <c r="D196" s="4">
        <v>20.85</v>
      </c>
      <c r="E196" s="4">
        <v>-4.93</v>
      </c>
      <c r="F196" s="3" t="e">
        <f>VLOOKUP(B196,'Profit &amp; Loss'!$B$2:$C$390,2,0)</f>
        <v>#N/A</v>
      </c>
    </row>
    <row r="197" spans="1:6" x14ac:dyDescent="0.2">
      <c r="A197" s="3" t="s">
        <v>178</v>
      </c>
      <c r="B197" s="3" t="s">
        <v>190</v>
      </c>
      <c r="C197" s="4">
        <v>637.78</v>
      </c>
      <c r="D197" s="4">
        <v>809.75</v>
      </c>
      <c r="E197" s="4">
        <v>-171.97</v>
      </c>
      <c r="F197" s="3" t="e">
        <f>VLOOKUP(B197,'Profit &amp; Loss'!$B$2:$C$390,2,0)</f>
        <v>#N/A</v>
      </c>
    </row>
    <row r="198" spans="1:6" x14ac:dyDescent="0.2">
      <c r="A198" s="3" t="s">
        <v>178</v>
      </c>
      <c r="B198" s="3" t="s">
        <v>191</v>
      </c>
      <c r="C198" s="4">
        <v>-30.93</v>
      </c>
      <c r="D198" s="4">
        <v>-15.53</v>
      </c>
      <c r="E198" s="4">
        <v>-15.4</v>
      </c>
      <c r="F198" s="3" t="e">
        <f>VLOOKUP(B198,'Profit &amp; Loss'!$B$2:$C$390,2,0)</f>
        <v>#N/A</v>
      </c>
    </row>
    <row r="199" spans="1:6" x14ac:dyDescent="0.2">
      <c r="A199" s="3" t="s">
        <v>178</v>
      </c>
      <c r="B199" s="3" t="s">
        <v>192</v>
      </c>
      <c r="C199" s="4">
        <v>20015.61</v>
      </c>
      <c r="D199" s="4">
        <v>11728.3</v>
      </c>
      <c r="E199" s="4">
        <v>8287.31</v>
      </c>
      <c r="F199" s="3" t="e">
        <f>VLOOKUP(B199,'Profit &amp; Loss'!$B$2:$C$390,2,0)</f>
        <v>#N/A</v>
      </c>
    </row>
    <row r="200" spans="1:6" x14ac:dyDescent="0.2">
      <c r="A200" s="3" t="s">
        <v>178</v>
      </c>
      <c r="B200" s="3" t="s">
        <v>193</v>
      </c>
      <c r="C200" s="4">
        <v>970.9</v>
      </c>
      <c r="D200" s="4">
        <v>1441.04</v>
      </c>
      <c r="E200" s="4">
        <v>-470.14</v>
      </c>
      <c r="F200" s="3" t="e">
        <f>VLOOKUP(B200,'Profit &amp; Loss'!$B$2:$C$390,2,0)</f>
        <v>#N/A</v>
      </c>
    </row>
    <row r="201" spans="1:6" x14ac:dyDescent="0.2">
      <c r="A201" s="3" t="s">
        <v>178</v>
      </c>
      <c r="B201" s="3" t="s">
        <v>194</v>
      </c>
      <c r="C201" s="4">
        <v>-24010.97</v>
      </c>
      <c r="D201" s="4">
        <v>-24010.97</v>
      </c>
      <c r="E201" s="4">
        <v>0</v>
      </c>
      <c r="F201" s="3" t="e">
        <f>VLOOKUP(B201,'Profit &amp; Loss'!$B$2:$C$390,2,0)</f>
        <v>#N/A</v>
      </c>
    </row>
    <row r="202" spans="1:6" x14ac:dyDescent="0.2">
      <c r="A202" s="3" t="s">
        <v>178</v>
      </c>
      <c r="B202" s="3" t="s">
        <v>195</v>
      </c>
      <c r="C202" s="4">
        <v>-35205.589999999997</v>
      </c>
      <c r="D202" s="4">
        <v>-35648.85</v>
      </c>
      <c r="E202" s="4">
        <v>443.26</v>
      </c>
      <c r="F202" s="3" t="e">
        <f>VLOOKUP(B202,'Profit &amp; Loss'!$B$2:$C$390,2,0)</f>
        <v>#N/A</v>
      </c>
    </row>
    <row r="203" spans="1:6" x14ac:dyDescent="0.2">
      <c r="A203" s="3" t="s">
        <v>178</v>
      </c>
      <c r="B203" s="3" t="s">
        <v>196</v>
      </c>
      <c r="C203" s="4">
        <v>-14877.84</v>
      </c>
      <c r="D203" s="4">
        <v>-18334.79</v>
      </c>
      <c r="E203" s="4">
        <v>3456.95</v>
      </c>
      <c r="F203" s="3" t="e">
        <f>VLOOKUP(B203,'Profit &amp; Loss'!$B$2:$C$390,2,0)</f>
        <v>#N/A</v>
      </c>
    </row>
    <row r="204" spans="1:6" x14ac:dyDescent="0.2">
      <c r="A204" s="3" t="s">
        <v>178</v>
      </c>
      <c r="B204" s="3" t="s">
        <v>2</v>
      </c>
      <c r="C204" s="4">
        <v>-85621.49</v>
      </c>
      <c r="D204" s="4">
        <v>-200159.78</v>
      </c>
      <c r="E204" s="4">
        <v>114538.29</v>
      </c>
      <c r="F204" s="3" t="e">
        <f>VLOOKUP(B204,'Profit &amp; Loss'!$B$2:$C$390,2,0)</f>
        <v>#N/A</v>
      </c>
    </row>
    <row r="205" spans="1:6" x14ac:dyDescent="0.2">
      <c r="A205" s="3" t="s">
        <v>197</v>
      </c>
      <c r="B205" s="3" t="s">
        <v>2</v>
      </c>
      <c r="C205" s="4">
        <v>-2593662.29</v>
      </c>
      <c r="D205" s="4">
        <v>-2718081.33</v>
      </c>
      <c r="E205" s="4">
        <v>124419.04</v>
      </c>
      <c r="F205" s="3" t="e">
        <f>VLOOKUP(B205,'Profit &amp; Loss'!$B$2:$C$390,2,0)</f>
        <v>#N/A</v>
      </c>
    </row>
    <row r="206" spans="1:6" x14ac:dyDescent="0.2">
      <c r="A206" s="3" t="s">
        <v>198</v>
      </c>
      <c r="B206" s="3" t="s">
        <v>199</v>
      </c>
      <c r="C206" s="4">
        <v>869735.43</v>
      </c>
      <c r="D206" s="4">
        <v>796947.32</v>
      </c>
      <c r="E206" s="4">
        <v>72788.11</v>
      </c>
      <c r="F206" s="3" t="e">
        <f>VLOOKUP(B206,'Profit &amp; Loss'!$B$2:$C$390,2,0)</f>
        <v>#N/A</v>
      </c>
    </row>
    <row r="207" spans="1:6" x14ac:dyDescent="0.2">
      <c r="A207" s="3" t="s">
        <v>198</v>
      </c>
      <c r="B207" s="3" t="s">
        <v>2</v>
      </c>
      <c r="C207" s="4">
        <v>869735.43</v>
      </c>
      <c r="D207" s="4">
        <v>796947.32</v>
      </c>
      <c r="E207" s="4">
        <v>72788.11</v>
      </c>
      <c r="F207" s="3" t="e">
        <f>VLOOKUP(B207,'Profit &amp; Loss'!$B$2:$C$390,2,0)</f>
        <v>#N/A</v>
      </c>
    </row>
    <row r="208" spans="1:6" x14ac:dyDescent="0.2">
      <c r="A208" s="3" t="s">
        <v>200</v>
      </c>
      <c r="B208" s="3" t="s">
        <v>201</v>
      </c>
      <c r="C208" s="4">
        <v>-5252.67</v>
      </c>
      <c r="D208" s="4">
        <v>-5252.67</v>
      </c>
      <c r="E208" s="4">
        <v>0</v>
      </c>
      <c r="F208" s="3" t="e">
        <f>VLOOKUP(B208,'Profit &amp; Loss'!$B$2:$C$390,2,0)</f>
        <v>#N/A</v>
      </c>
    </row>
    <row r="209" spans="1:6" x14ac:dyDescent="0.2">
      <c r="A209" s="3" t="s">
        <v>200</v>
      </c>
      <c r="B209" s="3" t="s">
        <v>202</v>
      </c>
      <c r="C209" s="4">
        <v>-9444.9699999999993</v>
      </c>
      <c r="D209" s="4">
        <v>-9674.0499999999993</v>
      </c>
      <c r="E209" s="4">
        <v>229.08</v>
      </c>
      <c r="F209" s="3" t="e">
        <f>VLOOKUP(B209,'Profit &amp; Loss'!$B$2:$C$390,2,0)</f>
        <v>#N/A</v>
      </c>
    </row>
    <row r="210" spans="1:6" x14ac:dyDescent="0.2">
      <c r="A210" s="3" t="s">
        <v>200</v>
      </c>
      <c r="B210" s="3" t="s">
        <v>203</v>
      </c>
      <c r="C210" s="4">
        <v>-10671.57</v>
      </c>
      <c r="D210" s="4">
        <v>-10671.57</v>
      </c>
      <c r="E210" s="4">
        <v>0</v>
      </c>
      <c r="F210" s="3" t="e">
        <f>VLOOKUP(B210,'Profit &amp; Loss'!$B$2:$C$390,2,0)</f>
        <v>#N/A</v>
      </c>
    </row>
    <row r="211" spans="1:6" x14ac:dyDescent="0.2">
      <c r="A211" s="3" t="s">
        <v>200</v>
      </c>
      <c r="B211" s="3" t="s">
        <v>204</v>
      </c>
      <c r="C211" s="4">
        <v>-20871.29</v>
      </c>
      <c r="D211" s="4">
        <v>-20871.29</v>
      </c>
      <c r="E211" s="4">
        <v>0</v>
      </c>
      <c r="F211" s="3" t="e">
        <f>VLOOKUP(B211,'Profit &amp; Loss'!$B$2:$C$390,2,0)</f>
        <v>#N/A</v>
      </c>
    </row>
    <row r="212" spans="1:6" x14ac:dyDescent="0.2">
      <c r="A212" s="3" t="s">
        <v>200</v>
      </c>
      <c r="B212" s="3" t="s">
        <v>205</v>
      </c>
      <c r="C212" s="4">
        <v>-5.01</v>
      </c>
      <c r="D212" s="4">
        <v>-5.01</v>
      </c>
      <c r="E212" s="4">
        <v>0</v>
      </c>
      <c r="F212" s="3" t="e">
        <f>VLOOKUP(B212,'Profit &amp; Loss'!$B$2:$C$390,2,0)</f>
        <v>#N/A</v>
      </c>
    </row>
    <row r="213" spans="1:6" x14ac:dyDescent="0.2">
      <c r="A213" s="3" t="s">
        <v>200</v>
      </c>
      <c r="B213" s="3" t="s">
        <v>206</v>
      </c>
      <c r="C213" s="4">
        <v>-555.59</v>
      </c>
      <c r="D213" s="4">
        <v>-9.77</v>
      </c>
      <c r="E213" s="4">
        <v>-545.82000000000005</v>
      </c>
      <c r="F213" s="3" t="e">
        <f>VLOOKUP(B213,'Profit &amp; Loss'!$B$2:$C$390,2,0)</f>
        <v>#N/A</v>
      </c>
    </row>
    <row r="214" spans="1:6" x14ac:dyDescent="0.2">
      <c r="A214" s="3" t="s">
        <v>200</v>
      </c>
      <c r="B214" s="3" t="s">
        <v>207</v>
      </c>
      <c r="C214" s="4">
        <v>1.31</v>
      </c>
      <c r="D214" s="4">
        <v>-0.02</v>
      </c>
      <c r="E214" s="4">
        <v>1.33</v>
      </c>
      <c r="F214" s="3" t="e">
        <f>VLOOKUP(B214,'Profit &amp; Loss'!$B$2:$C$390,2,0)</f>
        <v>#N/A</v>
      </c>
    </row>
    <row r="215" spans="1:6" x14ac:dyDescent="0.2">
      <c r="A215" s="3" t="s">
        <v>200</v>
      </c>
      <c r="B215" s="3" t="s">
        <v>208</v>
      </c>
      <c r="C215" s="4">
        <v>-138766.13</v>
      </c>
      <c r="D215" s="4">
        <v>-61497.45</v>
      </c>
      <c r="E215" s="4">
        <v>-77268.679999999993</v>
      </c>
      <c r="F215" s="3" t="e">
        <f>VLOOKUP(B215,'Profit &amp; Loss'!$B$2:$C$390,2,0)</f>
        <v>#N/A</v>
      </c>
    </row>
    <row r="216" spans="1:6" x14ac:dyDescent="0.2">
      <c r="A216" s="3" t="s">
        <v>200</v>
      </c>
      <c r="B216" s="3" t="s">
        <v>209</v>
      </c>
      <c r="C216" s="4">
        <v>-0.03</v>
      </c>
      <c r="D216" s="4">
        <v>-0.03</v>
      </c>
      <c r="E216" s="4">
        <v>0</v>
      </c>
      <c r="F216" s="3" t="e">
        <f>VLOOKUP(B216,'Profit &amp; Loss'!$B$2:$C$390,2,0)</f>
        <v>#N/A</v>
      </c>
    </row>
    <row r="217" spans="1:6" x14ac:dyDescent="0.2">
      <c r="A217" s="3" t="s">
        <v>200</v>
      </c>
      <c r="B217" s="3" t="s">
        <v>2</v>
      </c>
      <c r="C217" s="4">
        <v>-185565.95</v>
      </c>
      <c r="D217" s="4">
        <v>-107981.86</v>
      </c>
      <c r="E217" s="4">
        <v>-77584.09</v>
      </c>
      <c r="F217" s="3" t="e">
        <f>VLOOKUP(B217,'Profit &amp; Loss'!$B$2:$C$390,2,0)</f>
        <v>#N/A</v>
      </c>
    </row>
    <row r="218" spans="1:6" x14ac:dyDescent="0.2">
      <c r="A218" s="3" t="s">
        <v>210</v>
      </c>
      <c r="B218" s="3" t="s">
        <v>2</v>
      </c>
      <c r="C218" s="4">
        <v>684169.48</v>
      </c>
      <c r="D218" s="4">
        <v>688965.46</v>
      </c>
      <c r="E218" s="4">
        <v>-4795.9799999999996</v>
      </c>
      <c r="F218" s="3" t="e">
        <f>VLOOKUP(B218,'Profit &amp; Loss'!$B$2:$C$390,2,0)</f>
        <v>#N/A</v>
      </c>
    </row>
    <row r="219" spans="1:6" x14ac:dyDescent="0.2">
      <c r="A219" s="3" t="s">
        <v>211</v>
      </c>
      <c r="B219" s="3" t="s">
        <v>212</v>
      </c>
      <c r="C219" s="4">
        <v>-161779.76</v>
      </c>
      <c r="D219" s="4">
        <v>-223279.35</v>
      </c>
      <c r="E219" s="4">
        <v>61499.59</v>
      </c>
      <c r="F219" s="3" t="e">
        <f>VLOOKUP(B219,'Profit &amp; Loss'!$B$2:$C$390,2,0)</f>
        <v>#N/A</v>
      </c>
    </row>
    <row r="220" spans="1:6" x14ac:dyDescent="0.2">
      <c r="A220" s="3" t="s">
        <v>211</v>
      </c>
      <c r="B220" s="3" t="s">
        <v>213</v>
      </c>
      <c r="C220" s="4">
        <v>-145852.34</v>
      </c>
      <c r="D220" s="4">
        <v>-152684.65</v>
      </c>
      <c r="E220" s="4">
        <v>6832.31</v>
      </c>
      <c r="F220" s="3" t="e">
        <f>VLOOKUP(B220,'Profit &amp; Loss'!$B$2:$C$390,2,0)</f>
        <v>#N/A</v>
      </c>
    </row>
    <row r="221" spans="1:6" x14ac:dyDescent="0.2">
      <c r="A221" s="3" t="s">
        <v>211</v>
      </c>
      <c r="B221" s="3" t="s">
        <v>214</v>
      </c>
      <c r="C221" s="4">
        <v>-64639.83</v>
      </c>
      <c r="D221" s="4">
        <v>-67445.81</v>
      </c>
      <c r="E221" s="4">
        <v>2805.98</v>
      </c>
      <c r="F221" s="3" t="e">
        <f>VLOOKUP(B221,'Profit &amp; Loss'!$B$2:$C$390,2,0)</f>
        <v>#N/A</v>
      </c>
    </row>
    <row r="222" spans="1:6" x14ac:dyDescent="0.2">
      <c r="A222" s="3" t="s">
        <v>211</v>
      </c>
      <c r="B222" s="3" t="s">
        <v>215</v>
      </c>
      <c r="C222" s="4">
        <v>-81661.3</v>
      </c>
      <c r="D222" s="4">
        <v>-81661.3</v>
      </c>
      <c r="E222" s="4">
        <v>0</v>
      </c>
      <c r="F222" s="3" t="e">
        <f>VLOOKUP(B222,'Profit &amp; Loss'!$B$2:$C$390,2,0)</f>
        <v>#N/A</v>
      </c>
    </row>
    <row r="223" spans="1:6" x14ac:dyDescent="0.2">
      <c r="A223" s="3" t="s">
        <v>211</v>
      </c>
      <c r="B223" s="3" t="s">
        <v>216</v>
      </c>
      <c r="C223" s="4">
        <v>-38116.230000000003</v>
      </c>
      <c r="D223" s="4">
        <v>-44630.55</v>
      </c>
      <c r="E223" s="4">
        <v>6514.32</v>
      </c>
      <c r="F223" s="3" t="e">
        <f>VLOOKUP(B223,'Profit &amp; Loss'!$B$2:$C$390,2,0)</f>
        <v>#N/A</v>
      </c>
    </row>
    <row r="224" spans="1:6" x14ac:dyDescent="0.2">
      <c r="A224" s="3" t="s">
        <v>211</v>
      </c>
      <c r="B224" s="3" t="s">
        <v>217</v>
      </c>
      <c r="C224" s="4">
        <v>-222266.01</v>
      </c>
      <c r="D224" s="4">
        <v>-223662.29</v>
      </c>
      <c r="E224" s="4">
        <v>1396.28</v>
      </c>
      <c r="F224" s="3" t="e">
        <f>VLOOKUP(B224,'Profit &amp; Loss'!$B$2:$C$390,2,0)</f>
        <v>#N/A</v>
      </c>
    </row>
    <row r="225" spans="1:6" x14ac:dyDescent="0.2">
      <c r="A225" s="3" t="s">
        <v>211</v>
      </c>
      <c r="B225" s="3" t="s">
        <v>2</v>
      </c>
      <c r="C225" s="4">
        <v>-714315.47</v>
      </c>
      <c r="D225" s="4">
        <v>-793363.95</v>
      </c>
      <c r="E225" s="4">
        <v>79048.479999999996</v>
      </c>
      <c r="F225" s="3" t="e">
        <f>VLOOKUP(B225,'Profit &amp; Loss'!$B$2:$C$390,2,0)</f>
        <v>#N/A</v>
      </c>
    </row>
    <row r="226" spans="1:6" x14ac:dyDescent="0.2">
      <c r="A226" s="3" t="s">
        <v>218</v>
      </c>
      <c r="B226" s="3" t="s">
        <v>2</v>
      </c>
      <c r="C226" s="4">
        <v>-714315.47</v>
      </c>
      <c r="D226" s="4">
        <v>-793363.95</v>
      </c>
      <c r="E226" s="4">
        <v>79048.479999999996</v>
      </c>
      <c r="F226" s="3" t="e">
        <f>VLOOKUP(B226,'Profit &amp; Loss'!$B$2:$C$390,2,0)</f>
        <v>#N/A</v>
      </c>
    </row>
    <row r="227" spans="1:6" x14ac:dyDescent="0.2">
      <c r="A227" s="3" t="s">
        <v>219</v>
      </c>
      <c r="B227" s="3" t="s">
        <v>220</v>
      </c>
      <c r="C227" s="4">
        <v>120.57</v>
      </c>
      <c r="D227" s="4">
        <v>120.57</v>
      </c>
      <c r="E227" s="4">
        <v>0</v>
      </c>
      <c r="F227" s="3" t="e">
        <f>VLOOKUP(B227,'Profit &amp; Loss'!$B$2:$C$390,2,0)</f>
        <v>#N/A</v>
      </c>
    </row>
    <row r="228" spans="1:6" x14ac:dyDescent="0.2">
      <c r="A228" s="3" t="s">
        <v>219</v>
      </c>
      <c r="B228" s="3" t="s">
        <v>221</v>
      </c>
      <c r="C228" s="4">
        <v>596.78</v>
      </c>
      <c r="D228" s="4">
        <v>596.78</v>
      </c>
      <c r="E228" s="4">
        <v>0</v>
      </c>
      <c r="F228" s="3" t="e">
        <f>VLOOKUP(B228,'Profit &amp; Loss'!$B$2:$C$390,2,0)</f>
        <v>#N/A</v>
      </c>
    </row>
    <row r="229" spans="1:6" x14ac:dyDescent="0.2">
      <c r="A229" s="3" t="s">
        <v>219</v>
      </c>
      <c r="B229" s="3" t="s">
        <v>222</v>
      </c>
      <c r="C229" s="4">
        <v>43973507.759999998</v>
      </c>
      <c r="D229" s="4">
        <v>42980328.740000002</v>
      </c>
      <c r="E229" s="4">
        <v>993179.02</v>
      </c>
      <c r="F229" s="3" t="e">
        <f>VLOOKUP(B229,'Profit &amp; Loss'!$B$2:$C$390,2,0)</f>
        <v>#N/A</v>
      </c>
    </row>
    <row r="230" spans="1:6" x14ac:dyDescent="0.2">
      <c r="A230" s="3" t="s">
        <v>219</v>
      </c>
      <c r="B230" s="3" t="s">
        <v>2</v>
      </c>
      <c r="C230" s="4">
        <v>43974225.109999999</v>
      </c>
      <c r="D230" s="4">
        <v>42981046.090000004</v>
      </c>
      <c r="E230" s="4">
        <v>993179.02</v>
      </c>
      <c r="F230" s="3" t="e">
        <f>VLOOKUP(B230,'Profit &amp; Loss'!$B$2:$C$390,2,0)</f>
        <v>#N/A</v>
      </c>
    </row>
    <row r="231" spans="1:6" x14ac:dyDescent="0.2">
      <c r="A231" s="3" t="s">
        <v>223</v>
      </c>
      <c r="B231" s="3" t="s">
        <v>2</v>
      </c>
      <c r="C231" s="4">
        <v>43974225.109999999</v>
      </c>
      <c r="D231" s="4">
        <v>42981046.090000004</v>
      </c>
      <c r="E231" s="4">
        <v>993179.02</v>
      </c>
      <c r="F231" s="3" t="e">
        <f>VLOOKUP(B231,'Profit &amp; Loss'!$B$2:$C$390,2,0)</f>
        <v>#N/A</v>
      </c>
    </row>
    <row r="232" spans="1:6" x14ac:dyDescent="0.2">
      <c r="A232" s="3" t="s">
        <v>224</v>
      </c>
      <c r="B232" s="3" t="s">
        <v>2</v>
      </c>
      <c r="C232" s="4">
        <v>38304070.170000002</v>
      </c>
      <c r="D232" s="4">
        <v>37094115.030000001</v>
      </c>
      <c r="E232" s="4">
        <v>1209955.1399999999</v>
      </c>
      <c r="F232" s="3" t="e">
        <f>VLOOKUP(B232,'Profit &amp; Loss'!$B$2:$C$390,2,0)</f>
        <v>#N/A</v>
      </c>
    </row>
    <row r="233" spans="1:6" x14ac:dyDescent="0.2">
      <c r="A233" s="3" t="s">
        <v>225</v>
      </c>
      <c r="B233" s="3" t="s">
        <v>226</v>
      </c>
      <c r="C233" s="4">
        <v>-85746371.450000003</v>
      </c>
      <c r="D233" s="4">
        <v>-85746371.450000003</v>
      </c>
      <c r="E233" s="4">
        <v>0</v>
      </c>
      <c r="F233" s="3" t="e">
        <f>VLOOKUP(B233,'Profit &amp; Loss'!$B$2:$C$390,2,0)</f>
        <v>#N/A</v>
      </c>
    </row>
    <row r="234" spans="1:6" x14ac:dyDescent="0.2">
      <c r="A234" s="3" t="s">
        <v>225</v>
      </c>
      <c r="B234" s="3" t="s">
        <v>2</v>
      </c>
      <c r="C234" s="4">
        <v>-85746371.450000003</v>
      </c>
      <c r="D234" s="4">
        <v>-85746371.450000003</v>
      </c>
      <c r="E234" s="4">
        <v>0</v>
      </c>
      <c r="F234" s="3" t="e">
        <f>VLOOKUP(B234,'Profit &amp; Loss'!$B$2:$C$390,2,0)</f>
        <v>#N/A</v>
      </c>
    </row>
    <row r="235" spans="1:6" x14ac:dyDescent="0.2">
      <c r="A235" s="3" t="s">
        <v>227</v>
      </c>
      <c r="B235" s="3" t="s">
        <v>2</v>
      </c>
      <c r="C235" s="4">
        <v>-85746371.450000003</v>
      </c>
      <c r="D235" s="4">
        <v>-85746371.450000003</v>
      </c>
      <c r="E235" s="4">
        <v>0</v>
      </c>
      <c r="F235" s="3" t="e">
        <f>VLOOKUP(B235,'Profit &amp; Loss'!$B$2:$C$390,2,0)</f>
        <v>#N/A</v>
      </c>
    </row>
    <row r="236" spans="1:6" x14ac:dyDescent="0.2">
      <c r="A236" s="3" t="s">
        <v>228</v>
      </c>
      <c r="B236" s="3" t="s">
        <v>2</v>
      </c>
      <c r="C236" s="4">
        <v>-85746371.450000003</v>
      </c>
      <c r="D236" s="4">
        <v>-85746371.450000003</v>
      </c>
      <c r="E236" s="4">
        <v>0</v>
      </c>
      <c r="F236" s="3" t="e">
        <f>VLOOKUP(B236,'Profit &amp; Loss'!$B$2:$C$390,2,0)</f>
        <v>#N/A</v>
      </c>
    </row>
    <row r="237" spans="1:6" x14ac:dyDescent="0.2">
      <c r="A237" s="3" t="s">
        <v>229</v>
      </c>
      <c r="B237" s="3" t="s">
        <v>230</v>
      </c>
      <c r="C237" s="4">
        <v>0</v>
      </c>
      <c r="D237" s="4">
        <v>0</v>
      </c>
      <c r="E237" s="4">
        <v>0</v>
      </c>
      <c r="F237" s="3" t="e">
        <f>VLOOKUP(B237,'Profit &amp; Loss'!$B$2:$C$390,2,0)</f>
        <v>#N/A</v>
      </c>
    </row>
    <row r="238" spans="1:6" x14ac:dyDescent="0.2">
      <c r="A238" s="3" t="s">
        <v>229</v>
      </c>
      <c r="B238" s="5" t="s">
        <v>231</v>
      </c>
      <c r="C238" s="4">
        <v>0</v>
      </c>
      <c r="D238" s="4">
        <v>0</v>
      </c>
      <c r="E238" s="4">
        <v>0</v>
      </c>
      <c r="F238" s="3" t="e">
        <f>VLOOKUP(B238,'Profit &amp; Loss'!$B$2:$C$390,2,0)</f>
        <v>#N/A</v>
      </c>
    </row>
    <row r="239" spans="1:6" x14ac:dyDescent="0.2">
      <c r="A239" s="3" t="s">
        <v>232</v>
      </c>
      <c r="B239" s="3" t="s">
        <v>2</v>
      </c>
      <c r="C239" s="4">
        <v>-20572369.120000001</v>
      </c>
      <c r="D239" s="4">
        <v>-17840890.670000002</v>
      </c>
      <c r="E239" s="4">
        <v>-2731478.45</v>
      </c>
      <c r="F239" s="3" t="e">
        <f>VLOOKUP(B239,'Profit &amp; Loss'!$B$2:$C$390,2,0)</f>
        <v>#N/A</v>
      </c>
    </row>
    <row r="240" spans="1:6" x14ac:dyDescent="0.2">
      <c r="A240" s="3" t="s">
        <v>229</v>
      </c>
      <c r="B240" s="3" t="s">
        <v>233</v>
      </c>
      <c r="C240" s="4">
        <v>-20572369.120000001</v>
      </c>
      <c r="D240" s="4">
        <v>-17840890.670000002</v>
      </c>
      <c r="E240" s="4">
        <v>-2731478.45</v>
      </c>
      <c r="F240" s="3" t="e">
        <f>VLOOKUP(B240,'Profit &amp; Loss'!$B$2:$C$390,2,0)</f>
        <v>#N/A</v>
      </c>
    </row>
    <row r="241" spans="1:6" x14ac:dyDescent="0.2">
      <c r="A241" s="3" t="s">
        <v>229</v>
      </c>
      <c r="B241" s="5" t="s">
        <v>234</v>
      </c>
      <c r="C241" s="4">
        <v>0</v>
      </c>
      <c r="D241" s="4">
        <v>0</v>
      </c>
      <c r="E241" s="4">
        <v>0</v>
      </c>
      <c r="F241" s="3" t="e">
        <f>VLOOKUP(B241,'Profit &amp; Loss'!$B$2:$C$390,2,0)</f>
        <v>#N/A</v>
      </c>
    </row>
    <row r="242" spans="1:6" x14ac:dyDescent="0.2">
      <c r="A242" s="3" t="s">
        <v>115</v>
      </c>
      <c r="B242" s="3" t="s">
        <v>235</v>
      </c>
      <c r="C242" s="4">
        <v>-68014670.400000006</v>
      </c>
      <c r="D242" s="4">
        <v>-66493147.090000004</v>
      </c>
      <c r="E242" s="4">
        <v>-1521523.31</v>
      </c>
      <c r="F242" s="3" t="e">
        <f>VLOOKUP(B242,'Profit &amp; Loss'!$B$2:$C$390,2,0)</f>
        <v>#N/A</v>
      </c>
    </row>
    <row r="243" spans="1:6" x14ac:dyDescent="0.2">
      <c r="A243" s="3" t="s">
        <v>115</v>
      </c>
      <c r="B243" s="5" t="s">
        <v>236</v>
      </c>
      <c r="C243" s="4">
        <v>0</v>
      </c>
      <c r="D243" s="4">
        <v>0</v>
      </c>
      <c r="E243" s="4">
        <v>0</v>
      </c>
      <c r="F243" s="3" t="e">
        <f>VLOOKUP(B243,'Profit &amp; Loss'!$B$2:$C$390,2,0)</f>
        <v>#N/A</v>
      </c>
    </row>
    <row r="244" spans="1:6" x14ac:dyDescent="0.2">
      <c r="A244" s="3" t="s">
        <v>237</v>
      </c>
      <c r="B244" s="3" t="s">
        <v>238</v>
      </c>
      <c r="C244" s="4">
        <v>0</v>
      </c>
      <c r="D244" s="4">
        <v>0</v>
      </c>
      <c r="E244" s="4">
        <v>0</v>
      </c>
      <c r="F244" s="3">
        <f>VLOOKUP(B244,'Profit &amp; Loss'!$B$2:$C$390,2,0)</f>
        <v>0</v>
      </c>
    </row>
    <row r="245" spans="1:6" x14ac:dyDescent="0.2">
      <c r="A245" s="3" t="s">
        <v>237</v>
      </c>
      <c r="B245" s="5" t="s">
        <v>239</v>
      </c>
      <c r="C245" s="4">
        <v>0</v>
      </c>
      <c r="D245" s="4">
        <v>0</v>
      </c>
      <c r="E245" s="4">
        <v>0</v>
      </c>
      <c r="F245" s="3" t="e">
        <f>VLOOKUP(B245,'Profit &amp; Loss'!$B$2:$C$390,2,0)</f>
        <v>#N/A</v>
      </c>
    </row>
    <row r="246" spans="1:6" x14ac:dyDescent="0.2">
      <c r="A246" s="3" t="s">
        <v>240</v>
      </c>
      <c r="B246" s="3" t="s">
        <v>241</v>
      </c>
      <c r="C246" s="4">
        <v>-3482842.7</v>
      </c>
      <c r="D246" s="4">
        <v>-3261688.86</v>
      </c>
      <c r="E246" s="4">
        <v>-221153.84</v>
      </c>
      <c r="F246" s="3">
        <f>VLOOKUP(B246,'Profit &amp; Loss'!$B$2:$C$390,2,0)</f>
        <v>-58033.760000000002</v>
      </c>
    </row>
    <row r="247" spans="1:6" x14ac:dyDescent="0.2">
      <c r="A247" s="3" t="s">
        <v>240</v>
      </c>
      <c r="B247" s="3" t="s">
        <v>824</v>
      </c>
      <c r="C247" s="4">
        <v>3837.96</v>
      </c>
      <c r="D247" s="4">
        <v>3837.96</v>
      </c>
      <c r="E247" s="4">
        <v>0</v>
      </c>
      <c r="F247" s="3">
        <f>VLOOKUP(B247,'Profit &amp; Loss'!$B$2:$C$390,2,0)</f>
        <v>3837.96</v>
      </c>
    </row>
    <row r="248" spans="1:6" x14ac:dyDescent="0.2">
      <c r="A248" s="3" t="s">
        <v>240</v>
      </c>
      <c r="B248" s="3" t="s">
        <v>242</v>
      </c>
      <c r="C248" s="4">
        <v>-41269.47</v>
      </c>
      <c r="D248" s="4">
        <v>-41269.47</v>
      </c>
      <c r="E248" s="4">
        <v>0</v>
      </c>
      <c r="F248" s="3">
        <f>VLOOKUP(B248,'Profit &amp; Loss'!$B$2:$C$390,2,0)</f>
        <v>0</v>
      </c>
    </row>
    <row r="249" spans="1:6" x14ac:dyDescent="0.2">
      <c r="A249" s="3" t="s">
        <v>240</v>
      </c>
      <c r="B249" s="3" t="s">
        <v>1492</v>
      </c>
      <c r="C249" s="4">
        <v>-138766.13</v>
      </c>
      <c r="D249" s="4">
        <v>-61497.45</v>
      </c>
      <c r="E249" s="4">
        <v>-77268.679999999993</v>
      </c>
      <c r="F249" s="3">
        <f>VLOOKUP(B249,'Profit &amp; Loss'!$B$2:$C$390,2,0)</f>
        <v>0</v>
      </c>
    </row>
    <row r="250" spans="1:6" x14ac:dyDescent="0.2">
      <c r="A250" s="3" t="s">
        <v>240</v>
      </c>
      <c r="B250" s="3" t="s">
        <v>243</v>
      </c>
      <c r="C250" s="4">
        <v>138766.13</v>
      </c>
      <c r="D250" s="4">
        <v>61497.45</v>
      </c>
      <c r="E250" s="4">
        <v>77268.679999999993</v>
      </c>
      <c r="F250" s="3">
        <f>VLOOKUP(B250,'Profit &amp; Loss'!$B$2:$C$390,2,0)</f>
        <v>0</v>
      </c>
    </row>
    <row r="251" spans="1:6" x14ac:dyDescent="0.2">
      <c r="A251" s="3" t="s">
        <v>240</v>
      </c>
      <c r="B251" s="3" t="s">
        <v>1493</v>
      </c>
      <c r="C251" s="4">
        <v>-986368.35</v>
      </c>
      <c r="D251" s="4">
        <v>-986368.35</v>
      </c>
      <c r="E251" s="4">
        <v>0</v>
      </c>
      <c r="F251" s="3">
        <f>VLOOKUP(B251,'Profit &amp; Loss'!$B$2:$C$390,2,0)</f>
        <v>0</v>
      </c>
    </row>
    <row r="252" spans="1:6" x14ac:dyDescent="0.2">
      <c r="A252" s="3" t="s">
        <v>240</v>
      </c>
      <c r="B252" s="3" t="s">
        <v>1494</v>
      </c>
      <c r="C252" s="4">
        <v>995141.34</v>
      </c>
      <c r="D252" s="4">
        <v>995141.34</v>
      </c>
      <c r="E252" s="4">
        <v>0</v>
      </c>
      <c r="F252" s="3">
        <f>VLOOKUP(B252,'Profit &amp; Loss'!$B$2:$C$390,2,0)</f>
        <v>0</v>
      </c>
    </row>
    <row r="253" spans="1:6" x14ac:dyDescent="0.2">
      <c r="A253" s="3" t="s">
        <v>240</v>
      </c>
      <c r="B253" s="3" t="s">
        <v>2</v>
      </c>
      <c r="C253" s="4">
        <v>-3511501.22</v>
      </c>
      <c r="D253" s="4">
        <v>-3290347.38</v>
      </c>
      <c r="E253" s="4">
        <v>-221153.84</v>
      </c>
      <c r="F253" s="3" t="e">
        <f>VLOOKUP(B253,'Profit &amp; Loss'!$B$2:$C$390,2,0)</f>
        <v>#N/A</v>
      </c>
    </row>
    <row r="254" spans="1:6" x14ac:dyDescent="0.2">
      <c r="A254" s="3" t="s">
        <v>244</v>
      </c>
      <c r="B254" s="3" t="s">
        <v>245</v>
      </c>
      <c r="C254" s="4">
        <v>-65812104.140000001</v>
      </c>
      <c r="D254" s="4">
        <v>-56591829.68</v>
      </c>
      <c r="E254" s="4">
        <v>-9220274.4600000009</v>
      </c>
      <c r="F254" s="3">
        <f>VLOOKUP(B254,'Profit &amp; Loss'!$B$2:$C$390,2,0)</f>
        <v>-4673022.7699999996</v>
      </c>
    </row>
    <row r="255" spans="1:6" x14ac:dyDescent="0.2">
      <c r="A255" s="3" t="s">
        <v>244</v>
      </c>
      <c r="B255" s="3" t="s">
        <v>536</v>
      </c>
      <c r="C255" s="4">
        <v>-936458.26</v>
      </c>
      <c r="D255" s="4">
        <v>-936458.26</v>
      </c>
      <c r="E255" s="4">
        <v>0</v>
      </c>
      <c r="F255" s="3">
        <f>VLOOKUP(B255,'Profit &amp; Loss'!$B$2:$C$390,2,0)</f>
        <v>-9457.2900000000009</v>
      </c>
    </row>
    <row r="256" spans="1:6" x14ac:dyDescent="0.2">
      <c r="A256" s="3" t="s">
        <v>244</v>
      </c>
      <c r="B256" s="3" t="s">
        <v>537</v>
      </c>
      <c r="C256" s="4">
        <v>57230.52</v>
      </c>
      <c r="D256" s="4">
        <v>57230.52</v>
      </c>
      <c r="E256" s="4">
        <v>0</v>
      </c>
      <c r="F256" s="3">
        <f>VLOOKUP(B256,'Profit &amp; Loss'!$B$2:$C$390,2,0)</f>
        <v>0.01</v>
      </c>
    </row>
    <row r="257" spans="1:6" x14ac:dyDescent="0.2">
      <c r="A257" s="3" t="s">
        <v>244</v>
      </c>
      <c r="B257" s="3" t="s">
        <v>246</v>
      </c>
      <c r="C257" s="4">
        <v>-853168.99</v>
      </c>
      <c r="D257" s="4">
        <v>-787648.35</v>
      </c>
      <c r="E257" s="4">
        <v>-65520.639999999999</v>
      </c>
      <c r="F257" s="3">
        <f>VLOOKUP(B257,'Profit &amp; Loss'!$B$2:$C$390,2,0)</f>
        <v>-49623.57</v>
      </c>
    </row>
    <row r="258" spans="1:6" x14ac:dyDescent="0.2">
      <c r="A258" s="3" t="s">
        <v>244</v>
      </c>
      <c r="B258" s="3" t="s">
        <v>247</v>
      </c>
      <c r="C258" s="4">
        <v>-453.17</v>
      </c>
      <c r="D258" s="4">
        <v>-389.06</v>
      </c>
      <c r="E258" s="4">
        <v>-64.11</v>
      </c>
      <c r="F258" s="3">
        <f>VLOOKUP(B258,'Profit &amp; Loss'!$B$2:$C$390,2,0)</f>
        <v>-27.12</v>
      </c>
    </row>
    <row r="259" spans="1:6" x14ac:dyDescent="0.2">
      <c r="A259" s="3" t="s">
        <v>244</v>
      </c>
      <c r="B259" s="3" t="s">
        <v>949</v>
      </c>
      <c r="C259" s="4">
        <v>-316188.95</v>
      </c>
      <c r="D259" s="4">
        <v>-316188.95</v>
      </c>
      <c r="E259" s="4">
        <v>0</v>
      </c>
      <c r="F259" s="3">
        <f>VLOOKUP(B259,'Profit &amp; Loss'!$B$2:$C$390,2,0)</f>
        <v>-133950.59</v>
      </c>
    </row>
    <row r="260" spans="1:6" x14ac:dyDescent="0.2">
      <c r="A260" s="3" t="s">
        <v>244</v>
      </c>
      <c r="B260" s="3" t="s">
        <v>248</v>
      </c>
      <c r="C260" s="4">
        <v>-498333.73</v>
      </c>
      <c r="D260" s="4">
        <v>-498333.73</v>
      </c>
      <c r="E260" s="4">
        <v>0</v>
      </c>
      <c r="F260" s="3">
        <f>VLOOKUP(B260,'Profit &amp; Loss'!$B$2:$C$390,2,0)</f>
        <v>0</v>
      </c>
    </row>
    <row r="261" spans="1:6" x14ac:dyDescent="0.2">
      <c r="A261" s="3" t="s">
        <v>244</v>
      </c>
      <c r="B261" s="3" t="s">
        <v>249</v>
      </c>
      <c r="C261" s="4">
        <v>-916711.56</v>
      </c>
      <c r="D261" s="4">
        <v>-916711.56</v>
      </c>
      <c r="E261" s="4">
        <v>0</v>
      </c>
      <c r="F261" s="3">
        <f>VLOOKUP(B261,'Profit &amp; Loss'!$B$2:$C$390,2,0)</f>
        <v>0</v>
      </c>
    </row>
    <row r="262" spans="1:6" x14ac:dyDescent="0.2">
      <c r="A262" s="3" t="s">
        <v>244</v>
      </c>
      <c r="B262" s="3" t="s">
        <v>250</v>
      </c>
      <c r="C262" s="4">
        <v>-66349.91</v>
      </c>
      <c r="D262" s="4">
        <v>-52949.13</v>
      </c>
      <c r="E262" s="4">
        <v>-13400.78</v>
      </c>
      <c r="F262" s="3">
        <f>VLOOKUP(B262,'Profit &amp; Loss'!$B$2:$C$390,2,0)</f>
        <v>-1606.18</v>
      </c>
    </row>
    <row r="263" spans="1:6" x14ac:dyDescent="0.2">
      <c r="A263" s="3" t="s">
        <v>244</v>
      </c>
      <c r="B263" s="3" t="s">
        <v>251</v>
      </c>
      <c r="C263" s="4">
        <v>185582.97</v>
      </c>
      <c r="D263" s="4">
        <v>157332.48000000001</v>
      </c>
      <c r="E263" s="4">
        <v>28250.49</v>
      </c>
      <c r="F263" s="3">
        <f>VLOOKUP(B263,'Profit &amp; Loss'!$B$2:$C$390,2,0)</f>
        <v>12361.59</v>
      </c>
    </row>
    <row r="264" spans="1:6" x14ac:dyDescent="0.2">
      <c r="A264" s="3" t="s">
        <v>244</v>
      </c>
      <c r="B264" s="3" t="s">
        <v>252</v>
      </c>
      <c r="C264" s="4">
        <v>-37428.800000000003</v>
      </c>
      <c r="D264" s="4">
        <v>-37428.800000000003</v>
      </c>
      <c r="E264" s="4">
        <v>0</v>
      </c>
      <c r="F264" s="3">
        <f>VLOOKUP(B264,'Profit &amp; Loss'!$B$2:$C$390,2,0)</f>
        <v>0</v>
      </c>
    </row>
    <row r="265" spans="1:6" x14ac:dyDescent="0.2">
      <c r="A265" s="3" t="s">
        <v>244</v>
      </c>
      <c r="B265" s="3" t="s">
        <v>2</v>
      </c>
      <c r="C265" s="4">
        <v>-69194384.019999996</v>
      </c>
      <c r="D265" s="4">
        <v>-59923374.520000003</v>
      </c>
      <c r="E265" s="4">
        <v>-9271009.5</v>
      </c>
      <c r="F265" s="3" t="e">
        <f>VLOOKUP(B265,'Profit &amp; Loss'!$B$2:$C$390,2,0)</f>
        <v>#N/A</v>
      </c>
    </row>
    <row r="266" spans="1:6" x14ac:dyDescent="0.2">
      <c r="A266" s="3" t="s">
        <v>253</v>
      </c>
      <c r="B266" s="3" t="s">
        <v>254</v>
      </c>
      <c r="C266" s="4">
        <v>508307.89</v>
      </c>
      <c r="D266" s="4">
        <v>430784.67</v>
      </c>
      <c r="E266" s="4">
        <v>77523.22</v>
      </c>
      <c r="F266" s="3">
        <f>VLOOKUP(B266,'Profit &amp; Loss'!$B$2:$C$390,2,0)</f>
        <v>31846.94</v>
      </c>
    </row>
    <row r="267" spans="1:6" x14ac:dyDescent="0.2">
      <c r="A267" s="3" t="s">
        <v>253</v>
      </c>
      <c r="B267" s="3" t="s">
        <v>255</v>
      </c>
      <c r="C267" s="4">
        <v>-256423.2</v>
      </c>
      <c r="D267" s="4">
        <v>-250381.68</v>
      </c>
      <c r="E267" s="4">
        <v>-6041.52</v>
      </c>
      <c r="F267" s="3">
        <f>VLOOKUP(B267,'Profit &amp; Loss'!$B$2:$C$390,2,0)</f>
        <v>-31894.21</v>
      </c>
    </row>
    <row r="268" spans="1:6" x14ac:dyDescent="0.2">
      <c r="A268" s="3" t="s">
        <v>253</v>
      </c>
      <c r="B268" s="3" t="s">
        <v>256</v>
      </c>
      <c r="C268" s="4">
        <v>-236441.46</v>
      </c>
      <c r="D268" s="4">
        <v>-220514.99</v>
      </c>
      <c r="E268" s="4">
        <v>-15926.47</v>
      </c>
      <c r="F268" s="3">
        <f>VLOOKUP(B268,'Profit &amp; Loss'!$B$2:$C$390,2,0)</f>
        <v>-17785.87</v>
      </c>
    </row>
    <row r="269" spans="1:6" x14ac:dyDescent="0.2">
      <c r="A269" s="3" t="s">
        <v>253</v>
      </c>
      <c r="B269" s="3" t="s">
        <v>257</v>
      </c>
      <c r="C269" s="4">
        <v>-3681120.69</v>
      </c>
      <c r="D269" s="4">
        <v>-3283558.96</v>
      </c>
      <c r="E269" s="4">
        <v>-397561.73</v>
      </c>
      <c r="F269" s="3">
        <f>VLOOKUP(B269,'Profit &amp; Loss'!$B$2:$C$390,2,0)</f>
        <v>-222549.26</v>
      </c>
    </row>
    <row r="270" spans="1:6" x14ac:dyDescent="0.2">
      <c r="A270" s="3" t="s">
        <v>253</v>
      </c>
      <c r="B270" s="3" t="s">
        <v>258</v>
      </c>
      <c r="C270" s="4">
        <v>81881.350000000006</v>
      </c>
      <c r="D270" s="4">
        <v>81882.67</v>
      </c>
      <c r="E270" s="4">
        <v>-1.32</v>
      </c>
      <c r="F270" s="3">
        <f>VLOOKUP(B270,'Profit &amp; Loss'!$B$2:$C$390,2,0)</f>
        <v>4.93</v>
      </c>
    </row>
    <row r="271" spans="1:6" x14ac:dyDescent="0.2">
      <c r="A271" s="3" t="s">
        <v>253</v>
      </c>
      <c r="B271" s="3" t="s">
        <v>259</v>
      </c>
      <c r="C271" s="4">
        <v>-1774.41</v>
      </c>
      <c r="D271" s="4">
        <v>-1300.19</v>
      </c>
      <c r="E271" s="4">
        <v>-474.22</v>
      </c>
      <c r="F271" s="3">
        <f>VLOOKUP(B271,'Profit &amp; Loss'!$B$2:$C$390,2,0)</f>
        <v>0</v>
      </c>
    </row>
    <row r="272" spans="1:6" x14ac:dyDescent="0.2">
      <c r="A272" s="3" t="s">
        <v>253</v>
      </c>
      <c r="B272" s="3" t="s">
        <v>1227</v>
      </c>
      <c r="C272" s="4">
        <v>-142.18</v>
      </c>
      <c r="D272" s="4">
        <v>-142.18</v>
      </c>
      <c r="E272" s="4">
        <v>0</v>
      </c>
      <c r="F272" s="3">
        <f>VLOOKUP(B272,'Profit &amp; Loss'!$B$2:$C$390,2,0)</f>
        <v>0</v>
      </c>
    </row>
    <row r="273" spans="1:6" x14ac:dyDescent="0.2">
      <c r="A273" s="3" t="s">
        <v>253</v>
      </c>
      <c r="B273" s="3" t="s">
        <v>989</v>
      </c>
      <c r="C273" s="4">
        <v>5.01</v>
      </c>
      <c r="D273" s="4">
        <v>5.01</v>
      </c>
      <c r="E273" s="4">
        <v>0</v>
      </c>
      <c r="F273" s="3">
        <f>VLOOKUP(B273,'Profit &amp; Loss'!$B$2:$C$390,2,0)</f>
        <v>5.01</v>
      </c>
    </row>
    <row r="274" spans="1:6" x14ac:dyDescent="0.2">
      <c r="A274" s="3" t="s">
        <v>253</v>
      </c>
      <c r="B274" s="3" t="s">
        <v>2</v>
      </c>
      <c r="C274" s="4">
        <v>-3585707.69</v>
      </c>
      <c r="D274" s="4">
        <v>-3243225.65</v>
      </c>
      <c r="E274" s="4">
        <v>-342482.04</v>
      </c>
      <c r="F274" s="3" t="e">
        <f>VLOOKUP(B274,'Profit &amp; Loss'!$B$2:$C$390,2,0)</f>
        <v>#N/A</v>
      </c>
    </row>
    <row r="275" spans="1:6" x14ac:dyDescent="0.2">
      <c r="A275" s="3" t="s">
        <v>260</v>
      </c>
      <c r="B275" s="3" t="s">
        <v>261</v>
      </c>
      <c r="C275" s="4">
        <v>-7235521.0199999996</v>
      </c>
      <c r="D275" s="4">
        <v>-6598950.7400000002</v>
      </c>
      <c r="E275" s="4">
        <v>-636570.28</v>
      </c>
      <c r="F275" s="3">
        <f>VLOOKUP(B275,'Profit &amp; Loss'!$B$2:$C$390,2,0)</f>
        <v>-646517.02</v>
      </c>
    </row>
    <row r="276" spans="1:6" x14ac:dyDescent="0.2">
      <c r="A276" s="3" t="s">
        <v>260</v>
      </c>
      <c r="B276" s="3" t="s">
        <v>262</v>
      </c>
      <c r="C276" s="4">
        <v>-130960.26</v>
      </c>
      <c r="D276" s="4">
        <v>-130731.18</v>
      </c>
      <c r="E276" s="4">
        <v>-229.08</v>
      </c>
      <c r="F276" s="3">
        <f>VLOOKUP(B276,'Profit &amp; Loss'!$B$2:$C$390,2,0)</f>
        <v>0</v>
      </c>
    </row>
    <row r="277" spans="1:6" x14ac:dyDescent="0.2">
      <c r="A277" s="3" t="s">
        <v>260</v>
      </c>
      <c r="B277" s="3" t="s">
        <v>1532</v>
      </c>
      <c r="C277" s="4">
        <v>131632.24</v>
      </c>
      <c r="D277" s="4">
        <v>131632.24</v>
      </c>
      <c r="E277" s="4">
        <v>0</v>
      </c>
      <c r="F277" s="3">
        <f>VLOOKUP(B277,'Profit &amp; Loss'!$B$2:$C$390,2,0)</f>
        <v>0</v>
      </c>
    </row>
    <row r="278" spans="1:6" x14ac:dyDescent="0.2">
      <c r="A278" s="3" t="s">
        <v>260</v>
      </c>
      <c r="B278" s="3" t="s">
        <v>2</v>
      </c>
      <c r="C278" s="4">
        <v>-7234849.04</v>
      </c>
      <c r="D278" s="4">
        <v>-6598049.6799999997</v>
      </c>
      <c r="E278" s="4">
        <v>-636799.36</v>
      </c>
      <c r="F278" s="3" t="e">
        <f>VLOOKUP(B278,'Profit &amp; Loss'!$B$2:$C$390,2,0)</f>
        <v>#N/A</v>
      </c>
    </row>
    <row r="279" spans="1:6" x14ac:dyDescent="0.2">
      <c r="A279" s="3" t="s">
        <v>263</v>
      </c>
      <c r="B279" s="3" t="s">
        <v>264</v>
      </c>
      <c r="C279" s="4">
        <v>-869735.43</v>
      </c>
      <c r="D279" s="4">
        <v>-796947.32</v>
      </c>
      <c r="E279" s="4">
        <v>-72788.11</v>
      </c>
      <c r="F279" s="3">
        <f>VLOOKUP(B279,'Profit &amp; Loss'!$B$2:$C$390,2,0)</f>
        <v>-52009.78</v>
      </c>
    </row>
    <row r="280" spans="1:6" x14ac:dyDescent="0.2">
      <c r="A280" s="3" t="s">
        <v>263</v>
      </c>
      <c r="B280" s="3" t="s">
        <v>2</v>
      </c>
      <c r="C280" s="4">
        <v>-869735.43</v>
      </c>
      <c r="D280" s="4">
        <v>-796947.32</v>
      </c>
      <c r="E280" s="4">
        <v>-72788.11</v>
      </c>
      <c r="F280" s="3" t="e">
        <f>VLOOKUP(B280,'Profit &amp; Loss'!$B$2:$C$390,2,0)</f>
        <v>#N/A</v>
      </c>
    </row>
    <row r="281" spans="1:6" x14ac:dyDescent="0.2">
      <c r="A281" s="3" t="s">
        <v>265</v>
      </c>
      <c r="B281" s="3" t="s">
        <v>2</v>
      </c>
      <c r="C281" s="4">
        <v>-84396177.400000006</v>
      </c>
      <c r="D281" s="4">
        <v>-73851944.549999997</v>
      </c>
      <c r="E281" s="4">
        <v>-10544232.85</v>
      </c>
      <c r="F281" s="3" t="e">
        <f>VLOOKUP(B281,'Profit &amp; Loss'!$B$2:$C$390,2,0)</f>
        <v>#N/A</v>
      </c>
    </row>
    <row r="282" spans="1:6" x14ac:dyDescent="0.2">
      <c r="A282" s="3" t="s">
        <v>266</v>
      </c>
      <c r="B282" s="3" t="s">
        <v>267</v>
      </c>
      <c r="C282" s="4">
        <v>2639606.6</v>
      </c>
      <c r="D282" s="4">
        <v>2487590.2599999998</v>
      </c>
      <c r="E282" s="4">
        <v>152016.34</v>
      </c>
      <c r="F282" s="3">
        <f>VLOOKUP(B282,'Profit &amp; Loss'!$B$2:$C$390,2,0)</f>
        <v>35994.629999999997</v>
      </c>
    </row>
    <row r="283" spans="1:6" x14ac:dyDescent="0.2">
      <c r="A283" s="3" t="s">
        <v>266</v>
      </c>
      <c r="B283" s="3" t="s">
        <v>268</v>
      </c>
      <c r="C283" s="4">
        <v>34269.68</v>
      </c>
      <c r="D283" s="4">
        <v>34269.68</v>
      </c>
      <c r="E283" s="4">
        <v>0</v>
      </c>
      <c r="F283" s="3">
        <f>VLOOKUP(B283,'Profit &amp; Loss'!$B$2:$C$390,2,0)</f>
        <v>0</v>
      </c>
    </row>
    <row r="284" spans="1:6" x14ac:dyDescent="0.2">
      <c r="A284" s="3" t="s">
        <v>266</v>
      </c>
      <c r="B284" s="3" t="s">
        <v>542</v>
      </c>
      <c r="C284" s="4">
        <v>3577.74</v>
      </c>
      <c r="D284" s="4">
        <v>70.900000000000006</v>
      </c>
      <c r="E284" s="4">
        <v>3506.84</v>
      </c>
      <c r="F284" s="3">
        <f>VLOOKUP(B284,'Profit &amp; Loss'!$B$2:$C$390,2,0)</f>
        <v>0</v>
      </c>
    </row>
    <row r="285" spans="1:6" x14ac:dyDescent="0.2">
      <c r="A285" s="3" t="s">
        <v>266</v>
      </c>
      <c r="B285" s="3" t="s">
        <v>270</v>
      </c>
      <c r="C285" s="4">
        <v>146999.96</v>
      </c>
      <c r="D285" s="4">
        <v>141900.78</v>
      </c>
      <c r="E285" s="4">
        <v>5099.18</v>
      </c>
      <c r="F285" s="3">
        <f>VLOOKUP(B285,'Profit &amp; Loss'!$B$2:$C$390,2,0)</f>
        <v>1700</v>
      </c>
    </row>
    <row r="286" spans="1:6" x14ac:dyDescent="0.2">
      <c r="A286" s="3" t="s">
        <v>266</v>
      </c>
      <c r="B286" s="3" t="s">
        <v>271</v>
      </c>
      <c r="C286" s="4">
        <v>12372.35</v>
      </c>
      <c r="D286" s="4">
        <v>12360.83</v>
      </c>
      <c r="E286" s="4">
        <v>11.52</v>
      </c>
      <c r="F286" s="3">
        <f>VLOOKUP(B286,'Profit &amp; Loss'!$B$2:$C$390,2,0)</f>
        <v>687.98</v>
      </c>
    </row>
    <row r="287" spans="1:6" x14ac:dyDescent="0.2">
      <c r="A287" s="3" t="s">
        <v>266</v>
      </c>
      <c r="B287" s="3" t="s">
        <v>272</v>
      </c>
      <c r="C287" s="4">
        <v>156082.71</v>
      </c>
      <c r="D287" s="4">
        <v>110423.67999999999</v>
      </c>
      <c r="E287" s="4">
        <v>45659.03</v>
      </c>
      <c r="F287" s="3">
        <f>VLOOKUP(B287,'Profit &amp; Loss'!$B$2:$C$390,2,0)</f>
        <v>3744.15</v>
      </c>
    </row>
    <row r="288" spans="1:6" x14ac:dyDescent="0.2">
      <c r="A288" s="3" t="s">
        <v>266</v>
      </c>
      <c r="B288" s="3" t="s">
        <v>273</v>
      </c>
      <c r="C288" s="4">
        <v>54603.13</v>
      </c>
      <c r="D288" s="4">
        <v>24945.200000000001</v>
      </c>
      <c r="E288" s="4">
        <v>29657.93</v>
      </c>
      <c r="F288" s="3">
        <f>VLOOKUP(B288,'Profit &amp; Loss'!$B$2:$C$390,2,0)</f>
        <v>0</v>
      </c>
    </row>
    <row r="289" spans="1:6" x14ac:dyDescent="0.2">
      <c r="A289" s="3" t="s">
        <v>266</v>
      </c>
      <c r="B289" s="3" t="s">
        <v>274</v>
      </c>
      <c r="C289" s="4">
        <v>3404.96</v>
      </c>
      <c r="D289" s="4">
        <v>3185.33</v>
      </c>
      <c r="E289" s="4">
        <v>219.63</v>
      </c>
      <c r="F289" s="3">
        <f>VLOOKUP(B289,'Profit &amp; Loss'!$B$2:$C$390,2,0)</f>
        <v>54.02</v>
      </c>
    </row>
    <row r="290" spans="1:6" x14ac:dyDescent="0.2">
      <c r="A290" s="3" t="s">
        <v>266</v>
      </c>
      <c r="B290" s="3" t="s">
        <v>641</v>
      </c>
      <c r="C290" s="4">
        <v>902.74</v>
      </c>
      <c r="D290" s="4">
        <v>833.94</v>
      </c>
      <c r="E290" s="4">
        <v>68.8</v>
      </c>
      <c r="F290" s="3">
        <f>VLOOKUP(B290,'Profit &amp; Loss'!$B$2:$C$390,2,0)</f>
        <v>0</v>
      </c>
    </row>
    <row r="291" spans="1:6" x14ac:dyDescent="0.2">
      <c r="A291" s="3" t="s">
        <v>266</v>
      </c>
      <c r="B291" s="3" t="s">
        <v>275</v>
      </c>
      <c r="C291" s="4">
        <v>16534.14</v>
      </c>
      <c r="D291" s="4">
        <v>15435.97</v>
      </c>
      <c r="E291" s="4">
        <v>1098.17</v>
      </c>
      <c r="F291" s="3">
        <f>VLOOKUP(B291,'Profit &amp; Loss'!$B$2:$C$390,2,0)</f>
        <v>270.11</v>
      </c>
    </row>
    <row r="292" spans="1:6" x14ac:dyDescent="0.2">
      <c r="A292" s="3" t="s">
        <v>266</v>
      </c>
      <c r="B292" s="3" t="s">
        <v>276</v>
      </c>
      <c r="C292" s="4">
        <v>41151.949999999997</v>
      </c>
      <c r="D292" s="4">
        <v>22536.35</v>
      </c>
      <c r="E292" s="4">
        <v>18615.599999999999</v>
      </c>
      <c r="F292" s="3">
        <f>VLOOKUP(B292,'Profit &amp; Loss'!$B$2:$C$390,2,0)</f>
        <v>1027.45</v>
      </c>
    </row>
    <row r="293" spans="1:6" x14ac:dyDescent="0.2">
      <c r="A293" s="3" t="s">
        <v>266</v>
      </c>
      <c r="B293" s="3" t="s">
        <v>278</v>
      </c>
      <c r="C293" s="4">
        <v>45587.32</v>
      </c>
      <c r="D293" s="4">
        <v>45587.32</v>
      </c>
      <c r="E293" s="4">
        <v>0</v>
      </c>
      <c r="F293" s="3">
        <f>VLOOKUP(B293,'Profit &amp; Loss'!$B$2:$C$390,2,0)</f>
        <v>0</v>
      </c>
    </row>
    <row r="294" spans="1:6" x14ac:dyDescent="0.2">
      <c r="A294" s="3" t="s">
        <v>266</v>
      </c>
      <c r="B294" s="3" t="s">
        <v>1511</v>
      </c>
      <c r="C294" s="4">
        <v>-10624.89</v>
      </c>
      <c r="D294" s="4">
        <v>-10624.89</v>
      </c>
      <c r="E294" s="4">
        <v>0</v>
      </c>
      <c r="F294" s="3">
        <f>VLOOKUP(B294,'Profit &amp; Loss'!$B$2:$C$390,2,0)</f>
        <v>0</v>
      </c>
    </row>
    <row r="295" spans="1:6" x14ac:dyDescent="0.2">
      <c r="A295" s="3" t="s">
        <v>266</v>
      </c>
      <c r="B295" s="3" t="s">
        <v>279</v>
      </c>
      <c r="C295" s="4">
        <v>13144.33</v>
      </c>
      <c r="D295" s="4">
        <v>10863.92</v>
      </c>
      <c r="E295" s="4">
        <v>2280.41</v>
      </c>
      <c r="F295" s="3">
        <f>VLOOKUP(B295,'Profit &amp; Loss'!$B$2:$C$390,2,0)</f>
        <v>611.70000000000005</v>
      </c>
    </row>
    <row r="296" spans="1:6" x14ac:dyDescent="0.2">
      <c r="A296" s="3" t="s">
        <v>266</v>
      </c>
      <c r="B296" s="3" t="s">
        <v>280</v>
      </c>
      <c r="C296" s="4">
        <v>258.02</v>
      </c>
      <c r="D296" s="4">
        <v>1907.48</v>
      </c>
      <c r="E296" s="4">
        <v>-1649.46</v>
      </c>
      <c r="F296" s="3">
        <f>VLOOKUP(B296,'Profit &amp; Loss'!$B$2:$C$390,2,0)</f>
        <v>0</v>
      </c>
    </row>
    <row r="297" spans="1:6" x14ac:dyDescent="0.2">
      <c r="A297" s="3" t="s">
        <v>266</v>
      </c>
      <c r="B297" s="3" t="s">
        <v>281</v>
      </c>
      <c r="C297" s="4">
        <v>4729.74</v>
      </c>
      <c r="D297" s="4">
        <v>11405.04</v>
      </c>
      <c r="E297" s="4">
        <v>-6675.3</v>
      </c>
      <c r="F297" s="3">
        <f>VLOOKUP(B297,'Profit &amp; Loss'!$B$2:$C$390,2,0)</f>
        <v>-195.89</v>
      </c>
    </row>
    <row r="298" spans="1:6" x14ac:dyDescent="0.2">
      <c r="A298" s="3" t="s">
        <v>266</v>
      </c>
      <c r="B298" s="3" t="s">
        <v>282</v>
      </c>
      <c r="C298" s="4">
        <v>84.47</v>
      </c>
      <c r="D298" s="4">
        <v>13165.94</v>
      </c>
      <c r="E298" s="4">
        <v>-13081.47</v>
      </c>
      <c r="F298" s="3">
        <f>VLOOKUP(B298,'Profit &amp; Loss'!$B$2:$C$390,2,0)</f>
        <v>0</v>
      </c>
    </row>
    <row r="299" spans="1:6" x14ac:dyDescent="0.2">
      <c r="A299" s="3" t="s">
        <v>266</v>
      </c>
      <c r="B299" s="3" t="s">
        <v>829</v>
      </c>
      <c r="C299" s="4">
        <v>2104.08</v>
      </c>
      <c r="D299" s="4">
        <v>40684.79</v>
      </c>
      <c r="E299" s="4">
        <v>-38580.71</v>
      </c>
      <c r="F299" s="3">
        <f>VLOOKUP(B299,'Profit &amp; Loss'!$B$2:$C$390,2,0)</f>
        <v>199.48</v>
      </c>
    </row>
    <row r="300" spans="1:6" x14ac:dyDescent="0.2">
      <c r="A300" s="3" t="s">
        <v>266</v>
      </c>
      <c r="B300" s="3" t="s">
        <v>283</v>
      </c>
      <c r="C300" s="4">
        <v>2360.79</v>
      </c>
      <c r="D300" s="4">
        <v>429.59</v>
      </c>
      <c r="E300" s="4">
        <v>1931.2</v>
      </c>
      <c r="F300" s="3">
        <f>VLOOKUP(B300,'Profit &amp; Loss'!$B$2:$C$390,2,0)</f>
        <v>1000</v>
      </c>
    </row>
    <row r="301" spans="1:6" x14ac:dyDescent="0.2">
      <c r="A301" s="3" t="s">
        <v>266</v>
      </c>
      <c r="B301" s="3" t="s">
        <v>284</v>
      </c>
      <c r="C301" s="4">
        <v>9288.0499999999993</v>
      </c>
      <c r="D301" s="4">
        <v>39520.720000000001</v>
      </c>
      <c r="E301" s="4">
        <v>-30232.67</v>
      </c>
      <c r="F301" s="3">
        <f>VLOOKUP(B301,'Profit &amp; Loss'!$B$2:$C$390,2,0)</f>
        <v>536.67999999999995</v>
      </c>
    </row>
    <row r="302" spans="1:6" x14ac:dyDescent="0.2">
      <c r="A302" s="3" t="s">
        <v>266</v>
      </c>
      <c r="B302" s="3" t="s">
        <v>285</v>
      </c>
      <c r="C302" s="4">
        <v>-400</v>
      </c>
      <c r="D302" s="4">
        <v>-400</v>
      </c>
      <c r="E302" s="4">
        <v>0</v>
      </c>
      <c r="F302" s="3">
        <f>VLOOKUP(B302,'Profit &amp; Loss'!$B$2:$C$390,2,0)</f>
        <v>200</v>
      </c>
    </row>
    <row r="303" spans="1:6" x14ac:dyDescent="0.2">
      <c r="A303" s="3" t="s">
        <v>266</v>
      </c>
      <c r="B303" s="3" t="s">
        <v>2</v>
      </c>
      <c r="C303" s="4">
        <v>3176037.87</v>
      </c>
      <c r="D303" s="4">
        <v>3006092.83</v>
      </c>
      <c r="E303" s="4">
        <v>169945.04</v>
      </c>
      <c r="F303" s="3" t="e">
        <f>VLOOKUP(B303,'Profit &amp; Loss'!$B$2:$C$390,2,0)</f>
        <v>#N/A</v>
      </c>
    </row>
    <row r="304" spans="1:6" x14ac:dyDescent="0.2">
      <c r="A304" s="3" t="s">
        <v>286</v>
      </c>
      <c r="B304" s="3" t="s">
        <v>287</v>
      </c>
      <c r="C304" s="4">
        <v>46774199.799999997</v>
      </c>
      <c r="D304" s="4">
        <v>39978030.140000001</v>
      </c>
      <c r="E304" s="4">
        <v>6796169.6600000001</v>
      </c>
      <c r="F304" s="3">
        <f>VLOOKUP(B304,'Profit &amp; Loss'!$B$2:$C$390,2,0)</f>
        <v>3184835.62</v>
      </c>
    </row>
    <row r="305" spans="1:6" x14ac:dyDescent="0.2">
      <c r="A305" s="3" t="s">
        <v>286</v>
      </c>
      <c r="B305" s="3" t="s">
        <v>548</v>
      </c>
      <c r="C305" s="4">
        <v>799525.14</v>
      </c>
      <c r="D305" s="4">
        <v>799308.06</v>
      </c>
      <c r="E305" s="4">
        <v>217.08</v>
      </c>
      <c r="F305" s="3">
        <f>VLOOKUP(B305,'Profit &amp; Loss'!$B$2:$C$390,2,0)</f>
        <v>7169.99</v>
      </c>
    </row>
    <row r="306" spans="1:6" x14ac:dyDescent="0.2">
      <c r="A306" s="3" t="s">
        <v>286</v>
      </c>
      <c r="B306" s="3" t="s">
        <v>288</v>
      </c>
      <c r="C306" s="4">
        <v>671444.89</v>
      </c>
      <c r="D306" s="4">
        <v>618473.11</v>
      </c>
      <c r="E306" s="4">
        <v>52971.78</v>
      </c>
      <c r="F306" s="3">
        <f>VLOOKUP(B306,'Profit &amp; Loss'!$B$2:$C$390,2,0)</f>
        <v>28211.14</v>
      </c>
    </row>
    <row r="307" spans="1:6" x14ac:dyDescent="0.2">
      <c r="A307" s="3" t="s">
        <v>286</v>
      </c>
      <c r="B307" s="3" t="s">
        <v>289</v>
      </c>
      <c r="C307" s="4">
        <v>303.45999999999998</v>
      </c>
      <c r="D307" s="4">
        <v>261.74</v>
      </c>
      <c r="E307" s="4">
        <v>41.72</v>
      </c>
      <c r="F307" s="3">
        <f>VLOOKUP(B307,'Profit &amp; Loss'!$B$2:$C$390,2,0)</f>
        <v>18.079999999999998</v>
      </c>
    </row>
    <row r="308" spans="1:6" x14ac:dyDescent="0.2">
      <c r="A308" s="3" t="s">
        <v>286</v>
      </c>
      <c r="B308" s="3" t="s">
        <v>952</v>
      </c>
      <c r="C308" s="4">
        <v>18512.990000000002</v>
      </c>
      <c r="D308" s="4">
        <v>18512.990000000002</v>
      </c>
      <c r="E308" s="4">
        <v>0</v>
      </c>
      <c r="F308" s="3">
        <f>VLOOKUP(B308,'Profit &amp; Loss'!$B$2:$C$390,2,0)</f>
        <v>8746</v>
      </c>
    </row>
    <row r="309" spans="1:6" x14ac:dyDescent="0.2">
      <c r="A309" s="3" t="s">
        <v>286</v>
      </c>
      <c r="B309" s="3" t="s">
        <v>290</v>
      </c>
      <c r="C309" s="4">
        <v>-628569</v>
      </c>
      <c r="D309" s="4">
        <v>-596310.29</v>
      </c>
      <c r="E309" s="4">
        <v>-32258.71</v>
      </c>
      <c r="F309" s="3">
        <f>VLOOKUP(B309,'Profit &amp; Loss'!$B$2:$C$390,2,0)</f>
        <v>-21923.22</v>
      </c>
    </row>
    <row r="310" spans="1:6" x14ac:dyDescent="0.2">
      <c r="A310" s="3" t="s">
        <v>286</v>
      </c>
      <c r="B310" s="3" t="s">
        <v>291</v>
      </c>
      <c r="C310" s="4">
        <v>-2458233.77</v>
      </c>
      <c r="D310" s="4">
        <v>-2141547.39</v>
      </c>
      <c r="E310" s="4">
        <v>-316686.38</v>
      </c>
      <c r="F310" s="3">
        <f>VLOOKUP(B310,'Profit &amp; Loss'!$B$2:$C$390,2,0)</f>
        <v>-107667</v>
      </c>
    </row>
    <row r="311" spans="1:6" x14ac:dyDescent="0.2">
      <c r="A311" s="3" t="s">
        <v>286</v>
      </c>
      <c r="B311" s="3" t="s">
        <v>292</v>
      </c>
      <c r="C311" s="4">
        <v>970361.36</v>
      </c>
      <c r="D311" s="4">
        <v>958215.18</v>
      </c>
      <c r="E311" s="4">
        <v>12146.18</v>
      </c>
      <c r="F311" s="3">
        <f>VLOOKUP(B311,'Profit &amp; Loss'!$B$2:$C$390,2,0)</f>
        <v>0</v>
      </c>
    </row>
    <row r="312" spans="1:6" x14ac:dyDescent="0.2">
      <c r="A312" s="3" t="s">
        <v>286</v>
      </c>
      <c r="B312" s="3" t="s">
        <v>293</v>
      </c>
      <c r="C312" s="4">
        <v>335057.90000000002</v>
      </c>
      <c r="D312" s="4">
        <v>335057.90000000002</v>
      </c>
      <c r="E312" s="4">
        <v>0</v>
      </c>
      <c r="F312" s="3">
        <f>VLOOKUP(B312,'Profit &amp; Loss'!$B$2:$C$390,2,0)</f>
        <v>0</v>
      </c>
    </row>
    <row r="313" spans="1:6" x14ac:dyDescent="0.2">
      <c r="A313" s="3" t="s">
        <v>286</v>
      </c>
      <c r="B313" s="3" t="s">
        <v>294</v>
      </c>
      <c r="C313" s="4">
        <v>6468.29</v>
      </c>
      <c r="D313" s="4">
        <v>6468.29</v>
      </c>
      <c r="E313" s="4">
        <v>0</v>
      </c>
      <c r="F313" s="3">
        <f>VLOOKUP(B313,'Profit &amp; Loss'!$B$2:$C$390,2,0)</f>
        <v>0</v>
      </c>
    </row>
    <row r="314" spans="1:6" x14ac:dyDescent="0.2">
      <c r="A314" s="3" t="s">
        <v>286</v>
      </c>
      <c r="B314" s="3" t="s">
        <v>295</v>
      </c>
      <c r="C314" s="4">
        <v>188874.08</v>
      </c>
      <c r="D314" s="4">
        <v>163355.69</v>
      </c>
      <c r="E314" s="4">
        <v>25518.39</v>
      </c>
      <c r="F314" s="3">
        <f>VLOOKUP(B314,'Profit &amp; Loss'!$B$2:$C$390,2,0)</f>
        <v>0</v>
      </c>
    </row>
    <row r="315" spans="1:6" x14ac:dyDescent="0.2">
      <c r="A315" s="3" t="s">
        <v>286</v>
      </c>
      <c r="B315" s="3" t="s">
        <v>296</v>
      </c>
      <c r="C315" s="4">
        <v>-1841.81</v>
      </c>
      <c r="D315" s="4">
        <v>-1841.81</v>
      </c>
      <c r="E315" s="4">
        <v>0</v>
      </c>
      <c r="F315" s="3">
        <f>VLOOKUP(B315,'Profit &amp; Loss'!$B$2:$C$390,2,0)</f>
        <v>-1015.33</v>
      </c>
    </row>
    <row r="316" spans="1:6" x14ac:dyDescent="0.2">
      <c r="A316" s="3" t="s">
        <v>286</v>
      </c>
      <c r="B316" s="3" t="s">
        <v>2</v>
      </c>
      <c r="C316" s="4">
        <v>46676103.329999998</v>
      </c>
      <c r="D316" s="4">
        <v>40137983.609999999</v>
      </c>
      <c r="E316" s="4">
        <v>6538119.7199999997</v>
      </c>
      <c r="F316" s="3" t="e">
        <f>VLOOKUP(B316,'Profit &amp; Loss'!$B$2:$C$390,2,0)</f>
        <v>#N/A</v>
      </c>
    </row>
    <row r="317" spans="1:6" x14ac:dyDescent="0.2">
      <c r="A317" s="3" t="s">
        <v>297</v>
      </c>
      <c r="B317" s="3" t="s">
        <v>1443</v>
      </c>
      <c r="C317" s="4">
        <v>1308.42</v>
      </c>
      <c r="D317" s="4">
        <v>1308.42</v>
      </c>
      <c r="E317" s="4">
        <v>0</v>
      </c>
      <c r="F317" s="3">
        <f>VLOOKUP(B317,'Profit &amp; Loss'!$B$2:$C$390,2,0)</f>
        <v>0</v>
      </c>
    </row>
    <row r="318" spans="1:6" x14ac:dyDescent="0.2">
      <c r="A318" s="3" t="s">
        <v>297</v>
      </c>
      <c r="B318" s="3" t="s">
        <v>298</v>
      </c>
      <c r="C318" s="4">
        <v>261811.11</v>
      </c>
      <c r="D318" s="4">
        <v>231553.13</v>
      </c>
      <c r="E318" s="4">
        <v>30257.98</v>
      </c>
      <c r="F318" s="3">
        <f>VLOOKUP(B318,'Profit &amp; Loss'!$B$2:$C$390,2,0)</f>
        <v>28187.67</v>
      </c>
    </row>
    <row r="319" spans="1:6" x14ac:dyDescent="0.2">
      <c r="A319" s="3" t="s">
        <v>297</v>
      </c>
      <c r="B319" s="3" t="s">
        <v>299</v>
      </c>
      <c r="C319" s="4">
        <v>1840485.75</v>
      </c>
      <c r="D319" s="4">
        <v>1641717</v>
      </c>
      <c r="E319" s="4">
        <v>198768.75</v>
      </c>
      <c r="F319" s="3">
        <f>VLOOKUP(B319,'Profit &amp; Loss'!$B$2:$C$390,2,0)</f>
        <v>111346.46</v>
      </c>
    </row>
    <row r="320" spans="1:6" x14ac:dyDescent="0.2">
      <c r="A320" s="3" t="s">
        <v>297</v>
      </c>
      <c r="B320" s="3" t="s">
        <v>300</v>
      </c>
      <c r="C320" s="4">
        <v>1419.55</v>
      </c>
      <c r="D320" s="4">
        <v>1070.82</v>
      </c>
      <c r="E320" s="4">
        <v>348.73</v>
      </c>
      <c r="F320" s="3">
        <f>VLOOKUP(B320,'Profit &amp; Loss'!$B$2:$C$390,2,0)</f>
        <v>0</v>
      </c>
    </row>
    <row r="321" spans="1:6" x14ac:dyDescent="0.2">
      <c r="A321" s="3" t="s">
        <v>297</v>
      </c>
      <c r="B321" s="3" t="s">
        <v>2</v>
      </c>
      <c r="C321" s="4">
        <v>2105024.83</v>
      </c>
      <c r="D321" s="4">
        <v>1875649.37</v>
      </c>
      <c r="E321" s="4">
        <v>229375.46</v>
      </c>
      <c r="F321" s="3" t="e">
        <f>VLOOKUP(B321,'Profit &amp; Loss'!$B$2:$C$390,2,0)</f>
        <v>#N/A</v>
      </c>
    </row>
    <row r="322" spans="1:6" x14ac:dyDescent="0.2">
      <c r="A322" s="3" t="s">
        <v>301</v>
      </c>
      <c r="B322" s="3" t="s">
        <v>554</v>
      </c>
      <c r="C322" s="4">
        <v>103051.23</v>
      </c>
      <c r="D322" s="4">
        <v>103051.23</v>
      </c>
      <c r="E322" s="4">
        <v>0</v>
      </c>
      <c r="F322" s="3">
        <f>VLOOKUP(B322,'Profit &amp; Loss'!$B$2:$C$390,2,0)</f>
        <v>0</v>
      </c>
    </row>
    <row r="323" spans="1:6" x14ac:dyDescent="0.2">
      <c r="A323" s="3" t="s">
        <v>301</v>
      </c>
      <c r="B323" s="3" t="s">
        <v>1426</v>
      </c>
      <c r="C323" s="4">
        <v>10283.11</v>
      </c>
      <c r="D323" s="4">
        <v>10283.11</v>
      </c>
      <c r="E323" s="4">
        <v>0</v>
      </c>
      <c r="F323" s="3">
        <f>VLOOKUP(B323,'Profit &amp; Loss'!$B$2:$C$390,2,0)</f>
        <v>0</v>
      </c>
    </row>
    <row r="324" spans="1:6" x14ac:dyDescent="0.2">
      <c r="A324" s="3" t="s">
        <v>301</v>
      </c>
      <c r="B324" s="3" t="s">
        <v>835</v>
      </c>
      <c r="C324" s="4">
        <v>7551.7</v>
      </c>
      <c r="D324" s="4">
        <v>7551.7</v>
      </c>
      <c r="E324" s="4">
        <v>0</v>
      </c>
      <c r="F324" s="3">
        <f>VLOOKUP(B324,'Profit &amp; Loss'!$B$2:$C$390,2,0)</f>
        <v>0</v>
      </c>
    </row>
    <row r="325" spans="1:6" x14ac:dyDescent="0.2">
      <c r="A325" s="3" t="s">
        <v>301</v>
      </c>
      <c r="B325" s="3" t="s">
        <v>302</v>
      </c>
      <c r="C325" s="4">
        <v>84674.49</v>
      </c>
      <c r="D325" s="4">
        <v>76222.899999999994</v>
      </c>
      <c r="E325" s="4">
        <v>8451.59</v>
      </c>
      <c r="F325" s="3">
        <f>VLOOKUP(B325,'Profit &amp; Loss'!$B$2:$C$390,2,0)</f>
        <v>5793.22</v>
      </c>
    </row>
    <row r="326" spans="1:6" x14ac:dyDescent="0.2">
      <c r="A326" s="3" t="s">
        <v>301</v>
      </c>
      <c r="B326" s="3" t="s">
        <v>647</v>
      </c>
      <c r="C326" s="4">
        <v>14755.96</v>
      </c>
      <c r="D326" s="4">
        <v>14755.96</v>
      </c>
      <c r="E326" s="4">
        <v>0</v>
      </c>
      <c r="F326" s="3">
        <f>VLOOKUP(B326,'Profit &amp; Loss'!$B$2:$C$390,2,0)</f>
        <v>0</v>
      </c>
    </row>
    <row r="327" spans="1:6" x14ac:dyDescent="0.2">
      <c r="A327" s="3" t="s">
        <v>301</v>
      </c>
      <c r="B327" s="3" t="s">
        <v>303</v>
      </c>
      <c r="C327" s="4">
        <v>80441.3</v>
      </c>
      <c r="D327" s="4">
        <v>73809.06</v>
      </c>
      <c r="E327" s="4">
        <v>6632.24</v>
      </c>
      <c r="F327" s="3">
        <f>VLOOKUP(B327,'Profit &amp; Loss'!$B$2:$C$390,2,0)</f>
        <v>2303.9899999999998</v>
      </c>
    </row>
    <row r="328" spans="1:6" s="18" customFormat="1" x14ac:dyDescent="0.2">
      <c r="A328" s="18" t="s">
        <v>301</v>
      </c>
      <c r="B328" s="18" t="s">
        <v>304</v>
      </c>
      <c r="C328" s="19">
        <v>-59808.3</v>
      </c>
      <c r="D328" s="19">
        <v>0</v>
      </c>
      <c r="E328" s="19">
        <v>-59808.3</v>
      </c>
      <c r="F328" s="18">
        <f>VLOOKUP(B328,'Profit &amp; Loss'!$B$2:$C$390,2,0)</f>
        <v>0</v>
      </c>
    </row>
    <row r="329" spans="1:6" x14ac:dyDescent="0.2">
      <c r="A329" s="3" t="s">
        <v>301</v>
      </c>
      <c r="B329" s="3" t="s">
        <v>305</v>
      </c>
      <c r="C329" s="4">
        <v>188180.99</v>
      </c>
      <c r="D329" s="4">
        <v>159212.85999999999</v>
      </c>
      <c r="E329" s="4">
        <v>28968.13</v>
      </c>
      <c r="F329" s="3">
        <f>VLOOKUP(B329,'Profit &amp; Loss'!$B$2:$C$390,2,0)</f>
        <v>9337.1200000000008</v>
      </c>
    </row>
    <row r="330" spans="1:6" x14ac:dyDescent="0.2">
      <c r="A330" s="3" t="s">
        <v>301</v>
      </c>
      <c r="B330" s="3" t="s">
        <v>306</v>
      </c>
      <c r="C330" s="4">
        <v>1668387.42</v>
      </c>
      <c r="D330" s="4">
        <v>1478307.03</v>
      </c>
      <c r="E330" s="4">
        <v>190080.39</v>
      </c>
      <c r="F330" s="3">
        <f>VLOOKUP(B330,'Profit &amp; Loss'!$B$2:$C$390,2,0)</f>
        <v>86638.62</v>
      </c>
    </row>
    <row r="331" spans="1:6" x14ac:dyDescent="0.2">
      <c r="A331" s="3" t="s">
        <v>301</v>
      </c>
      <c r="B331" s="3" t="s">
        <v>838</v>
      </c>
      <c r="C331" s="4">
        <v>9917.77</v>
      </c>
      <c r="D331" s="4">
        <v>9917.77</v>
      </c>
      <c r="E331" s="4">
        <v>0</v>
      </c>
      <c r="F331" s="3">
        <f>VLOOKUP(B331,'Profit &amp; Loss'!$B$2:$C$390,2,0)</f>
        <v>0</v>
      </c>
    </row>
    <row r="332" spans="1:6" s="18" customFormat="1" x14ac:dyDescent="0.2">
      <c r="A332" s="18" t="s">
        <v>301</v>
      </c>
      <c r="B332" s="18" t="s">
        <v>556</v>
      </c>
      <c r="C332" s="19">
        <v>-6632.24</v>
      </c>
      <c r="D332" s="19">
        <v>0</v>
      </c>
      <c r="E332" s="19">
        <v>-6632.24</v>
      </c>
      <c r="F332" s="18">
        <f>VLOOKUP(B332,'Profit &amp; Loss'!$B$2:$C$390,2,0)</f>
        <v>0</v>
      </c>
    </row>
    <row r="333" spans="1:6" x14ac:dyDescent="0.2">
      <c r="A333" s="3" t="s">
        <v>301</v>
      </c>
      <c r="B333" s="3" t="s">
        <v>307</v>
      </c>
      <c r="C333" s="4">
        <v>2411780.64</v>
      </c>
      <c r="D333" s="4">
        <v>2167260.71</v>
      </c>
      <c r="E333" s="4">
        <v>244519.93</v>
      </c>
      <c r="F333" s="3">
        <f>VLOOKUP(B333,'Profit &amp; Loss'!$B$2:$C$390,2,0)</f>
        <v>155566</v>
      </c>
    </row>
    <row r="334" spans="1:6" x14ac:dyDescent="0.2">
      <c r="A334" s="3" t="s">
        <v>301</v>
      </c>
      <c r="B334" s="3" t="s">
        <v>308</v>
      </c>
      <c r="C334" s="4">
        <v>9471.81</v>
      </c>
      <c r="D334" s="4">
        <v>10768.76</v>
      </c>
      <c r="E334" s="4">
        <v>-1296.95</v>
      </c>
      <c r="F334" s="3">
        <f>VLOOKUP(B334,'Profit &amp; Loss'!$B$2:$C$390,2,0)</f>
        <v>5356.12</v>
      </c>
    </row>
    <row r="335" spans="1:6" x14ac:dyDescent="0.2">
      <c r="A335" s="3" t="s">
        <v>301</v>
      </c>
      <c r="B335" s="3" t="s">
        <v>309</v>
      </c>
      <c r="C335" s="4">
        <v>51004.27</v>
      </c>
      <c r="D335" s="4">
        <v>41438.300000000003</v>
      </c>
      <c r="E335" s="4">
        <v>9565.9699999999993</v>
      </c>
      <c r="F335" s="3">
        <f>VLOOKUP(B335,'Profit &amp; Loss'!$B$2:$C$390,2,0)</f>
        <v>0</v>
      </c>
    </row>
    <row r="336" spans="1:6" x14ac:dyDescent="0.2">
      <c r="A336" s="3" t="s">
        <v>301</v>
      </c>
      <c r="B336" s="3" t="s">
        <v>2</v>
      </c>
      <c r="C336" s="4">
        <v>4573060.1500000004</v>
      </c>
      <c r="D336" s="4">
        <v>4152579.39</v>
      </c>
      <c r="E336" s="4">
        <v>420480.76</v>
      </c>
      <c r="F336" s="3" t="e">
        <f>VLOOKUP(B336,'Profit &amp; Loss'!$B$2:$C$390,2,0)</f>
        <v>#N/A</v>
      </c>
    </row>
    <row r="337" spans="1:6" x14ac:dyDescent="0.2">
      <c r="A337" s="3" t="s">
        <v>310</v>
      </c>
      <c r="B337" s="3" t="s">
        <v>311</v>
      </c>
      <c r="C337" s="4">
        <v>600275.85</v>
      </c>
      <c r="D337" s="4">
        <v>549115.41</v>
      </c>
      <c r="E337" s="4">
        <v>51160.44</v>
      </c>
      <c r="F337" s="3">
        <f>VLOOKUP(B337,'Profit &amp; Loss'!$B$2:$C$390,2,0)</f>
        <v>32947.410000000003</v>
      </c>
    </row>
    <row r="338" spans="1:6" x14ac:dyDescent="0.2">
      <c r="A338" s="3" t="s">
        <v>310</v>
      </c>
      <c r="B338" s="3" t="s">
        <v>2</v>
      </c>
      <c r="C338" s="4">
        <v>600275.85</v>
      </c>
      <c r="D338" s="4">
        <v>549115.41</v>
      </c>
      <c r="E338" s="4">
        <v>51160.44</v>
      </c>
      <c r="F338" s="3" t="e">
        <f>VLOOKUP(B338,'Profit &amp; Loss'!$B$2:$C$390,2,0)</f>
        <v>#N/A</v>
      </c>
    </row>
    <row r="339" spans="1:6" x14ac:dyDescent="0.2">
      <c r="A339" s="3" t="s">
        <v>312</v>
      </c>
      <c r="B339" s="3" t="s">
        <v>2</v>
      </c>
      <c r="C339" s="4">
        <v>57130502.030000001</v>
      </c>
      <c r="D339" s="4">
        <v>49721420.609999999</v>
      </c>
      <c r="E339" s="4">
        <v>7409081.4199999999</v>
      </c>
      <c r="F339" s="3" t="e">
        <f>VLOOKUP(B339,'Profit &amp; Loss'!$B$2:$C$390,2,0)</f>
        <v>#N/A</v>
      </c>
    </row>
    <row r="340" spans="1:6" x14ac:dyDescent="0.2">
      <c r="A340" s="3" t="s">
        <v>313</v>
      </c>
      <c r="B340" s="3" t="s">
        <v>314</v>
      </c>
      <c r="C340" s="4">
        <v>652880.44999999995</v>
      </c>
      <c r="D340" s="4">
        <v>588879.35</v>
      </c>
      <c r="E340" s="4">
        <v>64001.1</v>
      </c>
      <c r="F340" s="3">
        <f>VLOOKUP(B340,'Profit &amp; Loss'!$B$2:$C$390,2,0)</f>
        <v>47720.12</v>
      </c>
    </row>
    <row r="341" spans="1:6" x14ac:dyDescent="0.2">
      <c r="A341" s="3" t="s">
        <v>313</v>
      </c>
      <c r="B341" s="3" t="s">
        <v>315</v>
      </c>
      <c r="C341" s="4">
        <v>23559.360000000001</v>
      </c>
      <c r="D341" s="4">
        <v>22095.88</v>
      </c>
      <c r="E341" s="4">
        <v>1463.48</v>
      </c>
      <c r="F341" s="3">
        <f>VLOOKUP(B341,'Profit &amp; Loss'!$B$2:$C$390,2,0)</f>
        <v>3030.51</v>
      </c>
    </row>
    <row r="342" spans="1:6" x14ac:dyDescent="0.2">
      <c r="A342" s="3" t="s">
        <v>313</v>
      </c>
      <c r="B342" s="3" t="s">
        <v>558</v>
      </c>
      <c r="C342" s="4">
        <v>52981.75</v>
      </c>
      <c r="D342" s="4">
        <v>51303</v>
      </c>
      <c r="E342" s="4">
        <v>1678.75</v>
      </c>
      <c r="F342" s="3">
        <f>VLOOKUP(B342,'Profit &amp; Loss'!$B$2:$C$390,2,0)</f>
        <v>0</v>
      </c>
    </row>
    <row r="343" spans="1:6" x14ac:dyDescent="0.2">
      <c r="A343" s="3" t="s">
        <v>313</v>
      </c>
      <c r="B343" s="3" t="s">
        <v>559</v>
      </c>
      <c r="C343" s="4">
        <v>5295.43</v>
      </c>
      <c r="D343" s="4">
        <v>5295.43</v>
      </c>
      <c r="E343" s="4">
        <v>0</v>
      </c>
      <c r="F343" s="3">
        <f>VLOOKUP(B343,'Profit &amp; Loss'!$B$2:$C$390,2,0)</f>
        <v>3030.51</v>
      </c>
    </row>
    <row r="344" spans="1:6" x14ac:dyDescent="0.2">
      <c r="A344" s="3" t="s">
        <v>313</v>
      </c>
      <c r="B344" s="3" t="s">
        <v>316</v>
      </c>
      <c r="C344" s="4">
        <v>153867.95000000001</v>
      </c>
      <c r="D344" s="4">
        <v>137863.56</v>
      </c>
      <c r="E344" s="4">
        <v>16004.39</v>
      </c>
      <c r="F344" s="3">
        <f>VLOOKUP(B344,'Profit &amp; Loss'!$B$2:$C$390,2,0)</f>
        <v>21674.33</v>
      </c>
    </row>
    <row r="345" spans="1:6" x14ac:dyDescent="0.2">
      <c r="A345" s="3" t="s">
        <v>313</v>
      </c>
      <c r="B345" s="3" t="s">
        <v>317</v>
      </c>
      <c r="C345" s="4">
        <v>22112.05</v>
      </c>
      <c r="D345" s="4">
        <v>21873.439999999999</v>
      </c>
      <c r="E345" s="4">
        <v>238.61</v>
      </c>
      <c r="F345" s="3">
        <f>VLOOKUP(B345,'Profit &amp; Loss'!$B$2:$C$390,2,0)</f>
        <v>423.23</v>
      </c>
    </row>
    <row r="346" spans="1:6" x14ac:dyDescent="0.2">
      <c r="A346" s="3" t="s">
        <v>313</v>
      </c>
      <c r="B346" s="3" t="s">
        <v>318</v>
      </c>
      <c r="C346" s="4">
        <v>145080.74</v>
      </c>
      <c r="D346" s="4">
        <v>141830.76999999999</v>
      </c>
      <c r="E346" s="4">
        <v>3249.97</v>
      </c>
      <c r="F346" s="3">
        <f>VLOOKUP(B346,'Profit &amp; Loss'!$B$2:$C$390,2,0)</f>
        <v>12048.91</v>
      </c>
    </row>
    <row r="347" spans="1:6" x14ac:dyDescent="0.2">
      <c r="A347" s="3" t="s">
        <v>313</v>
      </c>
      <c r="B347" s="3" t="s">
        <v>319</v>
      </c>
      <c r="C347" s="4">
        <v>503485.73</v>
      </c>
      <c r="D347" s="4">
        <v>454901.35</v>
      </c>
      <c r="E347" s="4">
        <v>48584.38</v>
      </c>
      <c r="F347" s="3">
        <f>VLOOKUP(B347,'Profit &amp; Loss'!$B$2:$C$390,2,0)</f>
        <v>40731.18</v>
      </c>
    </row>
    <row r="348" spans="1:6" x14ac:dyDescent="0.2">
      <c r="A348" s="3" t="s">
        <v>313</v>
      </c>
      <c r="B348" s="3" t="s">
        <v>320</v>
      </c>
      <c r="C348" s="4">
        <v>1866.87</v>
      </c>
      <c r="D348" s="4">
        <v>-1898.17</v>
      </c>
      <c r="E348" s="4">
        <v>3765.04</v>
      </c>
      <c r="F348" s="3">
        <f>VLOOKUP(B348,'Profit &amp; Loss'!$B$2:$C$390,2,0)</f>
        <v>4675.82</v>
      </c>
    </row>
    <row r="349" spans="1:6" x14ac:dyDescent="0.2">
      <c r="A349" s="3" t="s">
        <v>313</v>
      </c>
      <c r="B349" s="3" t="s">
        <v>321</v>
      </c>
      <c r="C349" s="4">
        <v>-1503253.25</v>
      </c>
      <c r="D349" s="4">
        <v>-1351652.08</v>
      </c>
      <c r="E349" s="4">
        <v>-151601.17000000001</v>
      </c>
      <c r="F349" s="3">
        <f>VLOOKUP(B349,'Profit &amp; Loss'!$B$2:$C$390,2,0)</f>
        <v>-127447.83</v>
      </c>
    </row>
    <row r="350" spans="1:6" x14ac:dyDescent="0.2">
      <c r="A350" s="3" t="s">
        <v>313</v>
      </c>
      <c r="B350" s="3" t="s">
        <v>841</v>
      </c>
      <c r="C350" s="4">
        <v>180203.96</v>
      </c>
      <c r="D350" s="4">
        <v>161494.10999999999</v>
      </c>
      <c r="E350" s="4">
        <v>18709.849999999999</v>
      </c>
      <c r="F350" s="3">
        <f>VLOOKUP(B350,'Profit &amp; Loss'!$B$2:$C$390,2,0)</f>
        <v>-27313.17</v>
      </c>
    </row>
    <row r="351" spans="1:6" x14ac:dyDescent="0.2">
      <c r="A351" s="3" t="s">
        <v>313</v>
      </c>
      <c r="B351" s="3" t="s">
        <v>560</v>
      </c>
      <c r="C351" s="4">
        <v>21627.38</v>
      </c>
      <c r="D351" s="4">
        <v>21627.38</v>
      </c>
      <c r="E351" s="4">
        <v>0</v>
      </c>
      <c r="F351" s="3">
        <f>VLOOKUP(B351,'Profit &amp; Loss'!$B$2:$C$390,2,0)</f>
        <v>1760.34</v>
      </c>
    </row>
    <row r="352" spans="1:6" x14ac:dyDescent="0.2">
      <c r="A352" s="3" t="s">
        <v>313</v>
      </c>
      <c r="B352" s="3" t="s">
        <v>1085</v>
      </c>
      <c r="C352" s="4">
        <v>575.25</v>
      </c>
      <c r="D352" s="4">
        <v>575.25</v>
      </c>
      <c r="E352" s="4">
        <v>0</v>
      </c>
      <c r="F352" s="3">
        <f>VLOOKUP(B352,'Profit &amp; Loss'!$B$2:$C$390,2,0)</f>
        <v>0</v>
      </c>
    </row>
    <row r="353" spans="1:6" x14ac:dyDescent="0.2">
      <c r="A353" s="3" t="s">
        <v>313</v>
      </c>
      <c r="B353" s="3" t="s">
        <v>990</v>
      </c>
      <c r="C353" s="4">
        <v>-354.04</v>
      </c>
      <c r="D353" s="4">
        <v>-354.04</v>
      </c>
      <c r="E353" s="4">
        <v>0</v>
      </c>
      <c r="F353" s="3">
        <f>VLOOKUP(B353,'Profit &amp; Loss'!$B$2:$C$390,2,0)</f>
        <v>-40.28</v>
      </c>
    </row>
    <row r="354" spans="1:6" x14ac:dyDescent="0.2">
      <c r="A354" s="3" t="s">
        <v>313</v>
      </c>
      <c r="B354" s="3" t="s">
        <v>322</v>
      </c>
      <c r="C354" s="4">
        <v>2792.13</v>
      </c>
      <c r="D354" s="4">
        <v>2518.69</v>
      </c>
      <c r="E354" s="4">
        <v>273.44</v>
      </c>
      <c r="F354" s="3">
        <f>VLOOKUP(B354,'Profit &amp; Loss'!$B$2:$C$390,2,0)</f>
        <v>2.09</v>
      </c>
    </row>
    <row r="355" spans="1:6" x14ac:dyDescent="0.2">
      <c r="A355" s="3" t="s">
        <v>313</v>
      </c>
      <c r="B355" s="3" t="s">
        <v>652</v>
      </c>
      <c r="C355" s="4">
        <v>204.98</v>
      </c>
      <c r="D355" s="4">
        <v>193.7</v>
      </c>
      <c r="E355" s="4">
        <v>11.28</v>
      </c>
      <c r="F355" s="3">
        <f>VLOOKUP(B355,'Profit &amp; Loss'!$B$2:$C$390,2,0)</f>
        <v>35.14</v>
      </c>
    </row>
    <row r="356" spans="1:6" x14ac:dyDescent="0.2">
      <c r="A356" s="3" t="s">
        <v>313</v>
      </c>
      <c r="B356" s="3" t="s">
        <v>323</v>
      </c>
      <c r="C356" s="4">
        <v>25889.71</v>
      </c>
      <c r="D356" s="4">
        <v>19472.89</v>
      </c>
      <c r="E356" s="4">
        <v>6416.82</v>
      </c>
      <c r="F356" s="3">
        <f>VLOOKUP(B356,'Profit &amp; Loss'!$B$2:$C$390,2,0)</f>
        <v>3243.68</v>
      </c>
    </row>
    <row r="357" spans="1:6" x14ac:dyDescent="0.2">
      <c r="A357" s="3" t="s">
        <v>313</v>
      </c>
      <c r="B357" s="3" t="s">
        <v>324</v>
      </c>
      <c r="C357" s="4">
        <v>353032.09</v>
      </c>
      <c r="D357" s="4">
        <v>313657.5</v>
      </c>
      <c r="E357" s="4">
        <v>39374.589999999997</v>
      </c>
      <c r="F357" s="3">
        <f>VLOOKUP(B357,'Profit &amp; Loss'!$B$2:$C$390,2,0)</f>
        <v>33298</v>
      </c>
    </row>
    <row r="358" spans="1:6" x14ac:dyDescent="0.2">
      <c r="A358" s="3" t="s">
        <v>313</v>
      </c>
      <c r="B358" s="3" t="s">
        <v>913</v>
      </c>
      <c r="C358" s="4">
        <v>329.26</v>
      </c>
      <c r="D358" s="4">
        <v>329.26</v>
      </c>
      <c r="E358" s="4">
        <v>0</v>
      </c>
      <c r="F358" s="3">
        <f>VLOOKUP(B358,'Profit &amp; Loss'!$B$2:$C$390,2,0)</f>
        <v>0</v>
      </c>
    </row>
    <row r="359" spans="1:6" x14ac:dyDescent="0.2">
      <c r="A359" s="3" t="s">
        <v>313</v>
      </c>
      <c r="B359" s="3" t="s">
        <v>561</v>
      </c>
      <c r="C359" s="4">
        <v>1493.56</v>
      </c>
      <c r="D359" s="4">
        <v>1391.3</v>
      </c>
      <c r="E359" s="4">
        <v>102.26</v>
      </c>
      <c r="F359" s="3">
        <f>VLOOKUP(B359,'Profit &amp; Loss'!$B$2:$C$390,2,0)</f>
        <v>0</v>
      </c>
    </row>
    <row r="360" spans="1:6" x14ac:dyDescent="0.2">
      <c r="A360" s="3" t="s">
        <v>313</v>
      </c>
      <c r="B360" s="3" t="s">
        <v>325</v>
      </c>
      <c r="C360" s="4">
        <v>36708</v>
      </c>
      <c r="D360" s="4">
        <v>33580</v>
      </c>
      <c r="E360" s="4">
        <v>3128</v>
      </c>
      <c r="F360" s="3">
        <f>VLOOKUP(B360,'Profit &amp; Loss'!$B$2:$C$390,2,0)</f>
        <v>0</v>
      </c>
    </row>
    <row r="361" spans="1:6" x14ac:dyDescent="0.2">
      <c r="A361" s="3" t="s">
        <v>313</v>
      </c>
      <c r="B361" s="3" t="s">
        <v>654</v>
      </c>
      <c r="C361" s="4">
        <v>16131.64</v>
      </c>
      <c r="D361" s="4">
        <v>15893.64</v>
      </c>
      <c r="E361" s="4">
        <v>238</v>
      </c>
      <c r="F361" s="3">
        <f>VLOOKUP(B361,'Profit &amp; Loss'!$B$2:$C$390,2,0)</f>
        <v>36.44</v>
      </c>
    </row>
    <row r="362" spans="1:6" x14ac:dyDescent="0.2">
      <c r="A362" s="3" t="s">
        <v>313</v>
      </c>
      <c r="B362" s="3" t="s">
        <v>991</v>
      </c>
      <c r="C362" s="4">
        <v>469.21</v>
      </c>
      <c r="D362" s="4">
        <v>469.21</v>
      </c>
      <c r="E362" s="4">
        <v>0</v>
      </c>
      <c r="F362" s="3">
        <f>VLOOKUP(B362,'Profit &amp; Loss'!$B$2:$C$390,2,0)</f>
        <v>-28825.55</v>
      </c>
    </row>
    <row r="363" spans="1:6" x14ac:dyDescent="0.2">
      <c r="A363" s="3" t="s">
        <v>313</v>
      </c>
      <c r="B363" s="3" t="s">
        <v>326</v>
      </c>
      <c r="C363" s="4">
        <v>94206.88</v>
      </c>
      <c r="D363" s="4">
        <v>82986.81</v>
      </c>
      <c r="E363" s="4">
        <v>11220.07</v>
      </c>
      <c r="F363" s="3">
        <f>VLOOKUP(B363,'Profit &amp; Loss'!$B$2:$C$390,2,0)</f>
        <v>-435.68</v>
      </c>
    </row>
    <row r="364" spans="1:6" x14ac:dyDescent="0.2">
      <c r="A364" s="3" t="s">
        <v>313</v>
      </c>
      <c r="B364" s="3" t="s">
        <v>1254</v>
      </c>
      <c r="C364" s="4">
        <v>124.19</v>
      </c>
      <c r="D364" s="4">
        <v>124.19</v>
      </c>
      <c r="E364" s="4">
        <v>0</v>
      </c>
      <c r="F364" s="3">
        <f>VLOOKUP(B364,'Profit &amp; Loss'!$B$2:$C$390,2,0)</f>
        <v>0</v>
      </c>
    </row>
    <row r="365" spans="1:6" x14ac:dyDescent="0.2">
      <c r="A365" s="3" t="s">
        <v>313</v>
      </c>
      <c r="B365" s="3" t="s">
        <v>327</v>
      </c>
      <c r="C365" s="4">
        <v>712.16</v>
      </c>
      <c r="D365" s="4">
        <v>712.16</v>
      </c>
      <c r="E365" s="4">
        <v>0</v>
      </c>
      <c r="F365" s="3">
        <f>VLOOKUP(B365,'Profit &amp; Loss'!$B$2:$C$390,2,0)</f>
        <v>286.14</v>
      </c>
    </row>
    <row r="366" spans="1:6" x14ac:dyDescent="0.2">
      <c r="A366" s="3" t="s">
        <v>313</v>
      </c>
      <c r="B366" s="3" t="s">
        <v>328</v>
      </c>
      <c r="C366" s="4">
        <v>-990.48</v>
      </c>
      <c r="D366" s="4">
        <v>-1423.86</v>
      </c>
      <c r="E366" s="4">
        <v>433.38</v>
      </c>
      <c r="F366" s="3">
        <f>VLOOKUP(B366,'Profit &amp; Loss'!$B$2:$C$390,2,0)</f>
        <v>-756.63</v>
      </c>
    </row>
    <row r="367" spans="1:6" x14ac:dyDescent="0.2">
      <c r="A367" s="3" t="s">
        <v>313</v>
      </c>
      <c r="B367" s="3" t="s">
        <v>1433</v>
      </c>
      <c r="C367" s="4">
        <v>-3168.71</v>
      </c>
      <c r="D367" s="4">
        <v>-3168.71</v>
      </c>
      <c r="E367" s="4">
        <v>0</v>
      </c>
      <c r="F367" s="3">
        <f>VLOOKUP(B367,'Profit &amp; Loss'!$B$2:$C$390,2,0)</f>
        <v>0</v>
      </c>
    </row>
    <row r="368" spans="1:6" x14ac:dyDescent="0.2">
      <c r="A368" s="3" t="s">
        <v>313</v>
      </c>
      <c r="B368" s="3" t="s">
        <v>656</v>
      </c>
      <c r="C368" s="4">
        <v>75053.240000000005</v>
      </c>
      <c r="D368" s="4">
        <v>67509.5</v>
      </c>
      <c r="E368" s="4">
        <v>7543.74</v>
      </c>
      <c r="F368" s="3">
        <f>VLOOKUP(B368,'Profit &amp; Loss'!$B$2:$C$390,2,0)</f>
        <v>0</v>
      </c>
    </row>
    <row r="369" spans="1:6" x14ac:dyDescent="0.2">
      <c r="A369" s="3" t="s">
        <v>313</v>
      </c>
      <c r="B369" s="3" t="s">
        <v>329</v>
      </c>
      <c r="C369" s="4">
        <v>60515.69</v>
      </c>
      <c r="D369" s="4">
        <v>56038.2</v>
      </c>
      <c r="E369" s="4">
        <v>4477.49</v>
      </c>
      <c r="F369" s="3">
        <f>VLOOKUP(B369,'Profit &amp; Loss'!$B$2:$C$390,2,0)</f>
        <v>6174.84</v>
      </c>
    </row>
    <row r="370" spans="1:6" x14ac:dyDescent="0.2">
      <c r="A370" s="3" t="s">
        <v>313</v>
      </c>
      <c r="B370" s="3" t="s">
        <v>330</v>
      </c>
      <c r="C370" s="4">
        <v>6090.36</v>
      </c>
      <c r="D370" s="4">
        <v>6090.36</v>
      </c>
      <c r="E370" s="4">
        <v>0</v>
      </c>
      <c r="F370" s="3">
        <f>VLOOKUP(B370,'Profit &amp; Loss'!$B$2:$C$390,2,0)</f>
        <v>890.78</v>
      </c>
    </row>
    <row r="371" spans="1:6" x14ac:dyDescent="0.2">
      <c r="A371" s="3" t="s">
        <v>313</v>
      </c>
      <c r="B371" s="3" t="s">
        <v>331</v>
      </c>
      <c r="C371" s="4">
        <v>96739.79</v>
      </c>
      <c r="D371" s="4">
        <v>89393.45</v>
      </c>
      <c r="E371" s="4">
        <v>7346.34</v>
      </c>
      <c r="F371" s="3">
        <f>VLOOKUP(B371,'Profit &amp; Loss'!$B$2:$C$390,2,0)</f>
        <v>-3008.88</v>
      </c>
    </row>
    <row r="372" spans="1:6" x14ac:dyDescent="0.2">
      <c r="A372" s="3" t="s">
        <v>313</v>
      </c>
      <c r="B372" s="3" t="s">
        <v>332</v>
      </c>
      <c r="C372" s="4">
        <v>889.52</v>
      </c>
      <c r="D372" s="4">
        <v>889.52</v>
      </c>
      <c r="E372" s="4">
        <v>0</v>
      </c>
      <c r="F372" s="3">
        <f>VLOOKUP(B372,'Profit &amp; Loss'!$B$2:$C$390,2,0)</f>
        <v>24.68</v>
      </c>
    </row>
    <row r="373" spans="1:6" x14ac:dyDescent="0.2">
      <c r="A373" s="3" t="s">
        <v>313</v>
      </c>
      <c r="B373" s="3" t="s">
        <v>657</v>
      </c>
      <c r="C373" s="4">
        <v>2559.48</v>
      </c>
      <c r="D373" s="4">
        <v>2559.48</v>
      </c>
      <c r="E373" s="4">
        <v>0</v>
      </c>
      <c r="F373" s="3">
        <f>VLOOKUP(B373,'Profit &amp; Loss'!$B$2:$C$390,2,0)</f>
        <v>0</v>
      </c>
    </row>
    <row r="374" spans="1:6" x14ac:dyDescent="0.2">
      <c r="A374" s="3" t="s">
        <v>313</v>
      </c>
      <c r="B374" s="3" t="s">
        <v>333</v>
      </c>
      <c r="C374" s="4">
        <v>26339.200000000001</v>
      </c>
      <c r="D374" s="4">
        <v>24760.02</v>
      </c>
      <c r="E374" s="4">
        <v>1579.18</v>
      </c>
      <c r="F374" s="3">
        <f>VLOOKUP(B374,'Profit &amp; Loss'!$B$2:$C$390,2,0)</f>
        <v>3308.5</v>
      </c>
    </row>
    <row r="375" spans="1:6" x14ac:dyDescent="0.2">
      <c r="A375" s="3" t="s">
        <v>313</v>
      </c>
      <c r="B375" s="3" t="s">
        <v>658</v>
      </c>
      <c r="C375" s="4">
        <v>3303.48</v>
      </c>
      <c r="D375" s="4">
        <v>3391.84</v>
      </c>
      <c r="E375" s="4">
        <v>-88.36</v>
      </c>
      <c r="F375" s="3">
        <f>VLOOKUP(B375,'Profit &amp; Loss'!$B$2:$C$390,2,0)</f>
        <v>2303.5500000000002</v>
      </c>
    </row>
    <row r="376" spans="1:6" s="18" customFormat="1" x14ac:dyDescent="0.2">
      <c r="A376" s="18" t="s">
        <v>313</v>
      </c>
      <c r="B376" s="18" t="s">
        <v>843</v>
      </c>
      <c r="C376" s="19">
        <v>43.34</v>
      </c>
      <c r="D376" s="19">
        <v>0</v>
      </c>
      <c r="E376" s="19">
        <v>43.34</v>
      </c>
      <c r="F376" s="18">
        <f>VLOOKUP(B376,'Profit &amp; Loss'!$B$2:$C$390,2,0)</f>
        <v>0</v>
      </c>
    </row>
    <row r="377" spans="1:6" x14ac:dyDescent="0.2">
      <c r="A377" s="3" t="s">
        <v>313</v>
      </c>
      <c r="B377" s="3" t="s">
        <v>1434</v>
      </c>
      <c r="C377" s="4">
        <v>111.08</v>
      </c>
      <c r="D377" s="4">
        <v>111.08</v>
      </c>
      <c r="E377" s="4">
        <v>0</v>
      </c>
      <c r="F377" s="3">
        <f>VLOOKUP(B377,'Profit &amp; Loss'!$B$2:$C$390,2,0)</f>
        <v>0</v>
      </c>
    </row>
    <row r="378" spans="1:6" x14ac:dyDescent="0.2">
      <c r="A378" s="3" t="s">
        <v>313</v>
      </c>
      <c r="B378" s="3" t="s">
        <v>2</v>
      </c>
      <c r="C378" s="4">
        <v>1059509.43</v>
      </c>
      <c r="D378" s="4">
        <v>971315.46</v>
      </c>
      <c r="E378" s="4">
        <v>88193.97</v>
      </c>
      <c r="F378" s="3" t="e">
        <f>VLOOKUP(B378,'Profit &amp; Loss'!$B$2:$C$390,2,0)</f>
        <v>#N/A</v>
      </c>
    </row>
    <row r="379" spans="1:6" x14ac:dyDescent="0.2">
      <c r="A379" s="3" t="s">
        <v>334</v>
      </c>
      <c r="B379" s="3" t="s">
        <v>335</v>
      </c>
      <c r="C379" s="4">
        <v>806249.59</v>
      </c>
      <c r="D379" s="4">
        <v>736281.72</v>
      </c>
      <c r="E379" s="4">
        <v>69967.87</v>
      </c>
      <c r="F379" s="3">
        <f>VLOOKUP(B379,'Profit &amp; Loss'!$B$2:$C$390,2,0)</f>
        <v>55035.39</v>
      </c>
    </row>
    <row r="380" spans="1:6" x14ac:dyDescent="0.2">
      <c r="A380" s="3" t="s">
        <v>334</v>
      </c>
      <c r="B380" s="3" t="s">
        <v>562</v>
      </c>
      <c r="C380" s="4">
        <v>73191.199999999997</v>
      </c>
      <c r="D380" s="4">
        <v>66390.5</v>
      </c>
      <c r="E380" s="4">
        <v>6800.7</v>
      </c>
      <c r="F380" s="3">
        <f>VLOOKUP(B380,'Profit &amp; Loss'!$B$2:$C$390,2,0)</f>
        <v>0</v>
      </c>
    </row>
    <row r="381" spans="1:6" x14ac:dyDescent="0.2">
      <c r="A381" s="3" t="s">
        <v>334</v>
      </c>
      <c r="B381" s="3" t="s">
        <v>336</v>
      </c>
      <c r="C381" s="4">
        <v>-5927.21</v>
      </c>
      <c r="D381" s="4">
        <v>-4961.68</v>
      </c>
      <c r="E381" s="4">
        <v>-965.53</v>
      </c>
      <c r="F381" s="3">
        <f>VLOOKUP(B381,'Profit &amp; Loss'!$B$2:$C$390,2,0)</f>
        <v>5279.69</v>
      </c>
    </row>
    <row r="382" spans="1:6" x14ac:dyDescent="0.2">
      <c r="A382" s="3" t="s">
        <v>334</v>
      </c>
      <c r="B382" s="3" t="s">
        <v>337</v>
      </c>
      <c r="C382" s="4">
        <v>35590.300000000003</v>
      </c>
      <c r="D382" s="4">
        <v>34059.589999999997</v>
      </c>
      <c r="E382" s="4">
        <v>1530.71</v>
      </c>
      <c r="F382" s="3">
        <f>VLOOKUP(B382,'Profit &amp; Loss'!$B$2:$C$390,2,0)</f>
        <v>2800.93</v>
      </c>
    </row>
    <row r="383" spans="1:6" x14ac:dyDescent="0.2">
      <c r="A383" s="3" t="s">
        <v>334</v>
      </c>
      <c r="B383" s="3" t="s">
        <v>338</v>
      </c>
      <c r="C383" s="4">
        <v>245058.24</v>
      </c>
      <c r="D383" s="4">
        <v>234730.21</v>
      </c>
      <c r="E383" s="4">
        <v>10328.030000000001</v>
      </c>
      <c r="F383" s="3">
        <f>VLOOKUP(B383,'Profit &amp; Loss'!$B$2:$C$390,2,0)</f>
        <v>17648.05</v>
      </c>
    </row>
    <row r="384" spans="1:6" x14ac:dyDescent="0.2">
      <c r="A384" s="3" t="s">
        <v>334</v>
      </c>
      <c r="B384" s="3" t="s">
        <v>563</v>
      </c>
      <c r="C384" s="4">
        <v>165.75</v>
      </c>
      <c r="D384" s="4">
        <v>165.75</v>
      </c>
      <c r="E384" s="4">
        <v>0</v>
      </c>
      <c r="F384" s="3">
        <f>VLOOKUP(B384,'Profit &amp; Loss'!$B$2:$C$390,2,0)</f>
        <v>0</v>
      </c>
    </row>
    <row r="385" spans="1:6" x14ac:dyDescent="0.2">
      <c r="A385" s="3" t="s">
        <v>334</v>
      </c>
      <c r="B385" s="3" t="s">
        <v>339</v>
      </c>
      <c r="C385" s="4">
        <v>25870.27</v>
      </c>
      <c r="D385" s="4">
        <v>23977.29</v>
      </c>
      <c r="E385" s="4">
        <v>1892.98</v>
      </c>
      <c r="F385" s="3">
        <f>VLOOKUP(B385,'Profit &amp; Loss'!$B$2:$C$390,2,0)</f>
        <v>4180.01</v>
      </c>
    </row>
    <row r="386" spans="1:6" x14ac:dyDescent="0.2">
      <c r="A386" s="3" t="s">
        <v>334</v>
      </c>
      <c r="B386" s="3" t="s">
        <v>768</v>
      </c>
      <c r="C386" s="4">
        <v>96267.16</v>
      </c>
      <c r="D386" s="4">
        <v>96267.16</v>
      </c>
      <c r="E386" s="4">
        <v>0</v>
      </c>
      <c r="F386" s="3">
        <f>VLOOKUP(B386,'Profit &amp; Loss'!$B$2:$C$390,2,0)</f>
        <v>0</v>
      </c>
    </row>
    <row r="387" spans="1:6" x14ac:dyDescent="0.2">
      <c r="A387" s="3" t="s">
        <v>334</v>
      </c>
      <c r="B387" s="3" t="s">
        <v>340</v>
      </c>
      <c r="C387" s="4">
        <v>38260.839999999997</v>
      </c>
      <c r="D387" s="4">
        <v>26590.51</v>
      </c>
      <c r="E387" s="4">
        <v>11670.33</v>
      </c>
      <c r="F387" s="3">
        <f>VLOOKUP(B387,'Profit &amp; Loss'!$B$2:$C$390,2,0)</f>
        <v>10559.39</v>
      </c>
    </row>
    <row r="388" spans="1:6" x14ac:dyDescent="0.2">
      <c r="A388" s="3" t="s">
        <v>334</v>
      </c>
      <c r="B388" s="3" t="s">
        <v>341</v>
      </c>
      <c r="C388" s="4">
        <v>206887.65</v>
      </c>
      <c r="D388" s="4">
        <v>199011.59</v>
      </c>
      <c r="E388" s="4">
        <v>7876.06</v>
      </c>
      <c r="F388" s="3">
        <f>VLOOKUP(B388,'Profit &amp; Loss'!$B$2:$C$390,2,0)</f>
        <v>18487.189999999999</v>
      </c>
    </row>
    <row r="389" spans="1:6" s="18" customFormat="1" x14ac:dyDescent="0.2">
      <c r="A389" s="18" t="s">
        <v>334</v>
      </c>
      <c r="B389" s="18" t="s">
        <v>1533</v>
      </c>
      <c r="C389" s="19">
        <v>44.81</v>
      </c>
      <c r="D389" s="19">
        <v>0</v>
      </c>
      <c r="E389" s="19">
        <v>44.81</v>
      </c>
      <c r="F389" s="18">
        <f>VLOOKUP(B389,'Profit &amp; Loss'!$B$2:$C$390,2,0)</f>
        <v>0</v>
      </c>
    </row>
    <row r="390" spans="1:6" x14ac:dyDescent="0.2">
      <c r="A390" s="3" t="s">
        <v>334</v>
      </c>
      <c r="B390" s="3" t="s">
        <v>342</v>
      </c>
      <c r="C390" s="4">
        <v>8921.4599999999991</v>
      </c>
      <c r="D390" s="4">
        <v>8921.4599999999991</v>
      </c>
      <c r="E390" s="4">
        <v>0</v>
      </c>
      <c r="F390" s="3">
        <f>VLOOKUP(B390,'Profit &amp; Loss'!$B$2:$C$390,2,0)</f>
        <v>2577.34</v>
      </c>
    </row>
    <row r="391" spans="1:6" x14ac:dyDescent="0.2">
      <c r="A391" s="3" t="s">
        <v>334</v>
      </c>
      <c r="B391" s="3" t="s">
        <v>566</v>
      </c>
      <c r="C391" s="4">
        <v>16596.78</v>
      </c>
      <c r="D391" s="4">
        <v>16596.78</v>
      </c>
      <c r="E391" s="4">
        <v>0</v>
      </c>
      <c r="F391" s="3">
        <f>VLOOKUP(B391,'Profit &amp; Loss'!$B$2:$C$390,2,0)</f>
        <v>0</v>
      </c>
    </row>
    <row r="392" spans="1:6" x14ac:dyDescent="0.2">
      <c r="A392" s="3" t="s">
        <v>334</v>
      </c>
      <c r="B392" s="3" t="s">
        <v>343</v>
      </c>
      <c r="C392" s="4">
        <v>28989.68</v>
      </c>
      <c r="D392" s="4">
        <v>26433.279999999999</v>
      </c>
      <c r="E392" s="4">
        <v>2556.4</v>
      </c>
      <c r="F392" s="3">
        <f>VLOOKUP(B392,'Profit &amp; Loss'!$B$2:$C$390,2,0)</f>
        <v>-203.37</v>
      </c>
    </row>
    <row r="393" spans="1:6" x14ac:dyDescent="0.2">
      <c r="A393" s="3" t="s">
        <v>334</v>
      </c>
      <c r="B393" s="3" t="s">
        <v>992</v>
      </c>
      <c r="C393" s="4">
        <v>733.43</v>
      </c>
      <c r="D393" s="4">
        <v>733.43</v>
      </c>
      <c r="E393" s="4">
        <v>0</v>
      </c>
      <c r="F393" s="3">
        <f>VLOOKUP(B393,'Profit &amp; Loss'!$B$2:$C$390,2,0)</f>
        <v>733.43</v>
      </c>
    </row>
    <row r="394" spans="1:6" x14ac:dyDescent="0.2">
      <c r="A394" s="3" t="s">
        <v>334</v>
      </c>
      <c r="B394" s="3" t="s">
        <v>344</v>
      </c>
      <c r="C394" s="4">
        <v>544.80999999999995</v>
      </c>
      <c r="D394" s="4">
        <v>456.42</v>
      </c>
      <c r="E394" s="4">
        <v>88.39</v>
      </c>
      <c r="F394" s="3">
        <f>VLOOKUP(B394,'Profit &amp; Loss'!$B$2:$C$390,2,0)</f>
        <v>0</v>
      </c>
    </row>
    <row r="395" spans="1:6" x14ac:dyDescent="0.2">
      <c r="A395" s="3" t="s">
        <v>334</v>
      </c>
      <c r="B395" s="3" t="s">
        <v>345</v>
      </c>
      <c r="C395" s="4">
        <v>149726.76999999999</v>
      </c>
      <c r="D395" s="4">
        <v>135869.13</v>
      </c>
      <c r="E395" s="4">
        <v>13857.64</v>
      </c>
      <c r="F395" s="3">
        <f>VLOOKUP(B395,'Profit &amp; Loss'!$B$2:$C$390,2,0)</f>
        <v>11989.03</v>
      </c>
    </row>
    <row r="396" spans="1:6" x14ac:dyDescent="0.2">
      <c r="A396" s="3" t="s">
        <v>334</v>
      </c>
      <c r="B396" s="3" t="s">
        <v>346</v>
      </c>
      <c r="C396" s="4">
        <v>54218.02</v>
      </c>
      <c r="D396" s="4">
        <v>49210.16</v>
      </c>
      <c r="E396" s="4">
        <v>5007.8599999999997</v>
      </c>
      <c r="F396" s="3">
        <f>VLOOKUP(B396,'Profit &amp; Loss'!$B$2:$C$390,2,0)</f>
        <v>4420.24</v>
      </c>
    </row>
    <row r="397" spans="1:6" x14ac:dyDescent="0.2">
      <c r="A397" s="3" t="s">
        <v>334</v>
      </c>
      <c r="B397" s="3" t="s">
        <v>347</v>
      </c>
      <c r="C397" s="4">
        <v>26327.22</v>
      </c>
      <c r="D397" s="4">
        <v>23883.17</v>
      </c>
      <c r="E397" s="4">
        <v>2444.0500000000002</v>
      </c>
      <c r="F397" s="3">
        <f>VLOOKUP(B397,'Profit &amp; Loss'!$B$2:$C$390,2,0)</f>
        <v>2182.88</v>
      </c>
    </row>
    <row r="398" spans="1:6" x14ac:dyDescent="0.2">
      <c r="A398" s="3" t="s">
        <v>334</v>
      </c>
      <c r="B398" s="3" t="s">
        <v>348</v>
      </c>
      <c r="C398" s="4">
        <v>73725.23</v>
      </c>
      <c r="D398" s="4">
        <v>67126.95</v>
      </c>
      <c r="E398" s="4">
        <v>6598.28</v>
      </c>
      <c r="F398" s="3">
        <f>VLOOKUP(B398,'Profit &amp; Loss'!$B$2:$C$390,2,0)</f>
        <v>5823.94</v>
      </c>
    </row>
    <row r="399" spans="1:6" x14ac:dyDescent="0.2">
      <c r="A399" s="3" t="s">
        <v>334</v>
      </c>
      <c r="B399" s="3" t="s">
        <v>349</v>
      </c>
      <c r="C399" s="4">
        <v>49741.41</v>
      </c>
      <c r="D399" s="4">
        <v>45672.56</v>
      </c>
      <c r="E399" s="4">
        <v>4068.85</v>
      </c>
      <c r="F399" s="3">
        <f>VLOOKUP(B399,'Profit &amp; Loss'!$B$2:$C$390,2,0)</f>
        <v>3750.29</v>
      </c>
    </row>
    <row r="400" spans="1:6" x14ac:dyDescent="0.2">
      <c r="A400" s="3" t="s">
        <v>334</v>
      </c>
      <c r="B400" s="3" t="s">
        <v>350</v>
      </c>
      <c r="C400" s="4">
        <v>46956.77</v>
      </c>
      <c r="D400" s="4">
        <v>42666.11</v>
      </c>
      <c r="E400" s="4">
        <v>4290.66</v>
      </c>
      <c r="F400" s="3">
        <f>VLOOKUP(B400,'Profit &amp; Loss'!$B$2:$C$390,2,0)</f>
        <v>5549.93</v>
      </c>
    </row>
    <row r="401" spans="1:6" x14ac:dyDescent="0.2">
      <c r="A401" s="3" t="s">
        <v>334</v>
      </c>
      <c r="B401" s="3" t="s">
        <v>351</v>
      </c>
      <c r="C401" s="4">
        <v>79884.37</v>
      </c>
      <c r="D401" s="4">
        <v>75885.23</v>
      </c>
      <c r="E401" s="4">
        <v>3999.14</v>
      </c>
      <c r="F401" s="3">
        <f>VLOOKUP(B401,'Profit &amp; Loss'!$B$2:$C$390,2,0)</f>
        <v>4678.2299999999996</v>
      </c>
    </row>
    <row r="402" spans="1:6" x14ac:dyDescent="0.2">
      <c r="A402" s="3" t="s">
        <v>334</v>
      </c>
      <c r="B402" s="3" t="s">
        <v>352</v>
      </c>
      <c r="C402" s="4">
        <v>4808.12</v>
      </c>
      <c r="D402" s="4">
        <v>4489.97</v>
      </c>
      <c r="E402" s="4">
        <v>318.14999999999998</v>
      </c>
      <c r="F402" s="3">
        <f>VLOOKUP(B402,'Profit &amp; Loss'!$B$2:$C$390,2,0)</f>
        <v>1184.21</v>
      </c>
    </row>
    <row r="403" spans="1:6" x14ac:dyDescent="0.2">
      <c r="A403" s="3" t="s">
        <v>334</v>
      </c>
      <c r="B403" s="3" t="s">
        <v>569</v>
      </c>
      <c r="C403" s="4">
        <v>5154.9799999999996</v>
      </c>
      <c r="D403" s="4">
        <v>5154.9799999999996</v>
      </c>
      <c r="E403" s="4">
        <v>0</v>
      </c>
      <c r="F403" s="3">
        <f>VLOOKUP(B403,'Profit &amp; Loss'!$B$2:$C$390,2,0)</f>
        <v>1388.56</v>
      </c>
    </row>
    <row r="404" spans="1:6" x14ac:dyDescent="0.2">
      <c r="A404" s="3" t="s">
        <v>334</v>
      </c>
      <c r="B404" s="3" t="s">
        <v>667</v>
      </c>
      <c r="C404" s="4">
        <v>2890.23</v>
      </c>
      <c r="D404" s="4">
        <v>2890.23</v>
      </c>
      <c r="E404" s="4">
        <v>0</v>
      </c>
      <c r="F404" s="3">
        <f>VLOOKUP(B404,'Profit &amp; Loss'!$B$2:$C$390,2,0)</f>
        <v>0</v>
      </c>
    </row>
    <row r="405" spans="1:6" x14ac:dyDescent="0.2">
      <c r="A405" s="3" t="s">
        <v>334</v>
      </c>
      <c r="B405" s="3" t="s">
        <v>353</v>
      </c>
      <c r="C405" s="4">
        <v>19701.95</v>
      </c>
      <c r="D405" s="4">
        <v>19331.39</v>
      </c>
      <c r="E405" s="4">
        <v>370.56</v>
      </c>
      <c r="F405" s="3">
        <f>VLOOKUP(B405,'Profit &amp; Loss'!$B$2:$C$390,2,0)</f>
        <v>1304.8699999999999</v>
      </c>
    </row>
    <row r="406" spans="1:6" x14ac:dyDescent="0.2">
      <c r="A406" s="3" t="s">
        <v>334</v>
      </c>
      <c r="B406" s="3" t="s">
        <v>772</v>
      </c>
      <c r="C406" s="4">
        <v>1600.66</v>
      </c>
      <c r="D406" s="4">
        <v>1455.17</v>
      </c>
      <c r="E406" s="4">
        <v>145.49</v>
      </c>
      <c r="F406" s="3">
        <f>VLOOKUP(B406,'Profit &amp; Loss'!$B$2:$C$390,2,0)</f>
        <v>0</v>
      </c>
    </row>
    <row r="407" spans="1:6" x14ac:dyDescent="0.2">
      <c r="A407" s="3" t="s">
        <v>334</v>
      </c>
      <c r="B407" s="3" t="s">
        <v>354</v>
      </c>
      <c r="C407" s="4">
        <v>7912.94</v>
      </c>
      <c r="D407" s="4">
        <v>7182.07</v>
      </c>
      <c r="E407" s="4">
        <v>730.87</v>
      </c>
      <c r="F407" s="3">
        <f>VLOOKUP(B407,'Profit &amp; Loss'!$B$2:$C$390,2,0)</f>
        <v>645.12</v>
      </c>
    </row>
    <row r="408" spans="1:6" x14ac:dyDescent="0.2">
      <c r="A408" s="3" t="s">
        <v>334</v>
      </c>
      <c r="B408" s="3" t="s">
        <v>355</v>
      </c>
      <c r="C408" s="4">
        <v>55015.48</v>
      </c>
      <c r="D408" s="4">
        <v>49925.57</v>
      </c>
      <c r="E408" s="4">
        <v>5089.91</v>
      </c>
      <c r="F408" s="3">
        <f>VLOOKUP(B408,'Profit &amp; Loss'!$B$2:$C$390,2,0)</f>
        <v>4654.41</v>
      </c>
    </row>
    <row r="409" spans="1:6" x14ac:dyDescent="0.2">
      <c r="A409" s="3" t="s">
        <v>334</v>
      </c>
      <c r="B409" s="3" t="s">
        <v>356</v>
      </c>
      <c r="C409" s="4">
        <v>-32.54</v>
      </c>
      <c r="D409" s="4">
        <v>0</v>
      </c>
      <c r="E409" s="4">
        <v>-32.54</v>
      </c>
      <c r="F409" s="3">
        <f>VLOOKUP(B409,'Profit &amp; Loss'!$B$2:$C$390,2,0)</f>
        <v>164.53</v>
      </c>
    </row>
    <row r="410" spans="1:6" x14ac:dyDescent="0.2">
      <c r="A410" s="3" t="s">
        <v>334</v>
      </c>
      <c r="B410" s="3" t="s">
        <v>357</v>
      </c>
      <c r="C410" s="4">
        <v>28843.759999999998</v>
      </c>
      <c r="D410" s="4">
        <v>27055.1</v>
      </c>
      <c r="E410" s="4">
        <v>1788.66</v>
      </c>
      <c r="F410" s="3">
        <f>VLOOKUP(B410,'Profit &amp; Loss'!$B$2:$C$390,2,0)</f>
        <v>1147.27</v>
      </c>
    </row>
    <row r="411" spans="1:6" x14ac:dyDescent="0.2">
      <c r="A411" s="3" t="s">
        <v>334</v>
      </c>
      <c r="B411" s="3" t="s">
        <v>920</v>
      </c>
      <c r="C411" s="4">
        <v>6178.53</v>
      </c>
      <c r="D411" s="4">
        <v>6178.53</v>
      </c>
      <c r="E411" s="4">
        <v>0</v>
      </c>
      <c r="F411" s="3">
        <f>VLOOKUP(B411,'Profit &amp; Loss'!$B$2:$C$390,2,0)</f>
        <v>0</v>
      </c>
    </row>
    <row r="412" spans="1:6" x14ac:dyDescent="0.2">
      <c r="A412" s="3" t="s">
        <v>334</v>
      </c>
      <c r="B412" s="3" t="s">
        <v>358</v>
      </c>
      <c r="C412" s="4">
        <v>7616</v>
      </c>
      <c r="D412" s="4">
        <v>7616</v>
      </c>
      <c r="E412" s="4">
        <v>0</v>
      </c>
      <c r="F412" s="3">
        <f>VLOOKUP(B412,'Profit &amp; Loss'!$B$2:$C$390,2,0)</f>
        <v>3993.12</v>
      </c>
    </row>
    <row r="413" spans="1:6" x14ac:dyDescent="0.2">
      <c r="A413" s="3" t="s">
        <v>334</v>
      </c>
      <c r="B413" s="3" t="s">
        <v>359</v>
      </c>
      <c r="C413" s="4">
        <v>1270.6400000000001</v>
      </c>
      <c r="D413" s="4">
        <v>1270.6400000000001</v>
      </c>
      <c r="E413" s="4">
        <v>0</v>
      </c>
      <c r="F413" s="3">
        <f>VLOOKUP(B413,'Profit &amp; Loss'!$B$2:$C$390,2,0)</f>
        <v>1270.6400000000001</v>
      </c>
    </row>
    <row r="414" spans="1:6" x14ac:dyDescent="0.2">
      <c r="A414" s="3" t="s">
        <v>334</v>
      </c>
      <c r="B414" s="3" t="s">
        <v>360</v>
      </c>
      <c r="C414" s="4">
        <v>217787.4</v>
      </c>
      <c r="D414" s="4">
        <v>180882.35</v>
      </c>
      <c r="E414" s="4">
        <v>36905.050000000003</v>
      </c>
      <c r="F414" s="3">
        <f>VLOOKUP(B414,'Profit &amp; Loss'!$B$2:$C$390,2,0)</f>
        <v>16594.689999999999</v>
      </c>
    </row>
    <row r="415" spans="1:6" x14ac:dyDescent="0.2">
      <c r="A415" s="3" t="s">
        <v>334</v>
      </c>
      <c r="B415" s="3" t="s">
        <v>571</v>
      </c>
      <c r="C415" s="4">
        <v>13119.51</v>
      </c>
      <c r="D415" s="4">
        <v>12868.17</v>
      </c>
      <c r="E415" s="4">
        <v>251.34</v>
      </c>
      <c r="F415" s="3">
        <f>VLOOKUP(B415,'Profit &amp; Loss'!$B$2:$C$390,2,0)</f>
        <v>7423.55</v>
      </c>
    </row>
    <row r="416" spans="1:6" x14ac:dyDescent="0.2">
      <c r="A416" s="3" t="s">
        <v>334</v>
      </c>
      <c r="B416" s="3" t="s">
        <v>361</v>
      </c>
      <c r="C416" s="4">
        <v>4299.66</v>
      </c>
      <c r="D416" s="4">
        <v>1868.18</v>
      </c>
      <c r="E416" s="4">
        <v>2431.48</v>
      </c>
      <c r="F416" s="3">
        <f>VLOOKUP(B416,'Profit &amp; Loss'!$B$2:$C$390,2,0)</f>
        <v>0</v>
      </c>
    </row>
    <row r="417" spans="1:6" x14ac:dyDescent="0.2">
      <c r="A417" s="3" t="s">
        <v>334</v>
      </c>
      <c r="B417" s="3" t="s">
        <v>1427</v>
      </c>
      <c r="C417" s="4">
        <v>34.090000000000003</v>
      </c>
      <c r="D417" s="4">
        <v>34.090000000000003</v>
      </c>
      <c r="E417" s="4">
        <v>0</v>
      </c>
      <c r="F417" s="3">
        <f>VLOOKUP(B417,'Profit &amp; Loss'!$B$2:$C$390,2,0)</f>
        <v>0</v>
      </c>
    </row>
    <row r="418" spans="1:6" x14ac:dyDescent="0.2">
      <c r="A418" s="3" t="s">
        <v>334</v>
      </c>
      <c r="B418" s="3" t="s">
        <v>1446</v>
      </c>
      <c r="C418" s="4">
        <v>25.6</v>
      </c>
      <c r="D418" s="4">
        <v>25.6</v>
      </c>
      <c r="E418" s="4">
        <v>0</v>
      </c>
      <c r="F418" s="3">
        <f>VLOOKUP(B418,'Profit &amp; Loss'!$B$2:$C$390,2,0)</f>
        <v>0</v>
      </c>
    </row>
    <row r="419" spans="1:6" x14ac:dyDescent="0.2">
      <c r="A419" s="3" t="s">
        <v>334</v>
      </c>
      <c r="B419" s="3" t="s">
        <v>921</v>
      </c>
      <c r="C419" s="4">
        <v>122.03</v>
      </c>
      <c r="D419" s="4">
        <v>122.03</v>
      </c>
      <c r="E419" s="4">
        <v>0</v>
      </c>
      <c r="F419" s="3">
        <f>VLOOKUP(B419,'Profit &amp; Loss'!$B$2:$C$390,2,0)</f>
        <v>0</v>
      </c>
    </row>
    <row r="420" spans="1:6" x14ac:dyDescent="0.2">
      <c r="A420" s="3" t="s">
        <v>334</v>
      </c>
      <c r="B420" s="3" t="s">
        <v>852</v>
      </c>
      <c r="C420" s="4">
        <v>6329.54</v>
      </c>
      <c r="D420" s="4">
        <v>6329.54</v>
      </c>
      <c r="E420" s="4">
        <v>0</v>
      </c>
      <c r="F420" s="3">
        <f>VLOOKUP(B420,'Profit &amp; Loss'!$B$2:$C$390,2,0)</f>
        <v>0</v>
      </c>
    </row>
    <row r="421" spans="1:6" x14ac:dyDescent="0.2">
      <c r="A421" s="3" t="s">
        <v>334</v>
      </c>
      <c r="B421" s="3" t="s">
        <v>363</v>
      </c>
      <c r="C421" s="4">
        <v>12326.34</v>
      </c>
      <c r="D421" s="4">
        <v>12270.07</v>
      </c>
      <c r="E421" s="4">
        <v>56.27</v>
      </c>
      <c r="F421" s="3">
        <f>VLOOKUP(B421,'Profit &amp; Loss'!$B$2:$C$390,2,0)</f>
        <v>1958.16</v>
      </c>
    </row>
    <row r="422" spans="1:6" x14ac:dyDescent="0.2">
      <c r="A422" s="3" t="s">
        <v>334</v>
      </c>
      <c r="B422" s="3" t="s">
        <v>2</v>
      </c>
      <c r="C422" s="4">
        <v>2453029.4700000002</v>
      </c>
      <c r="D422" s="4">
        <v>2252917</v>
      </c>
      <c r="E422" s="4">
        <v>200112.47</v>
      </c>
      <c r="F422" s="3" t="e">
        <f>VLOOKUP(B422,'Profit &amp; Loss'!$B$2:$C$390,2,0)</f>
        <v>#N/A</v>
      </c>
    </row>
    <row r="423" spans="1:6" x14ac:dyDescent="0.2">
      <c r="A423" s="3" t="s">
        <v>364</v>
      </c>
      <c r="B423" s="3" t="s">
        <v>365</v>
      </c>
      <c r="C423" s="4">
        <v>6157.86</v>
      </c>
      <c r="D423" s="4">
        <v>5534.37</v>
      </c>
      <c r="E423" s="4">
        <v>623.49</v>
      </c>
      <c r="F423" s="3">
        <f>VLOOKUP(B423,'Profit &amp; Loss'!$B$2:$C$390,2,0)</f>
        <v>0</v>
      </c>
    </row>
    <row r="424" spans="1:6" x14ac:dyDescent="0.2">
      <c r="A424" s="3" t="s">
        <v>364</v>
      </c>
      <c r="B424" s="3" t="s">
        <v>366</v>
      </c>
      <c r="C424" s="4">
        <v>36540.9</v>
      </c>
      <c r="D424" s="4">
        <v>35704.11</v>
      </c>
      <c r="E424" s="4">
        <v>836.79</v>
      </c>
      <c r="F424" s="3">
        <f>VLOOKUP(B424,'Profit &amp; Loss'!$B$2:$C$390,2,0)</f>
        <v>223.34</v>
      </c>
    </row>
    <row r="425" spans="1:6" x14ac:dyDescent="0.2">
      <c r="A425" s="3" t="s">
        <v>364</v>
      </c>
      <c r="B425" s="3" t="s">
        <v>367</v>
      </c>
      <c r="C425" s="4">
        <v>8153.18</v>
      </c>
      <c r="D425" s="4">
        <v>6836.71</v>
      </c>
      <c r="E425" s="4">
        <v>1316.47</v>
      </c>
      <c r="F425" s="3">
        <f>VLOOKUP(B425,'Profit &amp; Loss'!$B$2:$C$390,2,0)</f>
        <v>462.09</v>
      </c>
    </row>
    <row r="426" spans="1:6" x14ac:dyDescent="0.2">
      <c r="A426" s="3" t="s">
        <v>364</v>
      </c>
      <c r="B426" s="3" t="s">
        <v>368</v>
      </c>
      <c r="C426" s="4">
        <v>3479.27</v>
      </c>
      <c r="D426" s="4">
        <v>2885.7</v>
      </c>
      <c r="E426" s="4">
        <v>593.57000000000005</v>
      </c>
      <c r="F426" s="3">
        <f>VLOOKUP(B426,'Profit &amp; Loss'!$B$2:$C$390,2,0)</f>
        <v>120.24</v>
      </c>
    </row>
    <row r="427" spans="1:6" x14ac:dyDescent="0.2">
      <c r="A427" s="3" t="s">
        <v>364</v>
      </c>
      <c r="B427" s="3" t="s">
        <v>369</v>
      </c>
      <c r="C427" s="4">
        <v>2057.6</v>
      </c>
      <c r="D427" s="4">
        <v>1558.37</v>
      </c>
      <c r="E427" s="4">
        <v>499.23</v>
      </c>
      <c r="F427" s="3">
        <f>VLOOKUP(B427,'Profit &amp; Loss'!$B$2:$C$390,2,0)</f>
        <v>11.91</v>
      </c>
    </row>
    <row r="428" spans="1:6" x14ac:dyDescent="0.2">
      <c r="A428" s="3" t="s">
        <v>364</v>
      </c>
      <c r="B428" s="3" t="s">
        <v>370</v>
      </c>
      <c r="C428" s="4">
        <v>103.56</v>
      </c>
      <c r="D428" s="4">
        <v>92.34</v>
      </c>
      <c r="E428" s="4">
        <v>11.22</v>
      </c>
      <c r="F428" s="3">
        <f>VLOOKUP(B428,'Profit &amp; Loss'!$B$2:$C$390,2,0)</f>
        <v>0</v>
      </c>
    </row>
    <row r="429" spans="1:6" x14ac:dyDescent="0.2">
      <c r="A429" s="3" t="s">
        <v>364</v>
      </c>
      <c r="B429" s="3" t="s">
        <v>371</v>
      </c>
      <c r="C429" s="4">
        <v>304.51</v>
      </c>
      <c r="D429" s="4">
        <v>175.12</v>
      </c>
      <c r="E429" s="4">
        <v>129.38999999999999</v>
      </c>
      <c r="F429" s="3">
        <f>VLOOKUP(B429,'Profit &amp; Loss'!$B$2:$C$390,2,0)</f>
        <v>0</v>
      </c>
    </row>
    <row r="430" spans="1:6" x14ac:dyDescent="0.2">
      <c r="A430" s="3" t="s">
        <v>364</v>
      </c>
      <c r="B430" s="3" t="s">
        <v>372</v>
      </c>
      <c r="C430" s="4">
        <v>3093.24</v>
      </c>
      <c r="D430" s="4">
        <v>2983.86</v>
      </c>
      <c r="E430" s="4">
        <v>109.38</v>
      </c>
      <c r="F430" s="3">
        <f>VLOOKUP(B430,'Profit &amp; Loss'!$B$2:$C$390,2,0)</f>
        <v>247.77</v>
      </c>
    </row>
    <row r="431" spans="1:6" x14ac:dyDescent="0.2">
      <c r="A431" s="3" t="s">
        <v>364</v>
      </c>
      <c r="B431" s="3" t="s">
        <v>572</v>
      </c>
      <c r="C431" s="4">
        <v>1174.08</v>
      </c>
      <c r="D431" s="4">
        <v>1174.08</v>
      </c>
      <c r="E431" s="4">
        <v>0</v>
      </c>
      <c r="F431" s="3">
        <f>VLOOKUP(B431,'Profit &amp; Loss'!$B$2:$C$390,2,0)</f>
        <v>0</v>
      </c>
    </row>
    <row r="432" spans="1:6" x14ac:dyDescent="0.2">
      <c r="A432" s="3" t="s">
        <v>364</v>
      </c>
      <c r="B432" s="3" t="s">
        <v>2</v>
      </c>
      <c r="C432" s="4">
        <v>61064.2</v>
      </c>
      <c r="D432" s="4">
        <v>56944.66</v>
      </c>
      <c r="E432" s="4">
        <v>4119.54</v>
      </c>
      <c r="F432" s="3" t="e">
        <f>VLOOKUP(B432,'Profit &amp; Loss'!$B$2:$C$390,2,0)</f>
        <v>#N/A</v>
      </c>
    </row>
    <row r="433" spans="1:6" x14ac:dyDescent="0.2">
      <c r="A433" s="3" t="s">
        <v>373</v>
      </c>
      <c r="B433" s="3" t="s">
        <v>673</v>
      </c>
      <c r="C433" s="4">
        <v>23124.62</v>
      </c>
      <c r="D433" s="4">
        <v>20917.62</v>
      </c>
      <c r="E433" s="4">
        <v>2207</v>
      </c>
      <c r="F433" s="3">
        <f>VLOOKUP(B433,'Profit &amp; Loss'!$B$2:$C$390,2,0)</f>
        <v>0</v>
      </c>
    </row>
    <row r="434" spans="1:6" x14ac:dyDescent="0.2">
      <c r="A434" s="3" t="s">
        <v>373</v>
      </c>
      <c r="B434" s="3" t="s">
        <v>374</v>
      </c>
      <c r="C434" s="4">
        <v>2397.41</v>
      </c>
      <c r="D434" s="4">
        <v>1379.69</v>
      </c>
      <c r="E434" s="4">
        <v>1017.72</v>
      </c>
      <c r="F434" s="3">
        <f>VLOOKUP(B434,'Profit &amp; Loss'!$B$2:$C$390,2,0)</f>
        <v>2.44</v>
      </c>
    </row>
    <row r="435" spans="1:6" x14ac:dyDescent="0.2">
      <c r="A435" s="3" t="s">
        <v>373</v>
      </c>
      <c r="B435" s="3" t="s">
        <v>375</v>
      </c>
      <c r="C435" s="4">
        <v>15890.51</v>
      </c>
      <c r="D435" s="4">
        <v>14803.71</v>
      </c>
      <c r="E435" s="4">
        <v>1086.8</v>
      </c>
      <c r="F435" s="3">
        <f>VLOOKUP(B435,'Profit &amp; Loss'!$B$2:$C$390,2,0)</f>
        <v>-429.67</v>
      </c>
    </row>
    <row r="436" spans="1:6" x14ac:dyDescent="0.2">
      <c r="A436" s="3" t="s">
        <v>373</v>
      </c>
      <c r="B436" s="3" t="s">
        <v>573</v>
      </c>
      <c r="C436" s="4">
        <v>2717.11</v>
      </c>
      <c r="D436" s="4">
        <v>2451.62</v>
      </c>
      <c r="E436" s="4">
        <v>265.49</v>
      </c>
      <c r="F436" s="3">
        <f>VLOOKUP(B436,'Profit &amp; Loss'!$B$2:$C$390,2,0)</f>
        <v>939.64</v>
      </c>
    </row>
    <row r="437" spans="1:6" x14ac:dyDescent="0.2">
      <c r="A437" s="3" t="s">
        <v>373</v>
      </c>
      <c r="B437" s="3" t="s">
        <v>574</v>
      </c>
      <c r="C437" s="4">
        <v>1110.52</v>
      </c>
      <c r="D437" s="4">
        <v>540.29</v>
      </c>
      <c r="E437" s="4">
        <v>570.23</v>
      </c>
      <c r="F437" s="3">
        <f>VLOOKUP(B437,'Profit &amp; Loss'!$B$2:$C$390,2,0)</f>
        <v>0</v>
      </c>
    </row>
    <row r="438" spans="1:6" x14ac:dyDescent="0.2">
      <c r="A438" s="3" t="s">
        <v>373</v>
      </c>
      <c r="B438" s="3" t="s">
        <v>376</v>
      </c>
      <c r="C438" s="4">
        <v>7091.23</v>
      </c>
      <c r="D438" s="4">
        <v>6919.16</v>
      </c>
      <c r="E438" s="4">
        <v>172.07</v>
      </c>
      <c r="F438" s="3">
        <f>VLOOKUP(B438,'Profit &amp; Loss'!$B$2:$C$390,2,0)</f>
        <v>654.64</v>
      </c>
    </row>
    <row r="439" spans="1:6" x14ac:dyDescent="0.2">
      <c r="A439" s="3" t="s">
        <v>373</v>
      </c>
      <c r="B439" s="3" t="s">
        <v>377</v>
      </c>
      <c r="C439" s="4">
        <v>13246.24</v>
      </c>
      <c r="D439" s="4">
        <v>10956.53</v>
      </c>
      <c r="E439" s="4">
        <v>2289.71</v>
      </c>
      <c r="F439" s="3">
        <f>VLOOKUP(B439,'Profit &amp; Loss'!$B$2:$C$390,2,0)</f>
        <v>0</v>
      </c>
    </row>
    <row r="440" spans="1:6" x14ac:dyDescent="0.2">
      <c r="A440" s="3" t="s">
        <v>373</v>
      </c>
      <c r="B440" s="3" t="s">
        <v>857</v>
      </c>
      <c r="C440" s="4">
        <v>65811.69</v>
      </c>
      <c r="D440" s="4">
        <v>62208.59</v>
      </c>
      <c r="E440" s="4">
        <v>3603.1</v>
      </c>
      <c r="F440" s="3">
        <f>VLOOKUP(B440,'Profit &amp; Loss'!$B$2:$C$390,2,0)</f>
        <v>0</v>
      </c>
    </row>
    <row r="441" spans="1:6" x14ac:dyDescent="0.2">
      <c r="A441" s="3" t="s">
        <v>373</v>
      </c>
      <c r="B441" s="3" t="s">
        <v>378</v>
      </c>
      <c r="C441" s="4">
        <v>69377.55</v>
      </c>
      <c r="D441" s="4">
        <v>65045.38</v>
      </c>
      <c r="E441" s="4">
        <v>4332.17</v>
      </c>
      <c r="F441" s="3">
        <f>VLOOKUP(B441,'Profit &amp; Loss'!$B$2:$C$390,2,0)</f>
        <v>679.62</v>
      </c>
    </row>
    <row r="442" spans="1:6" x14ac:dyDescent="0.2">
      <c r="A442" s="3" t="s">
        <v>373</v>
      </c>
      <c r="B442" s="3" t="s">
        <v>2</v>
      </c>
      <c r="C442" s="4">
        <v>200766.88</v>
      </c>
      <c r="D442" s="4">
        <v>185222.59</v>
      </c>
      <c r="E442" s="4">
        <v>15544.29</v>
      </c>
      <c r="F442" s="3" t="e">
        <f>VLOOKUP(B442,'Profit &amp; Loss'!$B$2:$C$390,2,0)</f>
        <v>#N/A</v>
      </c>
    </row>
    <row r="443" spans="1:6" x14ac:dyDescent="0.2">
      <c r="A443" s="3" t="s">
        <v>379</v>
      </c>
      <c r="B443" s="3" t="s">
        <v>380</v>
      </c>
      <c r="C443" s="4">
        <v>3100.75</v>
      </c>
      <c r="D443" s="4">
        <v>2792.82</v>
      </c>
      <c r="E443" s="4">
        <v>307.93</v>
      </c>
      <c r="F443" s="3">
        <f>VLOOKUP(B443,'Profit &amp; Loss'!$B$2:$C$390,2,0)</f>
        <v>94.24</v>
      </c>
    </row>
    <row r="444" spans="1:6" x14ac:dyDescent="0.2">
      <c r="A444" s="3" t="s">
        <v>379</v>
      </c>
      <c r="B444" s="3" t="s">
        <v>381</v>
      </c>
      <c r="C444" s="4">
        <v>33450.080000000002</v>
      </c>
      <c r="D444" s="4">
        <v>27940.99</v>
      </c>
      <c r="E444" s="4">
        <v>5509.09</v>
      </c>
      <c r="F444" s="3">
        <f>VLOOKUP(B444,'Profit &amp; Loss'!$B$2:$C$390,2,0)</f>
        <v>-870.15</v>
      </c>
    </row>
    <row r="445" spans="1:6" x14ac:dyDescent="0.2">
      <c r="A445" s="3" t="s">
        <v>379</v>
      </c>
      <c r="B445" s="3" t="s">
        <v>382</v>
      </c>
      <c r="C445" s="4">
        <v>19256.04</v>
      </c>
      <c r="D445" s="4">
        <v>18197.09</v>
      </c>
      <c r="E445" s="4">
        <v>1058.95</v>
      </c>
      <c r="F445" s="3">
        <f>VLOOKUP(B445,'Profit &amp; Loss'!$B$2:$C$390,2,0)</f>
        <v>-237.73</v>
      </c>
    </row>
    <row r="446" spans="1:6" x14ac:dyDescent="0.2">
      <c r="A446" s="3" t="s">
        <v>379</v>
      </c>
      <c r="B446" s="3" t="s">
        <v>2</v>
      </c>
      <c r="C446" s="4">
        <v>55806.87</v>
      </c>
      <c r="D446" s="4">
        <v>48930.9</v>
      </c>
      <c r="E446" s="4">
        <v>6875.97</v>
      </c>
      <c r="F446" s="3" t="e">
        <f>VLOOKUP(B446,'Profit &amp; Loss'!$B$2:$C$390,2,0)</f>
        <v>#N/A</v>
      </c>
    </row>
    <row r="447" spans="1:6" x14ac:dyDescent="0.2">
      <c r="A447" s="3" t="s">
        <v>383</v>
      </c>
      <c r="B447" s="3" t="s">
        <v>384</v>
      </c>
      <c r="C447" s="4">
        <v>1151.3499999999999</v>
      </c>
      <c r="D447" s="4">
        <v>6027.24</v>
      </c>
      <c r="E447" s="4">
        <v>-4875.8900000000003</v>
      </c>
      <c r="F447" s="3">
        <f>VLOOKUP(B447,'Profit &amp; Loss'!$B$2:$C$390,2,0)</f>
        <v>152.97999999999999</v>
      </c>
    </row>
    <row r="448" spans="1:6" x14ac:dyDescent="0.2">
      <c r="A448" s="3" t="s">
        <v>383</v>
      </c>
      <c r="B448" s="3" t="s">
        <v>993</v>
      </c>
      <c r="C448" s="4">
        <v>-130594.91</v>
      </c>
      <c r="D448" s="4">
        <v>-130594.91</v>
      </c>
      <c r="E448" s="4">
        <v>0</v>
      </c>
      <c r="F448" s="3">
        <f>VLOOKUP(B448,'Profit &amp; Loss'!$B$2:$C$390,2,0)</f>
        <v>-130594.91</v>
      </c>
    </row>
    <row r="449" spans="1:6" x14ac:dyDescent="0.2">
      <c r="A449" s="3" t="s">
        <v>383</v>
      </c>
      <c r="B449" s="3" t="s">
        <v>385</v>
      </c>
      <c r="C449" s="4">
        <v>199635.69</v>
      </c>
      <c r="D449" s="4">
        <v>194253.27</v>
      </c>
      <c r="E449" s="4">
        <v>5382.42</v>
      </c>
      <c r="F449" s="3">
        <f>VLOOKUP(B449,'Profit &amp; Loss'!$B$2:$C$390,2,0)</f>
        <v>3245.65</v>
      </c>
    </row>
    <row r="450" spans="1:6" x14ac:dyDescent="0.2">
      <c r="A450" s="3" t="s">
        <v>383</v>
      </c>
      <c r="B450" s="3" t="s">
        <v>386</v>
      </c>
      <c r="C450" s="4">
        <v>44060.23</v>
      </c>
      <c r="D450" s="4">
        <v>42329.09</v>
      </c>
      <c r="E450" s="4">
        <v>1731.14</v>
      </c>
      <c r="F450" s="3">
        <f>VLOOKUP(B450,'Profit &amp; Loss'!$B$2:$C$390,2,0)</f>
        <v>4774.8</v>
      </c>
    </row>
    <row r="451" spans="1:6" x14ac:dyDescent="0.2">
      <c r="A451" s="3" t="s">
        <v>383</v>
      </c>
      <c r="B451" s="3" t="s">
        <v>387</v>
      </c>
      <c r="C451" s="4">
        <v>76082.05</v>
      </c>
      <c r="D451" s="4">
        <v>66338.149999999994</v>
      </c>
      <c r="E451" s="4">
        <v>9743.9</v>
      </c>
      <c r="F451" s="3">
        <f>VLOOKUP(B451,'Profit &amp; Loss'!$B$2:$C$390,2,0)</f>
        <v>5944.89</v>
      </c>
    </row>
    <row r="452" spans="1:6" x14ac:dyDescent="0.2">
      <c r="A452" s="3" t="s">
        <v>383</v>
      </c>
      <c r="B452" s="3" t="s">
        <v>2</v>
      </c>
      <c r="C452" s="4">
        <v>190334.41</v>
      </c>
      <c r="D452" s="4">
        <v>178352.84</v>
      </c>
      <c r="E452" s="4">
        <v>11981.57</v>
      </c>
      <c r="F452" s="3" t="e">
        <f>VLOOKUP(B452,'Profit &amp; Loss'!$B$2:$C$390,2,0)</f>
        <v>#N/A</v>
      </c>
    </row>
    <row r="453" spans="1:6" x14ac:dyDescent="0.2">
      <c r="A453" s="3" t="s">
        <v>678</v>
      </c>
      <c r="B453" s="3" t="s">
        <v>994</v>
      </c>
      <c r="C453" s="4">
        <v>249.17</v>
      </c>
      <c r="D453" s="4">
        <v>249.17</v>
      </c>
      <c r="E453" s="4">
        <v>0</v>
      </c>
      <c r="F453" s="3">
        <f>VLOOKUP(B453,'Profit &amp; Loss'!$B$2:$C$390,2,0)</f>
        <v>1302.99</v>
      </c>
    </row>
    <row r="454" spans="1:6" x14ac:dyDescent="0.2">
      <c r="A454" s="3" t="s">
        <v>678</v>
      </c>
      <c r="B454" s="3" t="s">
        <v>679</v>
      </c>
      <c r="C454" s="4">
        <v>1741.22</v>
      </c>
      <c r="D454" s="4">
        <v>1741.22</v>
      </c>
      <c r="E454" s="4">
        <v>0</v>
      </c>
      <c r="F454" s="3" t="e">
        <f>VLOOKUP(B454,'Profit &amp; Loss'!$B$2:$C$390,2,0)</f>
        <v>#N/A</v>
      </c>
    </row>
    <row r="455" spans="1:6" x14ac:dyDescent="0.2">
      <c r="A455" s="3" t="s">
        <v>678</v>
      </c>
      <c r="B455" s="3" t="s">
        <v>2</v>
      </c>
      <c r="C455" s="4">
        <v>1990.39</v>
      </c>
      <c r="D455" s="4">
        <v>1990.39</v>
      </c>
      <c r="E455" s="4">
        <v>0</v>
      </c>
      <c r="F455" s="3" t="e">
        <f>VLOOKUP(B455,'Profit &amp; Loss'!$B$2:$C$390,2,0)</f>
        <v>#N/A</v>
      </c>
    </row>
    <row r="456" spans="1:6" x14ac:dyDescent="0.2">
      <c r="A456" s="3" t="s">
        <v>388</v>
      </c>
      <c r="B456" s="3" t="s">
        <v>390</v>
      </c>
      <c r="C456" s="4">
        <v>26489.97</v>
      </c>
      <c r="D456" s="4">
        <v>19810.650000000001</v>
      </c>
      <c r="E456" s="4">
        <v>6679.32</v>
      </c>
      <c r="F456" s="3" t="e">
        <f>VLOOKUP(B456,'Profit &amp; Loss'!$B$2:$C$390,2,0)</f>
        <v>#N/A</v>
      </c>
    </row>
    <row r="457" spans="1:6" x14ac:dyDescent="0.2">
      <c r="A457" s="3" t="s">
        <v>388</v>
      </c>
      <c r="B457" s="3" t="s">
        <v>2</v>
      </c>
      <c r="C457" s="4">
        <v>26489.97</v>
      </c>
      <c r="D457" s="4">
        <v>19810.650000000001</v>
      </c>
      <c r="E457" s="4">
        <v>6679.32</v>
      </c>
      <c r="F457" s="3" t="e">
        <f>VLOOKUP(B457,'Profit &amp; Loss'!$B$2:$C$390,2,0)</f>
        <v>#N/A</v>
      </c>
    </row>
    <row r="458" spans="1:6" x14ac:dyDescent="0.2">
      <c r="A458" s="3" t="s">
        <v>391</v>
      </c>
      <c r="B458" s="3" t="s">
        <v>579</v>
      </c>
      <c r="C458" s="4">
        <v>2650.3</v>
      </c>
      <c r="D458" s="4">
        <v>2340.2199999999998</v>
      </c>
      <c r="E458" s="4">
        <v>310.08</v>
      </c>
      <c r="F458" s="3">
        <f>VLOOKUP(B458,'Profit &amp; Loss'!$B$2:$C$390,2,0)</f>
        <v>2.69</v>
      </c>
    </row>
    <row r="459" spans="1:6" x14ac:dyDescent="0.2">
      <c r="A459" s="3" t="s">
        <v>391</v>
      </c>
      <c r="B459" s="3" t="s">
        <v>392</v>
      </c>
      <c r="C459" s="4">
        <v>55519.17</v>
      </c>
      <c r="D459" s="4">
        <v>54676.89</v>
      </c>
      <c r="E459" s="4">
        <v>842.28</v>
      </c>
      <c r="F459" s="3">
        <f>VLOOKUP(B459,'Profit &amp; Loss'!$B$2:$C$390,2,0)</f>
        <v>904.52</v>
      </c>
    </row>
    <row r="460" spans="1:6" s="18" customFormat="1" x14ac:dyDescent="0.2">
      <c r="A460" s="18" t="s">
        <v>391</v>
      </c>
      <c r="B460" s="18" t="s">
        <v>581</v>
      </c>
      <c r="C460" s="19">
        <v>33.64</v>
      </c>
      <c r="D460" s="19">
        <v>0</v>
      </c>
      <c r="E460" s="19">
        <v>33.64</v>
      </c>
      <c r="F460" s="18">
        <f>VLOOKUP(B460,'Profit &amp; Loss'!$B$2:$C$390,2,0)</f>
        <v>0</v>
      </c>
    </row>
    <row r="461" spans="1:6" x14ac:dyDescent="0.2">
      <c r="A461" s="3" t="s">
        <v>391</v>
      </c>
      <c r="B461" s="3" t="s">
        <v>967</v>
      </c>
      <c r="C461" s="4">
        <v>2062.6799999999998</v>
      </c>
      <c r="D461" s="4">
        <v>2062.6799999999998</v>
      </c>
      <c r="E461" s="4">
        <v>0</v>
      </c>
      <c r="F461" s="3">
        <f>VLOOKUP(B461,'Profit &amp; Loss'!$B$2:$C$390,2,0)</f>
        <v>0</v>
      </c>
    </row>
    <row r="462" spans="1:6" x14ac:dyDescent="0.2">
      <c r="A462" s="3" t="s">
        <v>391</v>
      </c>
      <c r="B462" s="3" t="s">
        <v>1435</v>
      </c>
      <c r="C462" s="4">
        <v>9873.24</v>
      </c>
      <c r="D462" s="4">
        <v>9800.8700000000008</v>
      </c>
      <c r="E462" s="4">
        <v>72.37</v>
      </c>
      <c r="F462" s="3">
        <f>VLOOKUP(B462,'Profit &amp; Loss'!$B$2:$C$390,2,0)</f>
        <v>0</v>
      </c>
    </row>
    <row r="463" spans="1:6" x14ac:dyDescent="0.2">
      <c r="A463" s="3" t="s">
        <v>391</v>
      </c>
      <c r="B463" s="3" t="s">
        <v>2</v>
      </c>
      <c r="C463" s="4">
        <v>70139.03</v>
      </c>
      <c r="D463" s="4">
        <v>68880.66</v>
      </c>
      <c r="E463" s="4">
        <v>1258.3699999999999</v>
      </c>
      <c r="F463" s="3" t="e">
        <f>VLOOKUP(B463,'Profit &amp; Loss'!$B$2:$C$390,2,0)</f>
        <v>#N/A</v>
      </c>
    </row>
    <row r="464" spans="1:6" x14ac:dyDescent="0.2">
      <c r="A464" s="3" t="s">
        <v>393</v>
      </c>
      <c r="B464" s="3" t="s">
        <v>394</v>
      </c>
      <c r="C464" s="4">
        <v>29024.34</v>
      </c>
      <c r="D464" s="4">
        <v>25477.64</v>
      </c>
      <c r="E464" s="4">
        <v>3546.7</v>
      </c>
      <c r="F464" s="3">
        <f>VLOOKUP(B464,'Profit &amp; Loss'!$B$2:$C$390,2,0)</f>
        <v>1534.08</v>
      </c>
    </row>
    <row r="465" spans="1:6" x14ac:dyDescent="0.2">
      <c r="A465" s="3" t="s">
        <v>393</v>
      </c>
      <c r="B465" s="3" t="s">
        <v>395</v>
      </c>
      <c r="C465" s="4">
        <v>21422.66</v>
      </c>
      <c r="D465" s="4">
        <v>19716.18</v>
      </c>
      <c r="E465" s="4">
        <v>1706.48</v>
      </c>
      <c r="F465" s="3">
        <f>VLOOKUP(B465,'Profit &amp; Loss'!$B$2:$C$390,2,0)</f>
        <v>2034.12</v>
      </c>
    </row>
    <row r="466" spans="1:6" x14ac:dyDescent="0.2">
      <c r="A466" s="3" t="s">
        <v>393</v>
      </c>
      <c r="B466" s="3" t="s">
        <v>2</v>
      </c>
      <c r="C466" s="4">
        <v>50447</v>
      </c>
      <c r="D466" s="4">
        <v>45193.82</v>
      </c>
      <c r="E466" s="4">
        <v>5253.18</v>
      </c>
      <c r="F466" s="3" t="e">
        <f>VLOOKUP(B466,'Profit &amp; Loss'!$B$2:$C$390,2,0)</f>
        <v>#N/A</v>
      </c>
    </row>
    <row r="467" spans="1:6" x14ac:dyDescent="0.2">
      <c r="A467" s="3" t="s">
        <v>582</v>
      </c>
      <c r="B467" s="3" t="s">
        <v>583</v>
      </c>
      <c r="C467" s="4">
        <v>216550.73</v>
      </c>
      <c r="D467" s="4">
        <v>214556.05</v>
      </c>
      <c r="E467" s="4">
        <v>1994.68</v>
      </c>
      <c r="F467" s="3">
        <f>VLOOKUP(B467,'Profit &amp; Loss'!$B$2:$C$390,2,0)</f>
        <v>-54602.16</v>
      </c>
    </row>
    <row r="468" spans="1:6" x14ac:dyDescent="0.2">
      <c r="A468" s="3" t="s">
        <v>582</v>
      </c>
      <c r="B468" s="3" t="s">
        <v>584</v>
      </c>
      <c r="C468" s="4">
        <v>258828.34</v>
      </c>
      <c r="D468" s="4">
        <v>210988.06</v>
      </c>
      <c r="E468" s="4">
        <v>47840.28</v>
      </c>
      <c r="F468" s="3">
        <f>VLOOKUP(B468,'Profit &amp; Loss'!$B$2:$C$390,2,0)</f>
        <v>-28044.34</v>
      </c>
    </row>
    <row r="469" spans="1:6" x14ac:dyDescent="0.2">
      <c r="A469" s="3" t="s">
        <v>582</v>
      </c>
      <c r="B469" s="3" t="s">
        <v>684</v>
      </c>
      <c r="C469" s="4">
        <v>107148.99</v>
      </c>
      <c r="D469" s="4">
        <v>97025.58</v>
      </c>
      <c r="E469" s="4">
        <v>10123.41</v>
      </c>
      <c r="F469" s="3">
        <f>VLOOKUP(B469,'Profit &amp; Loss'!$B$2:$C$390,2,0)</f>
        <v>-37.07</v>
      </c>
    </row>
    <row r="470" spans="1:6" x14ac:dyDescent="0.2">
      <c r="A470" s="3" t="s">
        <v>582</v>
      </c>
      <c r="B470" s="3" t="s">
        <v>2</v>
      </c>
      <c r="C470" s="4">
        <v>582528.06000000006</v>
      </c>
      <c r="D470" s="4">
        <v>522569.69</v>
      </c>
      <c r="E470" s="4">
        <v>59958.37</v>
      </c>
      <c r="F470" s="3" t="e">
        <f>VLOOKUP(B470,'Profit &amp; Loss'!$B$2:$C$390,2,0)</f>
        <v>#N/A</v>
      </c>
    </row>
    <row r="471" spans="1:6" x14ac:dyDescent="0.2">
      <c r="A471" s="3" t="s">
        <v>396</v>
      </c>
      <c r="B471" s="3" t="s">
        <v>1403</v>
      </c>
      <c r="C471" s="4">
        <v>162.94</v>
      </c>
      <c r="D471" s="4">
        <v>162.94</v>
      </c>
      <c r="E471" s="4">
        <v>0</v>
      </c>
      <c r="F471" s="3">
        <f>VLOOKUP(B471,'Profit &amp; Loss'!$B$2:$C$390,2,0)</f>
        <v>0</v>
      </c>
    </row>
    <row r="472" spans="1:6" x14ac:dyDescent="0.2">
      <c r="A472" s="3" t="s">
        <v>396</v>
      </c>
      <c r="B472" s="3" t="s">
        <v>397</v>
      </c>
      <c r="C472" s="4">
        <v>22748.54</v>
      </c>
      <c r="D472" s="4">
        <v>18886.79</v>
      </c>
      <c r="E472" s="4">
        <v>3861.75</v>
      </c>
      <c r="F472" s="3">
        <f>VLOOKUP(B472,'Profit &amp; Loss'!$B$2:$C$390,2,0)</f>
        <v>4528.21</v>
      </c>
    </row>
    <row r="473" spans="1:6" x14ac:dyDescent="0.2">
      <c r="A473" s="3" t="s">
        <v>396</v>
      </c>
      <c r="B473" s="3" t="s">
        <v>2</v>
      </c>
      <c r="C473" s="4">
        <v>22911.48</v>
      </c>
      <c r="D473" s="4">
        <v>19049.73</v>
      </c>
      <c r="E473" s="4">
        <v>3861.75</v>
      </c>
      <c r="F473" s="3" t="e">
        <f>VLOOKUP(B473,'Profit &amp; Loss'!$B$2:$C$390,2,0)</f>
        <v>#N/A</v>
      </c>
    </row>
    <row r="474" spans="1:6" x14ac:dyDescent="0.2">
      <c r="A474" s="3" t="s">
        <v>398</v>
      </c>
      <c r="B474" s="3" t="s">
        <v>399</v>
      </c>
      <c r="C474" s="4">
        <v>29014.17</v>
      </c>
      <c r="D474" s="4">
        <v>22690.799999999999</v>
      </c>
      <c r="E474" s="4">
        <v>6323.37</v>
      </c>
      <c r="F474" s="3">
        <f>VLOOKUP(B474,'Profit &amp; Loss'!$B$2:$C$390,2,0)</f>
        <v>6517.4</v>
      </c>
    </row>
    <row r="475" spans="1:6" x14ac:dyDescent="0.2">
      <c r="A475" s="3" t="s">
        <v>398</v>
      </c>
      <c r="B475" s="3" t="s">
        <v>400</v>
      </c>
      <c r="C475" s="4">
        <v>22891.07</v>
      </c>
      <c r="D475" s="4">
        <v>21958.11</v>
      </c>
      <c r="E475" s="4">
        <v>932.96</v>
      </c>
      <c r="F475" s="3">
        <f>VLOOKUP(B475,'Profit &amp; Loss'!$B$2:$C$390,2,0)</f>
        <v>0</v>
      </c>
    </row>
    <row r="476" spans="1:6" x14ac:dyDescent="0.2">
      <c r="A476" s="3" t="s">
        <v>398</v>
      </c>
      <c r="B476" s="3" t="s">
        <v>2</v>
      </c>
      <c r="C476" s="4">
        <v>51905.24</v>
      </c>
      <c r="D476" s="4">
        <v>44648.91</v>
      </c>
      <c r="E476" s="4">
        <v>7256.33</v>
      </c>
      <c r="F476" s="3" t="e">
        <f>VLOOKUP(B476,'Profit &amp; Loss'!$B$2:$C$390,2,0)</f>
        <v>#N/A</v>
      </c>
    </row>
    <row r="477" spans="1:6" x14ac:dyDescent="0.2">
      <c r="A477" s="3" t="s">
        <v>401</v>
      </c>
      <c r="B477" s="3" t="s">
        <v>402</v>
      </c>
      <c r="C477" s="4">
        <v>447.33</v>
      </c>
      <c r="D477" s="4">
        <v>447.33</v>
      </c>
      <c r="E477" s="4">
        <v>0</v>
      </c>
      <c r="F477" s="3">
        <f>VLOOKUP(B477,'Profit &amp; Loss'!$B$2:$C$390,2,0)</f>
        <v>139.75</v>
      </c>
    </row>
    <row r="478" spans="1:6" x14ac:dyDescent="0.2">
      <c r="A478" s="3" t="s">
        <v>401</v>
      </c>
      <c r="B478" s="3" t="s">
        <v>2</v>
      </c>
      <c r="C478" s="4">
        <v>447.33</v>
      </c>
      <c r="D478" s="4">
        <v>447.33</v>
      </c>
      <c r="E478" s="4">
        <v>0</v>
      </c>
      <c r="F478" s="3" t="e">
        <f>VLOOKUP(B478,'Profit &amp; Loss'!$B$2:$C$390,2,0)</f>
        <v>#N/A</v>
      </c>
    </row>
    <row r="479" spans="1:6" x14ac:dyDescent="0.2">
      <c r="A479" s="3" t="s">
        <v>403</v>
      </c>
      <c r="B479" s="3" t="s">
        <v>404</v>
      </c>
      <c r="C479" s="4">
        <v>18577.32</v>
      </c>
      <c r="D479" s="4">
        <v>16201.94</v>
      </c>
      <c r="E479" s="4">
        <v>2375.38</v>
      </c>
      <c r="F479" s="3">
        <f>VLOOKUP(B479,'Profit &amp; Loss'!$B$2:$C$390,2,0)</f>
        <v>1539.76</v>
      </c>
    </row>
    <row r="480" spans="1:6" x14ac:dyDescent="0.2">
      <c r="A480" s="3" t="s">
        <v>403</v>
      </c>
      <c r="B480" s="3" t="s">
        <v>405</v>
      </c>
      <c r="C480" s="4">
        <v>225305.08</v>
      </c>
      <c r="D480" s="4">
        <v>196615.51</v>
      </c>
      <c r="E480" s="4">
        <v>28689.57</v>
      </c>
      <c r="F480" s="3">
        <f>VLOOKUP(B480,'Profit &amp; Loss'!$B$2:$C$390,2,0)</f>
        <v>2743.74</v>
      </c>
    </row>
    <row r="481" spans="1:6" x14ac:dyDescent="0.2">
      <c r="A481" s="3" t="s">
        <v>403</v>
      </c>
      <c r="B481" s="3" t="s">
        <v>1527</v>
      </c>
      <c r="C481" s="4">
        <v>10816.99</v>
      </c>
      <c r="D481" s="4">
        <v>7877.92</v>
      </c>
      <c r="E481" s="4">
        <v>2939.07</v>
      </c>
      <c r="F481" s="3">
        <f>VLOOKUP(B481,'Profit &amp; Loss'!$B$2:$C$390,2,0)</f>
        <v>0</v>
      </c>
    </row>
    <row r="482" spans="1:6" x14ac:dyDescent="0.2">
      <c r="A482" s="3" t="s">
        <v>403</v>
      </c>
      <c r="B482" s="3" t="s">
        <v>406</v>
      </c>
      <c r="C482" s="4">
        <v>121.76</v>
      </c>
      <c r="D482" s="4">
        <v>112.76</v>
      </c>
      <c r="E482" s="4">
        <v>9</v>
      </c>
      <c r="F482" s="3">
        <f>VLOOKUP(B482,'Profit &amp; Loss'!$B$2:$C$390,2,0)</f>
        <v>28.84</v>
      </c>
    </row>
    <row r="483" spans="1:6" x14ac:dyDescent="0.2">
      <c r="A483" s="3" t="s">
        <v>403</v>
      </c>
      <c r="B483" s="3" t="s">
        <v>407</v>
      </c>
      <c r="C483" s="4">
        <v>365.49</v>
      </c>
      <c r="D483" s="4">
        <v>174.21</v>
      </c>
      <c r="E483" s="4">
        <v>191.28</v>
      </c>
      <c r="F483" s="3">
        <f>VLOOKUP(B483,'Profit &amp; Loss'!$B$2:$C$390,2,0)</f>
        <v>0</v>
      </c>
    </row>
    <row r="484" spans="1:6" x14ac:dyDescent="0.2">
      <c r="A484" s="3" t="s">
        <v>403</v>
      </c>
      <c r="B484" s="3" t="s">
        <v>686</v>
      </c>
      <c r="C484" s="4">
        <v>949.51</v>
      </c>
      <c r="D484" s="4">
        <v>949.51</v>
      </c>
      <c r="E484" s="4">
        <v>0</v>
      </c>
      <c r="F484" s="3">
        <f>VLOOKUP(B484,'Profit &amp; Loss'!$B$2:$C$390,2,0)</f>
        <v>494.67</v>
      </c>
    </row>
    <row r="485" spans="1:6" x14ac:dyDescent="0.2">
      <c r="A485" s="3" t="s">
        <v>403</v>
      </c>
      <c r="B485" s="3" t="s">
        <v>2</v>
      </c>
      <c r="C485" s="4">
        <v>256136.15</v>
      </c>
      <c r="D485" s="4">
        <v>221931.85</v>
      </c>
      <c r="E485" s="4">
        <v>34204.300000000003</v>
      </c>
      <c r="F485" s="3" t="e">
        <f>VLOOKUP(B485,'Profit &amp; Loss'!$B$2:$C$390,2,0)</f>
        <v>#N/A</v>
      </c>
    </row>
    <row r="486" spans="1:6" x14ac:dyDescent="0.2">
      <c r="A486" s="3" t="s">
        <v>408</v>
      </c>
      <c r="B486" s="3" t="s">
        <v>409</v>
      </c>
      <c r="C486" s="4">
        <v>59932.02</v>
      </c>
      <c r="D486" s="4">
        <v>54065.27</v>
      </c>
      <c r="E486" s="4">
        <v>5866.75</v>
      </c>
      <c r="F486" s="3">
        <f>VLOOKUP(B486,'Profit &amp; Loss'!$B$2:$C$390,2,0)</f>
        <v>3504.81</v>
      </c>
    </row>
    <row r="487" spans="1:6" x14ac:dyDescent="0.2">
      <c r="A487" s="3" t="s">
        <v>408</v>
      </c>
      <c r="B487" s="3" t="s">
        <v>995</v>
      </c>
      <c r="C487" s="4">
        <v>33.01</v>
      </c>
      <c r="D487" s="4">
        <v>33.01</v>
      </c>
      <c r="E487" s="4">
        <v>0</v>
      </c>
      <c r="F487" s="3">
        <f>VLOOKUP(B487,'Profit &amp; Loss'!$B$2:$C$390,2,0)</f>
        <v>8.25</v>
      </c>
    </row>
    <row r="488" spans="1:6" x14ac:dyDescent="0.2">
      <c r="A488" s="3" t="s">
        <v>408</v>
      </c>
      <c r="B488" s="3" t="s">
        <v>410</v>
      </c>
      <c r="C488" s="4">
        <v>1527.77</v>
      </c>
      <c r="D488" s="4">
        <v>1321.21</v>
      </c>
      <c r="E488" s="4">
        <v>206.56</v>
      </c>
      <c r="F488" s="3">
        <f>VLOOKUP(B488,'Profit &amp; Loss'!$B$2:$C$390,2,0)</f>
        <v>34.97</v>
      </c>
    </row>
    <row r="489" spans="1:6" x14ac:dyDescent="0.2">
      <c r="A489" s="3" t="s">
        <v>408</v>
      </c>
      <c r="B489" s="3" t="s">
        <v>411</v>
      </c>
      <c r="C489" s="4">
        <v>26573.19</v>
      </c>
      <c r="D489" s="4">
        <v>23904.32</v>
      </c>
      <c r="E489" s="4">
        <v>2668.87</v>
      </c>
      <c r="F489" s="3">
        <f>VLOOKUP(B489,'Profit &amp; Loss'!$B$2:$C$390,2,0)</f>
        <v>2065.9299999999998</v>
      </c>
    </row>
    <row r="490" spans="1:6" x14ac:dyDescent="0.2">
      <c r="A490" s="3" t="s">
        <v>408</v>
      </c>
      <c r="B490" s="3" t="s">
        <v>412</v>
      </c>
      <c r="C490" s="4">
        <v>3132.52</v>
      </c>
      <c r="D490" s="4">
        <v>2880.1</v>
      </c>
      <c r="E490" s="4">
        <v>252.42</v>
      </c>
      <c r="F490" s="3">
        <f>VLOOKUP(B490,'Profit &amp; Loss'!$B$2:$C$390,2,0)</f>
        <v>409.3</v>
      </c>
    </row>
    <row r="491" spans="1:6" x14ac:dyDescent="0.2">
      <c r="A491" s="3" t="s">
        <v>408</v>
      </c>
      <c r="B491" s="3" t="s">
        <v>413</v>
      </c>
      <c r="C491" s="4">
        <v>28115.37</v>
      </c>
      <c r="D491" s="4">
        <v>25053.91</v>
      </c>
      <c r="E491" s="4">
        <v>3061.46</v>
      </c>
      <c r="F491" s="3">
        <f>VLOOKUP(B491,'Profit &amp; Loss'!$B$2:$C$390,2,0)</f>
        <v>1687.53</v>
      </c>
    </row>
    <row r="492" spans="1:6" x14ac:dyDescent="0.2">
      <c r="A492" s="3" t="s">
        <v>408</v>
      </c>
      <c r="B492" s="3" t="s">
        <v>414</v>
      </c>
      <c r="C492" s="4">
        <v>12262.55</v>
      </c>
      <c r="D492" s="4">
        <v>11147.71</v>
      </c>
      <c r="E492" s="4">
        <v>1114.8399999999999</v>
      </c>
      <c r="F492" s="3">
        <f>VLOOKUP(B492,'Profit &amp; Loss'!$B$2:$C$390,2,0)</f>
        <v>1114.78</v>
      </c>
    </row>
    <row r="493" spans="1:6" x14ac:dyDescent="0.2">
      <c r="A493" s="3" t="s">
        <v>408</v>
      </c>
      <c r="B493" s="3" t="s">
        <v>415</v>
      </c>
      <c r="C493" s="4">
        <v>611.41999999999996</v>
      </c>
      <c r="D493" s="4">
        <v>555.84</v>
      </c>
      <c r="E493" s="4">
        <v>55.58</v>
      </c>
      <c r="F493" s="3">
        <f>VLOOKUP(B493,'Profit &amp; Loss'!$B$2:$C$390,2,0)</f>
        <v>55.58</v>
      </c>
    </row>
    <row r="494" spans="1:6" x14ac:dyDescent="0.2">
      <c r="A494" s="3" t="s">
        <v>408</v>
      </c>
      <c r="B494" s="3" t="s">
        <v>416</v>
      </c>
      <c r="C494" s="4">
        <v>24656.77</v>
      </c>
      <c r="D494" s="4">
        <v>21470.93</v>
      </c>
      <c r="E494" s="4">
        <v>3185.84</v>
      </c>
      <c r="F494" s="3">
        <f>VLOOKUP(B494,'Profit &amp; Loss'!$B$2:$C$390,2,0)</f>
        <v>5433.31</v>
      </c>
    </row>
    <row r="495" spans="1:6" x14ac:dyDescent="0.2">
      <c r="A495" s="3" t="s">
        <v>408</v>
      </c>
      <c r="B495" s="3" t="s">
        <v>417</v>
      </c>
      <c r="C495" s="4">
        <v>29196.6</v>
      </c>
      <c r="D495" s="4">
        <v>26760.86</v>
      </c>
      <c r="E495" s="4">
        <v>2435.7399999999998</v>
      </c>
      <c r="F495" s="3">
        <f>VLOOKUP(B495,'Profit &amp; Loss'!$B$2:$C$390,2,0)</f>
        <v>2916.44</v>
      </c>
    </row>
    <row r="496" spans="1:6" x14ac:dyDescent="0.2">
      <c r="A496" s="3" t="s">
        <v>408</v>
      </c>
      <c r="B496" s="3" t="s">
        <v>689</v>
      </c>
      <c r="C496" s="4">
        <v>700690.88</v>
      </c>
      <c r="D496" s="4">
        <v>642502.41</v>
      </c>
      <c r="E496" s="4">
        <v>58188.47</v>
      </c>
      <c r="F496" s="3">
        <f>VLOOKUP(B496,'Profit &amp; Loss'!$B$2:$C$390,2,0)</f>
        <v>60617.71</v>
      </c>
    </row>
    <row r="497" spans="1:6" x14ac:dyDescent="0.2">
      <c r="A497" s="3" t="s">
        <v>408</v>
      </c>
      <c r="B497" s="3" t="s">
        <v>418</v>
      </c>
      <c r="C497" s="4">
        <v>133308.54999999999</v>
      </c>
      <c r="D497" s="4">
        <v>118974.28</v>
      </c>
      <c r="E497" s="4">
        <v>14334.27</v>
      </c>
      <c r="F497" s="3">
        <f>VLOOKUP(B497,'Profit &amp; Loss'!$B$2:$C$390,2,0)</f>
        <v>10835.77</v>
      </c>
    </row>
    <row r="498" spans="1:6" x14ac:dyDescent="0.2">
      <c r="A498" s="3" t="s">
        <v>408</v>
      </c>
      <c r="B498" s="3" t="s">
        <v>419</v>
      </c>
      <c r="C498" s="4">
        <v>57694.79</v>
      </c>
      <c r="D498" s="4">
        <v>53303.09</v>
      </c>
      <c r="E498" s="4">
        <v>4391.7</v>
      </c>
      <c r="F498" s="3">
        <f>VLOOKUP(B498,'Profit &amp; Loss'!$B$2:$C$390,2,0)</f>
        <v>5356.49</v>
      </c>
    </row>
    <row r="499" spans="1:6" x14ac:dyDescent="0.2">
      <c r="A499" s="3" t="s">
        <v>408</v>
      </c>
      <c r="B499" s="3" t="s">
        <v>2</v>
      </c>
      <c r="C499" s="4">
        <v>1077735.44</v>
      </c>
      <c r="D499" s="4">
        <v>981972.94</v>
      </c>
      <c r="E499" s="4">
        <v>95762.5</v>
      </c>
      <c r="F499" s="3" t="e">
        <f>VLOOKUP(B499,'Profit &amp; Loss'!$B$2:$C$390,2,0)</f>
        <v>#N/A</v>
      </c>
    </row>
    <row r="500" spans="1:6" x14ac:dyDescent="0.2">
      <c r="A500" s="3" t="s">
        <v>420</v>
      </c>
      <c r="B500" s="3" t="s">
        <v>421</v>
      </c>
      <c r="C500" s="4">
        <v>82873.39</v>
      </c>
      <c r="D500" s="4">
        <v>79058.62</v>
      </c>
      <c r="E500" s="4">
        <v>3814.77</v>
      </c>
      <c r="F500" s="3">
        <f>VLOOKUP(B500,'Profit &amp; Loss'!$B$2:$C$390,2,0)</f>
        <v>9127.73</v>
      </c>
    </row>
    <row r="501" spans="1:6" x14ac:dyDescent="0.2">
      <c r="A501" s="3" t="s">
        <v>420</v>
      </c>
      <c r="B501" s="3" t="s">
        <v>422</v>
      </c>
      <c r="C501" s="4">
        <v>48007.93</v>
      </c>
      <c r="D501" s="4">
        <v>43816.63</v>
      </c>
      <c r="E501" s="4">
        <v>4191.3</v>
      </c>
      <c r="F501" s="3">
        <f>VLOOKUP(B501,'Profit &amp; Loss'!$B$2:$C$390,2,0)</f>
        <v>4172.96</v>
      </c>
    </row>
    <row r="502" spans="1:6" x14ac:dyDescent="0.2">
      <c r="A502" s="3" t="s">
        <v>420</v>
      </c>
      <c r="B502" s="3" t="s">
        <v>423</v>
      </c>
      <c r="C502" s="4">
        <v>52294.79</v>
      </c>
      <c r="D502" s="4">
        <v>40519.980000000003</v>
      </c>
      <c r="E502" s="4">
        <v>11774.81</v>
      </c>
      <c r="F502" s="3">
        <f>VLOOKUP(B502,'Profit &amp; Loss'!$B$2:$C$390,2,0)</f>
        <v>6431.37</v>
      </c>
    </row>
    <row r="503" spans="1:6" x14ac:dyDescent="0.2">
      <c r="A503" s="3" t="s">
        <v>420</v>
      </c>
      <c r="B503" s="3" t="s">
        <v>424</v>
      </c>
      <c r="C503" s="4">
        <v>40723.19</v>
      </c>
      <c r="D503" s="4">
        <v>34909.26</v>
      </c>
      <c r="E503" s="4">
        <v>5813.93</v>
      </c>
      <c r="F503" s="3">
        <f>VLOOKUP(B503,'Profit &amp; Loss'!$B$2:$C$390,2,0)</f>
        <v>2832.61</v>
      </c>
    </row>
    <row r="504" spans="1:6" x14ac:dyDescent="0.2">
      <c r="A504" s="3" t="s">
        <v>420</v>
      </c>
      <c r="B504" s="3" t="s">
        <v>588</v>
      </c>
      <c r="C504" s="4">
        <v>4774.63</v>
      </c>
      <c r="D504" s="4">
        <v>4710.9399999999996</v>
      </c>
      <c r="E504" s="4">
        <v>63.69</v>
      </c>
      <c r="F504" s="3">
        <f>VLOOKUP(B504,'Profit &amp; Loss'!$B$2:$C$390,2,0)</f>
        <v>104.5</v>
      </c>
    </row>
    <row r="505" spans="1:6" x14ac:dyDescent="0.2">
      <c r="A505" s="3" t="s">
        <v>420</v>
      </c>
      <c r="B505" s="3" t="s">
        <v>425</v>
      </c>
      <c r="C505" s="4">
        <v>9887.1299999999992</v>
      </c>
      <c r="D505" s="4">
        <v>9810.4699999999993</v>
      </c>
      <c r="E505" s="4">
        <v>76.66</v>
      </c>
      <c r="F505" s="3">
        <f>VLOOKUP(B505,'Profit &amp; Loss'!$B$2:$C$390,2,0)</f>
        <v>330.94</v>
      </c>
    </row>
    <row r="506" spans="1:6" x14ac:dyDescent="0.2">
      <c r="A506" s="3" t="s">
        <v>420</v>
      </c>
      <c r="B506" s="3" t="s">
        <v>795</v>
      </c>
      <c r="C506" s="4">
        <v>88138.58</v>
      </c>
      <c r="D506" s="4">
        <v>79922.399999999994</v>
      </c>
      <c r="E506" s="4">
        <v>8216.18</v>
      </c>
      <c r="F506" s="3">
        <f>VLOOKUP(B506,'Profit &amp; Loss'!$B$2:$C$390,2,0)</f>
        <v>-7152.42</v>
      </c>
    </row>
    <row r="507" spans="1:6" x14ac:dyDescent="0.2">
      <c r="A507" s="3" t="s">
        <v>420</v>
      </c>
      <c r="B507" s="3" t="s">
        <v>2</v>
      </c>
      <c r="C507" s="4">
        <v>326699.64</v>
      </c>
      <c r="D507" s="4">
        <v>292748.3</v>
      </c>
      <c r="E507" s="4">
        <v>33951.339999999997</v>
      </c>
      <c r="F507" s="3" t="e">
        <f>VLOOKUP(B507,'Profit &amp; Loss'!$B$2:$C$390,2,0)</f>
        <v>#N/A</v>
      </c>
    </row>
    <row r="508" spans="1:6" x14ac:dyDescent="0.2">
      <c r="A508" s="3" t="s">
        <v>426</v>
      </c>
      <c r="B508" s="3" t="s">
        <v>427</v>
      </c>
      <c r="C508" s="4">
        <v>1405.28</v>
      </c>
      <c r="D508" s="4">
        <v>1195.8399999999999</v>
      </c>
      <c r="E508" s="4">
        <v>209.44</v>
      </c>
      <c r="F508" s="3">
        <f>VLOOKUP(B508,'Profit &amp; Loss'!$B$2:$C$390,2,0)</f>
        <v>0</v>
      </c>
    </row>
    <row r="509" spans="1:6" x14ac:dyDescent="0.2">
      <c r="A509" s="3" t="s">
        <v>426</v>
      </c>
      <c r="B509" s="3" t="s">
        <v>428</v>
      </c>
      <c r="C509" s="4">
        <v>7890.92</v>
      </c>
      <c r="D509" s="4">
        <v>6803.65</v>
      </c>
      <c r="E509" s="4">
        <v>1087.27</v>
      </c>
      <c r="F509" s="3">
        <f>VLOOKUP(B509,'Profit &amp; Loss'!$B$2:$C$390,2,0)</f>
        <v>-347.23</v>
      </c>
    </row>
    <row r="510" spans="1:6" x14ac:dyDescent="0.2">
      <c r="A510" s="3" t="s">
        <v>426</v>
      </c>
      <c r="B510" s="3" t="s">
        <v>429</v>
      </c>
      <c r="C510" s="4">
        <v>60723.83</v>
      </c>
      <c r="D510" s="4">
        <v>55246.98</v>
      </c>
      <c r="E510" s="4">
        <v>5476.85</v>
      </c>
      <c r="F510" s="3">
        <f>VLOOKUP(B510,'Profit &amp; Loss'!$B$2:$C$390,2,0)</f>
        <v>7237.53</v>
      </c>
    </row>
    <row r="511" spans="1:6" x14ac:dyDescent="0.2">
      <c r="A511" s="3" t="s">
        <v>426</v>
      </c>
      <c r="B511" s="3" t="s">
        <v>430</v>
      </c>
      <c r="C511" s="4">
        <v>22939.03</v>
      </c>
      <c r="D511" s="4">
        <v>22740.36</v>
      </c>
      <c r="E511" s="4">
        <v>198.67</v>
      </c>
      <c r="F511" s="3">
        <f>VLOOKUP(B511,'Profit &amp; Loss'!$B$2:$C$390,2,0)</f>
        <v>378.03</v>
      </c>
    </row>
    <row r="512" spans="1:6" x14ac:dyDescent="0.2">
      <c r="A512" s="3" t="s">
        <v>426</v>
      </c>
      <c r="B512" s="3" t="s">
        <v>2</v>
      </c>
      <c r="C512" s="4">
        <v>92959.06</v>
      </c>
      <c r="D512" s="4">
        <v>85986.83</v>
      </c>
      <c r="E512" s="4">
        <v>6972.23</v>
      </c>
      <c r="F512" s="3" t="e">
        <f>VLOOKUP(B512,'Profit &amp; Loss'!$B$2:$C$390,2,0)</f>
        <v>#N/A</v>
      </c>
    </row>
    <row r="513" spans="1:6" x14ac:dyDescent="0.2">
      <c r="A513" s="3" t="s">
        <v>431</v>
      </c>
      <c r="B513" s="3" t="s">
        <v>432</v>
      </c>
      <c r="C513" s="4">
        <v>-1230727.72</v>
      </c>
      <c r="D513" s="4">
        <v>-1106691.27</v>
      </c>
      <c r="E513" s="4">
        <v>-124036.45</v>
      </c>
      <c r="F513" s="3">
        <f>VLOOKUP(B513,'Profit &amp; Loss'!$B$2:$C$390,2,0)</f>
        <v>-104275.76</v>
      </c>
    </row>
    <row r="514" spans="1:6" x14ac:dyDescent="0.2">
      <c r="A514" s="3" t="s">
        <v>431</v>
      </c>
      <c r="B514" s="3" t="s">
        <v>2</v>
      </c>
      <c r="C514" s="4">
        <v>-1230727.72</v>
      </c>
      <c r="D514" s="4">
        <v>-1106691.27</v>
      </c>
      <c r="E514" s="4">
        <v>-124036.45</v>
      </c>
      <c r="F514" s="3" t="e">
        <f>VLOOKUP(B514,'Profit &amp; Loss'!$B$2:$C$390,2,0)</f>
        <v>#N/A</v>
      </c>
    </row>
    <row r="515" spans="1:6" x14ac:dyDescent="0.2">
      <c r="A515" s="3" t="s">
        <v>433</v>
      </c>
      <c r="B515" s="3" t="s">
        <v>2</v>
      </c>
      <c r="C515" s="4">
        <v>4290662.9000000004</v>
      </c>
      <c r="D515" s="4">
        <v>3920907.82</v>
      </c>
      <c r="E515" s="4">
        <v>369755.08</v>
      </c>
      <c r="F515" s="3" t="e">
        <f>VLOOKUP(B515,'Profit &amp; Loss'!$B$2:$C$390,2,0)</f>
        <v>#N/A</v>
      </c>
    </row>
    <row r="516" spans="1:6" x14ac:dyDescent="0.2">
      <c r="A516" s="3" t="s">
        <v>434</v>
      </c>
      <c r="B516" s="3" t="s">
        <v>796</v>
      </c>
      <c r="C516" s="4">
        <v>-39432.78</v>
      </c>
      <c r="D516" s="4">
        <v>-39432.78</v>
      </c>
      <c r="E516" s="4">
        <v>0</v>
      </c>
      <c r="F516" s="3">
        <f>VLOOKUP(B516,'Profit &amp; Loss'!$B$2:$C$390,2,0)</f>
        <v>0</v>
      </c>
    </row>
    <row r="517" spans="1:6" x14ac:dyDescent="0.2">
      <c r="A517" s="3" t="s">
        <v>434</v>
      </c>
      <c r="B517" s="3" t="s">
        <v>870</v>
      </c>
      <c r="C517" s="4">
        <v>24464.18</v>
      </c>
      <c r="D517" s="4">
        <v>13508.62</v>
      </c>
      <c r="E517" s="4">
        <v>10955.56</v>
      </c>
      <c r="F517" s="3">
        <f>VLOOKUP(B517,'Profit &amp; Loss'!$B$2:$C$390,2,0)</f>
        <v>0</v>
      </c>
    </row>
    <row r="518" spans="1:6" x14ac:dyDescent="0.2">
      <c r="A518" s="3" t="s">
        <v>434</v>
      </c>
      <c r="B518" s="3" t="s">
        <v>590</v>
      </c>
      <c r="C518" s="4">
        <v>-7261.59</v>
      </c>
      <c r="D518" s="4">
        <v>-7261.59</v>
      </c>
      <c r="E518" s="4">
        <v>0</v>
      </c>
      <c r="F518" s="3">
        <f>VLOOKUP(B518,'Profit &amp; Loss'!$B$2:$C$390,2,0)</f>
        <v>-98.26</v>
      </c>
    </row>
    <row r="519" spans="1:6" x14ac:dyDescent="0.2">
      <c r="A519" s="3" t="s">
        <v>434</v>
      </c>
      <c r="B519" s="3" t="s">
        <v>1310</v>
      </c>
      <c r="C519" s="4">
        <v>5598.32</v>
      </c>
      <c r="D519" s="4">
        <v>5598.32</v>
      </c>
      <c r="E519" s="4">
        <v>0</v>
      </c>
      <c r="F519" s="3">
        <f>VLOOKUP(B519,'Profit &amp; Loss'!$B$2:$C$390,2,0)</f>
        <v>0</v>
      </c>
    </row>
    <row r="520" spans="1:6" x14ac:dyDescent="0.2">
      <c r="A520" s="3" t="s">
        <v>434</v>
      </c>
      <c r="B520" s="3" t="s">
        <v>436</v>
      </c>
      <c r="C520" s="4">
        <v>822922.53</v>
      </c>
      <c r="D520" s="4">
        <v>738703.49</v>
      </c>
      <c r="E520" s="4">
        <v>84219.04</v>
      </c>
      <c r="F520" s="3">
        <f>VLOOKUP(B520,'Profit &amp; Loss'!$B$2:$C$390,2,0)</f>
        <v>26750</v>
      </c>
    </row>
    <row r="521" spans="1:6" x14ac:dyDescent="0.2">
      <c r="A521" s="3" t="s">
        <v>434</v>
      </c>
      <c r="B521" s="3" t="s">
        <v>2</v>
      </c>
      <c r="C521" s="4">
        <v>806290.66</v>
      </c>
      <c r="D521" s="4">
        <v>711116.06</v>
      </c>
      <c r="E521" s="4">
        <v>95174.6</v>
      </c>
      <c r="F521" s="3" t="e">
        <f>VLOOKUP(B521,'Profit &amp; Loss'!$B$2:$C$390,2,0)</f>
        <v>#N/A</v>
      </c>
    </row>
    <row r="522" spans="1:6" x14ac:dyDescent="0.2">
      <c r="A522" s="3" t="s">
        <v>437</v>
      </c>
      <c r="B522" s="3" t="s">
        <v>592</v>
      </c>
      <c r="C522" s="4">
        <v>5742.67</v>
      </c>
      <c r="D522" s="4">
        <v>9986.7800000000007</v>
      </c>
      <c r="E522" s="4">
        <v>-4244.1099999999997</v>
      </c>
      <c r="F522" s="3">
        <f>VLOOKUP(B522,'Profit &amp; Loss'!$B$2:$C$390,2,0)</f>
        <v>0</v>
      </c>
    </row>
    <row r="523" spans="1:6" x14ac:dyDescent="0.2">
      <c r="A523" s="3" t="s">
        <v>437</v>
      </c>
      <c r="B523" s="3" t="s">
        <v>1438</v>
      </c>
      <c r="C523" s="4">
        <v>8.1</v>
      </c>
      <c r="D523" s="4">
        <v>8.1</v>
      </c>
      <c r="E523" s="4">
        <v>0</v>
      </c>
      <c r="F523" s="3">
        <f>VLOOKUP(B523,'Profit &amp; Loss'!$B$2:$C$390,2,0)</f>
        <v>0</v>
      </c>
    </row>
    <row r="524" spans="1:6" x14ac:dyDescent="0.2">
      <c r="A524" s="3" t="s">
        <v>437</v>
      </c>
      <c r="B524" s="3" t="s">
        <v>1311</v>
      </c>
      <c r="C524" s="4">
        <v>1673.69</v>
      </c>
      <c r="D524" s="4">
        <v>1673.69</v>
      </c>
      <c r="E524" s="4">
        <v>0</v>
      </c>
      <c r="F524" s="3">
        <f>VLOOKUP(B524,'Profit &amp; Loss'!$B$2:$C$390,2,0)</f>
        <v>0</v>
      </c>
    </row>
    <row r="525" spans="1:6" x14ac:dyDescent="0.2">
      <c r="A525" s="3" t="s">
        <v>437</v>
      </c>
      <c r="B525" s="3" t="s">
        <v>438</v>
      </c>
      <c r="C525" s="4">
        <v>220604.04</v>
      </c>
      <c r="D525" s="4">
        <v>253204.35</v>
      </c>
      <c r="E525" s="4">
        <v>-32600.31</v>
      </c>
      <c r="F525" s="3">
        <f>VLOOKUP(B525,'Profit &amp; Loss'!$B$2:$C$390,2,0)</f>
        <v>9806.14</v>
      </c>
    </row>
    <row r="526" spans="1:6" x14ac:dyDescent="0.2">
      <c r="A526" s="3" t="s">
        <v>437</v>
      </c>
      <c r="B526" s="3" t="s">
        <v>439</v>
      </c>
      <c r="C526" s="4">
        <v>25004.42</v>
      </c>
      <c r="D526" s="4">
        <v>16637</v>
      </c>
      <c r="E526" s="4">
        <v>8367.42</v>
      </c>
      <c r="F526" s="3">
        <f>VLOOKUP(B526,'Profit &amp; Loss'!$B$2:$C$390,2,0)</f>
        <v>1430.38</v>
      </c>
    </row>
    <row r="527" spans="1:6" x14ac:dyDescent="0.2">
      <c r="A527" s="3" t="s">
        <v>437</v>
      </c>
      <c r="B527" s="3" t="s">
        <v>440</v>
      </c>
      <c r="C527" s="4">
        <v>56866.32</v>
      </c>
      <c r="D527" s="4">
        <v>65422.21</v>
      </c>
      <c r="E527" s="4">
        <v>-8555.89</v>
      </c>
      <c r="F527" s="3">
        <f>VLOOKUP(B527,'Profit &amp; Loss'!$B$2:$C$390,2,0)</f>
        <v>7785.86</v>
      </c>
    </row>
    <row r="528" spans="1:6" x14ac:dyDescent="0.2">
      <c r="A528" s="3" t="s">
        <v>437</v>
      </c>
      <c r="B528" s="3" t="s">
        <v>2</v>
      </c>
      <c r="C528" s="4">
        <v>309899.24</v>
      </c>
      <c r="D528" s="4">
        <v>346932.13</v>
      </c>
      <c r="E528" s="4">
        <v>-37032.89</v>
      </c>
      <c r="F528" s="3" t="e">
        <f>VLOOKUP(B528,'Profit &amp; Loss'!$B$2:$C$390,2,0)</f>
        <v>#N/A</v>
      </c>
    </row>
    <row r="529" spans="1:6" x14ac:dyDescent="0.2">
      <c r="A529" s="3" t="s">
        <v>441</v>
      </c>
      <c r="B529" s="3" t="s">
        <v>2</v>
      </c>
      <c r="C529" s="4">
        <v>1116189.8999999999</v>
      </c>
      <c r="D529" s="4">
        <v>1058048.19</v>
      </c>
      <c r="E529" s="4">
        <v>58141.71</v>
      </c>
      <c r="F529" s="3" t="e">
        <f>VLOOKUP(B529,'Profit &amp; Loss'!$B$2:$C$390,2,0)</f>
        <v>#N/A</v>
      </c>
    </row>
    <row r="530" spans="1:6" x14ac:dyDescent="0.2">
      <c r="A530" s="3" t="s">
        <v>442</v>
      </c>
      <c r="B530" s="3" t="s">
        <v>443</v>
      </c>
      <c r="C530" s="4">
        <v>-24.9</v>
      </c>
      <c r="D530" s="4">
        <v>-16.989999999999998</v>
      </c>
      <c r="E530" s="4">
        <v>-7.91</v>
      </c>
      <c r="F530" s="3">
        <f>VLOOKUP(B530,'Profit &amp; Loss'!$B$2:$C$390,2,0)</f>
        <v>-0.33</v>
      </c>
    </row>
    <row r="531" spans="1:6" x14ac:dyDescent="0.2">
      <c r="A531" s="3" t="s">
        <v>442</v>
      </c>
      <c r="B531" s="3" t="s">
        <v>2</v>
      </c>
      <c r="C531" s="4">
        <v>-24.9</v>
      </c>
      <c r="D531" s="4">
        <v>-16.989999999999998</v>
      </c>
      <c r="E531" s="4">
        <v>-7.91</v>
      </c>
      <c r="F531" s="3" t="e">
        <f>VLOOKUP(B531,'Profit &amp; Loss'!$B$2:$C$390,2,0)</f>
        <v>#N/A</v>
      </c>
    </row>
    <row r="532" spans="1:6" x14ac:dyDescent="0.2">
      <c r="A532" s="3" t="s">
        <v>444</v>
      </c>
      <c r="B532" s="3" t="s">
        <v>2</v>
      </c>
      <c r="C532" s="4">
        <v>-24.9</v>
      </c>
      <c r="D532" s="4">
        <v>-16.989999999999998</v>
      </c>
      <c r="E532" s="4">
        <v>-7.91</v>
      </c>
      <c r="F532" s="3" t="e">
        <f>VLOOKUP(B532,'Profit &amp; Loss'!$B$2:$C$390,2,0)</f>
        <v>#N/A</v>
      </c>
    </row>
    <row r="533" spans="1:6" x14ac:dyDescent="0.2">
      <c r="A533" s="3" t="s">
        <v>445</v>
      </c>
      <c r="B533" s="3" t="s">
        <v>692</v>
      </c>
      <c r="C533" s="4">
        <v>356.76</v>
      </c>
      <c r="D533" s="4">
        <v>356.76</v>
      </c>
      <c r="E533" s="4">
        <v>0</v>
      </c>
      <c r="F533" s="3">
        <f>VLOOKUP(B533,'Profit &amp; Loss'!$B$2:$C$390,2,0)</f>
        <v>69.52</v>
      </c>
    </row>
    <row r="534" spans="1:6" x14ac:dyDescent="0.2">
      <c r="A534" s="3" t="s">
        <v>445</v>
      </c>
      <c r="B534" s="3" t="s">
        <v>1161</v>
      </c>
      <c r="C534" s="4">
        <v>3.48</v>
      </c>
      <c r="D534" s="4">
        <v>3.48</v>
      </c>
      <c r="E534" s="4">
        <v>0</v>
      </c>
      <c r="F534" s="3">
        <f>VLOOKUP(B534,'Profit &amp; Loss'!$B$2:$C$390,2,0)</f>
        <v>0</v>
      </c>
    </row>
    <row r="535" spans="1:6" x14ac:dyDescent="0.2">
      <c r="A535" s="3" t="s">
        <v>445</v>
      </c>
      <c r="B535" s="3" t="s">
        <v>446</v>
      </c>
      <c r="C535" s="4">
        <v>65023.38</v>
      </c>
      <c r="D535" s="4">
        <v>62042.47</v>
      </c>
      <c r="E535" s="4">
        <v>2980.91</v>
      </c>
      <c r="F535" s="3">
        <f>VLOOKUP(B535,'Profit &amp; Loss'!$B$2:$C$390,2,0)</f>
        <v>2583.69</v>
      </c>
    </row>
    <row r="536" spans="1:6" x14ac:dyDescent="0.2">
      <c r="A536" s="3" t="s">
        <v>445</v>
      </c>
      <c r="B536" s="3" t="s">
        <v>996</v>
      </c>
      <c r="C536" s="4">
        <v>-12916.45</v>
      </c>
      <c r="D536" s="4">
        <v>-4183</v>
      </c>
      <c r="E536" s="4">
        <v>-8733.4500000000007</v>
      </c>
      <c r="F536" s="3">
        <f>VLOOKUP(B536,'Profit &amp; Loss'!$B$2:$C$390,2,0)</f>
        <v>-2863.58</v>
      </c>
    </row>
    <row r="537" spans="1:6" x14ac:dyDescent="0.2">
      <c r="A537" s="3" t="s">
        <v>445</v>
      </c>
      <c r="B537" s="3" t="s">
        <v>2</v>
      </c>
      <c r="C537" s="4">
        <v>52467.17</v>
      </c>
      <c r="D537" s="4">
        <v>58219.71</v>
      </c>
      <c r="E537" s="4">
        <v>-5752.54</v>
      </c>
      <c r="F537" s="3" t="e">
        <f>VLOOKUP(B537,'Profit &amp; Loss'!$B$2:$C$390,2,0)</f>
        <v>#N/A</v>
      </c>
    </row>
    <row r="538" spans="1:6" x14ac:dyDescent="0.2">
      <c r="A538" s="3" t="s">
        <v>447</v>
      </c>
      <c r="B538" s="3" t="s">
        <v>2</v>
      </c>
      <c r="C538" s="4">
        <v>52467.17</v>
      </c>
      <c r="D538" s="4">
        <v>58219.71</v>
      </c>
      <c r="E538" s="4">
        <v>-5752.54</v>
      </c>
      <c r="F538" s="3" t="e">
        <f>VLOOKUP(B538,'Profit &amp; Loss'!$B$2:$C$390,2,0)</f>
        <v>#N/A</v>
      </c>
    </row>
    <row r="539" spans="1:6" x14ac:dyDescent="0.2">
      <c r="A539" s="3" t="s">
        <v>237</v>
      </c>
      <c r="B539" s="3" t="s">
        <v>448</v>
      </c>
      <c r="C539" s="4">
        <v>-20746870.870000001</v>
      </c>
      <c r="D539" s="4">
        <v>-18122049.75</v>
      </c>
      <c r="E539" s="4">
        <v>-2624821.12</v>
      </c>
      <c r="F539" s="3">
        <f>VLOOKUP(B539,'Profit &amp; Loss'!$B$2:$C$390,2,0)</f>
        <v>-2188985.1399999992</v>
      </c>
    </row>
    <row r="540" spans="1:6" x14ac:dyDescent="0.2">
      <c r="A540" s="3" t="s">
        <v>237</v>
      </c>
      <c r="B540" s="5" t="s">
        <v>449</v>
      </c>
      <c r="C540" s="4">
        <v>0</v>
      </c>
      <c r="D540" s="4">
        <v>0</v>
      </c>
      <c r="E540" s="4">
        <v>0</v>
      </c>
      <c r="F540" s="3" t="e">
        <f>VLOOKUP(B540,'Profit &amp; Loss'!$B$2:$C$390,2,0)</f>
        <v>#N/A</v>
      </c>
    </row>
    <row r="541" spans="1:6" x14ac:dyDescent="0.2">
      <c r="A541" s="3" t="s">
        <v>450</v>
      </c>
      <c r="B541" s="3" t="s">
        <v>451</v>
      </c>
      <c r="C541" s="4">
        <v>0</v>
      </c>
      <c r="D541" s="4">
        <v>0</v>
      </c>
      <c r="E541" s="4">
        <v>0</v>
      </c>
      <c r="F541" s="3" t="e">
        <f>VLOOKUP(B541,'Profit &amp; Loss'!$B$2:$C$390,2,0)</f>
        <v>#N/A</v>
      </c>
    </row>
    <row r="542" spans="1:6" x14ac:dyDescent="0.2">
      <c r="A542" s="3" t="s">
        <v>450</v>
      </c>
      <c r="B542" s="5" t="s">
        <v>234</v>
      </c>
      <c r="C542" s="4">
        <v>0</v>
      </c>
      <c r="D542" s="4">
        <v>0</v>
      </c>
      <c r="E542" s="4">
        <v>0</v>
      </c>
      <c r="F542" s="3" t="e">
        <f>VLOOKUP(B542,'Profit &amp; Loss'!$B$2:$C$390,2,0)</f>
        <v>#N/A</v>
      </c>
    </row>
    <row r="543" spans="1:6" x14ac:dyDescent="0.2">
      <c r="A543" s="3" t="s">
        <v>452</v>
      </c>
      <c r="B543" s="3" t="s">
        <v>453</v>
      </c>
      <c r="C543" s="4">
        <v>0</v>
      </c>
      <c r="D543" s="4">
        <v>0</v>
      </c>
      <c r="E543" s="4">
        <v>0</v>
      </c>
      <c r="F543" s="3" t="e">
        <f>VLOOKUP(B543,'Profit &amp; Loss'!$B$2:$C$390,2,0)</f>
        <v>#N/A</v>
      </c>
    </row>
    <row r="544" spans="1:6" x14ac:dyDescent="0.2">
      <c r="A544" s="3" t="s">
        <v>452</v>
      </c>
      <c r="B544" s="3" t="s">
        <v>2</v>
      </c>
      <c r="C544" s="4">
        <v>20746870.870000001</v>
      </c>
      <c r="D544" s="4">
        <v>18122049.75</v>
      </c>
      <c r="E544" s="4">
        <v>2624821.12</v>
      </c>
      <c r="F544" s="3" t="e">
        <f>VLOOKUP(B544,'Profit &amp; Loss'!$B$2:$C$390,2,0)</f>
        <v>#N/A</v>
      </c>
    </row>
    <row r="545" spans="1:6" x14ac:dyDescent="0.2">
      <c r="A545" s="3" t="s">
        <v>450</v>
      </c>
      <c r="B545" s="3" t="s">
        <v>2</v>
      </c>
      <c r="C545" s="4">
        <v>20746870.870000001</v>
      </c>
      <c r="D545" s="4">
        <v>18122049.75</v>
      </c>
      <c r="E545" s="4">
        <v>2624821.12</v>
      </c>
      <c r="F545" s="3" t="e">
        <f>VLOOKUP(B545,'Profit &amp; Loss'!$B$2:$C$390,2,0)</f>
        <v>#N/A</v>
      </c>
    </row>
    <row r="546" spans="1:6" x14ac:dyDescent="0.2">
      <c r="A546" s="3" t="s">
        <v>454</v>
      </c>
      <c r="B546" s="3" t="s">
        <v>455</v>
      </c>
      <c r="C546" s="4">
        <v>0</v>
      </c>
      <c r="D546" s="4">
        <v>0</v>
      </c>
      <c r="E546" s="4">
        <v>0</v>
      </c>
      <c r="F546" s="3" t="e">
        <f>VLOOKUP(B546,'Profit &amp; Loss'!$B$2:$C$390,2,0)</f>
        <v>#N/A</v>
      </c>
    </row>
    <row r="547" spans="1:6" x14ac:dyDescent="0.2">
      <c r="A547" s="3" t="s">
        <v>454</v>
      </c>
      <c r="B547" s="5" t="s">
        <v>456</v>
      </c>
      <c r="C547" s="4">
        <v>0</v>
      </c>
      <c r="D547" s="4">
        <v>0</v>
      </c>
      <c r="E547" s="4">
        <v>0</v>
      </c>
      <c r="F547" s="3" t="e">
        <f>VLOOKUP(B547,'Profit &amp; Loss'!$B$2:$C$390,2,0)</f>
        <v>#N/A</v>
      </c>
    </row>
    <row r="548" spans="1:6" x14ac:dyDescent="0.2">
      <c r="A548" s="3" t="s">
        <v>454</v>
      </c>
      <c r="B548" s="3" t="s">
        <v>457</v>
      </c>
      <c r="C548" s="4">
        <v>-58121.440000000002</v>
      </c>
      <c r="D548" s="4">
        <v>-53546.31</v>
      </c>
      <c r="E548" s="4">
        <v>-4575.13</v>
      </c>
      <c r="F548" s="3" t="e">
        <f>VLOOKUP(B548,'Profit &amp; Loss'!$B$2:$C$390,2,0)</f>
        <v>#N/A</v>
      </c>
    </row>
    <row r="549" spans="1:6" x14ac:dyDescent="0.2">
      <c r="A549" s="3" t="s">
        <v>454</v>
      </c>
      <c r="B549" s="3" t="s">
        <v>458</v>
      </c>
      <c r="C549" s="4">
        <v>-191335.9</v>
      </c>
      <c r="D549" s="4">
        <v>-72613.279999999999</v>
      </c>
      <c r="E549" s="4">
        <v>-118722.62</v>
      </c>
      <c r="F549" s="3" t="e">
        <f>VLOOKUP(B549,'Profit &amp; Loss'!$B$2:$C$390,2,0)</f>
        <v>#N/A</v>
      </c>
    </row>
    <row r="550" spans="1:6" x14ac:dyDescent="0.2">
      <c r="A550" s="3" t="s">
        <v>454</v>
      </c>
      <c r="B550" s="3" t="s">
        <v>694</v>
      </c>
      <c r="C550" s="4">
        <v>0</v>
      </c>
      <c r="D550" s="4">
        <v>-119.29</v>
      </c>
      <c r="E550" s="4">
        <v>119.29</v>
      </c>
      <c r="F550" s="3" t="e">
        <f>VLOOKUP(B550,'Profit &amp; Loss'!$B$2:$C$390,2,0)</f>
        <v>#N/A</v>
      </c>
    </row>
    <row r="551" spans="1:6" x14ac:dyDescent="0.2">
      <c r="A551" s="3" t="s">
        <v>454</v>
      </c>
      <c r="B551" s="3" t="s">
        <v>459</v>
      </c>
      <c r="C551" s="4">
        <v>20121.099999999999</v>
      </c>
      <c r="D551" s="4">
        <v>31658.93</v>
      </c>
      <c r="E551" s="4">
        <v>-11537.83</v>
      </c>
      <c r="F551" s="3" t="e">
        <f>VLOOKUP(B551,'Profit &amp; Loss'!$B$2:$C$390,2,0)</f>
        <v>#N/A</v>
      </c>
    </row>
    <row r="552" spans="1:6" x14ac:dyDescent="0.2">
      <c r="A552" s="3" t="s">
        <v>454</v>
      </c>
      <c r="B552" s="3" t="s">
        <v>460</v>
      </c>
      <c r="C552" s="4">
        <v>-40507.79</v>
      </c>
      <c r="D552" s="4">
        <v>-40507.79</v>
      </c>
      <c r="E552" s="4">
        <v>0</v>
      </c>
      <c r="F552" s="3" t="e">
        <f>VLOOKUP(B552,'Profit &amp; Loss'!$B$2:$C$390,2,0)</f>
        <v>#N/A</v>
      </c>
    </row>
    <row r="553" spans="1:6" x14ac:dyDescent="0.2">
      <c r="A553" s="3" t="s">
        <v>454</v>
      </c>
      <c r="B553" s="3" t="s">
        <v>1439</v>
      </c>
      <c r="C553" s="4">
        <v>12895.01</v>
      </c>
      <c r="D553" s="4">
        <v>12895.01</v>
      </c>
      <c r="E553" s="4">
        <v>0</v>
      </c>
      <c r="F553" s="3">
        <f>VLOOKUP(B553,'Profit &amp; Loss'!$B$2:$C$390,2,0)</f>
        <v>0</v>
      </c>
    </row>
    <row r="554" spans="1:6" x14ac:dyDescent="0.2">
      <c r="A554" s="3" t="s">
        <v>454</v>
      </c>
      <c r="B554" s="3" t="s">
        <v>874</v>
      </c>
      <c r="C554" s="4">
        <v>287081.31</v>
      </c>
      <c r="D554" s="4">
        <v>259022.35</v>
      </c>
      <c r="E554" s="4">
        <v>28058.959999999999</v>
      </c>
      <c r="F554" s="3">
        <f>VLOOKUP(B554,'Profit &amp; Loss'!$B$2:$C$390,2,0)</f>
        <v>0</v>
      </c>
    </row>
    <row r="555" spans="1:6" x14ac:dyDescent="0.2">
      <c r="A555" s="3" t="s">
        <v>454</v>
      </c>
      <c r="B555" s="3" t="s">
        <v>461</v>
      </c>
      <c r="C555" s="4">
        <v>30132.29</v>
      </c>
      <c r="D555" s="4">
        <v>136789.62</v>
      </c>
      <c r="E555" s="4">
        <v>-106657.33</v>
      </c>
      <c r="F555" s="3" t="e">
        <f>VLOOKUP(B555,'Profit &amp; Loss'!$B$2:$C$390,2,0)</f>
        <v>#N/A</v>
      </c>
    </row>
    <row r="556" spans="1:6" x14ac:dyDescent="0.2">
      <c r="A556" s="3" t="s">
        <v>454</v>
      </c>
      <c r="B556" s="5" t="s">
        <v>462</v>
      </c>
      <c r="C556" s="4">
        <v>0</v>
      </c>
      <c r="D556" s="4">
        <v>0</v>
      </c>
      <c r="E556" s="4">
        <v>0</v>
      </c>
      <c r="F556" s="3" t="e">
        <f>VLOOKUP(B556,'Profit &amp; Loss'!$B$2:$C$390,2,0)</f>
        <v>#N/A</v>
      </c>
    </row>
  </sheetData>
  <autoFilter ref="A1:F556" xr:uid="{B81092A1-DC9E-4051-9D8B-789AA6CB19BF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7EDF-E63D-4260-BB96-C594E3559897}">
  <dimension ref="A1:F560"/>
  <sheetViews>
    <sheetView topLeftCell="A535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VLOOKUP(B2,'Profit &amp; Loss'!$B$2:$C$390,2,0)</f>
        <v>#N/A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VLOOKUP(B3,'Profit &amp; Loss'!$B$2:$C$390,2,0)</f>
        <v>#N/A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VLOOKUP(B4,'Profit &amp; Loss'!$B$2:$C$390,2,0)</f>
        <v>#N/A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VLOOKUP(B5,'Profit &amp; Loss'!$B$2:$C$390,2,0)</f>
        <v>#N/A</v>
      </c>
    </row>
    <row r="6" spans="1:6" x14ac:dyDescent="0.2">
      <c r="A6" s="3" t="s">
        <v>4</v>
      </c>
      <c r="B6" s="3" t="s">
        <v>8</v>
      </c>
      <c r="C6" s="4">
        <v>24377.48</v>
      </c>
      <c r="D6" s="4">
        <v>24209.67</v>
      </c>
      <c r="E6" s="4">
        <v>167.81</v>
      </c>
      <c r="F6" s="3" t="e">
        <f>VLOOKUP(B6,'Profit &amp; Loss'!$B$2:$C$390,2,0)</f>
        <v>#N/A</v>
      </c>
    </row>
    <row r="7" spans="1:6" x14ac:dyDescent="0.2">
      <c r="A7" s="3" t="s">
        <v>4</v>
      </c>
      <c r="B7" s="3" t="s">
        <v>9</v>
      </c>
      <c r="C7" s="4">
        <v>-24303.040000000001</v>
      </c>
      <c r="D7" s="4">
        <v>-24118.03</v>
      </c>
      <c r="E7" s="4">
        <v>-185.01</v>
      </c>
      <c r="F7" s="3" t="e">
        <f>VLOOKUP(B7,'Profit &amp; Loss'!$B$2:$C$390,2,0)</f>
        <v>#N/A</v>
      </c>
    </row>
    <row r="8" spans="1:6" x14ac:dyDescent="0.2">
      <c r="A8" s="3" t="s">
        <v>4</v>
      </c>
      <c r="B8" s="3" t="s">
        <v>10</v>
      </c>
      <c r="C8" s="4">
        <v>68.790000000000006</v>
      </c>
      <c r="D8" s="4">
        <v>68.8</v>
      </c>
      <c r="E8" s="4">
        <v>-0.01</v>
      </c>
      <c r="F8" s="3" t="e">
        <f>VLOOKUP(B8,'Profit &amp; Loss'!$B$2:$C$390,2,0)</f>
        <v>#N/A</v>
      </c>
    </row>
    <row r="9" spans="1:6" x14ac:dyDescent="0.2">
      <c r="A9" s="3" t="s">
        <v>4</v>
      </c>
      <c r="B9" s="3" t="s">
        <v>11</v>
      </c>
      <c r="C9" s="4">
        <v>-3.63</v>
      </c>
      <c r="D9" s="4">
        <v>-3.67</v>
      </c>
      <c r="E9" s="4">
        <v>0.04</v>
      </c>
      <c r="F9" s="3" t="e">
        <f>VLOOKUP(B9,'Profit &amp; Loss'!$B$2:$C$390,2,0)</f>
        <v>#N/A</v>
      </c>
    </row>
    <row r="10" spans="1:6" x14ac:dyDescent="0.2">
      <c r="A10" s="3" t="s">
        <v>4</v>
      </c>
      <c r="B10" s="3" t="s">
        <v>2</v>
      </c>
      <c r="C10" s="4">
        <v>1079.1199999999999</v>
      </c>
      <c r="D10" s="4">
        <v>1096.29</v>
      </c>
      <c r="E10" s="4">
        <v>-17.170000000000002</v>
      </c>
      <c r="F10" s="3" t="e">
        <f>VLOOKUP(B10,'Profit &amp; Loss'!$B$2:$C$390,2,0)</f>
        <v>#N/A</v>
      </c>
    </row>
    <row r="11" spans="1:6" x14ac:dyDescent="0.2">
      <c r="A11" s="3" t="s">
        <v>12</v>
      </c>
      <c r="B11" s="3" t="s">
        <v>2</v>
      </c>
      <c r="C11" s="4">
        <v>1079.1199999999999</v>
      </c>
      <c r="D11" s="4">
        <v>1096.29</v>
      </c>
      <c r="E11" s="4">
        <v>-17.170000000000002</v>
      </c>
      <c r="F11" s="3" t="e">
        <f>VLOOKUP(B11,'Profit &amp; Loss'!$B$2:$C$390,2,0)</f>
        <v>#N/A</v>
      </c>
    </row>
    <row r="12" spans="1:6" x14ac:dyDescent="0.2">
      <c r="A12" s="3" t="s">
        <v>13</v>
      </c>
      <c r="B12" s="3" t="s">
        <v>14</v>
      </c>
      <c r="C12" s="4">
        <v>25977529.690000001</v>
      </c>
      <c r="D12" s="4">
        <v>26173881.300000001</v>
      </c>
      <c r="E12" s="4">
        <v>-196351.61</v>
      </c>
      <c r="F12" s="3" t="e">
        <f>VLOOKUP(B12,'Profit &amp; Loss'!$B$2:$C$390,2,0)</f>
        <v>#N/A</v>
      </c>
    </row>
    <row r="13" spans="1:6" x14ac:dyDescent="0.2">
      <c r="A13" s="3" t="s">
        <v>13</v>
      </c>
      <c r="B13" s="3" t="s">
        <v>15</v>
      </c>
      <c r="C13" s="4">
        <v>-123035.54</v>
      </c>
      <c r="D13" s="4">
        <v>-314786.45</v>
      </c>
      <c r="E13" s="4">
        <v>191750.91</v>
      </c>
      <c r="F13" s="3" t="e">
        <f>VLOOKUP(B13,'Profit &amp; Loss'!$B$2:$C$390,2,0)</f>
        <v>#N/A</v>
      </c>
    </row>
    <row r="14" spans="1:6" x14ac:dyDescent="0.2">
      <c r="A14" s="3" t="s">
        <v>13</v>
      </c>
      <c r="B14" s="3" t="s">
        <v>16</v>
      </c>
      <c r="C14" s="4">
        <v>1475835.15</v>
      </c>
      <c r="D14" s="4">
        <v>1475835.15</v>
      </c>
      <c r="E14" s="4">
        <v>0</v>
      </c>
      <c r="F14" s="3" t="e">
        <f>VLOOKUP(B14,'Profit &amp; Loss'!$B$2:$C$390,2,0)</f>
        <v>#N/A</v>
      </c>
    </row>
    <row r="15" spans="1:6" x14ac:dyDescent="0.2">
      <c r="A15" s="3" t="s">
        <v>13</v>
      </c>
      <c r="B15" s="3" t="s">
        <v>17</v>
      </c>
      <c r="C15" s="4">
        <v>-218224.5</v>
      </c>
      <c r="D15" s="4">
        <v>-218818.13</v>
      </c>
      <c r="E15" s="4">
        <v>593.63</v>
      </c>
      <c r="F15" s="3" t="e">
        <f>VLOOKUP(B15,'Profit &amp; Loss'!$B$2:$C$390,2,0)</f>
        <v>#N/A</v>
      </c>
    </row>
    <row r="16" spans="1:6" x14ac:dyDescent="0.2">
      <c r="A16" s="3" t="s">
        <v>13</v>
      </c>
      <c r="B16" s="3" t="s">
        <v>2</v>
      </c>
      <c r="C16" s="4">
        <v>27112104.800000001</v>
      </c>
      <c r="D16" s="4">
        <v>27116111.870000001</v>
      </c>
      <c r="E16" s="4">
        <v>-4007.07</v>
      </c>
      <c r="F16" s="3" t="e">
        <f>VLOOKUP(B16,'Profit &amp; Loss'!$B$2:$C$390,2,0)</f>
        <v>#N/A</v>
      </c>
    </row>
    <row r="17" spans="1:6" x14ac:dyDescent="0.2">
      <c r="A17" s="3" t="s">
        <v>18</v>
      </c>
      <c r="B17" s="3" t="s">
        <v>19</v>
      </c>
      <c r="C17" s="4">
        <v>-64797.16</v>
      </c>
      <c r="D17" s="4">
        <v>-61963.65</v>
      </c>
      <c r="E17" s="4">
        <v>-2833.51</v>
      </c>
      <c r="F17" s="3" t="e">
        <f>VLOOKUP(B17,'Profit &amp; Loss'!$B$2:$C$390,2,0)</f>
        <v>#N/A</v>
      </c>
    </row>
    <row r="18" spans="1:6" x14ac:dyDescent="0.2">
      <c r="A18" s="3" t="s">
        <v>18</v>
      </c>
      <c r="B18" s="3" t="s">
        <v>2</v>
      </c>
      <c r="C18" s="4">
        <v>-64797.16</v>
      </c>
      <c r="D18" s="4">
        <v>-61963.65</v>
      </c>
      <c r="E18" s="4">
        <v>-2833.51</v>
      </c>
      <c r="F18" s="3" t="e">
        <f>VLOOKUP(B18,'Profit &amp; Loss'!$B$2:$C$390,2,0)</f>
        <v>#N/A</v>
      </c>
    </row>
    <row r="19" spans="1:6" x14ac:dyDescent="0.2">
      <c r="A19" s="3" t="s">
        <v>20</v>
      </c>
      <c r="B19" s="3" t="s">
        <v>2</v>
      </c>
      <c r="C19" s="4">
        <v>27047307.640000001</v>
      </c>
      <c r="D19" s="4">
        <v>27054148.219999999</v>
      </c>
      <c r="E19" s="4">
        <v>-6840.58</v>
      </c>
      <c r="F19" s="3" t="e">
        <f>VLOOKUP(B19,'Profit &amp; Loss'!$B$2:$C$390,2,0)</f>
        <v>#N/A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VLOOKUP(B20,'Profit &amp; Loss'!$B$2:$C$390,2,0)</f>
        <v>#N/A</v>
      </c>
    </row>
    <row r="21" spans="1:6" x14ac:dyDescent="0.2">
      <c r="A21" s="3" t="s">
        <v>21</v>
      </c>
      <c r="B21" s="3" t="s">
        <v>23</v>
      </c>
      <c r="C21" s="4">
        <v>10059.52</v>
      </c>
      <c r="D21" s="4">
        <v>-58.36</v>
      </c>
      <c r="E21" s="4">
        <v>10117.879999999999</v>
      </c>
      <c r="F21" s="3" t="e">
        <f>VLOOKUP(B21,'Profit &amp; Loss'!$B$2:$C$390,2,0)</f>
        <v>#N/A</v>
      </c>
    </row>
    <row r="22" spans="1:6" x14ac:dyDescent="0.2">
      <c r="A22" s="3" t="s">
        <v>21</v>
      </c>
      <c r="B22" s="3" t="s">
        <v>25</v>
      </c>
      <c r="C22" s="4">
        <v>66415.64</v>
      </c>
      <c r="D22" s="4">
        <v>66415.64</v>
      </c>
      <c r="E22" s="4">
        <v>0</v>
      </c>
      <c r="F22" s="3" t="e">
        <f>VLOOKUP(B22,'Profit &amp; Loss'!$B$2:$C$390,2,0)</f>
        <v>#N/A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VLOOKUP(B23,'Profit &amp; Loss'!$B$2:$C$390,2,0)</f>
        <v>#N/A</v>
      </c>
    </row>
    <row r="24" spans="1:6" x14ac:dyDescent="0.2">
      <c r="A24" s="3" t="s">
        <v>21</v>
      </c>
      <c r="B24" s="3" t="s">
        <v>27</v>
      </c>
      <c r="C24" s="4">
        <v>29650.02</v>
      </c>
      <c r="D24" s="4">
        <v>71724.27</v>
      </c>
      <c r="E24" s="4">
        <v>-42074.25</v>
      </c>
      <c r="F24" s="3" t="e">
        <f>VLOOKUP(B24,'Profit &amp; Loss'!$B$2:$C$390,2,0)</f>
        <v>#N/A</v>
      </c>
    </row>
    <row r="25" spans="1:6" x14ac:dyDescent="0.2">
      <c r="A25" s="3" t="s">
        <v>21</v>
      </c>
      <c r="B25" s="3" t="s">
        <v>28</v>
      </c>
      <c r="C25" s="4">
        <v>212105.08</v>
      </c>
      <c r="D25" s="4">
        <v>81418.31</v>
      </c>
      <c r="E25" s="4">
        <v>130686.77</v>
      </c>
      <c r="F25" s="3" t="e">
        <f>VLOOKUP(B25,'Profit &amp; Loss'!$B$2:$C$390,2,0)</f>
        <v>#N/A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VLOOKUP(B26,'Profit &amp; Loss'!$B$2:$C$390,2,0)</f>
        <v>#N/A</v>
      </c>
    </row>
    <row r="27" spans="1:6" x14ac:dyDescent="0.2">
      <c r="A27" s="3" t="s">
        <v>21</v>
      </c>
      <c r="B27" s="3" t="s">
        <v>2</v>
      </c>
      <c r="C27" s="4">
        <v>318249.63</v>
      </c>
      <c r="D27" s="4">
        <v>219519.23</v>
      </c>
      <c r="E27" s="4">
        <v>98730.4</v>
      </c>
      <c r="F27" s="3" t="e">
        <f>VLOOKUP(B27,'Profit &amp; Loss'!$B$2:$C$390,2,0)</f>
        <v>#N/A</v>
      </c>
    </row>
    <row r="28" spans="1:6" x14ac:dyDescent="0.2">
      <c r="A28" s="3" t="s">
        <v>30</v>
      </c>
      <c r="B28" s="3" t="s">
        <v>31</v>
      </c>
      <c r="C28" s="4">
        <v>59204.4</v>
      </c>
      <c r="D28" s="4">
        <v>69672.67</v>
      </c>
      <c r="E28" s="4">
        <v>-10468.27</v>
      </c>
      <c r="F28" s="3" t="e">
        <f>VLOOKUP(B28,'Profit &amp; Loss'!$B$2:$C$390,2,0)</f>
        <v>#N/A</v>
      </c>
    </row>
    <row r="29" spans="1:6" x14ac:dyDescent="0.2">
      <c r="A29" s="3" t="s">
        <v>30</v>
      </c>
      <c r="B29" s="3" t="s">
        <v>2</v>
      </c>
      <c r="C29" s="4">
        <v>59204.4</v>
      </c>
      <c r="D29" s="4">
        <v>69672.67</v>
      </c>
      <c r="E29" s="4">
        <v>-10468.27</v>
      </c>
      <c r="F29" s="3" t="e">
        <f>VLOOKUP(B29,'Profit &amp; Loss'!$B$2:$C$390,2,0)</f>
        <v>#N/A</v>
      </c>
    </row>
    <row r="30" spans="1:6" x14ac:dyDescent="0.2">
      <c r="A30" s="3" t="s">
        <v>32</v>
      </c>
      <c r="B30" s="3" t="s">
        <v>33</v>
      </c>
      <c r="C30" s="4">
        <v>61630.46</v>
      </c>
      <c r="D30" s="4">
        <v>59414.32</v>
      </c>
      <c r="E30" s="4">
        <v>2216.14</v>
      </c>
      <c r="F30" s="3" t="e">
        <f>VLOOKUP(B30,'Profit &amp; Loss'!$B$2:$C$390,2,0)</f>
        <v>#N/A</v>
      </c>
    </row>
    <row r="31" spans="1:6" x14ac:dyDescent="0.2">
      <c r="A31" s="3" t="s">
        <v>32</v>
      </c>
      <c r="B31" s="3" t="s">
        <v>34</v>
      </c>
      <c r="C31" s="4">
        <v>-299.55</v>
      </c>
      <c r="D31" s="4">
        <v>-538.15</v>
      </c>
      <c r="E31" s="4">
        <v>238.6</v>
      </c>
      <c r="F31" s="3" t="e">
        <f>VLOOKUP(B31,'Profit &amp; Loss'!$B$2:$C$390,2,0)</f>
        <v>#N/A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VLOOKUP(B32,'Profit &amp; Loss'!$B$2:$C$390,2,0)</f>
        <v>#N/A</v>
      </c>
    </row>
    <row r="33" spans="1:6" x14ac:dyDescent="0.2">
      <c r="A33" s="3" t="s">
        <v>32</v>
      </c>
      <c r="B33" s="3" t="s">
        <v>477</v>
      </c>
      <c r="C33" s="4">
        <v>7630.5</v>
      </c>
      <c r="D33" s="4">
        <v>0</v>
      </c>
      <c r="E33" s="4">
        <v>7630.5</v>
      </c>
      <c r="F33" s="3" t="e">
        <f>VLOOKUP(B33,'Profit &amp; Loss'!$B$2:$C$390,2,0)</f>
        <v>#N/A</v>
      </c>
    </row>
    <row r="34" spans="1:6" x14ac:dyDescent="0.2">
      <c r="A34" s="3" t="s">
        <v>32</v>
      </c>
      <c r="B34" s="3" t="s">
        <v>478</v>
      </c>
      <c r="C34" s="4">
        <v>-146.34</v>
      </c>
      <c r="D34" s="4">
        <v>0</v>
      </c>
      <c r="E34" s="4">
        <v>-146.34</v>
      </c>
      <c r="F34" s="3" t="e">
        <f>VLOOKUP(B34,'Profit &amp; Loss'!$B$2:$C$390,2,0)</f>
        <v>#N/A</v>
      </c>
    </row>
    <row r="35" spans="1:6" x14ac:dyDescent="0.2">
      <c r="A35" s="3" t="s">
        <v>32</v>
      </c>
      <c r="B35" s="3" t="s">
        <v>36</v>
      </c>
      <c r="C35" s="4">
        <v>542.58000000000004</v>
      </c>
      <c r="D35" s="4">
        <v>1810.29</v>
      </c>
      <c r="E35" s="4">
        <v>-1267.71</v>
      </c>
      <c r="F35" s="3" t="e">
        <f>VLOOKUP(B35,'Profit &amp; Loss'!$B$2:$C$390,2,0)</f>
        <v>#N/A</v>
      </c>
    </row>
    <row r="36" spans="1:6" x14ac:dyDescent="0.2">
      <c r="A36" s="3" t="s">
        <v>32</v>
      </c>
      <c r="B36" s="3" t="s">
        <v>39</v>
      </c>
      <c r="C36" s="4">
        <v>1834.31</v>
      </c>
      <c r="D36" s="4">
        <v>1364.66</v>
      </c>
      <c r="E36" s="4">
        <v>469.65</v>
      </c>
      <c r="F36" s="3" t="e">
        <f>VLOOKUP(B36,'Profit &amp; Loss'!$B$2:$C$390,2,0)</f>
        <v>#N/A</v>
      </c>
    </row>
    <row r="37" spans="1:6" x14ac:dyDescent="0.2">
      <c r="A37" s="3" t="s">
        <v>32</v>
      </c>
      <c r="B37" s="3" t="s">
        <v>41</v>
      </c>
      <c r="C37" s="4">
        <v>1225.31</v>
      </c>
      <c r="D37" s="4">
        <v>0</v>
      </c>
      <c r="E37" s="4">
        <v>1225.31</v>
      </c>
      <c r="F37" s="3" t="e">
        <f>VLOOKUP(B37,'Profit &amp; Loss'!$B$2:$C$390,2,0)</f>
        <v>#N/A</v>
      </c>
    </row>
    <row r="38" spans="1:6" x14ac:dyDescent="0.2">
      <c r="A38" s="3" t="s">
        <v>32</v>
      </c>
      <c r="B38" s="3" t="s">
        <v>42</v>
      </c>
      <c r="C38" s="4">
        <v>59.79</v>
      </c>
      <c r="D38" s="4">
        <v>59.88</v>
      </c>
      <c r="E38" s="4">
        <v>-0.09</v>
      </c>
      <c r="F38" s="3" t="e">
        <f>VLOOKUP(B38,'Profit &amp; Loss'!$B$2:$C$390,2,0)</f>
        <v>#N/A</v>
      </c>
    </row>
    <row r="39" spans="1:6" x14ac:dyDescent="0.2">
      <c r="A39" s="3" t="s">
        <v>32</v>
      </c>
      <c r="B39" s="3" t="s">
        <v>2</v>
      </c>
      <c r="C39" s="4">
        <v>75074.58</v>
      </c>
      <c r="D39" s="4">
        <v>64708.52</v>
      </c>
      <c r="E39" s="4">
        <v>10366.06</v>
      </c>
      <c r="F39" s="3" t="e">
        <f>VLOOKUP(B39,'Profit &amp; Loss'!$B$2:$C$390,2,0)</f>
        <v>#N/A</v>
      </c>
    </row>
    <row r="40" spans="1:6" x14ac:dyDescent="0.2">
      <c r="A40" s="3" t="s">
        <v>43</v>
      </c>
      <c r="B40" s="3" t="s">
        <v>2</v>
      </c>
      <c r="C40" s="4">
        <v>452528.61</v>
      </c>
      <c r="D40" s="4">
        <v>353900.42</v>
      </c>
      <c r="E40" s="4">
        <v>98628.19</v>
      </c>
      <c r="F40" s="3" t="e">
        <f>VLOOKUP(B40,'Profit &amp; Loss'!$B$2:$C$390,2,0)</f>
        <v>#N/A</v>
      </c>
    </row>
    <row r="41" spans="1:6" x14ac:dyDescent="0.2">
      <c r="A41" s="3" t="s">
        <v>44</v>
      </c>
      <c r="B41" s="3" t="s">
        <v>973</v>
      </c>
      <c r="C41" s="4">
        <v>-0.1</v>
      </c>
      <c r="D41" s="4">
        <v>-0.1</v>
      </c>
      <c r="E41" s="4">
        <v>0</v>
      </c>
      <c r="F41" s="3" t="e">
        <f>VLOOKUP(B41,'Profit &amp; Loss'!$B$2:$C$390,2,0)</f>
        <v>#N/A</v>
      </c>
    </row>
    <row r="42" spans="1:6" x14ac:dyDescent="0.2">
      <c r="A42" s="3" t="s">
        <v>44</v>
      </c>
      <c r="B42" s="3" t="s">
        <v>46</v>
      </c>
      <c r="C42" s="4">
        <v>601.42999999999995</v>
      </c>
      <c r="D42" s="4">
        <v>601.42999999999995</v>
      </c>
      <c r="E42" s="4">
        <v>0</v>
      </c>
      <c r="F42" s="3" t="e">
        <f>VLOOKUP(B42,'Profit &amp; Loss'!$B$2:$C$390,2,0)</f>
        <v>#N/A</v>
      </c>
    </row>
    <row r="43" spans="1:6" x14ac:dyDescent="0.2">
      <c r="A43" s="3" t="s">
        <v>44</v>
      </c>
      <c r="B43" s="3" t="s">
        <v>2</v>
      </c>
      <c r="C43" s="4">
        <v>601.33000000000004</v>
      </c>
      <c r="D43" s="4">
        <v>601.33000000000004</v>
      </c>
      <c r="E43" s="4">
        <v>0</v>
      </c>
      <c r="F43" s="3" t="e">
        <f>VLOOKUP(B43,'Profit &amp; Loss'!$B$2:$C$390,2,0)</f>
        <v>#N/A</v>
      </c>
    </row>
    <row r="44" spans="1:6" x14ac:dyDescent="0.2">
      <c r="A44" s="3" t="s">
        <v>47</v>
      </c>
      <c r="B44" s="3" t="s">
        <v>48</v>
      </c>
      <c r="C44" s="4">
        <v>17728319.190000001</v>
      </c>
      <c r="D44" s="4">
        <v>19362054.25</v>
      </c>
      <c r="E44" s="4">
        <v>-1633735.06</v>
      </c>
      <c r="F44" s="3" t="e">
        <f>VLOOKUP(B44,'Profit &amp; Loss'!$B$2:$C$390,2,0)</f>
        <v>#N/A</v>
      </c>
    </row>
    <row r="45" spans="1:6" x14ac:dyDescent="0.2">
      <c r="A45" s="3" t="s">
        <v>47</v>
      </c>
      <c r="B45" s="3" t="s">
        <v>599</v>
      </c>
      <c r="C45" s="4">
        <v>0</v>
      </c>
      <c r="D45" s="4">
        <v>936.58</v>
      </c>
      <c r="E45" s="4">
        <v>-936.58</v>
      </c>
      <c r="F45" s="3" t="e">
        <f>VLOOKUP(B45,'Profit &amp; Loss'!$B$2:$C$390,2,0)</f>
        <v>#N/A</v>
      </c>
    </row>
    <row r="46" spans="1:6" x14ac:dyDescent="0.2">
      <c r="A46" s="3" t="s">
        <v>47</v>
      </c>
      <c r="B46" s="3" t="s">
        <v>49</v>
      </c>
      <c r="C46" s="4">
        <v>-139179.10999999999</v>
      </c>
      <c r="D46" s="4">
        <v>-151463.35999999999</v>
      </c>
      <c r="E46" s="4">
        <v>12284.25</v>
      </c>
      <c r="F46" s="3" t="e">
        <f>VLOOKUP(B46,'Profit &amp; Loss'!$B$2:$C$390,2,0)</f>
        <v>#N/A</v>
      </c>
    </row>
    <row r="47" spans="1:6" x14ac:dyDescent="0.2">
      <c r="A47" s="3" t="s">
        <v>47</v>
      </c>
      <c r="B47" s="3" t="s">
        <v>50</v>
      </c>
      <c r="C47" s="4">
        <v>2827017.83</v>
      </c>
      <c r="D47" s="4">
        <v>3183702.46</v>
      </c>
      <c r="E47" s="4">
        <v>-356684.63</v>
      </c>
      <c r="F47" s="3" t="e">
        <f>VLOOKUP(B47,'Profit &amp; Loss'!$B$2:$C$390,2,0)</f>
        <v>#N/A</v>
      </c>
    </row>
    <row r="48" spans="1:6" x14ac:dyDescent="0.2">
      <c r="A48" s="3" t="s">
        <v>47</v>
      </c>
      <c r="B48" s="3" t="s">
        <v>51</v>
      </c>
      <c r="C48" s="4">
        <v>1738273.67</v>
      </c>
      <c r="D48" s="4">
        <v>2768609.27</v>
      </c>
      <c r="E48" s="4">
        <v>-1030335.6</v>
      </c>
      <c r="F48" s="3" t="e">
        <f>VLOOKUP(B48,'Profit &amp; Loss'!$B$2:$C$390,2,0)</f>
        <v>#N/A</v>
      </c>
    </row>
    <row r="49" spans="1:6" x14ac:dyDescent="0.2">
      <c r="A49" s="3" t="s">
        <v>47</v>
      </c>
      <c r="B49" s="3" t="s">
        <v>52</v>
      </c>
      <c r="C49" s="4">
        <v>1227832.0900000001</v>
      </c>
      <c r="D49" s="4">
        <v>2543038.7999999998</v>
      </c>
      <c r="E49" s="4">
        <v>-1315206.71</v>
      </c>
      <c r="F49" s="3" t="e">
        <f>VLOOKUP(B49,'Profit &amp; Loss'!$B$2:$C$390,2,0)</f>
        <v>#N/A</v>
      </c>
    </row>
    <row r="50" spans="1:6" x14ac:dyDescent="0.2">
      <c r="A50" s="3" t="s">
        <v>47</v>
      </c>
      <c r="B50" s="3" t="s">
        <v>53</v>
      </c>
      <c r="C50" s="4">
        <v>-240.41</v>
      </c>
      <c r="D50" s="4">
        <v>-268.06</v>
      </c>
      <c r="E50" s="4">
        <v>27.65</v>
      </c>
      <c r="F50" s="3" t="e">
        <f>VLOOKUP(B50,'Profit &amp; Loss'!$B$2:$C$390,2,0)</f>
        <v>#N/A</v>
      </c>
    </row>
    <row r="51" spans="1:6" x14ac:dyDescent="0.2">
      <c r="A51" s="3" t="s">
        <v>47</v>
      </c>
      <c r="B51" s="3" t="s">
        <v>54</v>
      </c>
      <c r="C51" s="4">
        <v>18427.060000000001</v>
      </c>
      <c r="D51" s="4">
        <v>25283.7</v>
      </c>
      <c r="E51" s="4">
        <v>-6856.64</v>
      </c>
      <c r="F51" s="3" t="e">
        <f>VLOOKUP(B51,'Profit &amp; Loss'!$B$2:$C$390,2,0)</f>
        <v>#N/A</v>
      </c>
    </row>
    <row r="52" spans="1:6" x14ac:dyDescent="0.2">
      <c r="A52" s="3" t="s">
        <v>47</v>
      </c>
      <c r="B52" s="3" t="s">
        <v>55</v>
      </c>
      <c r="C52" s="4">
        <v>-1358479.41</v>
      </c>
      <c r="D52" s="4">
        <v>-1510996.42</v>
      </c>
      <c r="E52" s="4">
        <v>152517.01</v>
      </c>
      <c r="F52" s="3" t="e">
        <f>VLOOKUP(B52,'Profit &amp; Loss'!$B$2:$C$390,2,0)</f>
        <v>#N/A</v>
      </c>
    </row>
    <row r="53" spans="1:6" x14ac:dyDescent="0.2">
      <c r="A53" s="3" t="s">
        <v>47</v>
      </c>
      <c r="B53" s="3" t="s">
        <v>56</v>
      </c>
      <c r="C53" s="4">
        <v>11397.24</v>
      </c>
      <c r="D53" s="4">
        <v>-10068.92</v>
      </c>
      <c r="E53" s="4">
        <v>21466.16</v>
      </c>
      <c r="F53" s="3" t="e">
        <f>VLOOKUP(B53,'Profit &amp; Loss'!$B$2:$C$390,2,0)</f>
        <v>#N/A</v>
      </c>
    </row>
    <row r="54" spans="1:6" x14ac:dyDescent="0.2">
      <c r="A54" s="3" t="s">
        <v>47</v>
      </c>
      <c r="B54" s="3" t="s">
        <v>57</v>
      </c>
      <c r="C54" s="4">
        <v>-9381.75</v>
      </c>
      <c r="D54" s="4">
        <v>-26660.799999999999</v>
      </c>
      <c r="E54" s="4">
        <v>17279.05</v>
      </c>
      <c r="F54" s="3" t="e">
        <f>VLOOKUP(B54,'Profit &amp; Loss'!$B$2:$C$390,2,0)</f>
        <v>#N/A</v>
      </c>
    </row>
    <row r="55" spans="1:6" x14ac:dyDescent="0.2">
      <c r="A55" s="3" t="s">
        <v>47</v>
      </c>
      <c r="B55" s="3" t="s">
        <v>58</v>
      </c>
      <c r="C55" s="4">
        <v>-13516.66</v>
      </c>
      <c r="D55" s="4">
        <v>-14272.25</v>
      </c>
      <c r="E55" s="4">
        <v>755.59</v>
      </c>
      <c r="F55" s="3" t="e">
        <f>VLOOKUP(B55,'Profit &amp; Loss'!$B$2:$C$390,2,0)</f>
        <v>#N/A</v>
      </c>
    </row>
    <row r="56" spans="1:6" x14ac:dyDescent="0.2">
      <c r="A56" s="3" t="s">
        <v>47</v>
      </c>
      <c r="B56" s="3" t="s">
        <v>2</v>
      </c>
      <c r="C56" s="4">
        <v>22030469.739999998</v>
      </c>
      <c r="D56" s="4">
        <v>26169895.25</v>
      </c>
      <c r="E56" s="4">
        <v>-4139425.51</v>
      </c>
      <c r="F56" s="3" t="e">
        <f>VLOOKUP(B56,'Profit &amp; Loss'!$B$2:$C$390,2,0)</f>
        <v>#N/A</v>
      </c>
    </row>
    <row r="57" spans="1:6" x14ac:dyDescent="0.2">
      <c r="A57" s="3" t="s">
        <v>59</v>
      </c>
      <c r="B57" s="3" t="s">
        <v>60</v>
      </c>
      <c r="C57" s="4">
        <v>95288.92</v>
      </c>
      <c r="D57" s="4">
        <v>420671.37</v>
      </c>
      <c r="E57" s="4">
        <v>-325382.45</v>
      </c>
      <c r="F57" s="3" t="e">
        <f>VLOOKUP(B57,'Profit &amp; Loss'!$B$2:$C$390,2,0)</f>
        <v>#N/A</v>
      </c>
    </row>
    <row r="58" spans="1:6" x14ac:dyDescent="0.2">
      <c r="A58" s="3" t="s">
        <v>59</v>
      </c>
      <c r="B58" s="3" t="s">
        <v>975</v>
      </c>
      <c r="C58" s="4">
        <v>0</v>
      </c>
      <c r="D58" s="4">
        <v>100.78</v>
      </c>
      <c r="E58" s="4">
        <v>-100.78</v>
      </c>
      <c r="F58" s="3" t="e">
        <f>VLOOKUP(B58,'Profit &amp; Loss'!$B$2:$C$390,2,0)</f>
        <v>#N/A</v>
      </c>
    </row>
    <row r="59" spans="1:6" x14ac:dyDescent="0.2">
      <c r="A59" s="3" t="s">
        <v>59</v>
      </c>
      <c r="B59" s="3" t="s">
        <v>883</v>
      </c>
      <c r="C59" s="4">
        <v>0</v>
      </c>
      <c r="D59" s="4">
        <v>400468.29</v>
      </c>
      <c r="E59" s="4">
        <v>-400468.29</v>
      </c>
      <c r="F59" s="3" t="e">
        <f>VLOOKUP(B59,'Profit &amp; Loss'!$B$2:$C$390,2,0)</f>
        <v>#N/A</v>
      </c>
    </row>
    <row r="60" spans="1:6" x14ac:dyDescent="0.2">
      <c r="A60" s="3" t="s">
        <v>59</v>
      </c>
      <c r="B60" s="3" t="s">
        <v>61</v>
      </c>
      <c r="C60" s="4">
        <v>156.68</v>
      </c>
      <c r="D60" s="4">
        <v>211.04</v>
      </c>
      <c r="E60" s="4">
        <v>-54.36</v>
      </c>
      <c r="F60" s="3" t="e">
        <f>VLOOKUP(B60,'Profit &amp; Loss'!$B$2:$C$390,2,0)</f>
        <v>#N/A</v>
      </c>
    </row>
    <row r="61" spans="1:6" x14ac:dyDescent="0.2">
      <c r="A61" s="3" t="s">
        <v>59</v>
      </c>
      <c r="B61" s="3" t="s">
        <v>62</v>
      </c>
      <c r="C61" s="4">
        <v>148699.56</v>
      </c>
      <c r="D61" s="4">
        <v>217967.19</v>
      </c>
      <c r="E61" s="4">
        <v>-69267.63</v>
      </c>
      <c r="F61" s="3" t="e">
        <f>VLOOKUP(B61,'Profit &amp; Loss'!$B$2:$C$390,2,0)</f>
        <v>#N/A</v>
      </c>
    </row>
    <row r="62" spans="1:6" x14ac:dyDescent="0.2">
      <c r="A62" s="3" t="s">
        <v>59</v>
      </c>
      <c r="B62" s="3" t="s">
        <v>63</v>
      </c>
      <c r="C62" s="4">
        <v>23035.17</v>
      </c>
      <c r="D62" s="4">
        <v>47911.35</v>
      </c>
      <c r="E62" s="4">
        <v>-24876.18</v>
      </c>
      <c r="F62" s="3" t="e">
        <f>VLOOKUP(B62,'Profit &amp; Loss'!$B$2:$C$390,2,0)</f>
        <v>#N/A</v>
      </c>
    </row>
    <row r="63" spans="1:6" x14ac:dyDescent="0.2">
      <c r="A63" s="3" t="s">
        <v>59</v>
      </c>
      <c r="B63" s="3" t="s">
        <v>64</v>
      </c>
      <c r="C63" s="4">
        <v>152.16</v>
      </c>
      <c r="D63" s="4">
        <v>522.05999999999995</v>
      </c>
      <c r="E63" s="4">
        <v>-369.9</v>
      </c>
      <c r="F63" s="3" t="e">
        <f>VLOOKUP(B63,'Profit &amp; Loss'!$B$2:$C$390,2,0)</f>
        <v>#N/A</v>
      </c>
    </row>
    <row r="64" spans="1:6" x14ac:dyDescent="0.2">
      <c r="A64" s="3" t="s">
        <v>59</v>
      </c>
      <c r="B64" s="3" t="s">
        <v>2</v>
      </c>
      <c r="C64" s="4">
        <v>267332.49</v>
      </c>
      <c r="D64" s="4">
        <v>1087852.08</v>
      </c>
      <c r="E64" s="4">
        <v>-820519.59</v>
      </c>
      <c r="F64" s="3" t="e">
        <f>VLOOKUP(B64,'Profit &amp; Loss'!$B$2:$C$390,2,0)</f>
        <v>#N/A</v>
      </c>
    </row>
    <row r="65" spans="1:6" x14ac:dyDescent="0.2">
      <c r="A65" s="3" t="s">
        <v>65</v>
      </c>
      <c r="B65" s="3" t="s">
        <v>2</v>
      </c>
      <c r="C65" s="4">
        <v>22298403.559999999</v>
      </c>
      <c r="D65" s="4">
        <v>27258348.66</v>
      </c>
      <c r="E65" s="4">
        <v>-4959945.0999999996</v>
      </c>
      <c r="F65" s="3" t="e">
        <f>VLOOKUP(B65,'Profit &amp; Loss'!$B$2:$C$390,2,0)</f>
        <v>#N/A</v>
      </c>
    </row>
    <row r="66" spans="1:6" x14ac:dyDescent="0.2">
      <c r="A66" s="3" t="s">
        <v>66</v>
      </c>
      <c r="B66" s="3" t="s">
        <v>67</v>
      </c>
      <c r="C66" s="4">
        <v>-6135.39</v>
      </c>
      <c r="D66" s="4">
        <v>-6135.39</v>
      </c>
      <c r="E66" s="4">
        <v>0</v>
      </c>
      <c r="F66" s="3" t="e">
        <f>VLOOKUP(B66,'Profit &amp; Loss'!$B$2:$C$390,2,0)</f>
        <v>#N/A</v>
      </c>
    </row>
    <row r="67" spans="1:6" x14ac:dyDescent="0.2">
      <c r="A67" s="3" t="s">
        <v>66</v>
      </c>
      <c r="B67" s="3" t="s">
        <v>68</v>
      </c>
      <c r="C67" s="4">
        <v>5141.09</v>
      </c>
      <c r="D67" s="4">
        <v>5717.8</v>
      </c>
      <c r="E67" s="4">
        <v>-576.71</v>
      </c>
      <c r="F67" s="3" t="e">
        <f>VLOOKUP(B67,'Profit &amp; Loss'!$B$2:$C$390,2,0)</f>
        <v>#N/A</v>
      </c>
    </row>
    <row r="68" spans="1:6" x14ac:dyDescent="0.2">
      <c r="A68" s="3" t="s">
        <v>66</v>
      </c>
      <c r="B68" s="3" t="s">
        <v>979</v>
      </c>
      <c r="C68" s="4">
        <v>0</v>
      </c>
      <c r="D68" s="4">
        <v>6329.17</v>
      </c>
      <c r="E68" s="4">
        <v>-6329.17</v>
      </c>
      <c r="F68" s="3" t="e">
        <f>VLOOKUP(B68,'Profit &amp; Loss'!$B$2:$C$390,2,0)</f>
        <v>#N/A</v>
      </c>
    </row>
    <row r="69" spans="1:6" x14ac:dyDescent="0.2">
      <c r="A69" s="3" t="s">
        <v>66</v>
      </c>
      <c r="B69" s="3" t="s">
        <v>491</v>
      </c>
      <c r="C69" s="4">
        <v>479.85</v>
      </c>
      <c r="D69" s="4">
        <v>2035.93</v>
      </c>
      <c r="E69" s="4">
        <v>-1556.08</v>
      </c>
      <c r="F69" s="3" t="e">
        <f>VLOOKUP(B69,'Profit &amp; Loss'!$B$2:$C$390,2,0)</f>
        <v>#N/A</v>
      </c>
    </row>
    <row r="70" spans="1:6" x14ac:dyDescent="0.2">
      <c r="A70" s="3" t="s">
        <v>66</v>
      </c>
      <c r="B70" s="3" t="s">
        <v>492</v>
      </c>
      <c r="C70" s="4">
        <v>-3.07</v>
      </c>
      <c r="D70" s="4">
        <v>-2.65</v>
      </c>
      <c r="E70" s="4">
        <v>-0.42</v>
      </c>
      <c r="F70" s="3" t="e">
        <f>VLOOKUP(B70,'Profit &amp; Loss'!$B$2:$C$390,2,0)</f>
        <v>#N/A</v>
      </c>
    </row>
    <row r="71" spans="1:6" x14ac:dyDescent="0.2">
      <c r="A71" s="3" t="s">
        <v>66</v>
      </c>
      <c r="B71" s="3" t="s">
        <v>493</v>
      </c>
      <c r="C71" s="4">
        <v>-45.58</v>
      </c>
      <c r="D71" s="4">
        <v>-257.29000000000002</v>
      </c>
      <c r="E71" s="4">
        <v>211.71</v>
      </c>
      <c r="F71" s="3" t="e">
        <f>VLOOKUP(B71,'Profit &amp; Loss'!$B$2:$C$390,2,0)</f>
        <v>#N/A</v>
      </c>
    </row>
    <row r="72" spans="1:6" x14ac:dyDescent="0.2">
      <c r="A72" s="3" t="s">
        <v>66</v>
      </c>
      <c r="B72" s="3" t="s">
        <v>494</v>
      </c>
      <c r="C72" s="4">
        <v>0</v>
      </c>
      <c r="D72" s="4">
        <v>0.14000000000000001</v>
      </c>
      <c r="E72" s="4">
        <v>-0.14000000000000001</v>
      </c>
      <c r="F72" s="3" t="e">
        <f>VLOOKUP(B72,'Profit &amp; Loss'!$B$2:$C$390,2,0)</f>
        <v>#N/A</v>
      </c>
    </row>
    <row r="73" spans="1:6" x14ac:dyDescent="0.2">
      <c r="A73" s="3" t="s">
        <v>66</v>
      </c>
      <c r="B73" s="3" t="s">
        <v>2</v>
      </c>
      <c r="C73" s="4">
        <v>-563.1</v>
      </c>
      <c r="D73" s="4">
        <v>7687.71</v>
      </c>
      <c r="E73" s="4">
        <v>-8250.81</v>
      </c>
      <c r="F73" s="3" t="e">
        <f>VLOOKUP(B73,'Profit &amp; Loss'!$B$2:$C$390,2,0)</f>
        <v>#N/A</v>
      </c>
    </row>
    <row r="74" spans="1:6" x14ac:dyDescent="0.2">
      <c r="A74" s="3" t="s">
        <v>69</v>
      </c>
      <c r="B74" s="3" t="s">
        <v>2</v>
      </c>
      <c r="C74" s="4">
        <v>-563.1</v>
      </c>
      <c r="D74" s="4">
        <v>7687.71</v>
      </c>
      <c r="E74" s="4">
        <v>-8250.81</v>
      </c>
      <c r="F74" s="3" t="e">
        <f>VLOOKUP(B74,'Profit &amp; Loss'!$B$2:$C$390,2,0)</f>
        <v>#N/A</v>
      </c>
    </row>
    <row r="75" spans="1:6" x14ac:dyDescent="0.2">
      <c r="A75" s="3" t="s">
        <v>70</v>
      </c>
      <c r="B75" s="3" t="s">
        <v>71</v>
      </c>
      <c r="C75" s="4">
        <v>359163.46</v>
      </c>
      <c r="D75" s="4">
        <v>359163.46</v>
      </c>
      <c r="E75" s="4">
        <v>0</v>
      </c>
      <c r="F75" s="3" t="e">
        <f>VLOOKUP(B75,'Profit &amp; Loss'!$B$2:$C$390,2,0)</f>
        <v>#N/A</v>
      </c>
    </row>
    <row r="76" spans="1:6" x14ac:dyDescent="0.2">
      <c r="A76" s="3" t="s">
        <v>70</v>
      </c>
      <c r="B76" s="3" t="s">
        <v>72</v>
      </c>
      <c r="C76" s="4">
        <v>-269300.03000000003</v>
      </c>
      <c r="D76" s="4">
        <v>-268185.25</v>
      </c>
      <c r="E76" s="4">
        <v>-1114.78</v>
      </c>
      <c r="F76" s="3" t="e">
        <f>VLOOKUP(B76,'Profit &amp; Loss'!$B$2:$C$390,2,0)</f>
        <v>#N/A</v>
      </c>
    </row>
    <row r="77" spans="1:6" x14ac:dyDescent="0.2">
      <c r="A77" s="3" t="s">
        <v>70</v>
      </c>
      <c r="B77" s="3" t="s">
        <v>2</v>
      </c>
      <c r="C77" s="4">
        <v>89863.43</v>
      </c>
      <c r="D77" s="4">
        <v>90978.21</v>
      </c>
      <c r="E77" s="4">
        <v>-1114.78</v>
      </c>
      <c r="F77" s="3" t="e">
        <f>VLOOKUP(B77,'Profit &amp; Loss'!$B$2:$C$390,2,0)</f>
        <v>#N/A</v>
      </c>
    </row>
    <row r="78" spans="1:6" x14ac:dyDescent="0.2">
      <c r="A78" s="3" t="s">
        <v>73</v>
      </c>
      <c r="B78" s="3" t="s">
        <v>74</v>
      </c>
      <c r="C78" s="4">
        <v>136435.63</v>
      </c>
      <c r="D78" s="4">
        <v>131302.1</v>
      </c>
      <c r="E78" s="4">
        <v>5133.53</v>
      </c>
      <c r="F78" s="3" t="e">
        <f>VLOOKUP(B78,'Profit &amp; Loss'!$B$2:$C$390,2,0)</f>
        <v>#N/A</v>
      </c>
    </row>
    <row r="79" spans="1:6" x14ac:dyDescent="0.2">
      <c r="A79" s="3" t="s">
        <v>73</v>
      </c>
      <c r="B79" s="3" t="s">
        <v>75</v>
      </c>
      <c r="C79" s="4">
        <v>792801.81</v>
      </c>
      <c r="D79" s="4">
        <v>743103.57</v>
      </c>
      <c r="E79" s="4">
        <v>49698.239999999998</v>
      </c>
      <c r="F79" s="3" t="e">
        <f>VLOOKUP(B79,'Profit &amp; Loss'!$B$2:$C$390,2,0)</f>
        <v>#N/A</v>
      </c>
    </row>
    <row r="80" spans="1:6" x14ac:dyDescent="0.2">
      <c r="A80" s="3" t="s">
        <v>73</v>
      </c>
      <c r="B80" s="3" t="s">
        <v>76</v>
      </c>
      <c r="C80" s="4">
        <v>406560.16</v>
      </c>
      <c r="D80" s="4">
        <v>400273.05</v>
      </c>
      <c r="E80" s="4">
        <v>6287.11</v>
      </c>
      <c r="F80" s="3" t="e">
        <f>VLOOKUP(B80,'Profit &amp; Loss'!$B$2:$C$390,2,0)</f>
        <v>#N/A</v>
      </c>
    </row>
    <row r="81" spans="1:6" x14ac:dyDescent="0.2">
      <c r="A81" s="3" t="s">
        <v>73</v>
      </c>
      <c r="B81" s="3" t="s">
        <v>77</v>
      </c>
      <c r="C81" s="4">
        <v>495.24</v>
      </c>
      <c r="D81" s="4">
        <v>495.24</v>
      </c>
      <c r="E81" s="4">
        <v>0</v>
      </c>
      <c r="F81" s="3" t="e">
        <f>VLOOKUP(B81,'Profit &amp; Loss'!$B$2:$C$390,2,0)</f>
        <v>#N/A</v>
      </c>
    </row>
    <row r="82" spans="1:6" x14ac:dyDescent="0.2">
      <c r="A82" s="3" t="s">
        <v>73</v>
      </c>
      <c r="B82" s="3" t="s">
        <v>78</v>
      </c>
      <c r="C82" s="4">
        <v>422293.17</v>
      </c>
      <c r="D82" s="4">
        <v>301135.59999999998</v>
      </c>
      <c r="E82" s="4">
        <v>121157.57</v>
      </c>
      <c r="F82" s="3" t="e">
        <f>VLOOKUP(B82,'Profit &amp; Loss'!$B$2:$C$390,2,0)</f>
        <v>#N/A</v>
      </c>
    </row>
    <row r="83" spans="1:6" x14ac:dyDescent="0.2">
      <c r="A83" s="3" t="s">
        <v>73</v>
      </c>
      <c r="B83" s="3" t="s">
        <v>79</v>
      </c>
      <c r="C83" s="4">
        <v>-131729.65</v>
      </c>
      <c r="D83" s="4">
        <v>-126448.03</v>
      </c>
      <c r="E83" s="4">
        <v>-5281.62</v>
      </c>
      <c r="F83" s="3" t="e">
        <f>VLOOKUP(B83,'Profit &amp; Loss'!$B$2:$C$390,2,0)</f>
        <v>#N/A</v>
      </c>
    </row>
    <row r="84" spans="1:6" x14ac:dyDescent="0.2">
      <c r="A84" s="3" t="s">
        <v>73</v>
      </c>
      <c r="B84" s="3" t="s">
        <v>80</v>
      </c>
      <c r="C84" s="4">
        <v>-480973.63</v>
      </c>
      <c r="D84" s="4">
        <v>-436029.99</v>
      </c>
      <c r="E84" s="4">
        <v>-44943.64</v>
      </c>
      <c r="F84" s="3" t="e">
        <f>VLOOKUP(B84,'Profit &amp; Loss'!$B$2:$C$390,2,0)</f>
        <v>#N/A</v>
      </c>
    </row>
    <row r="85" spans="1:6" x14ac:dyDescent="0.2">
      <c r="A85" s="3" t="s">
        <v>73</v>
      </c>
      <c r="B85" s="3" t="s">
        <v>81</v>
      </c>
      <c r="C85" s="4">
        <v>-302009.43</v>
      </c>
      <c r="D85" s="4">
        <v>-305641.7</v>
      </c>
      <c r="E85" s="4">
        <v>3632.27</v>
      </c>
      <c r="F85" s="3" t="e">
        <f>VLOOKUP(B85,'Profit &amp; Loss'!$B$2:$C$390,2,0)</f>
        <v>#N/A</v>
      </c>
    </row>
    <row r="86" spans="1:6" x14ac:dyDescent="0.2">
      <c r="A86" s="3" t="s">
        <v>73</v>
      </c>
      <c r="B86" s="3" t="s">
        <v>82</v>
      </c>
      <c r="C86" s="4">
        <v>-495.24</v>
      </c>
      <c r="D86" s="4">
        <v>-495.24</v>
      </c>
      <c r="E86" s="4">
        <v>0</v>
      </c>
      <c r="F86" s="3" t="e">
        <f>VLOOKUP(B86,'Profit &amp; Loss'!$B$2:$C$390,2,0)</f>
        <v>#N/A</v>
      </c>
    </row>
    <row r="87" spans="1:6" x14ac:dyDescent="0.2">
      <c r="A87" s="3" t="s">
        <v>73</v>
      </c>
      <c r="B87" s="3" t="s">
        <v>83</v>
      </c>
      <c r="C87" s="4">
        <v>-259229.95</v>
      </c>
      <c r="D87" s="4">
        <v>-202407.05</v>
      </c>
      <c r="E87" s="4">
        <v>-56822.9</v>
      </c>
      <c r="F87" s="3" t="e">
        <f>VLOOKUP(B87,'Profit &amp; Loss'!$B$2:$C$390,2,0)</f>
        <v>#N/A</v>
      </c>
    </row>
    <row r="88" spans="1:6" x14ac:dyDescent="0.2">
      <c r="A88" s="3" t="s">
        <v>73</v>
      </c>
      <c r="B88" s="3" t="s">
        <v>2</v>
      </c>
      <c r="C88" s="4">
        <v>584148.11</v>
      </c>
      <c r="D88" s="4">
        <v>505287.55</v>
      </c>
      <c r="E88" s="4">
        <v>78860.56</v>
      </c>
      <c r="F88" s="3" t="e">
        <f>VLOOKUP(B88,'Profit &amp; Loss'!$B$2:$C$390,2,0)</f>
        <v>#N/A</v>
      </c>
    </row>
    <row r="89" spans="1:6" x14ac:dyDescent="0.2">
      <c r="A89" s="3" t="s">
        <v>84</v>
      </c>
      <c r="B89" s="3" t="s">
        <v>85</v>
      </c>
      <c r="C89" s="4">
        <v>19836670.899999999</v>
      </c>
      <c r="D89" s="4">
        <v>19937714.68</v>
      </c>
      <c r="E89" s="4">
        <v>-101043.78</v>
      </c>
      <c r="F89" s="3" t="e">
        <f>VLOOKUP(B89,'Profit &amp; Loss'!$B$2:$C$390,2,0)</f>
        <v>#N/A</v>
      </c>
    </row>
    <row r="90" spans="1:6" x14ac:dyDescent="0.2">
      <c r="A90" s="3" t="s">
        <v>84</v>
      </c>
      <c r="B90" s="3" t="s">
        <v>86</v>
      </c>
      <c r="C90" s="4">
        <v>-7727105.4299999997</v>
      </c>
      <c r="D90" s="4">
        <v>-7525549.8799999999</v>
      </c>
      <c r="E90" s="4">
        <v>-201555.55</v>
      </c>
      <c r="F90" s="3" t="e">
        <f>VLOOKUP(B90,'Profit &amp; Loss'!$B$2:$C$390,2,0)</f>
        <v>#N/A</v>
      </c>
    </row>
    <row r="91" spans="1:6" x14ac:dyDescent="0.2">
      <c r="A91" s="3" t="s">
        <v>84</v>
      </c>
      <c r="B91" s="3" t="s">
        <v>2</v>
      </c>
      <c r="C91" s="4">
        <v>12109565.470000001</v>
      </c>
      <c r="D91" s="4">
        <v>12412164.800000001</v>
      </c>
      <c r="E91" s="4">
        <v>-302599.33</v>
      </c>
      <c r="F91" s="3" t="e">
        <f>VLOOKUP(B91,'Profit &amp; Loss'!$B$2:$C$390,2,0)</f>
        <v>#N/A</v>
      </c>
    </row>
    <row r="92" spans="1:6" x14ac:dyDescent="0.2">
      <c r="A92" s="3" t="s">
        <v>87</v>
      </c>
      <c r="B92" s="3" t="s">
        <v>88</v>
      </c>
      <c r="C92" s="4">
        <v>103060.72</v>
      </c>
      <c r="D92" s="4">
        <v>103060.72</v>
      </c>
      <c r="E92" s="4">
        <v>0</v>
      </c>
      <c r="F92" s="3" t="e">
        <f>VLOOKUP(B92,'Profit &amp; Loss'!$B$2:$C$390,2,0)</f>
        <v>#N/A</v>
      </c>
    </row>
    <row r="93" spans="1:6" x14ac:dyDescent="0.2">
      <c r="A93" s="3" t="s">
        <v>87</v>
      </c>
      <c r="B93" s="3" t="s">
        <v>89</v>
      </c>
      <c r="C93" s="4">
        <v>695826.37</v>
      </c>
      <c r="D93" s="4">
        <v>708500.64</v>
      </c>
      <c r="E93" s="4">
        <v>-12674.27</v>
      </c>
      <c r="F93" s="3" t="e">
        <f>VLOOKUP(B93,'Profit &amp; Loss'!$B$2:$C$390,2,0)</f>
        <v>#N/A</v>
      </c>
    </row>
    <row r="94" spans="1:6" x14ac:dyDescent="0.2">
      <c r="A94" s="3" t="s">
        <v>87</v>
      </c>
      <c r="B94" s="3" t="s">
        <v>90</v>
      </c>
      <c r="C94" s="4">
        <v>-102393.72</v>
      </c>
      <c r="D94" s="4">
        <v>-102338.13</v>
      </c>
      <c r="E94" s="4">
        <v>-55.59</v>
      </c>
      <c r="F94" s="3" t="e">
        <f>VLOOKUP(B94,'Profit &amp; Loss'!$B$2:$C$390,2,0)</f>
        <v>#N/A</v>
      </c>
    </row>
    <row r="95" spans="1:6" x14ac:dyDescent="0.2">
      <c r="A95" s="3" t="s">
        <v>87</v>
      </c>
      <c r="B95" s="3" t="s">
        <v>91</v>
      </c>
      <c r="C95" s="4">
        <v>-674250.91</v>
      </c>
      <c r="D95" s="4">
        <v>-684614.17</v>
      </c>
      <c r="E95" s="4">
        <v>10363.26</v>
      </c>
      <c r="F95" s="3" t="e">
        <f>VLOOKUP(B95,'Profit &amp; Loss'!$B$2:$C$390,2,0)</f>
        <v>#N/A</v>
      </c>
    </row>
    <row r="96" spans="1:6" x14ac:dyDescent="0.2">
      <c r="A96" s="3" t="s">
        <v>87</v>
      </c>
      <c r="B96" s="3" t="s">
        <v>2</v>
      </c>
      <c r="C96" s="4">
        <v>22242.46</v>
      </c>
      <c r="D96" s="4">
        <v>24609.06</v>
      </c>
      <c r="E96" s="4">
        <v>-2366.6</v>
      </c>
      <c r="F96" s="3" t="e">
        <f>VLOOKUP(B96,'Profit &amp; Loss'!$B$2:$C$390,2,0)</f>
        <v>#N/A</v>
      </c>
    </row>
    <row r="97" spans="1:6" x14ac:dyDescent="0.2">
      <c r="A97" s="3" t="s">
        <v>92</v>
      </c>
      <c r="B97" s="3" t="s">
        <v>93</v>
      </c>
      <c r="C97" s="4">
        <v>12597.18</v>
      </c>
      <c r="D97" s="4">
        <v>9741.7000000000007</v>
      </c>
      <c r="E97" s="4">
        <v>2855.48</v>
      </c>
      <c r="F97" s="3" t="e">
        <f>VLOOKUP(B97,'Profit &amp; Loss'!$B$2:$C$390,2,0)</f>
        <v>#N/A</v>
      </c>
    </row>
    <row r="98" spans="1:6" x14ac:dyDescent="0.2">
      <c r="A98" s="3" t="s">
        <v>92</v>
      </c>
      <c r="B98" s="3" t="s">
        <v>94</v>
      </c>
      <c r="C98" s="4">
        <v>327687.17</v>
      </c>
      <c r="D98" s="4">
        <v>255044.67</v>
      </c>
      <c r="E98" s="4">
        <v>72642.5</v>
      </c>
      <c r="F98" s="3" t="e">
        <f>VLOOKUP(B98,'Profit &amp; Loss'!$B$2:$C$390,2,0)</f>
        <v>#N/A</v>
      </c>
    </row>
    <row r="99" spans="1:6" x14ac:dyDescent="0.2">
      <c r="A99" s="3" t="s">
        <v>92</v>
      </c>
      <c r="B99" s="3" t="s">
        <v>95</v>
      </c>
      <c r="C99" s="4">
        <v>-7551.16</v>
      </c>
      <c r="D99" s="4">
        <v>-4700.07</v>
      </c>
      <c r="E99" s="4">
        <v>-2851.09</v>
      </c>
      <c r="F99" s="3" t="e">
        <f>VLOOKUP(B99,'Profit &amp; Loss'!$B$2:$C$390,2,0)</f>
        <v>#N/A</v>
      </c>
    </row>
    <row r="100" spans="1:6" x14ac:dyDescent="0.2">
      <c r="A100" s="3" t="s">
        <v>92</v>
      </c>
      <c r="B100" s="3" t="s">
        <v>96</v>
      </c>
      <c r="C100" s="4">
        <v>-207981.23</v>
      </c>
      <c r="D100" s="4">
        <v>-197034.58</v>
      </c>
      <c r="E100" s="4">
        <v>-10946.65</v>
      </c>
      <c r="F100" s="3" t="e">
        <f>VLOOKUP(B100,'Profit &amp; Loss'!$B$2:$C$390,2,0)</f>
        <v>#N/A</v>
      </c>
    </row>
    <row r="101" spans="1:6" x14ac:dyDescent="0.2">
      <c r="A101" s="3" t="s">
        <v>92</v>
      </c>
      <c r="B101" s="3" t="s">
        <v>2</v>
      </c>
      <c r="C101" s="4">
        <v>124751.96</v>
      </c>
      <c r="D101" s="4">
        <v>63051.72</v>
      </c>
      <c r="E101" s="4">
        <v>61700.24</v>
      </c>
      <c r="F101" s="3" t="e">
        <f>VLOOKUP(B101,'Profit &amp; Loss'!$B$2:$C$390,2,0)</f>
        <v>#N/A</v>
      </c>
    </row>
    <row r="102" spans="1:6" x14ac:dyDescent="0.2">
      <c r="A102" s="3" t="s">
        <v>97</v>
      </c>
      <c r="B102" s="3" t="s">
        <v>98</v>
      </c>
      <c r="C102" s="4">
        <v>194404.09</v>
      </c>
      <c r="D102" s="4">
        <v>159522.06</v>
      </c>
      <c r="E102" s="4">
        <v>34882.03</v>
      </c>
      <c r="F102" s="3" t="e">
        <f>VLOOKUP(B102,'Profit &amp; Loss'!$B$2:$C$390,2,0)</f>
        <v>#N/A</v>
      </c>
    </row>
    <row r="103" spans="1:6" x14ac:dyDescent="0.2">
      <c r="A103" s="3" t="s">
        <v>97</v>
      </c>
      <c r="B103" s="3" t="s">
        <v>99</v>
      </c>
      <c r="C103" s="4">
        <v>-140647.65</v>
      </c>
      <c r="D103" s="4">
        <v>-107168.41</v>
      </c>
      <c r="E103" s="4">
        <v>-33479.24</v>
      </c>
      <c r="F103" s="3" t="e">
        <f>VLOOKUP(B103,'Profit &amp; Loss'!$B$2:$C$390,2,0)</f>
        <v>#N/A</v>
      </c>
    </row>
    <row r="104" spans="1:6" x14ac:dyDescent="0.2">
      <c r="A104" s="3" t="s">
        <v>97</v>
      </c>
      <c r="B104" s="3" t="s">
        <v>2</v>
      </c>
      <c r="C104" s="4">
        <v>53756.44</v>
      </c>
      <c r="D104" s="4">
        <v>52353.65</v>
      </c>
      <c r="E104" s="4">
        <v>1402.79</v>
      </c>
      <c r="F104" s="3" t="e">
        <f>VLOOKUP(B104,'Profit &amp; Loss'!$B$2:$C$390,2,0)</f>
        <v>#N/A</v>
      </c>
    </row>
    <row r="105" spans="1:6" x14ac:dyDescent="0.2">
      <c r="A105" s="3" t="s">
        <v>100</v>
      </c>
      <c r="B105" s="3" t="s">
        <v>101</v>
      </c>
      <c r="C105" s="4">
        <v>133162.15</v>
      </c>
      <c r="D105" s="4">
        <v>124665.27</v>
      </c>
      <c r="E105" s="4">
        <v>8496.8799999999992</v>
      </c>
      <c r="F105" s="3" t="e">
        <f>VLOOKUP(B105,'Profit &amp; Loss'!$B$2:$C$390,2,0)</f>
        <v>#N/A</v>
      </c>
    </row>
    <row r="106" spans="1:6" x14ac:dyDescent="0.2">
      <c r="A106" s="3" t="s">
        <v>100</v>
      </c>
      <c r="B106" s="3" t="s">
        <v>980</v>
      </c>
      <c r="C106" s="4">
        <v>9731.51</v>
      </c>
      <c r="D106" s="4">
        <v>99779.96</v>
      </c>
      <c r="E106" s="4">
        <v>-90048.45</v>
      </c>
      <c r="F106" s="3" t="e">
        <f>VLOOKUP(B106,'Profit &amp; Loss'!$B$2:$C$390,2,0)</f>
        <v>#N/A</v>
      </c>
    </row>
    <row r="107" spans="1:6" x14ac:dyDescent="0.2">
      <c r="A107" s="3" t="s">
        <v>100</v>
      </c>
      <c r="B107" s="3" t="s">
        <v>102</v>
      </c>
      <c r="C107" s="4">
        <v>-117967.61</v>
      </c>
      <c r="D107" s="4">
        <v>-108862.56</v>
      </c>
      <c r="E107" s="4">
        <v>-9105.0499999999993</v>
      </c>
      <c r="F107" s="3" t="e">
        <f>VLOOKUP(B107,'Profit &amp; Loss'!$B$2:$C$390,2,0)</f>
        <v>#N/A</v>
      </c>
    </row>
    <row r="108" spans="1:6" x14ac:dyDescent="0.2">
      <c r="A108" s="3" t="s">
        <v>100</v>
      </c>
      <c r="B108" s="3" t="s">
        <v>981</v>
      </c>
      <c r="C108" s="4">
        <v>-9731.51</v>
      </c>
      <c r="D108" s="4">
        <v>-99779.96</v>
      </c>
      <c r="E108" s="4">
        <v>90048.45</v>
      </c>
      <c r="F108" s="3" t="e">
        <f>VLOOKUP(B108,'Profit &amp; Loss'!$B$2:$C$390,2,0)</f>
        <v>#N/A</v>
      </c>
    </row>
    <row r="109" spans="1:6" x14ac:dyDescent="0.2">
      <c r="A109" s="3" t="s">
        <v>100</v>
      </c>
      <c r="B109" s="3" t="s">
        <v>2</v>
      </c>
      <c r="C109" s="4">
        <v>15194.54</v>
      </c>
      <c r="D109" s="4">
        <v>15802.71</v>
      </c>
      <c r="E109" s="4">
        <v>-608.16999999999996</v>
      </c>
      <c r="F109" s="3" t="e">
        <f>VLOOKUP(B109,'Profit &amp; Loss'!$B$2:$C$390,2,0)</f>
        <v>#N/A</v>
      </c>
    </row>
    <row r="110" spans="1:6" x14ac:dyDescent="0.2">
      <c r="A110" s="3" t="s">
        <v>103</v>
      </c>
      <c r="B110" s="3" t="s">
        <v>2</v>
      </c>
      <c r="C110" s="4">
        <v>12999522.41</v>
      </c>
      <c r="D110" s="4">
        <v>13164247.699999999</v>
      </c>
      <c r="E110" s="4">
        <v>-164725.29</v>
      </c>
      <c r="F110" s="3" t="e">
        <f>VLOOKUP(B110,'Profit &amp; Loss'!$B$2:$C$390,2,0)</f>
        <v>#N/A</v>
      </c>
    </row>
    <row r="111" spans="1:6" x14ac:dyDescent="0.2">
      <c r="A111" s="3" t="s">
        <v>104</v>
      </c>
      <c r="B111" s="3" t="s">
        <v>105</v>
      </c>
      <c r="C111" s="4">
        <v>2811368.31</v>
      </c>
      <c r="D111" s="4">
        <v>2811368.31</v>
      </c>
      <c r="E111" s="4">
        <v>0</v>
      </c>
      <c r="F111" s="3" t="e">
        <f>VLOOKUP(B111,'Profit &amp; Loss'!$B$2:$C$390,2,0)</f>
        <v>#N/A</v>
      </c>
    </row>
    <row r="112" spans="1:6" x14ac:dyDescent="0.2">
      <c r="A112" s="3" t="s">
        <v>104</v>
      </c>
      <c r="B112" s="3" t="s">
        <v>106</v>
      </c>
      <c r="C112" s="4">
        <v>1049391.33</v>
      </c>
      <c r="D112" s="4">
        <v>834500.42</v>
      </c>
      <c r="E112" s="4">
        <v>214890.91</v>
      </c>
      <c r="F112" s="3" t="e">
        <f>VLOOKUP(B112,'Profit &amp; Loss'!$B$2:$C$390,2,0)</f>
        <v>#N/A</v>
      </c>
    </row>
    <row r="113" spans="1:6" x14ac:dyDescent="0.2">
      <c r="A113" s="3" t="s">
        <v>104</v>
      </c>
      <c r="B113" s="3" t="s">
        <v>107</v>
      </c>
      <c r="C113" s="4">
        <v>-2811368.21</v>
      </c>
      <c r="D113" s="4">
        <v>-2753179.77</v>
      </c>
      <c r="E113" s="4">
        <v>-58188.44</v>
      </c>
      <c r="F113" s="3" t="e">
        <f>VLOOKUP(B113,'Profit &amp; Loss'!$B$2:$C$390,2,0)</f>
        <v>#N/A</v>
      </c>
    </row>
    <row r="114" spans="1:6" x14ac:dyDescent="0.2">
      <c r="A114" s="3" t="s">
        <v>104</v>
      </c>
      <c r="B114" s="3" t="s">
        <v>108</v>
      </c>
      <c r="C114" s="4">
        <v>-685674.73</v>
      </c>
      <c r="D114" s="4">
        <v>-659791.57999999996</v>
      </c>
      <c r="E114" s="4">
        <v>-25883.15</v>
      </c>
      <c r="F114" s="3" t="e">
        <f>VLOOKUP(B114,'Profit &amp; Loss'!$B$2:$C$390,2,0)</f>
        <v>#N/A</v>
      </c>
    </row>
    <row r="115" spans="1:6" x14ac:dyDescent="0.2">
      <c r="A115" s="3" t="s">
        <v>104</v>
      </c>
      <c r="B115" s="3" t="s">
        <v>109</v>
      </c>
      <c r="C115" s="4">
        <v>-80257.42</v>
      </c>
      <c r="D115" s="4">
        <v>-80257.42</v>
      </c>
      <c r="E115" s="4">
        <v>0</v>
      </c>
      <c r="F115" s="3" t="e">
        <f>VLOOKUP(B115,'Profit &amp; Loss'!$B$2:$C$390,2,0)</f>
        <v>#N/A</v>
      </c>
    </row>
    <row r="116" spans="1:6" x14ac:dyDescent="0.2">
      <c r="A116" s="3" t="s">
        <v>104</v>
      </c>
      <c r="B116" s="3" t="s">
        <v>110</v>
      </c>
      <c r="C116" s="4">
        <v>11976.55</v>
      </c>
      <c r="D116" s="4">
        <v>11976.55</v>
      </c>
      <c r="E116" s="4">
        <v>0</v>
      </c>
      <c r="F116" s="3" t="e">
        <f>VLOOKUP(B116,'Profit &amp; Loss'!$B$2:$C$390,2,0)</f>
        <v>#N/A</v>
      </c>
    </row>
    <row r="117" spans="1:6" x14ac:dyDescent="0.2">
      <c r="A117" s="3" t="s">
        <v>104</v>
      </c>
      <c r="B117" s="3" t="s">
        <v>111</v>
      </c>
      <c r="C117" s="4">
        <v>10624.89</v>
      </c>
      <c r="D117" s="4">
        <v>10624.89</v>
      </c>
      <c r="E117" s="4">
        <v>0</v>
      </c>
      <c r="F117" s="3" t="e">
        <f>VLOOKUP(B117,'Profit &amp; Loss'!$B$2:$C$390,2,0)</f>
        <v>#N/A</v>
      </c>
    </row>
    <row r="118" spans="1:6" x14ac:dyDescent="0.2">
      <c r="A118" s="3" t="s">
        <v>104</v>
      </c>
      <c r="B118" s="3" t="s">
        <v>2</v>
      </c>
      <c r="C118" s="4">
        <v>306060.71999999997</v>
      </c>
      <c r="D118" s="4">
        <v>175241.4</v>
      </c>
      <c r="E118" s="4">
        <v>130819.32</v>
      </c>
      <c r="F118" s="3" t="e">
        <f>VLOOKUP(B118,'Profit &amp; Loss'!$B$2:$C$390,2,0)</f>
        <v>#N/A</v>
      </c>
    </row>
    <row r="119" spans="1:6" x14ac:dyDescent="0.2">
      <c r="A119" s="3" t="s">
        <v>112</v>
      </c>
      <c r="B119" s="3" t="s">
        <v>2</v>
      </c>
      <c r="C119" s="4">
        <v>306060.71999999997</v>
      </c>
      <c r="D119" s="4">
        <v>175241.4</v>
      </c>
      <c r="E119" s="4">
        <v>130819.32</v>
      </c>
      <c r="F119" s="3" t="e">
        <f>VLOOKUP(B119,'Profit &amp; Loss'!$B$2:$C$390,2,0)</f>
        <v>#N/A</v>
      </c>
    </row>
    <row r="120" spans="1:6" x14ac:dyDescent="0.2">
      <c r="A120" s="3" t="s">
        <v>0</v>
      </c>
      <c r="B120" s="3" t="s">
        <v>113</v>
      </c>
      <c r="C120" s="4">
        <v>63104338.960000001</v>
      </c>
      <c r="D120" s="4">
        <v>68014670.400000006</v>
      </c>
      <c r="E120" s="4">
        <v>-4910331.4400000004</v>
      </c>
      <c r="F120" s="3" t="e">
        <f>VLOOKUP(B120,'Profit &amp; Loss'!$B$2:$C$390,2,0)</f>
        <v>#N/A</v>
      </c>
    </row>
    <row r="121" spans="1:6" x14ac:dyDescent="0.2">
      <c r="A121" s="3" t="s">
        <v>0</v>
      </c>
      <c r="B121" s="5" t="s">
        <v>114</v>
      </c>
      <c r="C121" s="4">
        <v>0</v>
      </c>
      <c r="D121" s="4">
        <v>0</v>
      </c>
      <c r="E121" s="4">
        <v>0</v>
      </c>
      <c r="F121" s="3" t="e">
        <f>VLOOKUP(B121,'Profit &amp; Loss'!$B$2:$C$390,2,0)</f>
        <v>#N/A</v>
      </c>
    </row>
    <row r="122" spans="1:6" x14ac:dyDescent="0.2">
      <c r="A122" s="3" t="s">
        <v>115</v>
      </c>
      <c r="B122" s="3" t="s">
        <v>116</v>
      </c>
      <c r="C122" s="4">
        <v>0</v>
      </c>
      <c r="D122" s="4">
        <v>0</v>
      </c>
      <c r="E122" s="4">
        <v>0</v>
      </c>
      <c r="F122" s="3" t="e">
        <f>VLOOKUP(B122,'Profit &amp; Loss'!$B$2:$C$390,2,0)</f>
        <v>#N/A</v>
      </c>
    </row>
    <row r="123" spans="1:6" x14ac:dyDescent="0.2">
      <c r="A123" s="3" t="s">
        <v>115</v>
      </c>
      <c r="B123" s="5" t="s">
        <v>117</v>
      </c>
      <c r="C123" s="4">
        <v>0</v>
      </c>
      <c r="D123" s="4">
        <v>0</v>
      </c>
      <c r="E123" s="4">
        <v>0</v>
      </c>
      <c r="F123" s="3" t="e">
        <f>VLOOKUP(B123,'Profit &amp; Loss'!$B$2:$C$390,2,0)</f>
        <v>#N/A</v>
      </c>
    </row>
    <row r="124" spans="1:6" x14ac:dyDescent="0.2">
      <c r="A124" s="3" t="s">
        <v>118</v>
      </c>
      <c r="B124" s="3" t="s">
        <v>119</v>
      </c>
      <c r="C124" s="4">
        <v>-30723.51</v>
      </c>
      <c r="D124" s="4">
        <v>-95213.11</v>
      </c>
      <c r="E124" s="4">
        <v>64489.599999999999</v>
      </c>
      <c r="F124" s="3" t="e">
        <f>VLOOKUP(B124,'Profit &amp; Loss'!$B$2:$C$390,2,0)</f>
        <v>#N/A</v>
      </c>
    </row>
    <row r="125" spans="1:6" x14ac:dyDescent="0.2">
      <c r="A125" s="3" t="s">
        <v>118</v>
      </c>
      <c r="B125" s="3" t="s">
        <v>120</v>
      </c>
      <c r="C125" s="4">
        <v>237.76</v>
      </c>
      <c r="D125" s="4">
        <v>758.58</v>
      </c>
      <c r="E125" s="4">
        <v>-520.82000000000005</v>
      </c>
      <c r="F125" s="3" t="e">
        <f>VLOOKUP(B125,'Profit &amp; Loss'!$B$2:$C$390,2,0)</f>
        <v>#N/A</v>
      </c>
    </row>
    <row r="126" spans="1:6" x14ac:dyDescent="0.2">
      <c r="A126" s="3" t="s">
        <v>118</v>
      </c>
      <c r="B126" s="3" t="s">
        <v>2</v>
      </c>
      <c r="C126" s="4">
        <v>-30485.75</v>
      </c>
      <c r="D126" s="4">
        <v>-94454.53</v>
      </c>
      <c r="E126" s="4">
        <v>63968.78</v>
      </c>
      <c r="F126" s="3" t="e">
        <f>VLOOKUP(B126,'Profit &amp; Loss'!$B$2:$C$390,2,0)</f>
        <v>#N/A</v>
      </c>
    </row>
    <row r="127" spans="1:6" x14ac:dyDescent="0.2">
      <c r="A127" s="3" t="s">
        <v>121</v>
      </c>
      <c r="B127" s="3" t="s">
        <v>2</v>
      </c>
      <c r="C127" s="4">
        <v>-30485.75</v>
      </c>
      <c r="D127" s="4">
        <v>-94454.53</v>
      </c>
      <c r="E127" s="4">
        <v>63968.78</v>
      </c>
      <c r="F127" s="3" t="e">
        <f>VLOOKUP(B127,'Profit &amp; Loss'!$B$2:$C$390,2,0)</f>
        <v>#N/A</v>
      </c>
    </row>
    <row r="128" spans="1:6" x14ac:dyDescent="0.2">
      <c r="A128" s="3" t="s">
        <v>122</v>
      </c>
      <c r="B128" s="3" t="s">
        <v>123</v>
      </c>
      <c r="C128" s="4">
        <v>-448946.96</v>
      </c>
      <c r="D128" s="4">
        <v>-220094.66</v>
      </c>
      <c r="E128" s="4">
        <v>-228852.3</v>
      </c>
      <c r="F128" s="3" t="e">
        <f>VLOOKUP(B128,'Profit &amp; Loss'!$B$2:$C$390,2,0)</f>
        <v>#N/A</v>
      </c>
    </row>
    <row r="129" spans="1:6" x14ac:dyDescent="0.2">
      <c r="A129" s="3" t="s">
        <v>122</v>
      </c>
      <c r="B129" s="3" t="s">
        <v>124</v>
      </c>
      <c r="C129" s="4">
        <v>3255.51</v>
      </c>
      <c r="D129" s="4">
        <v>1205.58</v>
      </c>
      <c r="E129" s="4">
        <v>2049.9299999999998</v>
      </c>
      <c r="F129" s="3" t="e">
        <f>VLOOKUP(B129,'Profit &amp; Loss'!$B$2:$C$390,2,0)</f>
        <v>#N/A</v>
      </c>
    </row>
    <row r="130" spans="1:6" x14ac:dyDescent="0.2">
      <c r="A130" s="3" t="s">
        <v>122</v>
      </c>
      <c r="B130" s="3" t="s">
        <v>125</v>
      </c>
      <c r="C130" s="4">
        <v>269.45</v>
      </c>
      <c r="D130" s="4">
        <v>269.45</v>
      </c>
      <c r="E130" s="4">
        <v>0</v>
      </c>
      <c r="F130" s="3" t="e">
        <f>VLOOKUP(B130,'Profit &amp; Loss'!$B$2:$C$390,2,0)</f>
        <v>#N/A</v>
      </c>
    </row>
    <row r="131" spans="1:6" x14ac:dyDescent="0.2">
      <c r="A131" s="3" t="s">
        <v>122</v>
      </c>
      <c r="B131" s="3" t="s">
        <v>126</v>
      </c>
      <c r="C131" s="4">
        <v>1482154.56</v>
      </c>
      <c r="D131" s="4">
        <v>2649661.4700000002</v>
      </c>
      <c r="E131" s="4">
        <v>-1167506.9099999999</v>
      </c>
      <c r="F131" s="3" t="e">
        <f>VLOOKUP(B131,'Profit &amp; Loss'!$B$2:$C$390,2,0)</f>
        <v>#N/A</v>
      </c>
    </row>
    <row r="132" spans="1:6" x14ac:dyDescent="0.2">
      <c r="A132" s="3" t="s">
        <v>122</v>
      </c>
      <c r="B132" s="3" t="s">
        <v>127</v>
      </c>
      <c r="C132" s="4">
        <v>1018.08</v>
      </c>
      <c r="D132" s="4">
        <v>-468.53</v>
      </c>
      <c r="E132" s="4">
        <v>1486.61</v>
      </c>
      <c r="F132" s="3" t="e">
        <f>VLOOKUP(B132,'Profit &amp; Loss'!$B$2:$C$390,2,0)</f>
        <v>#N/A</v>
      </c>
    </row>
    <row r="133" spans="1:6" x14ac:dyDescent="0.2">
      <c r="A133" s="3" t="s">
        <v>122</v>
      </c>
      <c r="B133" s="3" t="s">
        <v>128</v>
      </c>
      <c r="C133" s="4">
        <v>14706.68</v>
      </c>
      <c r="D133" s="4">
        <v>7784.27</v>
      </c>
      <c r="E133" s="4">
        <v>6922.41</v>
      </c>
      <c r="F133" s="3" t="e">
        <f>VLOOKUP(B133,'Profit &amp; Loss'!$B$2:$C$390,2,0)</f>
        <v>#N/A</v>
      </c>
    </row>
    <row r="134" spans="1:6" x14ac:dyDescent="0.2">
      <c r="A134" s="3" t="s">
        <v>122</v>
      </c>
      <c r="B134" s="3" t="s">
        <v>129</v>
      </c>
      <c r="C134" s="4">
        <v>-1482154.56</v>
      </c>
      <c r="D134" s="4">
        <v>-2649661.4700000002</v>
      </c>
      <c r="E134" s="4">
        <v>1167506.9099999999</v>
      </c>
      <c r="F134" s="3" t="e">
        <f>VLOOKUP(B134,'Profit &amp; Loss'!$B$2:$C$390,2,0)</f>
        <v>#N/A</v>
      </c>
    </row>
    <row r="135" spans="1:6" x14ac:dyDescent="0.2">
      <c r="A135" s="3" t="s">
        <v>122</v>
      </c>
      <c r="B135" s="3" t="s">
        <v>130</v>
      </c>
      <c r="C135" s="4">
        <v>-1018.08</v>
      </c>
      <c r="D135" s="4">
        <v>468.53</v>
      </c>
      <c r="E135" s="4">
        <v>-1486.61</v>
      </c>
      <c r="F135" s="3" t="e">
        <f>VLOOKUP(B135,'Profit &amp; Loss'!$B$2:$C$390,2,0)</f>
        <v>#N/A</v>
      </c>
    </row>
    <row r="136" spans="1:6" x14ac:dyDescent="0.2">
      <c r="A136" s="3" t="s">
        <v>122</v>
      </c>
      <c r="B136" s="3" t="s">
        <v>131</v>
      </c>
      <c r="C136" s="4">
        <v>-14706.68</v>
      </c>
      <c r="D136" s="4">
        <v>-7784.27</v>
      </c>
      <c r="E136" s="4">
        <v>-6922.41</v>
      </c>
      <c r="F136" s="3" t="e">
        <f>VLOOKUP(B136,'Profit &amp; Loss'!$B$2:$C$390,2,0)</f>
        <v>#N/A</v>
      </c>
    </row>
    <row r="137" spans="1:6" x14ac:dyDescent="0.2">
      <c r="A137" s="3" t="s">
        <v>122</v>
      </c>
      <c r="B137" s="3" t="s">
        <v>132</v>
      </c>
      <c r="C137" s="4">
        <v>-2016.7</v>
      </c>
      <c r="D137" s="4">
        <v>-19666.599999999999</v>
      </c>
      <c r="E137" s="4">
        <v>17649.900000000001</v>
      </c>
      <c r="F137" s="3" t="e">
        <f>VLOOKUP(B137,'Profit &amp; Loss'!$B$2:$C$390,2,0)</f>
        <v>#N/A</v>
      </c>
    </row>
    <row r="138" spans="1:6" x14ac:dyDescent="0.2">
      <c r="A138" s="3" t="s">
        <v>122</v>
      </c>
      <c r="B138" s="3" t="s">
        <v>133</v>
      </c>
      <c r="C138" s="4">
        <v>8842.86</v>
      </c>
      <c r="D138" s="4">
        <v>8228.49</v>
      </c>
      <c r="E138" s="4">
        <v>614.37</v>
      </c>
      <c r="F138" s="3" t="e">
        <f>VLOOKUP(B138,'Profit &amp; Loss'!$B$2:$C$390,2,0)</f>
        <v>#N/A</v>
      </c>
    </row>
    <row r="139" spans="1:6" x14ac:dyDescent="0.2">
      <c r="A139" s="3" t="s">
        <v>122</v>
      </c>
      <c r="B139" s="3" t="s">
        <v>134</v>
      </c>
      <c r="C139" s="4">
        <v>-30.46</v>
      </c>
      <c r="D139" s="4">
        <v>-3678.81</v>
      </c>
      <c r="E139" s="4">
        <v>3648.35</v>
      </c>
      <c r="F139" s="3" t="e">
        <f>VLOOKUP(B139,'Profit &amp; Loss'!$B$2:$C$390,2,0)</f>
        <v>#N/A</v>
      </c>
    </row>
    <row r="140" spans="1:6" x14ac:dyDescent="0.2">
      <c r="A140" s="3" t="s">
        <v>122</v>
      </c>
      <c r="B140" s="3" t="s">
        <v>135</v>
      </c>
      <c r="C140" s="4">
        <v>30.46</v>
      </c>
      <c r="D140" s="4">
        <v>3678.81</v>
      </c>
      <c r="E140" s="4">
        <v>-3648.35</v>
      </c>
      <c r="F140" s="3" t="e">
        <f>VLOOKUP(B140,'Profit &amp; Loss'!$B$2:$C$390,2,0)</f>
        <v>#N/A</v>
      </c>
    </row>
    <row r="141" spans="1:6" x14ac:dyDescent="0.2">
      <c r="A141" s="3" t="s">
        <v>122</v>
      </c>
      <c r="B141" s="3" t="s">
        <v>136</v>
      </c>
      <c r="C141" s="4">
        <v>-25144.44</v>
      </c>
      <c r="D141" s="4">
        <v>-36005.730000000003</v>
      </c>
      <c r="E141" s="4">
        <v>10861.29</v>
      </c>
      <c r="F141" s="3" t="e">
        <f>VLOOKUP(B141,'Profit &amp; Loss'!$B$2:$C$390,2,0)</f>
        <v>#N/A</v>
      </c>
    </row>
    <row r="142" spans="1:6" x14ac:dyDescent="0.2">
      <c r="A142" s="3" t="s">
        <v>122</v>
      </c>
      <c r="B142" s="3" t="s">
        <v>137</v>
      </c>
      <c r="C142" s="4">
        <v>23454.95</v>
      </c>
      <c r="D142" s="4">
        <v>34312.949999999997</v>
      </c>
      <c r="E142" s="4">
        <v>-10858</v>
      </c>
      <c r="F142" s="3" t="e">
        <f>VLOOKUP(B142,'Profit &amp; Loss'!$B$2:$C$390,2,0)</f>
        <v>#N/A</v>
      </c>
    </row>
    <row r="143" spans="1:6" x14ac:dyDescent="0.2">
      <c r="A143" s="3" t="s">
        <v>122</v>
      </c>
      <c r="B143" s="3" t="s">
        <v>138</v>
      </c>
      <c r="C143" s="4">
        <v>-8792.5400000000009</v>
      </c>
      <c r="D143" s="4">
        <v>-1851.61</v>
      </c>
      <c r="E143" s="4">
        <v>-6940.93</v>
      </c>
      <c r="F143" s="3" t="e">
        <f>VLOOKUP(B143,'Profit &amp; Loss'!$B$2:$C$390,2,0)</f>
        <v>#N/A</v>
      </c>
    </row>
    <row r="144" spans="1:6" x14ac:dyDescent="0.2">
      <c r="A144" s="3" t="s">
        <v>122</v>
      </c>
      <c r="B144" s="3" t="s">
        <v>139</v>
      </c>
      <c r="C144" s="4">
        <v>8329.74</v>
      </c>
      <c r="D144" s="4">
        <v>1831.95</v>
      </c>
      <c r="E144" s="4">
        <v>6497.79</v>
      </c>
      <c r="F144" s="3" t="e">
        <f>VLOOKUP(B144,'Profit &amp; Loss'!$B$2:$C$390,2,0)</f>
        <v>#N/A</v>
      </c>
    </row>
    <row r="145" spans="1:6" x14ac:dyDescent="0.2">
      <c r="A145" s="3" t="s">
        <v>122</v>
      </c>
      <c r="B145" s="3" t="s">
        <v>985</v>
      </c>
      <c r="C145" s="4">
        <v>0</v>
      </c>
      <c r="D145" s="4">
        <v>-1586.81</v>
      </c>
      <c r="E145" s="4">
        <v>1586.81</v>
      </c>
      <c r="F145" s="3" t="e">
        <f>VLOOKUP(B145,'Profit &amp; Loss'!$B$2:$C$390,2,0)</f>
        <v>#N/A</v>
      </c>
    </row>
    <row r="146" spans="1:6" x14ac:dyDescent="0.2">
      <c r="A146" s="3" t="s">
        <v>122</v>
      </c>
      <c r="B146" s="3" t="s">
        <v>986</v>
      </c>
      <c r="C146" s="4">
        <v>0</v>
      </c>
      <c r="D146" s="4">
        <v>1586.81</v>
      </c>
      <c r="E146" s="4">
        <v>-1586.81</v>
      </c>
      <c r="F146" s="3" t="e">
        <f>VLOOKUP(B146,'Profit &amp; Loss'!$B$2:$C$390,2,0)</f>
        <v>#N/A</v>
      </c>
    </row>
    <row r="147" spans="1:6" x14ac:dyDescent="0.2">
      <c r="A147" s="3" t="s">
        <v>122</v>
      </c>
      <c r="B147" s="3" t="s">
        <v>140</v>
      </c>
      <c r="C147" s="4">
        <v>-25838.45</v>
      </c>
      <c r="D147" s="4">
        <v>-58831.83</v>
      </c>
      <c r="E147" s="4">
        <v>32993.379999999997</v>
      </c>
      <c r="F147" s="3" t="e">
        <f>VLOOKUP(B147,'Profit &amp; Loss'!$B$2:$C$390,2,0)</f>
        <v>#N/A</v>
      </c>
    </row>
    <row r="148" spans="1:6" x14ac:dyDescent="0.2">
      <c r="A148" s="3" t="s">
        <v>122</v>
      </c>
      <c r="B148" s="3" t="s">
        <v>141</v>
      </c>
      <c r="C148" s="4">
        <v>25838.45</v>
      </c>
      <c r="D148" s="4">
        <v>58831.83</v>
      </c>
      <c r="E148" s="4">
        <v>-32993.379999999997</v>
      </c>
      <c r="F148" s="3" t="e">
        <f>VLOOKUP(B148,'Profit &amp; Loss'!$B$2:$C$390,2,0)</f>
        <v>#N/A</v>
      </c>
    </row>
    <row r="149" spans="1:6" x14ac:dyDescent="0.2">
      <c r="A149" s="3" t="s">
        <v>122</v>
      </c>
      <c r="B149" s="3" t="s">
        <v>142</v>
      </c>
      <c r="C149" s="4">
        <v>-327737.46999999997</v>
      </c>
      <c r="D149" s="4">
        <v>-190865.74</v>
      </c>
      <c r="E149" s="4">
        <v>-136871.73000000001</v>
      </c>
      <c r="F149" s="3" t="e">
        <f>VLOOKUP(B149,'Profit &amp; Loss'!$B$2:$C$390,2,0)</f>
        <v>#N/A</v>
      </c>
    </row>
    <row r="150" spans="1:6" x14ac:dyDescent="0.2">
      <c r="A150" s="3" t="s">
        <v>122</v>
      </c>
      <c r="B150" s="3" t="s">
        <v>143</v>
      </c>
      <c r="C150" s="4">
        <v>327589.90000000002</v>
      </c>
      <c r="D150" s="4">
        <v>190734.47</v>
      </c>
      <c r="E150" s="4">
        <v>136855.43</v>
      </c>
      <c r="F150" s="3" t="e">
        <f>VLOOKUP(B150,'Profit &amp; Loss'!$B$2:$C$390,2,0)</f>
        <v>#N/A</v>
      </c>
    </row>
    <row r="151" spans="1:6" x14ac:dyDescent="0.2">
      <c r="A151" s="3" t="s">
        <v>122</v>
      </c>
      <c r="B151" s="3" t="s">
        <v>144</v>
      </c>
      <c r="C151" s="4">
        <v>176731.45</v>
      </c>
      <c r="D151" s="4">
        <v>176731.45</v>
      </c>
      <c r="E151" s="4">
        <v>0</v>
      </c>
      <c r="F151" s="3" t="e">
        <f>VLOOKUP(B151,'Profit &amp; Loss'!$B$2:$C$390,2,0)</f>
        <v>#N/A</v>
      </c>
    </row>
    <row r="152" spans="1:6" x14ac:dyDescent="0.2">
      <c r="A152" s="3" t="s">
        <v>122</v>
      </c>
      <c r="B152" s="3" t="s">
        <v>145</v>
      </c>
      <c r="C152" s="4">
        <v>-0.48</v>
      </c>
      <c r="D152" s="4">
        <v>-0.48</v>
      </c>
      <c r="E152" s="4">
        <v>0</v>
      </c>
      <c r="F152" s="3" t="e">
        <f>VLOOKUP(B152,'Profit &amp; Loss'!$B$2:$C$390,2,0)</f>
        <v>#N/A</v>
      </c>
    </row>
    <row r="153" spans="1:6" x14ac:dyDescent="0.2">
      <c r="A153" s="3" t="s">
        <v>122</v>
      </c>
      <c r="B153" s="3" t="s">
        <v>146</v>
      </c>
      <c r="C153" s="4">
        <v>0.48</v>
      </c>
      <c r="D153" s="4">
        <v>0.48</v>
      </c>
      <c r="E153" s="4">
        <v>0</v>
      </c>
      <c r="F153" s="3" t="e">
        <f>VLOOKUP(B153,'Profit &amp; Loss'!$B$2:$C$390,2,0)</f>
        <v>#N/A</v>
      </c>
    </row>
    <row r="154" spans="1:6" x14ac:dyDescent="0.2">
      <c r="A154" s="3" t="s">
        <v>122</v>
      </c>
      <c r="B154" s="3" t="s">
        <v>147</v>
      </c>
      <c r="C154" s="4">
        <v>-3038521.14</v>
      </c>
      <c r="D154" s="4">
        <v>-2899900.41</v>
      </c>
      <c r="E154" s="4">
        <v>-138620.73000000001</v>
      </c>
      <c r="F154" s="3" t="e">
        <f>VLOOKUP(B154,'Profit &amp; Loss'!$B$2:$C$390,2,0)</f>
        <v>#N/A</v>
      </c>
    </row>
    <row r="155" spans="1:6" x14ac:dyDescent="0.2">
      <c r="A155" s="3" t="s">
        <v>122</v>
      </c>
      <c r="B155" s="3" t="s">
        <v>2</v>
      </c>
      <c r="C155" s="4">
        <v>-3302685.39</v>
      </c>
      <c r="D155" s="4">
        <v>-2955070.41</v>
      </c>
      <c r="E155" s="4">
        <v>-347614.98</v>
      </c>
      <c r="F155" s="3" t="e">
        <f>VLOOKUP(B155,'Profit &amp; Loss'!$B$2:$C$390,2,0)</f>
        <v>#N/A</v>
      </c>
    </row>
    <row r="156" spans="1:6" x14ac:dyDescent="0.2">
      <c r="A156" s="3" t="s">
        <v>148</v>
      </c>
      <c r="B156" s="3" t="s">
        <v>2</v>
      </c>
      <c r="C156" s="4">
        <v>-3302685.39</v>
      </c>
      <c r="D156" s="4">
        <v>-2955070.41</v>
      </c>
      <c r="E156" s="4">
        <v>-347614.98</v>
      </c>
      <c r="F156" s="3" t="e">
        <f>VLOOKUP(B156,'Profit &amp; Loss'!$B$2:$C$390,2,0)</f>
        <v>#N/A</v>
      </c>
    </row>
    <row r="157" spans="1:6" x14ac:dyDescent="0.2">
      <c r="A157" s="3" t="s">
        <v>149</v>
      </c>
      <c r="B157" s="3" t="s">
        <v>150</v>
      </c>
      <c r="C157" s="4">
        <v>108.76</v>
      </c>
      <c r="D157" s="4">
        <v>108.76</v>
      </c>
      <c r="E157" s="4">
        <v>0</v>
      </c>
      <c r="F157" s="3" t="e">
        <f>VLOOKUP(B157,'Profit &amp; Loss'!$B$2:$C$390,2,0)</f>
        <v>#N/A</v>
      </c>
    </row>
    <row r="158" spans="1:6" x14ac:dyDescent="0.2">
      <c r="A158" s="3" t="s">
        <v>149</v>
      </c>
      <c r="B158" s="3" t="s">
        <v>151</v>
      </c>
      <c r="C158" s="4">
        <v>-452.72</v>
      </c>
      <c r="D158" s="4">
        <v>0</v>
      </c>
      <c r="E158" s="4">
        <v>-452.72</v>
      </c>
      <c r="F158" s="3" t="e">
        <f>VLOOKUP(B158,'Profit &amp; Loss'!$B$2:$C$390,2,0)</f>
        <v>#N/A</v>
      </c>
    </row>
    <row r="159" spans="1:6" x14ac:dyDescent="0.2">
      <c r="A159" s="3" t="s">
        <v>149</v>
      </c>
      <c r="B159" s="3" t="s">
        <v>152</v>
      </c>
      <c r="C159" s="4">
        <v>4855.91</v>
      </c>
      <c r="D159" s="4">
        <v>4855.91</v>
      </c>
      <c r="E159" s="4">
        <v>0</v>
      </c>
      <c r="F159" s="3" t="e">
        <f>VLOOKUP(B159,'Profit &amp; Loss'!$B$2:$C$390,2,0)</f>
        <v>#N/A</v>
      </c>
    </row>
    <row r="160" spans="1:6" x14ac:dyDescent="0.2">
      <c r="A160" s="3" t="s">
        <v>149</v>
      </c>
      <c r="B160" s="3" t="s">
        <v>153</v>
      </c>
      <c r="C160" s="4">
        <v>-248.8</v>
      </c>
      <c r="D160" s="4">
        <v>-248.8</v>
      </c>
      <c r="E160" s="4">
        <v>0</v>
      </c>
      <c r="F160" s="3" t="e">
        <f>VLOOKUP(B160,'Profit &amp; Loss'!$B$2:$C$390,2,0)</f>
        <v>#N/A</v>
      </c>
    </row>
    <row r="161" spans="1:6" x14ac:dyDescent="0.2">
      <c r="A161" s="3" t="s">
        <v>149</v>
      </c>
      <c r="B161" s="3" t="s">
        <v>154</v>
      </c>
      <c r="C161" s="4">
        <v>-5228.29</v>
      </c>
      <c r="D161" s="4">
        <v>-1537.59</v>
      </c>
      <c r="E161" s="4">
        <v>-3690.7</v>
      </c>
      <c r="F161" s="3" t="e">
        <f>VLOOKUP(B161,'Profit &amp; Loss'!$B$2:$C$390,2,0)</f>
        <v>#N/A</v>
      </c>
    </row>
    <row r="162" spans="1:6" x14ac:dyDescent="0.2">
      <c r="A162" s="3" t="s">
        <v>149</v>
      </c>
      <c r="B162" s="3" t="s">
        <v>2</v>
      </c>
      <c r="C162" s="4">
        <v>-965.14</v>
      </c>
      <c r="D162" s="4">
        <v>3178.28</v>
      </c>
      <c r="E162" s="4">
        <v>-4143.42</v>
      </c>
      <c r="F162" s="3" t="e">
        <f>VLOOKUP(B162,'Profit &amp; Loss'!$B$2:$C$390,2,0)</f>
        <v>#N/A</v>
      </c>
    </row>
    <row r="163" spans="1:6" x14ac:dyDescent="0.2">
      <c r="A163" s="3" t="s">
        <v>155</v>
      </c>
      <c r="B163" s="3" t="s">
        <v>2</v>
      </c>
      <c r="C163" s="4">
        <v>-965.14</v>
      </c>
      <c r="D163" s="4">
        <v>3178.28</v>
      </c>
      <c r="E163" s="4">
        <v>-4143.42</v>
      </c>
      <c r="F163" s="3" t="e">
        <f>VLOOKUP(B163,'Profit &amp; Loss'!$B$2:$C$390,2,0)</f>
        <v>#N/A</v>
      </c>
    </row>
    <row r="164" spans="1:6" x14ac:dyDescent="0.2">
      <c r="A164" s="3" t="s">
        <v>156</v>
      </c>
      <c r="B164" s="3" t="s">
        <v>157</v>
      </c>
      <c r="C164" s="4">
        <v>-18908.990000000002</v>
      </c>
      <c r="D164" s="4">
        <v>-18850.63</v>
      </c>
      <c r="E164" s="4">
        <v>-58.36</v>
      </c>
      <c r="F164" s="3" t="e">
        <f>VLOOKUP(B164,'Profit &amp; Loss'!$B$2:$C$390,2,0)</f>
        <v>#N/A</v>
      </c>
    </row>
    <row r="165" spans="1:6" x14ac:dyDescent="0.2">
      <c r="A165" s="3" t="s">
        <v>156</v>
      </c>
      <c r="B165" s="3" t="s">
        <v>158</v>
      </c>
      <c r="C165" s="4">
        <v>1168.55</v>
      </c>
      <c r="D165" s="4">
        <v>1168.55</v>
      </c>
      <c r="E165" s="4">
        <v>0</v>
      </c>
      <c r="F165" s="3" t="e">
        <f>VLOOKUP(B165,'Profit &amp; Loss'!$B$2:$C$390,2,0)</f>
        <v>#N/A</v>
      </c>
    </row>
    <row r="166" spans="1:6" x14ac:dyDescent="0.2">
      <c r="A166" s="3" t="s">
        <v>156</v>
      </c>
      <c r="B166" s="3" t="s">
        <v>159</v>
      </c>
      <c r="C166" s="4">
        <v>-45587.32</v>
      </c>
      <c r="D166" s="4">
        <v>-45587.32</v>
      </c>
      <c r="E166" s="4">
        <v>0</v>
      </c>
      <c r="F166" s="3" t="e">
        <f>VLOOKUP(B166,'Profit &amp; Loss'!$B$2:$C$390,2,0)</f>
        <v>#N/A</v>
      </c>
    </row>
    <row r="167" spans="1:6" x14ac:dyDescent="0.2">
      <c r="A167" s="3" t="s">
        <v>156</v>
      </c>
      <c r="B167" s="3" t="s">
        <v>160</v>
      </c>
      <c r="C167" s="4">
        <v>-556.95000000000005</v>
      </c>
      <c r="D167" s="4">
        <v>-556.95000000000005</v>
      </c>
      <c r="E167" s="4">
        <v>0</v>
      </c>
      <c r="F167" s="3" t="e">
        <f>VLOOKUP(B167,'Profit &amp; Loss'!$B$2:$C$390,2,0)</f>
        <v>#N/A</v>
      </c>
    </row>
    <row r="168" spans="1:6" x14ac:dyDescent="0.2">
      <c r="A168" s="3" t="s">
        <v>156</v>
      </c>
      <c r="B168" s="3" t="s">
        <v>161</v>
      </c>
      <c r="C168" s="4">
        <v>13271.78</v>
      </c>
      <c r="D168" s="4">
        <v>14839.24</v>
      </c>
      <c r="E168" s="4">
        <v>-1567.46</v>
      </c>
      <c r="F168" s="3" t="e">
        <f>VLOOKUP(B168,'Profit &amp; Loss'!$B$2:$C$390,2,0)</f>
        <v>#N/A</v>
      </c>
    </row>
    <row r="169" spans="1:6" x14ac:dyDescent="0.2">
      <c r="A169" s="3" t="s">
        <v>156</v>
      </c>
      <c r="B169" s="3" t="s">
        <v>2</v>
      </c>
      <c r="C169" s="4">
        <v>-50612.93</v>
      </c>
      <c r="D169" s="4">
        <v>-48987.11</v>
      </c>
      <c r="E169" s="4">
        <v>-1625.82</v>
      </c>
      <c r="F169" s="3" t="e">
        <f>VLOOKUP(B169,'Profit &amp; Loss'!$B$2:$C$390,2,0)</f>
        <v>#N/A</v>
      </c>
    </row>
    <row r="170" spans="1:6" x14ac:dyDescent="0.2">
      <c r="A170" s="3" t="s">
        <v>162</v>
      </c>
      <c r="B170" s="3" t="s">
        <v>163</v>
      </c>
      <c r="C170" s="4">
        <v>-68234.289999999994</v>
      </c>
      <c r="D170" s="4">
        <v>-68234.289999999994</v>
      </c>
      <c r="E170" s="4">
        <v>0</v>
      </c>
      <c r="F170" s="3" t="e">
        <f>VLOOKUP(B170,'Profit &amp; Loss'!$B$2:$C$390,2,0)</f>
        <v>#N/A</v>
      </c>
    </row>
    <row r="171" spans="1:6" x14ac:dyDescent="0.2">
      <c r="A171" s="3" t="s">
        <v>162</v>
      </c>
      <c r="B171" s="3" t="s">
        <v>164</v>
      </c>
      <c r="C171" s="4">
        <v>-299672.84000000003</v>
      </c>
      <c r="D171" s="4">
        <v>-299542.49</v>
      </c>
      <c r="E171" s="4">
        <v>-130.35</v>
      </c>
      <c r="F171" s="3" t="e">
        <f>VLOOKUP(B171,'Profit &amp; Loss'!$B$2:$C$390,2,0)</f>
        <v>#N/A</v>
      </c>
    </row>
    <row r="172" spans="1:6" x14ac:dyDescent="0.2">
      <c r="A172" s="3" t="s">
        <v>162</v>
      </c>
      <c r="B172" s="3" t="s">
        <v>165</v>
      </c>
      <c r="C172" s="4">
        <v>-285717.01</v>
      </c>
      <c r="D172" s="4">
        <v>-278996.33</v>
      </c>
      <c r="E172" s="4">
        <v>-6720.68</v>
      </c>
      <c r="F172" s="3" t="e">
        <f>VLOOKUP(B172,'Profit &amp; Loss'!$B$2:$C$390,2,0)</f>
        <v>#N/A</v>
      </c>
    </row>
    <row r="173" spans="1:6" x14ac:dyDescent="0.2">
      <c r="A173" s="3" t="s">
        <v>162</v>
      </c>
      <c r="B173" s="3" t="s">
        <v>166</v>
      </c>
      <c r="C173" s="4">
        <v>-57285.72</v>
      </c>
      <c r="D173" s="4">
        <v>-45968.43</v>
      </c>
      <c r="E173" s="4">
        <v>-11317.29</v>
      </c>
      <c r="F173" s="3" t="e">
        <f>VLOOKUP(B173,'Profit &amp; Loss'!$B$2:$C$390,2,0)</f>
        <v>#N/A</v>
      </c>
    </row>
    <row r="174" spans="1:6" x14ac:dyDescent="0.2">
      <c r="A174" s="3" t="s">
        <v>162</v>
      </c>
      <c r="B174" s="3" t="s">
        <v>167</v>
      </c>
      <c r="C174" s="4">
        <v>-522954.18</v>
      </c>
      <c r="D174" s="4">
        <v>-510774.38</v>
      </c>
      <c r="E174" s="4">
        <v>-12179.8</v>
      </c>
      <c r="F174" s="3" t="e">
        <f>VLOOKUP(B174,'Profit &amp; Loss'!$B$2:$C$390,2,0)</f>
        <v>#N/A</v>
      </c>
    </row>
    <row r="175" spans="1:6" x14ac:dyDescent="0.2">
      <c r="A175" s="3" t="s">
        <v>162</v>
      </c>
      <c r="B175" s="3" t="s">
        <v>168</v>
      </c>
      <c r="C175" s="4">
        <v>-49213.42</v>
      </c>
      <c r="D175" s="4">
        <v>-49190.41</v>
      </c>
      <c r="E175" s="4">
        <v>-23.01</v>
      </c>
      <c r="F175" s="3" t="e">
        <f>VLOOKUP(B175,'Profit &amp; Loss'!$B$2:$C$390,2,0)</f>
        <v>#N/A</v>
      </c>
    </row>
    <row r="176" spans="1:6" x14ac:dyDescent="0.2">
      <c r="A176" s="3" t="s">
        <v>162</v>
      </c>
      <c r="B176" s="3" t="s">
        <v>169</v>
      </c>
      <c r="C176" s="4">
        <v>0</v>
      </c>
      <c r="D176" s="4">
        <v>-427.3</v>
      </c>
      <c r="E176" s="4">
        <v>427.3</v>
      </c>
      <c r="F176" s="3" t="e">
        <f>VLOOKUP(B176,'Profit &amp; Loss'!$B$2:$C$390,2,0)</f>
        <v>#N/A</v>
      </c>
    </row>
    <row r="177" spans="1:6" x14ac:dyDescent="0.2">
      <c r="A177" s="3" t="s">
        <v>162</v>
      </c>
      <c r="B177" s="3" t="s">
        <v>170</v>
      </c>
      <c r="C177" s="4">
        <v>-283556.71000000002</v>
      </c>
      <c r="D177" s="4">
        <v>-283432.56</v>
      </c>
      <c r="E177" s="4">
        <v>-124.15</v>
      </c>
      <c r="F177" s="3" t="e">
        <f>VLOOKUP(B177,'Profit &amp; Loss'!$B$2:$C$390,2,0)</f>
        <v>#N/A</v>
      </c>
    </row>
    <row r="178" spans="1:6" x14ac:dyDescent="0.2">
      <c r="A178" s="3" t="s">
        <v>162</v>
      </c>
      <c r="B178" s="3" t="s">
        <v>171</v>
      </c>
      <c r="C178" s="4">
        <v>-238059.44</v>
      </c>
      <c r="D178" s="4">
        <v>-237955.66</v>
      </c>
      <c r="E178" s="4">
        <v>-103.78</v>
      </c>
      <c r="F178" s="3" t="e">
        <f>VLOOKUP(B178,'Profit &amp; Loss'!$B$2:$C$390,2,0)</f>
        <v>#N/A</v>
      </c>
    </row>
    <row r="179" spans="1:6" x14ac:dyDescent="0.2">
      <c r="A179" s="3" t="s">
        <v>162</v>
      </c>
      <c r="B179" s="3" t="s">
        <v>2</v>
      </c>
      <c r="C179" s="4">
        <v>-1804693.61</v>
      </c>
      <c r="D179" s="4">
        <v>-1774521.85</v>
      </c>
      <c r="E179" s="4">
        <v>-30171.759999999998</v>
      </c>
      <c r="F179" s="3" t="e">
        <f>VLOOKUP(B179,'Profit &amp; Loss'!$B$2:$C$390,2,0)</f>
        <v>#N/A</v>
      </c>
    </row>
    <row r="180" spans="1:6" x14ac:dyDescent="0.2">
      <c r="A180" s="3" t="s">
        <v>172</v>
      </c>
      <c r="B180" s="3" t="s">
        <v>173</v>
      </c>
      <c r="C180" s="4">
        <v>-885.01</v>
      </c>
      <c r="D180" s="4">
        <v>-599.78</v>
      </c>
      <c r="E180" s="4">
        <v>-285.23</v>
      </c>
      <c r="F180" s="3" t="e">
        <f>VLOOKUP(B180,'Profit &amp; Loss'!$B$2:$C$390,2,0)</f>
        <v>#N/A</v>
      </c>
    </row>
    <row r="181" spans="1:6" x14ac:dyDescent="0.2">
      <c r="A181" s="3" t="s">
        <v>172</v>
      </c>
      <c r="B181" s="3" t="s">
        <v>2</v>
      </c>
      <c r="C181" s="4">
        <v>-885.01</v>
      </c>
      <c r="D181" s="4">
        <v>-599.78</v>
      </c>
      <c r="E181" s="4">
        <v>-285.23</v>
      </c>
      <c r="F181" s="3" t="e">
        <f>VLOOKUP(B181,'Profit &amp; Loss'!$B$2:$C$390,2,0)</f>
        <v>#N/A</v>
      </c>
    </row>
    <row r="182" spans="1:6" x14ac:dyDescent="0.2">
      <c r="A182" s="3" t="s">
        <v>174</v>
      </c>
      <c r="B182" s="3" t="s">
        <v>175</v>
      </c>
      <c r="C182" s="4">
        <v>6877.04</v>
      </c>
      <c r="D182" s="4">
        <v>6900.17</v>
      </c>
      <c r="E182" s="4">
        <v>-23.13</v>
      </c>
      <c r="F182" s="3" t="e">
        <f>VLOOKUP(B182,'Profit &amp; Loss'!$B$2:$C$390,2,0)</f>
        <v>#N/A</v>
      </c>
    </row>
    <row r="183" spans="1:6" x14ac:dyDescent="0.2">
      <c r="A183" s="3" t="s">
        <v>174</v>
      </c>
      <c r="B183" s="3" t="s">
        <v>176</v>
      </c>
      <c r="C183" s="4">
        <v>-638118.01</v>
      </c>
      <c r="D183" s="4">
        <v>-629588.43000000005</v>
      </c>
      <c r="E183" s="4">
        <v>-8529.58</v>
      </c>
      <c r="F183" s="3" t="e">
        <f>VLOOKUP(B183,'Profit &amp; Loss'!$B$2:$C$390,2,0)</f>
        <v>#N/A</v>
      </c>
    </row>
    <row r="184" spans="1:6" x14ac:dyDescent="0.2">
      <c r="A184" s="3" t="s">
        <v>174</v>
      </c>
      <c r="B184" s="3" t="s">
        <v>177</v>
      </c>
      <c r="C184" s="4">
        <v>-61279.03</v>
      </c>
      <c r="D184" s="4">
        <v>-61243.8</v>
      </c>
      <c r="E184" s="4">
        <v>-35.229999999999997</v>
      </c>
      <c r="F184" s="3" t="e">
        <f>VLOOKUP(B184,'Profit &amp; Loss'!$B$2:$C$390,2,0)</f>
        <v>#N/A</v>
      </c>
    </row>
    <row r="185" spans="1:6" x14ac:dyDescent="0.2">
      <c r="A185" s="3" t="s">
        <v>174</v>
      </c>
      <c r="B185" s="3" t="s">
        <v>2</v>
      </c>
      <c r="C185" s="4">
        <v>-692520</v>
      </c>
      <c r="D185" s="4">
        <v>-683932.06</v>
      </c>
      <c r="E185" s="4">
        <v>-8587.94</v>
      </c>
      <c r="F185" s="3" t="e">
        <f>VLOOKUP(B185,'Profit &amp; Loss'!$B$2:$C$390,2,0)</f>
        <v>#N/A</v>
      </c>
    </row>
    <row r="186" spans="1:6" x14ac:dyDescent="0.2">
      <c r="A186" s="3" t="s">
        <v>178</v>
      </c>
      <c r="B186" s="3" t="s">
        <v>179</v>
      </c>
      <c r="C186" s="4">
        <v>253478.84</v>
      </c>
      <c r="D186" s="4">
        <v>63589.01</v>
      </c>
      <c r="E186" s="4">
        <v>189889.83</v>
      </c>
      <c r="F186" s="3" t="e">
        <f>VLOOKUP(B186,'Profit &amp; Loss'!$B$2:$C$390,2,0)</f>
        <v>#N/A</v>
      </c>
    </row>
    <row r="187" spans="1:6" x14ac:dyDescent="0.2">
      <c r="A187" s="3" t="s">
        <v>178</v>
      </c>
      <c r="B187" s="3" t="s">
        <v>180</v>
      </c>
      <c r="C187" s="4">
        <v>15204.46</v>
      </c>
      <c r="D187" s="4">
        <v>-11509.72</v>
      </c>
      <c r="E187" s="4">
        <v>26714.18</v>
      </c>
      <c r="F187" s="3" t="e">
        <f>VLOOKUP(B187,'Profit &amp; Loss'!$B$2:$C$390,2,0)</f>
        <v>#N/A</v>
      </c>
    </row>
    <row r="188" spans="1:6" x14ac:dyDescent="0.2">
      <c r="A188" s="3" t="s">
        <v>178</v>
      </c>
      <c r="B188" s="3" t="s">
        <v>181</v>
      </c>
      <c r="C188" s="4">
        <v>1507.09</v>
      </c>
      <c r="D188" s="4">
        <v>-1680.7</v>
      </c>
      <c r="E188" s="4">
        <v>3187.79</v>
      </c>
      <c r="F188" s="3" t="e">
        <f>VLOOKUP(B188,'Profit &amp; Loss'!$B$2:$C$390,2,0)</f>
        <v>#N/A</v>
      </c>
    </row>
    <row r="189" spans="1:6" x14ac:dyDescent="0.2">
      <c r="A189" s="3" t="s">
        <v>178</v>
      </c>
      <c r="B189" s="3" t="s">
        <v>182</v>
      </c>
      <c r="C189" s="4">
        <v>11652.86</v>
      </c>
      <c r="D189" s="4">
        <v>-25035.96</v>
      </c>
      <c r="E189" s="4">
        <v>36688.82</v>
      </c>
      <c r="F189" s="3" t="e">
        <f>VLOOKUP(B189,'Profit &amp; Loss'!$B$2:$C$390,2,0)</f>
        <v>#N/A</v>
      </c>
    </row>
    <row r="190" spans="1:6" x14ac:dyDescent="0.2">
      <c r="A190" s="3" t="s">
        <v>178</v>
      </c>
      <c r="B190" s="3" t="s">
        <v>183</v>
      </c>
      <c r="C190" s="4">
        <v>-3418.83</v>
      </c>
      <c r="D190" s="4">
        <v>-145.35</v>
      </c>
      <c r="E190" s="4">
        <v>-3273.48</v>
      </c>
      <c r="F190" s="3" t="e">
        <f>VLOOKUP(B190,'Profit &amp; Loss'!$B$2:$C$390,2,0)</f>
        <v>#N/A</v>
      </c>
    </row>
    <row r="191" spans="1:6" x14ac:dyDescent="0.2">
      <c r="A191" s="3" t="s">
        <v>178</v>
      </c>
      <c r="B191" s="3" t="s">
        <v>184</v>
      </c>
      <c r="C191" s="4">
        <v>-4112.07</v>
      </c>
      <c r="D191" s="4">
        <v>-5317.88</v>
      </c>
      <c r="E191" s="4">
        <v>1205.81</v>
      </c>
      <c r="F191" s="3" t="e">
        <f>VLOOKUP(B191,'Profit &amp; Loss'!$B$2:$C$390,2,0)</f>
        <v>#N/A</v>
      </c>
    </row>
    <row r="192" spans="1:6" x14ac:dyDescent="0.2">
      <c r="A192" s="3" t="s">
        <v>178</v>
      </c>
      <c r="B192" s="3" t="s">
        <v>185</v>
      </c>
      <c r="C192" s="4">
        <v>-60316.32</v>
      </c>
      <c r="D192" s="4">
        <v>-51004.27</v>
      </c>
      <c r="E192" s="4">
        <v>-9312.0499999999993</v>
      </c>
      <c r="F192" s="3" t="e">
        <f>VLOOKUP(B192,'Profit &amp; Loss'!$B$2:$C$390,2,0)</f>
        <v>#N/A</v>
      </c>
    </row>
    <row r="193" spans="1:6" x14ac:dyDescent="0.2">
      <c r="A193" s="3" t="s">
        <v>178</v>
      </c>
      <c r="B193" s="3" t="s">
        <v>186</v>
      </c>
      <c r="C193" s="4">
        <v>-200</v>
      </c>
      <c r="D193" s="4">
        <v>-200</v>
      </c>
      <c r="E193" s="4">
        <v>0</v>
      </c>
      <c r="F193" s="3" t="e">
        <f>VLOOKUP(B193,'Profit &amp; Loss'!$B$2:$C$390,2,0)</f>
        <v>#N/A</v>
      </c>
    </row>
    <row r="194" spans="1:6" x14ac:dyDescent="0.2">
      <c r="A194" s="3" t="s">
        <v>178</v>
      </c>
      <c r="B194" s="3" t="s">
        <v>187</v>
      </c>
      <c r="C194" s="4">
        <v>-1.39</v>
      </c>
      <c r="D194" s="4">
        <v>590.75</v>
      </c>
      <c r="E194" s="4">
        <v>-592.14</v>
      </c>
      <c r="F194" s="3" t="e">
        <f>VLOOKUP(B194,'Profit &amp; Loss'!$B$2:$C$390,2,0)</f>
        <v>#N/A</v>
      </c>
    </row>
    <row r="195" spans="1:6" x14ac:dyDescent="0.2">
      <c r="A195" s="3" t="s">
        <v>178</v>
      </c>
      <c r="B195" s="3" t="s">
        <v>188</v>
      </c>
      <c r="C195" s="4">
        <v>-2422.25</v>
      </c>
      <c r="D195" s="4">
        <v>-2422.25</v>
      </c>
      <c r="E195" s="4">
        <v>0</v>
      </c>
      <c r="F195" s="3" t="e">
        <f>VLOOKUP(B195,'Profit &amp; Loss'!$B$2:$C$390,2,0)</f>
        <v>#N/A</v>
      </c>
    </row>
    <row r="196" spans="1:6" x14ac:dyDescent="0.2">
      <c r="A196" s="3" t="s">
        <v>178</v>
      </c>
      <c r="B196" s="3" t="s">
        <v>189</v>
      </c>
      <c r="C196" s="4">
        <v>101.08</v>
      </c>
      <c r="D196" s="4">
        <v>15.92</v>
      </c>
      <c r="E196" s="4">
        <v>85.16</v>
      </c>
      <c r="F196" s="3" t="e">
        <f>VLOOKUP(B196,'Profit &amp; Loss'!$B$2:$C$390,2,0)</f>
        <v>#N/A</v>
      </c>
    </row>
    <row r="197" spans="1:6" x14ac:dyDescent="0.2">
      <c r="A197" s="3" t="s">
        <v>178</v>
      </c>
      <c r="B197" s="3" t="s">
        <v>190</v>
      </c>
      <c r="C197" s="4">
        <v>1024.4000000000001</v>
      </c>
      <c r="D197" s="4">
        <v>637.78</v>
      </c>
      <c r="E197" s="4">
        <v>386.62</v>
      </c>
      <c r="F197" s="3" t="e">
        <f>VLOOKUP(B197,'Profit &amp; Loss'!$B$2:$C$390,2,0)</f>
        <v>#N/A</v>
      </c>
    </row>
    <row r="198" spans="1:6" x14ac:dyDescent="0.2">
      <c r="A198" s="3" t="s">
        <v>178</v>
      </c>
      <c r="B198" s="3" t="s">
        <v>191</v>
      </c>
      <c r="C198" s="4">
        <v>-85.51</v>
      </c>
      <c r="D198" s="4">
        <v>-30.93</v>
      </c>
      <c r="E198" s="4">
        <v>-54.58</v>
      </c>
      <c r="F198" s="3" t="e">
        <f>VLOOKUP(B198,'Profit &amp; Loss'!$B$2:$C$390,2,0)</f>
        <v>#N/A</v>
      </c>
    </row>
    <row r="199" spans="1:6" x14ac:dyDescent="0.2">
      <c r="A199" s="3" t="s">
        <v>178</v>
      </c>
      <c r="B199" s="3" t="s">
        <v>192</v>
      </c>
      <c r="C199" s="4">
        <v>11302.79</v>
      </c>
      <c r="D199" s="4">
        <v>20015.61</v>
      </c>
      <c r="E199" s="4">
        <v>-8712.82</v>
      </c>
      <c r="F199" s="3" t="e">
        <f>VLOOKUP(B199,'Profit &amp; Loss'!$B$2:$C$390,2,0)</f>
        <v>#N/A</v>
      </c>
    </row>
    <row r="200" spans="1:6" x14ac:dyDescent="0.2">
      <c r="A200" s="3" t="s">
        <v>178</v>
      </c>
      <c r="B200" s="3" t="s">
        <v>193</v>
      </c>
      <c r="C200" s="4">
        <v>455.76</v>
      </c>
      <c r="D200" s="4">
        <v>970.9</v>
      </c>
      <c r="E200" s="4">
        <v>-515.14</v>
      </c>
      <c r="F200" s="3" t="e">
        <f>VLOOKUP(B200,'Profit &amp; Loss'!$B$2:$C$390,2,0)</f>
        <v>#N/A</v>
      </c>
    </row>
    <row r="201" spans="1:6" x14ac:dyDescent="0.2">
      <c r="A201" s="3" t="s">
        <v>178</v>
      </c>
      <c r="B201" s="3" t="s">
        <v>194</v>
      </c>
      <c r="C201" s="4">
        <v>-23969.25</v>
      </c>
      <c r="D201" s="4">
        <v>-24010.97</v>
      </c>
      <c r="E201" s="4">
        <v>41.72</v>
      </c>
      <c r="F201" s="3" t="e">
        <f>VLOOKUP(B201,'Profit &amp; Loss'!$B$2:$C$390,2,0)</f>
        <v>#N/A</v>
      </c>
    </row>
    <row r="202" spans="1:6" x14ac:dyDescent="0.2">
      <c r="A202" s="3" t="s">
        <v>178</v>
      </c>
      <c r="B202" s="3" t="s">
        <v>195</v>
      </c>
      <c r="C202" s="4">
        <v>-105157.65</v>
      </c>
      <c r="D202" s="4">
        <v>-35205.589999999997</v>
      </c>
      <c r="E202" s="4">
        <v>-69952.06</v>
      </c>
      <c r="F202" s="3" t="e">
        <f>VLOOKUP(B202,'Profit &amp; Loss'!$B$2:$C$390,2,0)</f>
        <v>#N/A</v>
      </c>
    </row>
    <row r="203" spans="1:6" x14ac:dyDescent="0.2">
      <c r="A203" s="3" t="s">
        <v>178</v>
      </c>
      <c r="B203" s="3" t="s">
        <v>196</v>
      </c>
      <c r="C203" s="4">
        <v>-14190.88</v>
      </c>
      <c r="D203" s="4">
        <v>-14877.84</v>
      </c>
      <c r="E203" s="4">
        <v>686.96</v>
      </c>
      <c r="F203" s="3" t="e">
        <f>VLOOKUP(B203,'Profit &amp; Loss'!$B$2:$C$390,2,0)</f>
        <v>#N/A</v>
      </c>
    </row>
    <row r="204" spans="1:6" x14ac:dyDescent="0.2">
      <c r="A204" s="3" t="s">
        <v>178</v>
      </c>
      <c r="B204" s="3" t="s">
        <v>2</v>
      </c>
      <c r="C204" s="4">
        <v>80853.13</v>
      </c>
      <c r="D204" s="4">
        <v>-85621.49</v>
      </c>
      <c r="E204" s="4">
        <v>166474.62</v>
      </c>
      <c r="F204" s="3" t="e">
        <f>VLOOKUP(B204,'Profit &amp; Loss'!$B$2:$C$390,2,0)</f>
        <v>#N/A</v>
      </c>
    </row>
    <row r="205" spans="1:6" x14ac:dyDescent="0.2">
      <c r="A205" s="3" t="s">
        <v>197</v>
      </c>
      <c r="B205" s="3" t="s">
        <v>2</v>
      </c>
      <c r="C205" s="4">
        <v>-2467858.42</v>
      </c>
      <c r="D205" s="4">
        <v>-2593662.29</v>
      </c>
      <c r="E205" s="4">
        <v>125803.87</v>
      </c>
      <c r="F205" s="3" t="e">
        <f>VLOOKUP(B205,'Profit &amp; Loss'!$B$2:$C$390,2,0)</f>
        <v>#N/A</v>
      </c>
    </row>
    <row r="206" spans="1:6" x14ac:dyDescent="0.2">
      <c r="A206" s="3" t="s">
        <v>198</v>
      </c>
      <c r="B206" s="3" t="s">
        <v>199</v>
      </c>
      <c r="C206" s="4">
        <v>1070070.02</v>
      </c>
      <c r="D206" s="4">
        <v>869735.43</v>
      </c>
      <c r="E206" s="4">
        <v>200334.59</v>
      </c>
      <c r="F206" s="3" t="e">
        <f>VLOOKUP(B206,'Profit &amp; Loss'!$B$2:$C$390,2,0)</f>
        <v>#N/A</v>
      </c>
    </row>
    <row r="207" spans="1:6" x14ac:dyDescent="0.2">
      <c r="A207" s="3" t="s">
        <v>198</v>
      </c>
      <c r="B207" s="3" t="s">
        <v>2</v>
      </c>
      <c r="C207" s="4">
        <v>1070070.02</v>
      </c>
      <c r="D207" s="4">
        <v>869735.43</v>
      </c>
      <c r="E207" s="4">
        <v>200334.59</v>
      </c>
      <c r="F207" s="3" t="e">
        <f>VLOOKUP(B207,'Profit &amp; Loss'!$B$2:$C$390,2,0)</f>
        <v>#N/A</v>
      </c>
    </row>
    <row r="208" spans="1:6" x14ac:dyDescent="0.2">
      <c r="A208" s="3" t="s">
        <v>200</v>
      </c>
      <c r="B208" s="3" t="s">
        <v>201</v>
      </c>
      <c r="C208" s="4">
        <v>-5252.67</v>
      </c>
      <c r="D208" s="4">
        <v>-5252.67</v>
      </c>
      <c r="E208" s="4">
        <v>0</v>
      </c>
      <c r="F208" s="3" t="e">
        <f>VLOOKUP(B208,'Profit &amp; Loss'!$B$2:$C$390,2,0)</f>
        <v>#N/A</v>
      </c>
    </row>
    <row r="209" spans="1:6" x14ac:dyDescent="0.2">
      <c r="A209" s="3" t="s">
        <v>200</v>
      </c>
      <c r="B209" s="3" t="s">
        <v>202</v>
      </c>
      <c r="C209" s="4">
        <v>-9208.25</v>
      </c>
      <c r="D209" s="4">
        <v>-9444.9699999999993</v>
      </c>
      <c r="E209" s="4">
        <v>236.72</v>
      </c>
      <c r="F209" s="3" t="e">
        <f>VLOOKUP(B209,'Profit &amp; Loss'!$B$2:$C$390,2,0)</f>
        <v>#N/A</v>
      </c>
    </row>
    <row r="210" spans="1:6" x14ac:dyDescent="0.2">
      <c r="A210" s="3" t="s">
        <v>200</v>
      </c>
      <c r="B210" s="3" t="s">
        <v>203</v>
      </c>
      <c r="C210" s="4">
        <v>-10671.57</v>
      </c>
      <c r="D210" s="4">
        <v>-10671.57</v>
      </c>
      <c r="E210" s="4">
        <v>0</v>
      </c>
      <c r="F210" s="3" t="e">
        <f>VLOOKUP(B210,'Profit &amp; Loss'!$B$2:$C$390,2,0)</f>
        <v>#N/A</v>
      </c>
    </row>
    <row r="211" spans="1:6" x14ac:dyDescent="0.2">
      <c r="A211" s="3" t="s">
        <v>200</v>
      </c>
      <c r="B211" s="3" t="s">
        <v>204</v>
      </c>
      <c r="C211" s="4">
        <v>-20871.29</v>
      </c>
      <c r="D211" s="4">
        <v>-20871.29</v>
      </c>
      <c r="E211" s="4">
        <v>0</v>
      </c>
      <c r="F211" s="3" t="e">
        <f>VLOOKUP(B211,'Profit &amp; Loss'!$B$2:$C$390,2,0)</f>
        <v>#N/A</v>
      </c>
    </row>
    <row r="212" spans="1:6" x14ac:dyDescent="0.2">
      <c r="A212" s="3" t="s">
        <v>200</v>
      </c>
      <c r="B212" s="3" t="s">
        <v>205</v>
      </c>
      <c r="C212" s="4">
        <v>-5.01</v>
      </c>
      <c r="D212" s="4">
        <v>-5.01</v>
      </c>
      <c r="E212" s="4">
        <v>0</v>
      </c>
      <c r="F212" s="3" t="e">
        <f>VLOOKUP(B212,'Profit &amp; Loss'!$B$2:$C$390,2,0)</f>
        <v>#N/A</v>
      </c>
    </row>
    <row r="213" spans="1:6" x14ac:dyDescent="0.2">
      <c r="A213" s="3" t="s">
        <v>200</v>
      </c>
      <c r="B213" s="3" t="s">
        <v>206</v>
      </c>
      <c r="C213" s="4">
        <v>-181.75</v>
      </c>
      <c r="D213" s="4">
        <v>-555.59</v>
      </c>
      <c r="E213" s="4">
        <v>373.84</v>
      </c>
      <c r="F213" s="3" t="e">
        <f>VLOOKUP(B213,'Profit &amp; Loss'!$B$2:$C$390,2,0)</f>
        <v>#N/A</v>
      </c>
    </row>
    <row r="214" spans="1:6" x14ac:dyDescent="0.2">
      <c r="A214" s="3" t="s">
        <v>200</v>
      </c>
      <c r="B214" s="3" t="s">
        <v>207</v>
      </c>
      <c r="C214" s="4">
        <v>1.66</v>
      </c>
      <c r="D214" s="4">
        <v>1.31</v>
      </c>
      <c r="E214" s="4">
        <v>0.35</v>
      </c>
      <c r="F214" s="3" t="e">
        <f>VLOOKUP(B214,'Profit &amp; Loss'!$B$2:$C$390,2,0)</f>
        <v>#N/A</v>
      </c>
    </row>
    <row r="215" spans="1:6" x14ac:dyDescent="0.2">
      <c r="A215" s="3" t="s">
        <v>200</v>
      </c>
      <c r="B215" s="3" t="s">
        <v>208</v>
      </c>
      <c r="C215" s="4">
        <v>-138766.13</v>
      </c>
      <c r="D215" s="4">
        <v>-138766.13</v>
      </c>
      <c r="E215" s="4">
        <v>0</v>
      </c>
      <c r="F215" s="3" t="e">
        <f>VLOOKUP(B215,'Profit &amp; Loss'!$B$2:$C$390,2,0)</f>
        <v>#N/A</v>
      </c>
    </row>
    <row r="216" spans="1:6" x14ac:dyDescent="0.2">
      <c r="A216" s="3" t="s">
        <v>200</v>
      </c>
      <c r="B216" s="3" t="s">
        <v>209</v>
      </c>
      <c r="C216" s="4">
        <v>-0.03</v>
      </c>
      <c r="D216" s="4">
        <v>-0.03</v>
      </c>
      <c r="E216" s="4">
        <v>0</v>
      </c>
      <c r="F216" s="3" t="e">
        <f>VLOOKUP(B216,'Profit &amp; Loss'!$B$2:$C$390,2,0)</f>
        <v>#N/A</v>
      </c>
    </row>
    <row r="217" spans="1:6" x14ac:dyDescent="0.2">
      <c r="A217" s="3" t="s">
        <v>200</v>
      </c>
      <c r="B217" s="3" t="s">
        <v>2</v>
      </c>
      <c r="C217" s="4">
        <v>-184955.04</v>
      </c>
      <c r="D217" s="4">
        <v>-185565.95</v>
      </c>
      <c r="E217" s="4">
        <v>610.91</v>
      </c>
      <c r="F217" s="3" t="e">
        <f>VLOOKUP(B217,'Profit &amp; Loss'!$B$2:$C$390,2,0)</f>
        <v>#N/A</v>
      </c>
    </row>
    <row r="218" spans="1:6" x14ac:dyDescent="0.2">
      <c r="A218" s="3" t="s">
        <v>210</v>
      </c>
      <c r="B218" s="3" t="s">
        <v>2</v>
      </c>
      <c r="C218" s="4">
        <v>885114.98</v>
      </c>
      <c r="D218" s="4">
        <v>684169.48</v>
      </c>
      <c r="E218" s="4">
        <v>200945.5</v>
      </c>
      <c r="F218" s="3" t="e">
        <f>VLOOKUP(B218,'Profit &amp; Loss'!$B$2:$C$390,2,0)</f>
        <v>#N/A</v>
      </c>
    </row>
    <row r="219" spans="1:6" x14ac:dyDescent="0.2">
      <c r="A219" s="3" t="s">
        <v>211</v>
      </c>
      <c r="B219" s="3" t="s">
        <v>212</v>
      </c>
      <c r="C219" s="4">
        <v>-100538.75</v>
      </c>
      <c r="D219" s="4">
        <v>-161779.76</v>
      </c>
      <c r="E219" s="4">
        <v>61241.01</v>
      </c>
      <c r="F219" s="3" t="e">
        <f>VLOOKUP(B219,'Profit &amp; Loss'!$B$2:$C$390,2,0)</f>
        <v>#N/A</v>
      </c>
    </row>
    <row r="220" spans="1:6" x14ac:dyDescent="0.2">
      <c r="A220" s="3" t="s">
        <v>211</v>
      </c>
      <c r="B220" s="3" t="s">
        <v>213</v>
      </c>
      <c r="C220" s="4">
        <v>-182380.25</v>
      </c>
      <c r="D220" s="4">
        <v>-145852.34</v>
      </c>
      <c r="E220" s="4">
        <v>-36527.910000000003</v>
      </c>
      <c r="F220" s="3" t="e">
        <f>VLOOKUP(B220,'Profit &amp; Loss'!$B$2:$C$390,2,0)</f>
        <v>#N/A</v>
      </c>
    </row>
    <row r="221" spans="1:6" x14ac:dyDescent="0.2">
      <c r="A221" s="3" t="s">
        <v>211</v>
      </c>
      <c r="B221" s="3" t="s">
        <v>214</v>
      </c>
      <c r="C221" s="4">
        <v>-82687.83</v>
      </c>
      <c r="D221" s="4">
        <v>-64639.83</v>
      </c>
      <c r="E221" s="4">
        <v>-18048</v>
      </c>
      <c r="F221" s="3" t="e">
        <f>VLOOKUP(B221,'Profit &amp; Loss'!$B$2:$C$390,2,0)</f>
        <v>#N/A</v>
      </c>
    </row>
    <row r="222" spans="1:6" x14ac:dyDescent="0.2">
      <c r="A222" s="3" t="s">
        <v>211</v>
      </c>
      <c r="B222" s="3" t="s">
        <v>215</v>
      </c>
      <c r="C222" s="4">
        <v>-81661.3</v>
      </c>
      <c r="D222" s="4">
        <v>-81661.3</v>
      </c>
      <c r="E222" s="4">
        <v>0</v>
      </c>
      <c r="F222" s="3" t="e">
        <f>VLOOKUP(B222,'Profit &amp; Loss'!$B$2:$C$390,2,0)</f>
        <v>#N/A</v>
      </c>
    </row>
    <row r="223" spans="1:6" x14ac:dyDescent="0.2">
      <c r="A223" s="3" t="s">
        <v>211</v>
      </c>
      <c r="B223" s="3" t="s">
        <v>216</v>
      </c>
      <c r="C223" s="4">
        <v>-193620.1</v>
      </c>
      <c r="D223" s="4">
        <v>-38116.230000000003</v>
      </c>
      <c r="E223" s="4">
        <v>-155503.87</v>
      </c>
      <c r="F223" s="3" t="e">
        <f>VLOOKUP(B223,'Profit &amp; Loss'!$B$2:$C$390,2,0)</f>
        <v>#N/A</v>
      </c>
    </row>
    <row r="224" spans="1:6" x14ac:dyDescent="0.2">
      <c r="A224" s="3" t="s">
        <v>211</v>
      </c>
      <c r="B224" s="3" t="s">
        <v>217</v>
      </c>
      <c r="C224" s="4">
        <v>-267307.84000000003</v>
      </c>
      <c r="D224" s="4">
        <v>-222266.01</v>
      </c>
      <c r="E224" s="4">
        <v>-45041.83</v>
      </c>
      <c r="F224" s="3" t="e">
        <f>VLOOKUP(B224,'Profit &amp; Loss'!$B$2:$C$390,2,0)</f>
        <v>#N/A</v>
      </c>
    </row>
    <row r="225" spans="1:6" x14ac:dyDescent="0.2">
      <c r="A225" s="3" t="s">
        <v>211</v>
      </c>
      <c r="B225" s="3" t="s">
        <v>2</v>
      </c>
      <c r="C225" s="4">
        <v>-908196.07</v>
      </c>
      <c r="D225" s="4">
        <v>-714315.47</v>
      </c>
      <c r="E225" s="4">
        <v>-193880.6</v>
      </c>
      <c r="F225" s="3" t="e">
        <f>VLOOKUP(B225,'Profit &amp; Loss'!$B$2:$C$390,2,0)</f>
        <v>#N/A</v>
      </c>
    </row>
    <row r="226" spans="1:6" x14ac:dyDescent="0.2">
      <c r="A226" s="3" t="s">
        <v>218</v>
      </c>
      <c r="B226" s="3" t="s">
        <v>2</v>
      </c>
      <c r="C226" s="4">
        <v>-908196.07</v>
      </c>
      <c r="D226" s="4">
        <v>-714315.47</v>
      </c>
      <c r="E226" s="4">
        <v>-193880.6</v>
      </c>
      <c r="F226" s="3" t="e">
        <f>VLOOKUP(B226,'Profit &amp; Loss'!$B$2:$C$390,2,0)</f>
        <v>#N/A</v>
      </c>
    </row>
    <row r="227" spans="1:6" x14ac:dyDescent="0.2">
      <c r="A227" s="3" t="s">
        <v>219</v>
      </c>
      <c r="B227" s="3" t="s">
        <v>220</v>
      </c>
      <c r="C227" s="4">
        <v>120.57</v>
      </c>
      <c r="D227" s="4">
        <v>120.57</v>
      </c>
      <c r="E227" s="4">
        <v>0</v>
      </c>
      <c r="F227" s="3" t="e">
        <f>VLOOKUP(B227,'Profit &amp; Loss'!$B$2:$C$390,2,0)</f>
        <v>#N/A</v>
      </c>
    </row>
    <row r="228" spans="1:6" x14ac:dyDescent="0.2">
      <c r="A228" s="3" t="s">
        <v>219</v>
      </c>
      <c r="B228" s="3" t="s">
        <v>221</v>
      </c>
      <c r="C228" s="4">
        <v>596.78</v>
      </c>
      <c r="D228" s="4">
        <v>596.78</v>
      </c>
      <c r="E228" s="4">
        <v>0</v>
      </c>
      <c r="F228" s="3" t="e">
        <f>VLOOKUP(B228,'Profit &amp; Loss'!$B$2:$C$390,2,0)</f>
        <v>#N/A</v>
      </c>
    </row>
    <row r="229" spans="1:6" x14ac:dyDescent="0.2">
      <c r="A229" s="3" t="s">
        <v>219</v>
      </c>
      <c r="B229" s="3" t="s">
        <v>222</v>
      </c>
      <c r="C229" s="4">
        <v>51657052.990000002</v>
      </c>
      <c r="D229" s="4">
        <v>43973507.759999998</v>
      </c>
      <c r="E229" s="4">
        <v>7683545.2300000004</v>
      </c>
      <c r="F229" s="3" t="e">
        <f>VLOOKUP(B229,'Profit &amp; Loss'!$B$2:$C$390,2,0)</f>
        <v>#N/A</v>
      </c>
    </row>
    <row r="230" spans="1:6" x14ac:dyDescent="0.2">
      <c r="A230" s="3" t="s">
        <v>219</v>
      </c>
      <c r="B230" s="3" t="s">
        <v>2</v>
      </c>
      <c r="C230" s="4">
        <v>51657770.340000004</v>
      </c>
      <c r="D230" s="4">
        <v>43974225.109999999</v>
      </c>
      <c r="E230" s="4">
        <v>7683545.2300000004</v>
      </c>
      <c r="F230" s="3" t="e">
        <f>VLOOKUP(B230,'Profit &amp; Loss'!$B$2:$C$390,2,0)</f>
        <v>#N/A</v>
      </c>
    </row>
    <row r="231" spans="1:6" x14ac:dyDescent="0.2">
      <c r="A231" s="3" t="s">
        <v>223</v>
      </c>
      <c r="B231" s="3" t="s">
        <v>2</v>
      </c>
      <c r="C231" s="4">
        <v>51657770.340000004</v>
      </c>
      <c r="D231" s="4">
        <v>43974225.109999999</v>
      </c>
      <c r="E231" s="4">
        <v>7683545.2300000004</v>
      </c>
      <c r="F231" s="3" t="e">
        <f>VLOOKUP(B231,'Profit &amp; Loss'!$B$2:$C$390,2,0)</f>
        <v>#N/A</v>
      </c>
    </row>
    <row r="232" spans="1:6" x14ac:dyDescent="0.2">
      <c r="A232" s="3" t="s">
        <v>224</v>
      </c>
      <c r="B232" s="3" t="s">
        <v>2</v>
      </c>
      <c r="C232" s="4">
        <v>45832694.549999997</v>
      </c>
      <c r="D232" s="4">
        <v>38304070.170000002</v>
      </c>
      <c r="E232" s="4">
        <v>7528624.3799999999</v>
      </c>
      <c r="F232" s="3" t="e">
        <f>VLOOKUP(B232,'Profit &amp; Loss'!$B$2:$C$390,2,0)</f>
        <v>#N/A</v>
      </c>
    </row>
    <row r="233" spans="1:6" x14ac:dyDescent="0.2">
      <c r="A233" s="3" t="s">
        <v>225</v>
      </c>
      <c r="B233" s="3" t="s">
        <v>226</v>
      </c>
      <c r="C233" s="4">
        <v>-85746371.450000003</v>
      </c>
      <c r="D233" s="4">
        <v>-85746371.450000003</v>
      </c>
      <c r="E233" s="4">
        <v>0</v>
      </c>
      <c r="F233" s="3" t="e">
        <f>VLOOKUP(B233,'Profit &amp; Loss'!$B$2:$C$390,2,0)</f>
        <v>#N/A</v>
      </c>
    </row>
    <row r="234" spans="1:6" x14ac:dyDescent="0.2">
      <c r="A234" s="3" t="s">
        <v>225</v>
      </c>
      <c r="B234" s="3" t="s">
        <v>2</v>
      </c>
      <c r="C234" s="4">
        <v>-85746371.450000003</v>
      </c>
      <c r="D234" s="4">
        <v>-85746371.450000003</v>
      </c>
      <c r="E234" s="4">
        <v>0</v>
      </c>
      <c r="F234" s="3" t="e">
        <f>VLOOKUP(B234,'Profit &amp; Loss'!$B$2:$C$390,2,0)</f>
        <v>#N/A</v>
      </c>
    </row>
    <row r="235" spans="1:6" x14ac:dyDescent="0.2">
      <c r="A235" s="3" t="s">
        <v>227</v>
      </c>
      <c r="B235" s="3" t="s">
        <v>2</v>
      </c>
      <c r="C235" s="4">
        <v>-85746371.450000003</v>
      </c>
      <c r="D235" s="4">
        <v>-85746371.450000003</v>
      </c>
      <c r="E235" s="4">
        <v>0</v>
      </c>
      <c r="F235" s="3" t="e">
        <f>VLOOKUP(B235,'Profit &amp; Loss'!$B$2:$C$390,2,0)</f>
        <v>#N/A</v>
      </c>
    </row>
    <row r="236" spans="1:6" x14ac:dyDescent="0.2">
      <c r="A236" s="3" t="s">
        <v>228</v>
      </c>
      <c r="B236" s="3" t="s">
        <v>2</v>
      </c>
      <c r="C236" s="4">
        <v>-85746371.450000003</v>
      </c>
      <c r="D236" s="4">
        <v>-85746371.450000003</v>
      </c>
      <c r="E236" s="4">
        <v>0</v>
      </c>
      <c r="F236" s="3" t="e">
        <f>VLOOKUP(B236,'Profit &amp; Loss'!$B$2:$C$390,2,0)</f>
        <v>#N/A</v>
      </c>
    </row>
    <row r="237" spans="1:6" x14ac:dyDescent="0.2">
      <c r="A237" s="3" t="s">
        <v>229</v>
      </c>
      <c r="B237" s="3" t="s">
        <v>230</v>
      </c>
      <c r="C237" s="4">
        <v>0</v>
      </c>
      <c r="D237" s="4">
        <v>0</v>
      </c>
      <c r="E237" s="4">
        <v>0</v>
      </c>
      <c r="F237" s="3" t="e">
        <f>VLOOKUP(B237,'Profit &amp; Loss'!$B$2:$C$390,2,0)</f>
        <v>#N/A</v>
      </c>
    </row>
    <row r="238" spans="1:6" x14ac:dyDescent="0.2">
      <c r="A238" s="3" t="s">
        <v>229</v>
      </c>
      <c r="B238" s="5" t="s">
        <v>231</v>
      </c>
      <c r="C238" s="4">
        <v>0</v>
      </c>
      <c r="D238" s="4">
        <v>0</v>
      </c>
      <c r="E238" s="4">
        <v>0</v>
      </c>
      <c r="F238" s="3" t="e">
        <f>VLOOKUP(B238,'Profit &amp; Loss'!$B$2:$C$390,2,0)</f>
        <v>#N/A</v>
      </c>
    </row>
    <row r="239" spans="1:6" x14ac:dyDescent="0.2">
      <c r="A239" s="3" t="s">
        <v>232</v>
      </c>
      <c r="B239" s="3" t="s">
        <v>2</v>
      </c>
      <c r="C239" s="4">
        <v>-23190662.059999999</v>
      </c>
      <c r="D239" s="4">
        <v>-20572369.120000001</v>
      </c>
      <c r="E239" s="4">
        <v>-2618292.94</v>
      </c>
      <c r="F239" s="3" t="e">
        <f>VLOOKUP(B239,'Profit &amp; Loss'!$B$2:$C$390,2,0)</f>
        <v>#N/A</v>
      </c>
    </row>
    <row r="240" spans="1:6" x14ac:dyDescent="0.2">
      <c r="A240" s="3" t="s">
        <v>229</v>
      </c>
      <c r="B240" s="3" t="s">
        <v>233</v>
      </c>
      <c r="C240" s="4">
        <v>-23190662.059999999</v>
      </c>
      <c r="D240" s="4">
        <v>-20572369.120000001</v>
      </c>
      <c r="E240" s="4">
        <v>-2618292.94</v>
      </c>
      <c r="F240" s="3" t="e">
        <f>VLOOKUP(B240,'Profit &amp; Loss'!$B$2:$C$390,2,0)</f>
        <v>#N/A</v>
      </c>
    </row>
    <row r="241" spans="1:6" x14ac:dyDescent="0.2">
      <c r="A241" s="3" t="s">
        <v>229</v>
      </c>
      <c r="B241" s="5" t="s">
        <v>234</v>
      </c>
      <c r="C241" s="4">
        <v>0</v>
      </c>
      <c r="D241" s="4">
        <v>0</v>
      </c>
      <c r="E241" s="4">
        <v>0</v>
      </c>
      <c r="F241" s="3" t="e">
        <f>VLOOKUP(B241,'Profit &amp; Loss'!$B$2:$C$390,2,0)</f>
        <v>#N/A</v>
      </c>
    </row>
    <row r="242" spans="1:6" x14ac:dyDescent="0.2">
      <c r="A242" s="3" t="s">
        <v>115</v>
      </c>
      <c r="B242" s="3" t="s">
        <v>235</v>
      </c>
      <c r="C242" s="4">
        <v>-63104338.960000001</v>
      </c>
      <c r="D242" s="4">
        <v>-68014670.400000006</v>
      </c>
      <c r="E242" s="4">
        <v>4910331.4400000004</v>
      </c>
      <c r="F242" s="3" t="e">
        <f>VLOOKUP(B242,'Profit &amp; Loss'!$B$2:$C$390,2,0)</f>
        <v>#N/A</v>
      </c>
    </row>
    <row r="243" spans="1:6" x14ac:dyDescent="0.2">
      <c r="A243" s="3" t="s">
        <v>115</v>
      </c>
      <c r="B243" s="5" t="s">
        <v>236</v>
      </c>
      <c r="C243" s="4">
        <v>0</v>
      </c>
      <c r="D243" s="4">
        <v>0</v>
      </c>
      <c r="E243" s="4">
        <v>0</v>
      </c>
      <c r="F243" s="3" t="e">
        <f>VLOOKUP(B243,'Profit &amp; Loss'!$B$2:$C$390,2,0)</f>
        <v>#N/A</v>
      </c>
    </row>
    <row r="244" spans="1:6" x14ac:dyDescent="0.2">
      <c r="A244" s="3" t="s">
        <v>237</v>
      </c>
      <c r="B244" s="3" t="s">
        <v>238</v>
      </c>
      <c r="C244" s="4">
        <v>0</v>
      </c>
      <c r="D244" s="4">
        <v>0</v>
      </c>
      <c r="E244" s="4">
        <v>0</v>
      </c>
      <c r="F244" s="3">
        <f>VLOOKUP(B244,'Profit &amp; Loss'!$B$2:$C$390,2,0)</f>
        <v>0</v>
      </c>
    </row>
    <row r="245" spans="1:6" x14ac:dyDescent="0.2">
      <c r="A245" s="3" t="s">
        <v>237</v>
      </c>
      <c r="B245" s="5" t="s">
        <v>239</v>
      </c>
      <c r="C245" s="4">
        <v>0</v>
      </c>
      <c r="D245" s="4">
        <v>0</v>
      </c>
      <c r="E245" s="4">
        <v>0</v>
      </c>
      <c r="F245" s="3" t="e">
        <f>VLOOKUP(B245,'Profit &amp; Loss'!$B$2:$C$390,2,0)</f>
        <v>#N/A</v>
      </c>
    </row>
    <row r="246" spans="1:6" x14ac:dyDescent="0.2">
      <c r="A246" s="3" t="s">
        <v>240</v>
      </c>
      <c r="B246" s="3" t="s">
        <v>241</v>
      </c>
      <c r="C246" s="4">
        <v>-3482842.7</v>
      </c>
      <c r="D246" s="4">
        <v>-3482842.7</v>
      </c>
      <c r="E246" s="4">
        <v>0</v>
      </c>
      <c r="F246" s="3">
        <f>VLOOKUP(B246,'Profit &amp; Loss'!$B$2:$C$390,2,0)</f>
        <v>-58033.760000000002</v>
      </c>
    </row>
    <row r="247" spans="1:6" x14ac:dyDescent="0.2">
      <c r="A247" s="3" t="s">
        <v>240</v>
      </c>
      <c r="B247" s="3" t="s">
        <v>824</v>
      </c>
      <c r="C247" s="4">
        <v>3837.96</v>
      </c>
      <c r="D247" s="4">
        <v>3837.96</v>
      </c>
      <c r="E247" s="4">
        <v>0</v>
      </c>
      <c r="F247" s="3">
        <f>VLOOKUP(B247,'Profit &amp; Loss'!$B$2:$C$390,2,0)</f>
        <v>3837.96</v>
      </c>
    </row>
    <row r="248" spans="1:6" x14ac:dyDescent="0.2">
      <c r="A248" s="3" t="s">
        <v>240</v>
      </c>
      <c r="B248" s="3" t="s">
        <v>242</v>
      </c>
      <c r="C248" s="4">
        <v>-41269.47</v>
      </c>
      <c r="D248" s="4">
        <v>-41269.47</v>
      </c>
      <c r="E248" s="4">
        <v>0</v>
      </c>
      <c r="F248" s="3">
        <f>VLOOKUP(B248,'Profit &amp; Loss'!$B$2:$C$390,2,0)</f>
        <v>0</v>
      </c>
    </row>
    <row r="249" spans="1:6" x14ac:dyDescent="0.2">
      <c r="A249" s="3" t="s">
        <v>240</v>
      </c>
      <c r="B249" s="3" t="s">
        <v>1492</v>
      </c>
      <c r="C249" s="4">
        <v>-138766.13</v>
      </c>
      <c r="D249" s="4">
        <v>-138766.13</v>
      </c>
      <c r="E249" s="4">
        <v>0</v>
      </c>
      <c r="F249" s="3">
        <f>VLOOKUP(B249,'Profit &amp; Loss'!$B$2:$C$390,2,0)</f>
        <v>0</v>
      </c>
    </row>
    <row r="250" spans="1:6" x14ac:dyDescent="0.2">
      <c r="A250" s="3" t="s">
        <v>240</v>
      </c>
      <c r="B250" s="3" t="s">
        <v>243</v>
      </c>
      <c r="C250" s="4">
        <v>138766.13</v>
      </c>
      <c r="D250" s="4">
        <v>138766.13</v>
      </c>
      <c r="E250" s="4">
        <v>0</v>
      </c>
      <c r="F250" s="3">
        <f>VLOOKUP(B250,'Profit &amp; Loss'!$B$2:$C$390,2,0)</f>
        <v>0</v>
      </c>
    </row>
    <row r="251" spans="1:6" x14ac:dyDescent="0.2">
      <c r="A251" s="3" t="s">
        <v>240</v>
      </c>
      <c r="B251" s="3" t="s">
        <v>1493</v>
      </c>
      <c r="C251" s="4">
        <v>-986368.35</v>
      </c>
      <c r="D251" s="4">
        <v>-986368.35</v>
      </c>
      <c r="E251" s="4">
        <v>0</v>
      </c>
      <c r="F251" s="3">
        <f>VLOOKUP(B251,'Profit &amp; Loss'!$B$2:$C$390,2,0)</f>
        <v>0</v>
      </c>
    </row>
    <row r="252" spans="1:6" x14ac:dyDescent="0.2">
      <c r="A252" s="3" t="s">
        <v>240</v>
      </c>
      <c r="B252" s="3" t="s">
        <v>1494</v>
      </c>
      <c r="C252" s="4">
        <v>995141.34</v>
      </c>
      <c r="D252" s="4">
        <v>995141.34</v>
      </c>
      <c r="E252" s="4">
        <v>0</v>
      </c>
      <c r="F252" s="3">
        <f>VLOOKUP(B252,'Profit &amp; Loss'!$B$2:$C$390,2,0)</f>
        <v>0</v>
      </c>
    </row>
    <row r="253" spans="1:6" x14ac:dyDescent="0.2">
      <c r="A253" s="3" t="s">
        <v>240</v>
      </c>
      <c r="B253" s="3" t="s">
        <v>2</v>
      </c>
      <c r="C253" s="4">
        <v>-3511501.22</v>
      </c>
      <c r="D253" s="4">
        <v>-3511501.22</v>
      </c>
      <c r="E253" s="4">
        <v>0</v>
      </c>
      <c r="F253" s="3" t="e">
        <f>VLOOKUP(B253,'Profit &amp; Loss'!$B$2:$C$390,2,0)</f>
        <v>#N/A</v>
      </c>
    </row>
    <row r="254" spans="1:6" x14ac:dyDescent="0.2">
      <c r="A254" s="3" t="s">
        <v>244</v>
      </c>
      <c r="B254" s="3" t="s">
        <v>245</v>
      </c>
      <c r="C254" s="4">
        <v>-75483896.370000005</v>
      </c>
      <c r="D254" s="4">
        <v>-65812104.140000001</v>
      </c>
      <c r="E254" s="4">
        <v>-9671792.2300000004</v>
      </c>
      <c r="F254" s="3">
        <f>VLOOKUP(B254,'Profit &amp; Loss'!$B$2:$C$390,2,0)</f>
        <v>-4673022.7699999996</v>
      </c>
    </row>
    <row r="255" spans="1:6" x14ac:dyDescent="0.2">
      <c r="A255" s="3" t="s">
        <v>244</v>
      </c>
      <c r="B255" s="3" t="s">
        <v>536</v>
      </c>
      <c r="C255" s="4">
        <v>-2037946.67</v>
      </c>
      <c r="D255" s="4">
        <v>-936458.26</v>
      </c>
      <c r="E255" s="4">
        <v>-1101488.4099999999</v>
      </c>
      <c r="F255" s="3">
        <f>VLOOKUP(B255,'Profit &amp; Loss'!$B$2:$C$390,2,0)</f>
        <v>-9457.2900000000009</v>
      </c>
    </row>
    <row r="256" spans="1:6" x14ac:dyDescent="0.2">
      <c r="A256" s="3" t="s">
        <v>244</v>
      </c>
      <c r="B256" s="3" t="s">
        <v>537</v>
      </c>
      <c r="C256" s="4">
        <v>103651.53</v>
      </c>
      <c r="D256" s="4">
        <v>57230.52</v>
      </c>
      <c r="E256" s="4">
        <v>46421.01</v>
      </c>
      <c r="F256" s="3">
        <f>VLOOKUP(B256,'Profit &amp; Loss'!$B$2:$C$390,2,0)</f>
        <v>0.01</v>
      </c>
    </row>
    <row r="257" spans="1:6" x14ac:dyDescent="0.2">
      <c r="A257" s="3" t="s">
        <v>244</v>
      </c>
      <c r="B257" s="3" t="s">
        <v>246</v>
      </c>
      <c r="C257" s="4">
        <v>-914527.89</v>
      </c>
      <c r="D257" s="4">
        <v>-853168.99</v>
      </c>
      <c r="E257" s="4">
        <v>-61358.9</v>
      </c>
      <c r="F257" s="3">
        <f>VLOOKUP(B257,'Profit &amp; Loss'!$B$2:$C$390,2,0)</f>
        <v>-49623.57</v>
      </c>
    </row>
    <row r="258" spans="1:6" x14ac:dyDescent="0.2">
      <c r="A258" s="3" t="s">
        <v>244</v>
      </c>
      <c r="B258" s="3" t="s">
        <v>247</v>
      </c>
      <c r="C258" s="4">
        <v>-568.16</v>
      </c>
      <c r="D258" s="4">
        <v>-453.17</v>
      </c>
      <c r="E258" s="4">
        <v>-114.99</v>
      </c>
      <c r="F258" s="3">
        <f>VLOOKUP(B258,'Profit &amp; Loss'!$B$2:$C$390,2,0)</f>
        <v>-27.12</v>
      </c>
    </row>
    <row r="259" spans="1:6" x14ac:dyDescent="0.2">
      <c r="A259" s="3" t="s">
        <v>244</v>
      </c>
      <c r="B259" s="3" t="s">
        <v>949</v>
      </c>
      <c r="C259" s="4">
        <v>-316188.95</v>
      </c>
      <c r="D259" s="4">
        <v>-316188.95</v>
      </c>
      <c r="E259" s="4">
        <v>0</v>
      </c>
      <c r="F259" s="3">
        <f>VLOOKUP(B259,'Profit &amp; Loss'!$B$2:$C$390,2,0)</f>
        <v>-133950.59</v>
      </c>
    </row>
    <row r="260" spans="1:6" x14ac:dyDescent="0.2">
      <c r="A260" s="3" t="s">
        <v>244</v>
      </c>
      <c r="B260" s="3" t="s">
        <v>248</v>
      </c>
      <c r="C260" s="4">
        <v>-626001.36</v>
      </c>
      <c r="D260" s="4">
        <v>-498333.73</v>
      </c>
      <c r="E260" s="4">
        <v>-127667.63</v>
      </c>
      <c r="F260" s="3">
        <f>VLOOKUP(B260,'Profit &amp; Loss'!$B$2:$C$390,2,0)</f>
        <v>0</v>
      </c>
    </row>
    <row r="261" spans="1:6" x14ac:dyDescent="0.2">
      <c r="A261" s="3" t="s">
        <v>244</v>
      </c>
      <c r="B261" s="3" t="s">
        <v>249</v>
      </c>
      <c r="C261" s="4">
        <v>-1056611.47</v>
      </c>
      <c r="D261" s="4">
        <v>-916711.56</v>
      </c>
      <c r="E261" s="4">
        <v>-139899.91</v>
      </c>
      <c r="F261" s="3">
        <f>VLOOKUP(B261,'Profit &amp; Loss'!$B$2:$C$390,2,0)</f>
        <v>0</v>
      </c>
    </row>
    <row r="262" spans="1:6" x14ac:dyDescent="0.2">
      <c r="A262" s="3" t="s">
        <v>244</v>
      </c>
      <c r="B262" s="3" t="s">
        <v>250</v>
      </c>
      <c r="C262" s="4">
        <v>-71409.740000000005</v>
      </c>
      <c r="D262" s="4">
        <v>-66349.91</v>
      </c>
      <c r="E262" s="4">
        <v>-5059.83</v>
      </c>
      <c r="F262" s="3">
        <f>VLOOKUP(B262,'Profit &amp; Loss'!$B$2:$C$390,2,0)</f>
        <v>-1606.18</v>
      </c>
    </row>
    <row r="263" spans="1:6" x14ac:dyDescent="0.2">
      <c r="A263" s="3" t="s">
        <v>244</v>
      </c>
      <c r="B263" s="3" t="s">
        <v>251</v>
      </c>
      <c r="C263" s="4">
        <v>206770.6</v>
      </c>
      <c r="D263" s="4">
        <v>185582.97</v>
      </c>
      <c r="E263" s="4">
        <v>21187.63</v>
      </c>
      <c r="F263" s="3">
        <f>VLOOKUP(B263,'Profit &amp; Loss'!$B$2:$C$390,2,0)</f>
        <v>12361.59</v>
      </c>
    </row>
    <row r="264" spans="1:6" x14ac:dyDescent="0.2">
      <c r="A264" s="3" t="s">
        <v>244</v>
      </c>
      <c r="B264" s="3" t="s">
        <v>252</v>
      </c>
      <c r="C264" s="4">
        <v>-43182.94</v>
      </c>
      <c r="D264" s="4">
        <v>-37428.800000000003</v>
      </c>
      <c r="E264" s="4">
        <v>-5754.14</v>
      </c>
      <c r="F264" s="3">
        <f>VLOOKUP(B264,'Profit &amp; Loss'!$B$2:$C$390,2,0)</f>
        <v>0</v>
      </c>
    </row>
    <row r="265" spans="1:6" x14ac:dyDescent="0.2">
      <c r="A265" s="3" t="s">
        <v>244</v>
      </c>
      <c r="B265" s="3" t="s">
        <v>2</v>
      </c>
      <c r="C265" s="4">
        <v>-80239911.420000002</v>
      </c>
      <c r="D265" s="4">
        <v>-69194384.019999996</v>
      </c>
      <c r="E265" s="4">
        <v>-11045527.4</v>
      </c>
      <c r="F265" s="3" t="e">
        <f>VLOOKUP(B265,'Profit &amp; Loss'!$B$2:$C$390,2,0)</f>
        <v>#N/A</v>
      </c>
    </row>
    <row r="266" spans="1:6" x14ac:dyDescent="0.2">
      <c r="A266" s="3" t="s">
        <v>253</v>
      </c>
      <c r="B266" s="3" t="s">
        <v>254</v>
      </c>
      <c r="C266" s="4">
        <v>585387.06999999995</v>
      </c>
      <c r="D266" s="4">
        <v>508307.89</v>
      </c>
      <c r="E266" s="4">
        <v>77079.179999999993</v>
      </c>
      <c r="F266" s="3">
        <f>VLOOKUP(B266,'Profit &amp; Loss'!$B$2:$C$390,2,0)</f>
        <v>31846.94</v>
      </c>
    </row>
    <row r="267" spans="1:6" x14ac:dyDescent="0.2">
      <c r="A267" s="3" t="s">
        <v>253</v>
      </c>
      <c r="B267" s="3" t="s">
        <v>255</v>
      </c>
      <c r="C267" s="4">
        <v>-269172.81</v>
      </c>
      <c r="D267" s="4">
        <v>-256423.2</v>
      </c>
      <c r="E267" s="4">
        <v>-12749.61</v>
      </c>
      <c r="F267" s="3">
        <f>VLOOKUP(B267,'Profit &amp; Loss'!$B$2:$C$390,2,0)</f>
        <v>-31894.21</v>
      </c>
    </row>
    <row r="268" spans="1:6" x14ac:dyDescent="0.2">
      <c r="A268" s="3" t="s">
        <v>253</v>
      </c>
      <c r="B268" s="3" t="s">
        <v>256</v>
      </c>
      <c r="C268" s="4">
        <v>-371330.87</v>
      </c>
      <c r="D268" s="4">
        <v>-236441.46</v>
      </c>
      <c r="E268" s="4">
        <v>-134889.41</v>
      </c>
      <c r="F268" s="3">
        <f>VLOOKUP(B268,'Profit &amp; Loss'!$B$2:$C$390,2,0)</f>
        <v>-17785.87</v>
      </c>
    </row>
    <row r="269" spans="1:6" x14ac:dyDescent="0.2">
      <c r="A269" s="3" t="s">
        <v>253</v>
      </c>
      <c r="B269" s="3" t="s">
        <v>257</v>
      </c>
      <c r="C269" s="4">
        <v>-4165861.09</v>
      </c>
      <c r="D269" s="4">
        <v>-3681120.69</v>
      </c>
      <c r="E269" s="4">
        <v>-484740.4</v>
      </c>
      <c r="F269" s="3">
        <f>VLOOKUP(B269,'Profit &amp; Loss'!$B$2:$C$390,2,0)</f>
        <v>-222549.26</v>
      </c>
    </row>
    <row r="270" spans="1:6" x14ac:dyDescent="0.2">
      <c r="A270" s="3" t="s">
        <v>253</v>
      </c>
      <c r="B270" s="3" t="s">
        <v>258</v>
      </c>
      <c r="C270" s="4">
        <v>81596.42</v>
      </c>
      <c r="D270" s="4">
        <v>81881.350000000006</v>
      </c>
      <c r="E270" s="4">
        <v>-284.93</v>
      </c>
      <c r="F270" s="3">
        <f>VLOOKUP(B270,'Profit &amp; Loss'!$B$2:$C$390,2,0)</f>
        <v>4.93</v>
      </c>
    </row>
    <row r="271" spans="1:6" x14ac:dyDescent="0.2">
      <c r="A271" s="3" t="s">
        <v>253</v>
      </c>
      <c r="B271" s="3" t="s">
        <v>259</v>
      </c>
      <c r="C271" s="4">
        <v>-2263.61</v>
      </c>
      <c r="D271" s="4">
        <v>-1774.41</v>
      </c>
      <c r="E271" s="4">
        <v>-489.2</v>
      </c>
      <c r="F271" s="3">
        <f>VLOOKUP(B271,'Profit &amp; Loss'!$B$2:$C$390,2,0)</f>
        <v>0</v>
      </c>
    </row>
    <row r="272" spans="1:6" x14ac:dyDescent="0.2">
      <c r="A272" s="3" t="s">
        <v>253</v>
      </c>
      <c r="B272" s="3" t="s">
        <v>1227</v>
      </c>
      <c r="C272" s="4">
        <v>-142.18</v>
      </c>
      <c r="D272" s="4">
        <v>-142.18</v>
      </c>
      <c r="E272" s="4">
        <v>0</v>
      </c>
      <c r="F272" s="3">
        <f>VLOOKUP(B272,'Profit &amp; Loss'!$B$2:$C$390,2,0)</f>
        <v>0</v>
      </c>
    </row>
    <row r="273" spans="1:6" x14ac:dyDescent="0.2">
      <c r="A273" s="3" t="s">
        <v>253</v>
      </c>
      <c r="B273" s="3" t="s">
        <v>989</v>
      </c>
      <c r="C273" s="4">
        <v>5.01</v>
      </c>
      <c r="D273" s="4">
        <v>5.01</v>
      </c>
      <c r="E273" s="4">
        <v>0</v>
      </c>
      <c r="F273" s="3">
        <f>VLOOKUP(B273,'Profit &amp; Loss'!$B$2:$C$390,2,0)</f>
        <v>5.01</v>
      </c>
    </row>
    <row r="274" spans="1:6" x14ac:dyDescent="0.2">
      <c r="A274" s="3" t="s">
        <v>253</v>
      </c>
      <c r="B274" s="3" t="s">
        <v>2</v>
      </c>
      <c r="C274" s="4">
        <v>-4141782.06</v>
      </c>
      <c r="D274" s="4">
        <v>-3585707.69</v>
      </c>
      <c r="E274" s="4">
        <v>-556074.37</v>
      </c>
      <c r="F274" s="3" t="e">
        <f>VLOOKUP(B274,'Profit &amp; Loss'!$B$2:$C$390,2,0)</f>
        <v>#N/A</v>
      </c>
    </row>
    <row r="275" spans="1:6" x14ac:dyDescent="0.2">
      <c r="A275" s="3" t="s">
        <v>260</v>
      </c>
      <c r="B275" s="3" t="s">
        <v>261</v>
      </c>
      <c r="C275" s="4">
        <v>-7942773.3399999999</v>
      </c>
      <c r="D275" s="4">
        <v>-7235521.0199999996</v>
      </c>
      <c r="E275" s="4">
        <v>-707252.32</v>
      </c>
      <c r="F275" s="3">
        <f>VLOOKUP(B275,'Profit &amp; Loss'!$B$2:$C$390,2,0)</f>
        <v>-646517.02</v>
      </c>
    </row>
    <row r="276" spans="1:6" x14ac:dyDescent="0.2">
      <c r="A276" s="3" t="s">
        <v>260</v>
      </c>
      <c r="B276" s="3" t="s">
        <v>262</v>
      </c>
      <c r="C276" s="4">
        <v>-131196.98000000001</v>
      </c>
      <c r="D276" s="4">
        <v>-130960.26</v>
      </c>
      <c r="E276" s="4">
        <v>-236.72</v>
      </c>
      <c r="F276" s="3">
        <f>VLOOKUP(B276,'Profit &amp; Loss'!$B$2:$C$390,2,0)</f>
        <v>0</v>
      </c>
    </row>
    <row r="277" spans="1:6" x14ac:dyDescent="0.2">
      <c r="A277" s="3" t="s">
        <v>260</v>
      </c>
      <c r="B277" s="3" t="s">
        <v>1532</v>
      </c>
      <c r="C277" s="4">
        <v>131632.24</v>
      </c>
      <c r="D277" s="4">
        <v>131632.24</v>
      </c>
      <c r="E277" s="4">
        <v>0</v>
      </c>
      <c r="F277" s="3">
        <f>VLOOKUP(B277,'Profit &amp; Loss'!$B$2:$C$390,2,0)</f>
        <v>0</v>
      </c>
    </row>
    <row r="278" spans="1:6" x14ac:dyDescent="0.2">
      <c r="A278" s="3" t="s">
        <v>260</v>
      </c>
      <c r="B278" s="3" t="s">
        <v>2</v>
      </c>
      <c r="C278" s="4">
        <v>-7942338.0800000001</v>
      </c>
      <c r="D278" s="4">
        <v>-7234849.04</v>
      </c>
      <c r="E278" s="4">
        <v>-707489.04</v>
      </c>
      <c r="F278" s="3" t="e">
        <f>VLOOKUP(B278,'Profit &amp; Loss'!$B$2:$C$390,2,0)</f>
        <v>#N/A</v>
      </c>
    </row>
    <row r="279" spans="1:6" x14ac:dyDescent="0.2">
      <c r="A279" s="3" t="s">
        <v>263</v>
      </c>
      <c r="B279" s="3" t="s">
        <v>264</v>
      </c>
      <c r="C279" s="4">
        <v>-1070070.02</v>
      </c>
      <c r="D279" s="4">
        <v>-869735.43</v>
      </c>
      <c r="E279" s="4">
        <v>-200334.59</v>
      </c>
      <c r="F279" s="3">
        <f>VLOOKUP(B279,'Profit &amp; Loss'!$B$2:$C$390,2,0)</f>
        <v>-52009.78</v>
      </c>
    </row>
    <row r="280" spans="1:6" x14ac:dyDescent="0.2">
      <c r="A280" s="3" t="s">
        <v>263</v>
      </c>
      <c r="B280" s="3" t="s">
        <v>2</v>
      </c>
      <c r="C280" s="4">
        <v>-1070070.02</v>
      </c>
      <c r="D280" s="4">
        <v>-869735.43</v>
      </c>
      <c r="E280" s="4">
        <v>-200334.59</v>
      </c>
      <c r="F280" s="3" t="e">
        <f>VLOOKUP(B280,'Profit &amp; Loss'!$B$2:$C$390,2,0)</f>
        <v>#N/A</v>
      </c>
    </row>
    <row r="281" spans="1:6" x14ac:dyDescent="0.2">
      <c r="A281" s="3" t="s">
        <v>265</v>
      </c>
      <c r="B281" s="3" t="s">
        <v>2</v>
      </c>
      <c r="C281" s="4">
        <v>-96905602.799999997</v>
      </c>
      <c r="D281" s="4">
        <v>-84396177.400000006</v>
      </c>
      <c r="E281" s="4">
        <v>-12509425.4</v>
      </c>
      <c r="F281" s="3" t="e">
        <f>VLOOKUP(B281,'Profit &amp; Loss'!$B$2:$C$390,2,0)</f>
        <v>#N/A</v>
      </c>
    </row>
    <row r="282" spans="1:6" x14ac:dyDescent="0.2">
      <c r="A282" s="3" t="s">
        <v>266</v>
      </c>
      <c r="B282" s="3" t="s">
        <v>267</v>
      </c>
      <c r="C282" s="4">
        <v>2640040.16</v>
      </c>
      <c r="D282" s="4">
        <v>2639606.6</v>
      </c>
      <c r="E282" s="4">
        <v>433.56</v>
      </c>
      <c r="F282" s="3">
        <f>VLOOKUP(B282,'Profit &amp; Loss'!$B$2:$C$390,2,0)</f>
        <v>35994.629999999997</v>
      </c>
    </row>
    <row r="283" spans="1:6" x14ac:dyDescent="0.2">
      <c r="A283" s="3" t="s">
        <v>266</v>
      </c>
      <c r="B283" s="3" t="s">
        <v>268</v>
      </c>
      <c r="C283" s="4">
        <v>34269.68</v>
      </c>
      <c r="D283" s="4">
        <v>34269.68</v>
      </c>
      <c r="E283" s="4">
        <v>0</v>
      </c>
      <c r="F283" s="3">
        <f>VLOOKUP(B283,'Profit &amp; Loss'!$B$2:$C$390,2,0)</f>
        <v>0</v>
      </c>
    </row>
    <row r="284" spans="1:6" x14ac:dyDescent="0.2">
      <c r="A284" s="3" t="s">
        <v>266</v>
      </c>
      <c r="B284" s="3" t="s">
        <v>542</v>
      </c>
      <c r="C284" s="4">
        <v>3577.74</v>
      </c>
      <c r="D284" s="4">
        <v>3577.74</v>
      </c>
      <c r="E284" s="4">
        <v>0</v>
      </c>
      <c r="F284" s="3">
        <f>VLOOKUP(B284,'Profit &amp; Loss'!$B$2:$C$390,2,0)</f>
        <v>0</v>
      </c>
    </row>
    <row r="285" spans="1:6" x14ac:dyDescent="0.2">
      <c r="A285" s="3" t="s">
        <v>266</v>
      </c>
      <c r="B285" s="3" t="s">
        <v>270</v>
      </c>
      <c r="C285" s="4">
        <v>150986.74</v>
      </c>
      <c r="D285" s="4">
        <v>146999.96</v>
      </c>
      <c r="E285" s="4">
        <v>3986.78</v>
      </c>
      <c r="F285" s="3">
        <f>VLOOKUP(B285,'Profit &amp; Loss'!$B$2:$C$390,2,0)</f>
        <v>1700</v>
      </c>
    </row>
    <row r="286" spans="1:6" x14ac:dyDescent="0.2">
      <c r="A286" s="3" t="s">
        <v>266</v>
      </c>
      <c r="B286" s="3" t="s">
        <v>271</v>
      </c>
      <c r="C286" s="4">
        <v>13646.02</v>
      </c>
      <c r="D286" s="4">
        <v>12372.35</v>
      </c>
      <c r="E286" s="4">
        <v>1273.67</v>
      </c>
      <c r="F286" s="3">
        <f>VLOOKUP(B286,'Profit &amp; Loss'!$B$2:$C$390,2,0)</f>
        <v>687.98</v>
      </c>
    </row>
    <row r="287" spans="1:6" x14ac:dyDescent="0.2">
      <c r="A287" s="3" t="s">
        <v>266</v>
      </c>
      <c r="B287" s="3" t="s">
        <v>272</v>
      </c>
      <c r="C287" s="4">
        <v>137643.29</v>
      </c>
      <c r="D287" s="4">
        <v>156082.71</v>
      </c>
      <c r="E287" s="4">
        <v>-18439.419999999998</v>
      </c>
      <c r="F287" s="3">
        <f>VLOOKUP(B287,'Profit &amp; Loss'!$B$2:$C$390,2,0)</f>
        <v>3744.15</v>
      </c>
    </row>
    <row r="288" spans="1:6" x14ac:dyDescent="0.2">
      <c r="A288" s="3" t="s">
        <v>266</v>
      </c>
      <c r="B288" s="3" t="s">
        <v>273</v>
      </c>
      <c r="C288" s="4">
        <v>54603.13</v>
      </c>
      <c r="D288" s="4">
        <v>54603.13</v>
      </c>
      <c r="E288" s="4">
        <v>0</v>
      </c>
      <c r="F288" s="3">
        <f>VLOOKUP(B288,'Profit &amp; Loss'!$B$2:$C$390,2,0)</f>
        <v>0</v>
      </c>
    </row>
    <row r="289" spans="1:6" x14ac:dyDescent="0.2">
      <c r="A289" s="3" t="s">
        <v>266</v>
      </c>
      <c r="B289" s="3" t="s">
        <v>274</v>
      </c>
      <c r="C289" s="4">
        <v>3404.96</v>
      </c>
      <c r="D289" s="4">
        <v>3404.96</v>
      </c>
      <c r="E289" s="4">
        <v>0</v>
      </c>
      <c r="F289" s="3">
        <f>VLOOKUP(B289,'Profit &amp; Loss'!$B$2:$C$390,2,0)</f>
        <v>54.02</v>
      </c>
    </row>
    <row r="290" spans="1:6" x14ac:dyDescent="0.2">
      <c r="A290" s="3" t="s">
        <v>266</v>
      </c>
      <c r="B290" s="3" t="s">
        <v>641</v>
      </c>
      <c r="C290" s="4">
        <v>1045.0999999999999</v>
      </c>
      <c r="D290" s="4">
        <v>902.74</v>
      </c>
      <c r="E290" s="4">
        <v>142.36000000000001</v>
      </c>
      <c r="F290" s="3">
        <f>VLOOKUP(B290,'Profit &amp; Loss'!$B$2:$C$390,2,0)</f>
        <v>0</v>
      </c>
    </row>
    <row r="291" spans="1:6" x14ac:dyDescent="0.2">
      <c r="A291" s="3" t="s">
        <v>266</v>
      </c>
      <c r="B291" s="3" t="s">
        <v>275</v>
      </c>
      <c r="C291" s="4">
        <v>16807.63</v>
      </c>
      <c r="D291" s="4">
        <v>16534.14</v>
      </c>
      <c r="E291" s="4">
        <v>273.49</v>
      </c>
      <c r="F291" s="3">
        <f>VLOOKUP(B291,'Profit &amp; Loss'!$B$2:$C$390,2,0)</f>
        <v>270.11</v>
      </c>
    </row>
    <row r="292" spans="1:6" x14ac:dyDescent="0.2">
      <c r="A292" s="3" t="s">
        <v>266</v>
      </c>
      <c r="B292" s="3" t="s">
        <v>276</v>
      </c>
      <c r="C292" s="4">
        <v>42818.51</v>
      </c>
      <c r="D292" s="4">
        <v>41151.949999999997</v>
      </c>
      <c r="E292" s="4">
        <v>1666.56</v>
      </c>
      <c r="F292" s="3">
        <f>VLOOKUP(B292,'Profit &amp; Loss'!$B$2:$C$390,2,0)</f>
        <v>1027.45</v>
      </c>
    </row>
    <row r="293" spans="1:6" x14ac:dyDescent="0.2">
      <c r="A293" s="3" t="s">
        <v>266</v>
      </c>
      <c r="B293" s="3" t="s">
        <v>278</v>
      </c>
      <c r="C293" s="4">
        <v>45587.32</v>
      </c>
      <c r="D293" s="4">
        <v>45587.32</v>
      </c>
      <c r="E293" s="4">
        <v>0</v>
      </c>
      <c r="F293" s="3">
        <f>VLOOKUP(B293,'Profit &amp; Loss'!$B$2:$C$390,2,0)</f>
        <v>0</v>
      </c>
    </row>
    <row r="294" spans="1:6" x14ac:dyDescent="0.2">
      <c r="A294" s="3" t="s">
        <v>266</v>
      </c>
      <c r="B294" s="3" t="s">
        <v>1511</v>
      </c>
      <c r="C294" s="4">
        <v>-10624.89</v>
      </c>
      <c r="D294" s="4">
        <v>-10624.89</v>
      </c>
      <c r="E294" s="4">
        <v>0</v>
      </c>
      <c r="F294" s="3">
        <f>VLOOKUP(B294,'Profit &amp; Loss'!$B$2:$C$390,2,0)</f>
        <v>0</v>
      </c>
    </row>
    <row r="295" spans="1:6" x14ac:dyDescent="0.2">
      <c r="A295" s="3" t="s">
        <v>266</v>
      </c>
      <c r="B295" s="3" t="s">
        <v>279</v>
      </c>
      <c r="C295" s="4">
        <v>-23544.49</v>
      </c>
      <c r="D295" s="4">
        <v>13144.33</v>
      </c>
      <c r="E295" s="4">
        <v>-36688.82</v>
      </c>
      <c r="F295" s="3">
        <f>VLOOKUP(B295,'Profit &amp; Loss'!$B$2:$C$390,2,0)</f>
        <v>611.70000000000005</v>
      </c>
    </row>
    <row r="296" spans="1:6" x14ac:dyDescent="0.2">
      <c r="A296" s="3" t="s">
        <v>266</v>
      </c>
      <c r="B296" s="3" t="s">
        <v>280</v>
      </c>
      <c r="C296" s="4">
        <v>-9717.9500000000007</v>
      </c>
      <c r="D296" s="4">
        <v>258.02</v>
      </c>
      <c r="E296" s="4">
        <v>-9975.9699999999993</v>
      </c>
      <c r="F296" s="3">
        <f>VLOOKUP(B296,'Profit &amp; Loss'!$B$2:$C$390,2,0)</f>
        <v>0</v>
      </c>
    </row>
    <row r="297" spans="1:6" x14ac:dyDescent="0.2">
      <c r="A297" s="3" t="s">
        <v>266</v>
      </c>
      <c r="B297" s="3" t="s">
        <v>281</v>
      </c>
      <c r="C297" s="4">
        <v>422.04</v>
      </c>
      <c r="D297" s="4">
        <v>4729.74</v>
      </c>
      <c r="E297" s="4">
        <v>-4307.7</v>
      </c>
      <c r="F297" s="3">
        <f>VLOOKUP(B297,'Profit &amp; Loss'!$B$2:$C$390,2,0)</f>
        <v>-195.89</v>
      </c>
    </row>
    <row r="298" spans="1:6" x14ac:dyDescent="0.2">
      <c r="A298" s="3" t="s">
        <v>266</v>
      </c>
      <c r="B298" s="3" t="s">
        <v>282</v>
      </c>
      <c r="C298" s="4">
        <v>3357.95</v>
      </c>
      <c r="D298" s="4">
        <v>84.47</v>
      </c>
      <c r="E298" s="4">
        <v>3273.48</v>
      </c>
      <c r="F298" s="3">
        <f>VLOOKUP(B298,'Profit &amp; Loss'!$B$2:$C$390,2,0)</f>
        <v>0</v>
      </c>
    </row>
    <row r="299" spans="1:6" x14ac:dyDescent="0.2">
      <c r="A299" s="3" t="s">
        <v>266</v>
      </c>
      <c r="B299" s="3" t="s">
        <v>829</v>
      </c>
      <c r="C299" s="4">
        <v>-1083.71</v>
      </c>
      <c r="D299" s="4">
        <v>2104.08</v>
      </c>
      <c r="E299" s="4">
        <v>-3187.79</v>
      </c>
      <c r="F299" s="3">
        <f>VLOOKUP(B299,'Profit &amp; Loss'!$B$2:$C$390,2,0)</f>
        <v>199.48</v>
      </c>
    </row>
    <row r="300" spans="1:6" x14ac:dyDescent="0.2">
      <c r="A300" s="3" t="s">
        <v>266</v>
      </c>
      <c r="B300" s="3" t="s">
        <v>283</v>
      </c>
      <c r="C300" s="4">
        <v>1154.98</v>
      </c>
      <c r="D300" s="4">
        <v>2360.79</v>
      </c>
      <c r="E300" s="4">
        <v>-1205.81</v>
      </c>
      <c r="F300" s="3">
        <f>VLOOKUP(B300,'Profit &amp; Loss'!$B$2:$C$390,2,0)</f>
        <v>1000</v>
      </c>
    </row>
    <row r="301" spans="1:6" x14ac:dyDescent="0.2">
      <c r="A301" s="3" t="s">
        <v>266</v>
      </c>
      <c r="B301" s="3" t="s">
        <v>284</v>
      </c>
      <c r="C301" s="4">
        <v>-71.44</v>
      </c>
      <c r="D301" s="4">
        <v>9288.0499999999993</v>
      </c>
      <c r="E301" s="4">
        <v>-9359.49</v>
      </c>
      <c r="F301" s="3">
        <f>VLOOKUP(B301,'Profit &amp; Loss'!$B$2:$C$390,2,0)</f>
        <v>536.67999999999995</v>
      </c>
    </row>
    <row r="302" spans="1:6" x14ac:dyDescent="0.2">
      <c r="A302" s="3" t="s">
        <v>266</v>
      </c>
      <c r="B302" s="3" t="s">
        <v>285</v>
      </c>
      <c r="C302" s="4">
        <v>-400</v>
      </c>
      <c r="D302" s="4">
        <v>-400</v>
      </c>
      <c r="E302" s="4">
        <v>0</v>
      </c>
      <c r="F302" s="3">
        <f>VLOOKUP(B302,'Profit &amp; Loss'!$B$2:$C$390,2,0)</f>
        <v>200</v>
      </c>
    </row>
    <row r="303" spans="1:6" x14ac:dyDescent="0.2">
      <c r="A303" s="3" t="s">
        <v>266</v>
      </c>
      <c r="B303" s="3" t="s">
        <v>2</v>
      </c>
      <c r="C303" s="4">
        <v>3103922.77</v>
      </c>
      <c r="D303" s="4">
        <v>3176037.87</v>
      </c>
      <c r="E303" s="4">
        <v>-72115.100000000006</v>
      </c>
      <c r="F303" s="3" t="e">
        <f>VLOOKUP(B303,'Profit &amp; Loss'!$B$2:$C$390,2,0)</f>
        <v>#N/A</v>
      </c>
    </row>
    <row r="304" spans="1:6" x14ac:dyDescent="0.2">
      <c r="A304" s="3" t="s">
        <v>286</v>
      </c>
      <c r="B304" s="3" t="s">
        <v>287</v>
      </c>
      <c r="C304" s="4">
        <v>53887153.119999997</v>
      </c>
      <c r="D304" s="4">
        <v>46774199.799999997</v>
      </c>
      <c r="E304" s="4">
        <v>7112953.3200000003</v>
      </c>
      <c r="F304" s="3">
        <f>VLOOKUP(B304,'Profit &amp; Loss'!$B$2:$C$390,2,0)</f>
        <v>3184835.62</v>
      </c>
    </row>
    <row r="305" spans="1:6" x14ac:dyDescent="0.2">
      <c r="A305" s="3" t="s">
        <v>286</v>
      </c>
      <c r="B305" s="3" t="s">
        <v>548</v>
      </c>
      <c r="C305" s="4">
        <v>2045468.92</v>
      </c>
      <c r="D305" s="4">
        <v>799525.14</v>
      </c>
      <c r="E305" s="4">
        <v>1245943.78</v>
      </c>
      <c r="F305" s="3">
        <f>VLOOKUP(B305,'Profit &amp; Loss'!$B$2:$C$390,2,0)</f>
        <v>7169.99</v>
      </c>
    </row>
    <row r="306" spans="1:6" x14ac:dyDescent="0.2">
      <c r="A306" s="3" t="s">
        <v>286</v>
      </c>
      <c r="B306" s="3" t="s">
        <v>288</v>
      </c>
      <c r="C306" s="4">
        <v>736522.42</v>
      </c>
      <c r="D306" s="4">
        <v>671444.89</v>
      </c>
      <c r="E306" s="4">
        <v>65077.53</v>
      </c>
      <c r="F306" s="3">
        <f>VLOOKUP(B306,'Profit &amp; Loss'!$B$2:$C$390,2,0)</f>
        <v>28211.14</v>
      </c>
    </row>
    <row r="307" spans="1:6" x14ac:dyDescent="0.2">
      <c r="A307" s="3" t="s">
        <v>286</v>
      </c>
      <c r="B307" s="3" t="s">
        <v>289</v>
      </c>
      <c r="C307" s="4">
        <v>378.98</v>
      </c>
      <c r="D307" s="4">
        <v>303.45999999999998</v>
      </c>
      <c r="E307" s="4">
        <v>75.52</v>
      </c>
      <c r="F307" s="3">
        <f>VLOOKUP(B307,'Profit &amp; Loss'!$B$2:$C$390,2,0)</f>
        <v>18.079999999999998</v>
      </c>
    </row>
    <row r="308" spans="1:6" x14ac:dyDescent="0.2">
      <c r="A308" s="3" t="s">
        <v>286</v>
      </c>
      <c r="B308" s="3" t="s">
        <v>952</v>
      </c>
      <c r="C308" s="4">
        <v>18512.990000000002</v>
      </c>
      <c r="D308" s="4">
        <v>18512.990000000002</v>
      </c>
      <c r="E308" s="4">
        <v>0</v>
      </c>
      <c r="F308" s="3">
        <f>VLOOKUP(B308,'Profit &amp; Loss'!$B$2:$C$390,2,0)</f>
        <v>8746</v>
      </c>
    </row>
    <row r="309" spans="1:6" x14ac:dyDescent="0.2">
      <c r="A309" s="3" t="s">
        <v>286</v>
      </c>
      <c r="B309" s="3" t="s">
        <v>290</v>
      </c>
      <c r="C309" s="4">
        <v>-681981.03</v>
      </c>
      <c r="D309" s="4">
        <v>-628569</v>
      </c>
      <c r="E309" s="4">
        <v>-53412.03</v>
      </c>
      <c r="F309" s="3">
        <f>VLOOKUP(B309,'Profit &amp; Loss'!$B$2:$C$390,2,0)</f>
        <v>-21923.22</v>
      </c>
    </row>
    <row r="310" spans="1:6" x14ac:dyDescent="0.2">
      <c r="A310" s="3" t="s">
        <v>286</v>
      </c>
      <c r="B310" s="3" t="s">
        <v>291</v>
      </c>
      <c r="C310" s="4">
        <v>-3021472.67</v>
      </c>
      <c r="D310" s="4">
        <v>-2458233.77</v>
      </c>
      <c r="E310" s="4">
        <v>-563238.9</v>
      </c>
      <c r="F310" s="3">
        <f>VLOOKUP(B310,'Profit &amp; Loss'!$B$2:$C$390,2,0)</f>
        <v>-107667</v>
      </c>
    </row>
    <row r="311" spans="1:6" x14ac:dyDescent="0.2">
      <c r="A311" s="3" t="s">
        <v>286</v>
      </c>
      <c r="B311" s="3" t="s">
        <v>292</v>
      </c>
      <c r="C311" s="4">
        <v>1119835.71</v>
      </c>
      <c r="D311" s="4">
        <v>970361.36</v>
      </c>
      <c r="E311" s="4">
        <v>149474.35</v>
      </c>
      <c r="F311" s="3">
        <f>VLOOKUP(B311,'Profit &amp; Loss'!$B$2:$C$390,2,0)</f>
        <v>0</v>
      </c>
    </row>
    <row r="312" spans="1:6" x14ac:dyDescent="0.2">
      <c r="A312" s="3" t="s">
        <v>286</v>
      </c>
      <c r="B312" s="3" t="s">
        <v>293</v>
      </c>
      <c r="C312" s="4">
        <v>436238.34</v>
      </c>
      <c r="D312" s="4">
        <v>335057.90000000002</v>
      </c>
      <c r="E312" s="4">
        <v>101180.44</v>
      </c>
      <c r="F312" s="3">
        <f>VLOOKUP(B312,'Profit &amp; Loss'!$B$2:$C$390,2,0)</f>
        <v>0</v>
      </c>
    </row>
    <row r="313" spans="1:6" x14ac:dyDescent="0.2">
      <c r="A313" s="3" t="s">
        <v>286</v>
      </c>
      <c r="B313" s="3" t="s">
        <v>294</v>
      </c>
      <c r="C313" s="4">
        <v>7747.89</v>
      </c>
      <c r="D313" s="4">
        <v>6468.29</v>
      </c>
      <c r="E313" s="4">
        <v>1279.5999999999999</v>
      </c>
      <c r="F313" s="3">
        <f>VLOOKUP(B313,'Profit &amp; Loss'!$B$2:$C$390,2,0)</f>
        <v>0</v>
      </c>
    </row>
    <row r="314" spans="1:6" x14ac:dyDescent="0.2">
      <c r="A314" s="3" t="s">
        <v>286</v>
      </c>
      <c r="B314" s="3" t="s">
        <v>295</v>
      </c>
      <c r="C314" s="4">
        <v>210928.73</v>
      </c>
      <c r="D314" s="4">
        <v>188874.08</v>
      </c>
      <c r="E314" s="4">
        <v>22054.65</v>
      </c>
      <c r="F314" s="3">
        <f>VLOOKUP(B314,'Profit &amp; Loss'!$B$2:$C$390,2,0)</f>
        <v>0</v>
      </c>
    </row>
    <row r="315" spans="1:6" x14ac:dyDescent="0.2">
      <c r="A315" s="3" t="s">
        <v>286</v>
      </c>
      <c r="B315" s="3" t="s">
        <v>296</v>
      </c>
      <c r="C315" s="4">
        <v>-354.98</v>
      </c>
      <c r="D315" s="4">
        <v>-1841.81</v>
      </c>
      <c r="E315" s="4">
        <v>1486.83</v>
      </c>
      <c r="F315" s="3">
        <f>VLOOKUP(B315,'Profit &amp; Loss'!$B$2:$C$390,2,0)</f>
        <v>-1015.33</v>
      </c>
    </row>
    <row r="316" spans="1:6" x14ac:dyDescent="0.2">
      <c r="A316" s="3" t="s">
        <v>286</v>
      </c>
      <c r="B316" s="3" t="s">
        <v>2</v>
      </c>
      <c r="C316" s="4">
        <v>54758978.420000002</v>
      </c>
      <c r="D316" s="4">
        <v>46676103.329999998</v>
      </c>
      <c r="E316" s="4">
        <v>8082875.0899999999</v>
      </c>
      <c r="F316" s="3" t="e">
        <f>VLOOKUP(B316,'Profit &amp; Loss'!$B$2:$C$390,2,0)</f>
        <v>#N/A</v>
      </c>
    </row>
    <row r="317" spans="1:6" x14ac:dyDescent="0.2">
      <c r="A317" s="3" t="s">
        <v>297</v>
      </c>
      <c r="B317" s="18" t="s">
        <v>1534</v>
      </c>
      <c r="C317" s="4">
        <v>-572.17999999999995</v>
      </c>
      <c r="D317" s="4">
        <v>0</v>
      </c>
      <c r="E317" s="4">
        <v>-572.17999999999995</v>
      </c>
      <c r="F317" s="3">
        <f>VLOOKUP(B317,'Profit &amp; Loss'!$B$2:$C$390,2,0)</f>
        <v>0</v>
      </c>
    </row>
    <row r="318" spans="1:6" x14ac:dyDescent="0.2">
      <c r="A318" s="3" t="s">
        <v>297</v>
      </c>
      <c r="B318" s="3" t="s">
        <v>1443</v>
      </c>
      <c r="C318" s="4">
        <v>1308.42</v>
      </c>
      <c r="D318" s="4">
        <v>1308.42</v>
      </c>
      <c r="E318" s="4">
        <v>0</v>
      </c>
      <c r="F318" s="3">
        <f>VLOOKUP(B318,'Profit &amp; Loss'!$B$2:$C$390,2,0)</f>
        <v>0</v>
      </c>
    </row>
    <row r="319" spans="1:6" x14ac:dyDescent="0.2">
      <c r="A319" s="3" t="s">
        <v>297</v>
      </c>
      <c r="B319" s="3" t="s">
        <v>298</v>
      </c>
      <c r="C319" s="4">
        <v>283096.02</v>
      </c>
      <c r="D319" s="4">
        <v>261811.11</v>
      </c>
      <c r="E319" s="4">
        <v>21284.91</v>
      </c>
      <c r="F319" s="3">
        <f>VLOOKUP(B319,'Profit &amp; Loss'!$B$2:$C$390,2,0)</f>
        <v>28187.67</v>
      </c>
    </row>
    <row r="320" spans="1:6" x14ac:dyDescent="0.2">
      <c r="A320" s="3" t="s">
        <v>297</v>
      </c>
      <c r="B320" s="3" t="s">
        <v>299</v>
      </c>
      <c r="C320" s="4">
        <v>2080699.03</v>
      </c>
      <c r="D320" s="4">
        <v>1840485.75</v>
      </c>
      <c r="E320" s="4">
        <v>240213.28</v>
      </c>
      <c r="F320" s="3">
        <f>VLOOKUP(B320,'Profit &amp; Loss'!$B$2:$C$390,2,0)</f>
        <v>111346.46</v>
      </c>
    </row>
    <row r="321" spans="1:6" x14ac:dyDescent="0.2">
      <c r="A321" s="3" t="s">
        <v>297</v>
      </c>
      <c r="B321" s="3" t="s">
        <v>300</v>
      </c>
      <c r="C321" s="4">
        <v>1779.39</v>
      </c>
      <c r="D321" s="4">
        <v>1419.55</v>
      </c>
      <c r="E321" s="4">
        <v>359.84</v>
      </c>
      <c r="F321" s="3">
        <f>VLOOKUP(B321,'Profit &amp; Loss'!$B$2:$C$390,2,0)</f>
        <v>0</v>
      </c>
    </row>
    <row r="322" spans="1:6" x14ac:dyDescent="0.2">
      <c r="A322" s="3" t="s">
        <v>297</v>
      </c>
      <c r="B322" s="3" t="s">
        <v>2</v>
      </c>
      <c r="C322" s="4">
        <v>2366310.6800000002</v>
      </c>
      <c r="D322" s="4">
        <v>2105024.83</v>
      </c>
      <c r="E322" s="4">
        <v>261285.85</v>
      </c>
      <c r="F322" s="3" t="e">
        <f>VLOOKUP(B322,'Profit &amp; Loss'!$B$2:$C$390,2,0)</f>
        <v>#N/A</v>
      </c>
    </row>
    <row r="323" spans="1:6" x14ac:dyDescent="0.2">
      <c r="A323" s="3" t="s">
        <v>301</v>
      </c>
      <c r="B323" s="3" t="s">
        <v>554</v>
      </c>
      <c r="C323" s="4">
        <v>103599.77</v>
      </c>
      <c r="D323" s="4">
        <v>103051.23</v>
      </c>
      <c r="E323" s="4">
        <v>548.54</v>
      </c>
      <c r="F323" s="3">
        <f>VLOOKUP(B323,'Profit &amp; Loss'!$B$2:$C$390,2,0)</f>
        <v>0</v>
      </c>
    </row>
    <row r="324" spans="1:6" x14ac:dyDescent="0.2">
      <c r="A324" s="3" t="s">
        <v>301</v>
      </c>
      <c r="B324" s="3" t="s">
        <v>1426</v>
      </c>
      <c r="C324" s="4">
        <v>10283.11</v>
      </c>
      <c r="D324" s="4">
        <v>10283.11</v>
      </c>
      <c r="E324" s="4">
        <v>0</v>
      </c>
      <c r="F324" s="3">
        <f>VLOOKUP(B324,'Profit &amp; Loss'!$B$2:$C$390,2,0)</f>
        <v>0</v>
      </c>
    </row>
    <row r="325" spans="1:6" x14ac:dyDescent="0.2">
      <c r="A325" s="3" t="s">
        <v>301</v>
      </c>
      <c r="B325" s="3" t="s">
        <v>835</v>
      </c>
      <c r="C325" s="4">
        <v>7551.7</v>
      </c>
      <c r="D325" s="4">
        <v>7551.7</v>
      </c>
      <c r="E325" s="4">
        <v>0</v>
      </c>
      <c r="F325" s="3">
        <f>VLOOKUP(B325,'Profit &amp; Loss'!$B$2:$C$390,2,0)</f>
        <v>0</v>
      </c>
    </row>
    <row r="326" spans="1:6" x14ac:dyDescent="0.2">
      <c r="A326" s="3" t="s">
        <v>301</v>
      </c>
      <c r="B326" s="3" t="s">
        <v>302</v>
      </c>
      <c r="C326" s="4">
        <v>92877.99</v>
      </c>
      <c r="D326" s="4">
        <v>84674.49</v>
      </c>
      <c r="E326" s="4">
        <v>8203.5</v>
      </c>
      <c r="F326" s="3">
        <f>VLOOKUP(B326,'Profit &amp; Loss'!$B$2:$C$390,2,0)</f>
        <v>5793.22</v>
      </c>
    </row>
    <row r="327" spans="1:6" x14ac:dyDescent="0.2">
      <c r="A327" s="3" t="s">
        <v>301</v>
      </c>
      <c r="B327" s="3" t="s">
        <v>647</v>
      </c>
      <c r="C327" s="4">
        <v>14755.96</v>
      </c>
      <c r="D327" s="4">
        <v>14755.96</v>
      </c>
      <c r="E327" s="4">
        <v>0</v>
      </c>
      <c r="F327" s="3">
        <f>VLOOKUP(B327,'Profit &amp; Loss'!$B$2:$C$390,2,0)</f>
        <v>0</v>
      </c>
    </row>
    <row r="328" spans="1:6" x14ac:dyDescent="0.2">
      <c r="A328" s="3" t="s">
        <v>301</v>
      </c>
      <c r="B328" s="3" t="s">
        <v>303</v>
      </c>
      <c r="C328" s="4">
        <v>83512.320000000007</v>
      </c>
      <c r="D328" s="4">
        <v>80441.3</v>
      </c>
      <c r="E328" s="4">
        <v>3071.02</v>
      </c>
      <c r="F328" s="3">
        <f>VLOOKUP(B328,'Profit &amp; Loss'!$B$2:$C$390,2,0)</f>
        <v>2303.9899999999998</v>
      </c>
    </row>
    <row r="329" spans="1:6" x14ac:dyDescent="0.2">
      <c r="A329" s="3" t="s">
        <v>301</v>
      </c>
      <c r="B329" s="3" t="s">
        <v>304</v>
      </c>
      <c r="C329" s="4">
        <v>0</v>
      </c>
      <c r="D329" s="4">
        <v>-59808.3</v>
      </c>
      <c r="E329" s="4">
        <v>59808.3</v>
      </c>
      <c r="F329" s="3">
        <f>VLOOKUP(B329,'Profit &amp; Loss'!$B$2:$C$390,2,0)</f>
        <v>0</v>
      </c>
    </row>
    <row r="330" spans="1:6" x14ac:dyDescent="0.2">
      <c r="A330" s="3" t="s">
        <v>301</v>
      </c>
      <c r="B330" s="3" t="s">
        <v>305</v>
      </c>
      <c r="C330" s="4">
        <v>228841.12</v>
      </c>
      <c r="D330" s="4">
        <v>188180.99</v>
      </c>
      <c r="E330" s="4">
        <v>40660.129999999997</v>
      </c>
      <c r="F330" s="3">
        <f>VLOOKUP(B330,'Profit &amp; Loss'!$B$2:$C$390,2,0)</f>
        <v>9337.1200000000008</v>
      </c>
    </row>
    <row r="331" spans="1:6" x14ac:dyDescent="0.2">
      <c r="A331" s="3" t="s">
        <v>301</v>
      </c>
      <c r="B331" s="3" t="s">
        <v>306</v>
      </c>
      <c r="C331" s="4">
        <v>1811803.99</v>
      </c>
      <c r="D331" s="4">
        <v>1668387.42</v>
      </c>
      <c r="E331" s="4">
        <v>143416.57</v>
      </c>
      <c r="F331" s="3">
        <f>VLOOKUP(B331,'Profit &amp; Loss'!$B$2:$C$390,2,0)</f>
        <v>86638.62</v>
      </c>
    </row>
    <row r="332" spans="1:6" x14ac:dyDescent="0.2">
      <c r="A332" s="3" t="s">
        <v>301</v>
      </c>
      <c r="B332" s="3" t="s">
        <v>838</v>
      </c>
      <c r="C332" s="4">
        <v>9917.77</v>
      </c>
      <c r="D332" s="4">
        <v>9917.77</v>
      </c>
      <c r="E332" s="4">
        <v>0</v>
      </c>
      <c r="F332" s="3">
        <f>VLOOKUP(B332,'Profit &amp; Loss'!$B$2:$C$390,2,0)</f>
        <v>0</v>
      </c>
    </row>
    <row r="333" spans="1:6" x14ac:dyDescent="0.2">
      <c r="A333" s="3" t="s">
        <v>301</v>
      </c>
      <c r="B333" s="3" t="s">
        <v>556</v>
      </c>
      <c r="C333" s="4">
        <v>-9703.26</v>
      </c>
      <c r="D333" s="4">
        <v>-6632.24</v>
      </c>
      <c r="E333" s="4">
        <v>-3071.02</v>
      </c>
      <c r="F333" s="3">
        <f>VLOOKUP(B333,'Profit &amp; Loss'!$B$2:$C$390,2,0)</f>
        <v>0</v>
      </c>
    </row>
    <row r="334" spans="1:6" x14ac:dyDescent="0.2">
      <c r="A334" s="3" t="s">
        <v>301</v>
      </c>
      <c r="B334" s="3" t="s">
        <v>307</v>
      </c>
      <c r="C334" s="4">
        <v>2648033.9500000002</v>
      </c>
      <c r="D334" s="4">
        <v>2411780.64</v>
      </c>
      <c r="E334" s="4">
        <v>236253.31</v>
      </c>
      <c r="F334" s="3">
        <f>VLOOKUP(B334,'Profit &amp; Loss'!$B$2:$C$390,2,0)</f>
        <v>155566</v>
      </c>
    </row>
    <row r="335" spans="1:6" x14ac:dyDescent="0.2">
      <c r="A335" s="3" t="s">
        <v>301</v>
      </c>
      <c r="B335" s="3" t="s">
        <v>308</v>
      </c>
      <c r="C335" s="4">
        <v>8703.85</v>
      </c>
      <c r="D335" s="4">
        <v>9471.81</v>
      </c>
      <c r="E335" s="4">
        <v>-767.96</v>
      </c>
      <c r="F335" s="3">
        <f>VLOOKUP(B335,'Profit &amp; Loss'!$B$2:$C$390,2,0)</f>
        <v>5356.12</v>
      </c>
    </row>
    <row r="336" spans="1:6" x14ac:dyDescent="0.2">
      <c r="A336" s="3" t="s">
        <v>301</v>
      </c>
      <c r="B336" s="3" t="s">
        <v>309</v>
      </c>
      <c r="C336" s="4">
        <v>60316.32</v>
      </c>
      <c r="D336" s="4">
        <v>51004.27</v>
      </c>
      <c r="E336" s="4">
        <v>9312.0499999999993</v>
      </c>
      <c r="F336" s="3">
        <f>VLOOKUP(B336,'Profit &amp; Loss'!$B$2:$C$390,2,0)</f>
        <v>0</v>
      </c>
    </row>
    <row r="337" spans="1:6" x14ac:dyDescent="0.2">
      <c r="A337" s="3" t="s">
        <v>301</v>
      </c>
      <c r="B337" s="3" t="s">
        <v>2</v>
      </c>
      <c r="C337" s="4">
        <v>5070494.59</v>
      </c>
      <c r="D337" s="4">
        <v>4573060.1500000004</v>
      </c>
      <c r="E337" s="4">
        <v>497434.44</v>
      </c>
      <c r="F337" s="3" t="e">
        <f>VLOOKUP(B337,'Profit &amp; Loss'!$B$2:$C$390,2,0)</f>
        <v>#N/A</v>
      </c>
    </row>
    <row r="338" spans="1:6" x14ac:dyDescent="0.2">
      <c r="A338" s="3" t="s">
        <v>310</v>
      </c>
      <c r="B338" s="3" t="s">
        <v>311</v>
      </c>
      <c r="C338" s="4">
        <v>736442.36</v>
      </c>
      <c r="D338" s="4">
        <v>600275.85</v>
      </c>
      <c r="E338" s="4">
        <v>136166.51</v>
      </c>
      <c r="F338" s="3">
        <f>VLOOKUP(B338,'Profit &amp; Loss'!$B$2:$C$390,2,0)</f>
        <v>32947.410000000003</v>
      </c>
    </row>
    <row r="339" spans="1:6" x14ac:dyDescent="0.2">
      <c r="A339" s="3" t="s">
        <v>310</v>
      </c>
      <c r="B339" s="3" t="s">
        <v>2</v>
      </c>
      <c r="C339" s="4">
        <v>736442.36</v>
      </c>
      <c r="D339" s="4">
        <v>600275.85</v>
      </c>
      <c r="E339" s="4">
        <v>136166.51</v>
      </c>
      <c r="F339" s="3" t="e">
        <f>VLOOKUP(B339,'Profit &amp; Loss'!$B$2:$C$390,2,0)</f>
        <v>#N/A</v>
      </c>
    </row>
    <row r="340" spans="1:6" x14ac:dyDescent="0.2">
      <c r="A340" s="3" t="s">
        <v>312</v>
      </c>
      <c r="B340" s="3" t="s">
        <v>2</v>
      </c>
      <c r="C340" s="4">
        <v>66036148.82</v>
      </c>
      <c r="D340" s="4">
        <v>57130502.030000001</v>
      </c>
      <c r="E340" s="4">
        <v>8905646.7899999991</v>
      </c>
      <c r="F340" s="3" t="e">
        <f>VLOOKUP(B340,'Profit &amp; Loss'!$B$2:$C$390,2,0)</f>
        <v>#N/A</v>
      </c>
    </row>
    <row r="341" spans="1:6" x14ac:dyDescent="0.2">
      <c r="A341" s="3" t="s">
        <v>313</v>
      </c>
      <c r="B341" s="3" t="s">
        <v>314</v>
      </c>
      <c r="C341" s="4">
        <v>718308.69</v>
      </c>
      <c r="D341" s="4">
        <v>652880.44999999995</v>
      </c>
      <c r="E341" s="4">
        <v>65428.24</v>
      </c>
      <c r="F341" s="3">
        <f>VLOOKUP(B341,'Profit &amp; Loss'!$B$2:$C$390,2,0)</f>
        <v>47720.12</v>
      </c>
    </row>
    <row r="342" spans="1:6" x14ac:dyDescent="0.2">
      <c r="A342" s="3" t="s">
        <v>313</v>
      </c>
      <c r="B342" s="3" t="s">
        <v>315</v>
      </c>
      <c r="C342" s="4">
        <v>26662.37</v>
      </c>
      <c r="D342" s="4">
        <v>23559.360000000001</v>
      </c>
      <c r="E342" s="4">
        <v>3103.01</v>
      </c>
      <c r="F342" s="3">
        <f>VLOOKUP(B342,'Profit &amp; Loss'!$B$2:$C$390,2,0)</f>
        <v>3030.51</v>
      </c>
    </row>
    <row r="343" spans="1:6" x14ac:dyDescent="0.2">
      <c r="A343" s="3" t="s">
        <v>313</v>
      </c>
      <c r="B343" s="3" t="s">
        <v>558</v>
      </c>
      <c r="C343" s="4">
        <v>52981.75</v>
      </c>
      <c r="D343" s="4">
        <v>52981.75</v>
      </c>
      <c r="E343" s="4">
        <v>0</v>
      </c>
      <c r="F343" s="3">
        <f>VLOOKUP(B343,'Profit &amp; Loss'!$B$2:$C$390,2,0)</f>
        <v>0</v>
      </c>
    </row>
    <row r="344" spans="1:6" x14ac:dyDescent="0.2">
      <c r="A344" s="3" t="s">
        <v>313</v>
      </c>
      <c r="B344" s="3" t="s">
        <v>559</v>
      </c>
      <c r="C344" s="4">
        <v>5295.43</v>
      </c>
      <c r="D344" s="4">
        <v>5295.43</v>
      </c>
      <c r="E344" s="4">
        <v>0</v>
      </c>
      <c r="F344" s="3">
        <f>VLOOKUP(B344,'Profit &amp; Loss'!$B$2:$C$390,2,0)</f>
        <v>3030.51</v>
      </c>
    </row>
    <row r="345" spans="1:6" x14ac:dyDescent="0.2">
      <c r="A345" s="3" t="s">
        <v>313</v>
      </c>
      <c r="B345" s="3" t="s">
        <v>316</v>
      </c>
      <c r="C345" s="4">
        <v>170976.39</v>
      </c>
      <c r="D345" s="4">
        <v>153867.95000000001</v>
      </c>
      <c r="E345" s="4">
        <v>17108.439999999999</v>
      </c>
      <c r="F345" s="3">
        <f>VLOOKUP(B345,'Profit &amp; Loss'!$B$2:$C$390,2,0)</f>
        <v>21674.33</v>
      </c>
    </row>
    <row r="346" spans="1:6" x14ac:dyDescent="0.2">
      <c r="A346" s="3" t="s">
        <v>313</v>
      </c>
      <c r="B346" s="3" t="s">
        <v>317</v>
      </c>
      <c r="C346" s="4">
        <v>45580.41</v>
      </c>
      <c r="D346" s="4">
        <v>22112.05</v>
      </c>
      <c r="E346" s="4">
        <v>23468.36</v>
      </c>
      <c r="F346" s="3">
        <f>VLOOKUP(B346,'Profit &amp; Loss'!$B$2:$C$390,2,0)</f>
        <v>423.23</v>
      </c>
    </row>
    <row r="347" spans="1:6" x14ac:dyDescent="0.2">
      <c r="A347" s="3" t="s">
        <v>313</v>
      </c>
      <c r="B347" s="3" t="s">
        <v>318</v>
      </c>
      <c r="C347" s="4">
        <v>153597.04999999999</v>
      </c>
      <c r="D347" s="4">
        <v>145080.74</v>
      </c>
      <c r="E347" s="4">
        <v>8516.31</v>
      </c>
      <c r="F347" s="3">
        <f>VLOOKUP(B347,'Profit &amp; Loss'!$B$2:$C$390,2,0)</f>
        <v>12048.91</v>
      </c>
    </row>
    <row r="348" spans="1:6" x14ac:dyDescent="0.2">
      <c r="A348" s="3" t="s">
        <v>313</v>
      </c>
      <c r="B348" s="3" t="s">
        <v>319</v>
      </c>
      <c r="C348" s="4">
        <v>547154.31999999995</v>
      </c>
      <c r="D348" s="4">
        <v>503485.73</v>
      </c>
      <c r="E348" s="4">
        <v>43668.59</v>
      </c>
      <c r="F348" s="3">
        <f>VLOOKUP(B348,'Profit &amp; Loss'!$B$2:$C$390,2,0)</f>
        <v>40731.18</v>
      </c>
    </row>
    <row r="349" spans="1:6" x14ac:dyDescent="0.2">
      <c r="A349" s="3" t="s">
        <v>313</v>
      </c>
      <c r="B349" s="3" t="s">
        <v>320</v>
      </c>
      <c r="C349" s="4">
        <v>7327.89</v>
      </c>
      <c r="D349" s="4">
        <v>1866.87</v>
      </c>
      <c r="E349" s="4">
        <v>5461.02</v>
      </c>
      <c r="F349" s="3">
        <f>VLOOKUP(B349,'Profit &amp; Loss'!$B$2:$C$390,2,0)</f>
        <v>4675.82</v>
      </c>
    </row>
    <row r="350" spans="1:6" x14ac:dyDescent="0.2">
      <c r="A350" s="3" t="s">
        <v>313</v>
      </c>
      <c r="B350" s="3" t="s">
        <v>321</v>
      </c>
      <c r="C350" s="4">
        <v>-1652600.67</v>
      </c>
      <c r="D350" s="4">
        <v>-1503253.25</v>
      </c>
      <c r="E350" s="4">
        <v>-149347.42000000001</v>
      </c>
      <c r="F350" s="3">
        <f>VLOOKUP(B350,'Profit &amp; Loss'!$B$2:$C$390,2,0)</f>
        <v>-127447.83</v>
      </c>
    </row>
    <row r="351" spans="1:6" x14ac:dyDescent="0.2">
      <c r="A351" s="3" t="s">
        <v>313</v>
      </c>
      <c r="B351" s="3" t="s">
        <v>841</v>
      </c>
      <c r="C351" s="4">
        <v>217640.27</v>
      </c>
      <c r="D351" s="4">
        <v>180203.96</v>
      </c>
      <c r="E351" s="4">
        <v>37436.31</v>
      </c>
      <c r="F351" s="3">
        <f>VLOOKUP(B351,'Profit &amp; Loss'!$B$2:$C$390,2,0)</f>
        <v>-27313.17</v>
      </c>
    </row>
    <row r="352" spans="1:6" x14ac:dyDescent="0.2">
      <c r="A352" s="3" t="s">
        <v>313</v>
      </c>
      <c r="B352" s="3" t="s">
        <v>560</v>
      </c>
      <c r="C352" s="4">
        <v>21494.82</v>
      </c>
      <c r="D352" s="4">
        <v>21627.38</v>
      </c>
      <c r="E352" s="4">
        <v>-132.56</v>
      </c>
      <c r="F352" s="3">
        <f>VLOOKUP(B352,'Profit &amp; Loss'!$B$2:$C$390,2,0)</f>
        <v>1760.34</v>
      </c>
    </row>
    <row r="353" spans="1:6" x14ac:dyDescent="0.2">
      <c r="A353" s="3" t="s">
        <v>313</v>
      </c>
      <c r="B353" s="3" t="s">
        <v>1085</v>
      </c>
      <c r="C353" s="4">
        <v>575.25</v>
      </c>
      <c r="D353" s="4">
        <v>575.25</v>
      </c>
      <c r="E353" s="4">
        <v>0</v>
      </c>
      <c r="F353" s="3">
        <f>VLOOKUP(B353,'Profit &amp; Loss'!$B$2:$C$390,2,0)</f>
        <v>0</v>
      </c>
    </row>
    <row r="354" spans="1:6" x14ac:dyDescent="0.2">
      <c r="A354" s="3" t="s">
        <v>313</v>
      </c>
      <c r="B354" s="3" t="s">
        <v>990</v>
      </c>
      <c r="C354" s="4">
        <v>-538.62</v>
      </c>
      <c r="D354" s="4">
        <v>-354.04</v>
      </c>
      <c r="E354" s="4">
        <v>-184.58</v>
      </c>
      <c r="F354" s="3">
        <f>VLOOKUP(B354,'Profit &amp; Loss'!$B$2:$C$390,2,0)</f>
        <v>-40.28</v>
      </c>
    </row>
    <row r="355" spans="1:6" x14ac:dyDescent="0.2">
      <c r="A355" s="3" t="s">
        <v>313</v>
      </c>
      <c r="B355" s="3" t="s">
        <v>322</v>
      </c>
      <c r="C355" s="4">
        <v>2833.49</v>
      </c>
      <c r="D355" s="4">
        <v>2792.13</v>
      </c>
      <c r="E355" s="4">
        <v>41.36</v>
      </c>
      <c r="F355" s="3">
        <f>VLOOKUP(B355,'Profit &amp; Loss'!$B$2:$C$390,2,0)</f>
        <v>2.09</v>
      </c>
    </row>
    <row r="356" spans="1:6" x14ac:dyDescent="0.2">
      <c r="A356" s="3" t="s">
        <v>313</v>
      </c>
      <c r="B356" s="3" t="s">
        <v>652</v>
      </c>
      <c r="C356" s="4">
        <v>342.19</v>
      </c>
      <c r="D356" s="4">
        <v>204.98</v>
      </c>
      <c r="E356" s="4">
        <v>137.21</v>
      </c>
      <c r="F356" s="3">
        <f>VLOOKUP(B356,'Profit &amp; Loss'!$B$2:$C$390,2,0)</f>
        <v>35.14</v>
      </c>
    </row>
    <row r="357" spans="1:6" x14ac:dyDescent="0.2">
      <c r="A357" s="3" t="s">
        <v>313</v>
      </c>
      <c r="B357" s="3" t="s">
        <v>323</v>
      </c>
      <c r="C357" s="4">
        <v>28752.74</v>
      </c>
      <c r="D357" s="4">
        <v>25889.71</v>
      </c>
      <c r="E357" s="4">
        <v>2863.03</v>
      </c>
      <c r="F357" s="3">
        <f>VLOOKUP(B357,'Profit &amp; Loss'!$B$2:$C$390,2,0)</f>
        <v>3243.68</v>
      </c>
    </row>
    <row r="358" spans="1:6" x14ac:dyDescent="0.2">
      <c r="A358" s="3" t="s">
        <v>313</v>
      </c>
      <c r="B358" s="3" t="s">
        <v>324</v>
      </c>
      <c r="C358" s="4">
        <v>395350.81</v>
      </c>
      <c r="D358" s="4">
        <v>353032.09</v>
      </c>
      <c r="E358" s="4">
        <v>42318.720000000001</v>
      </c>
      <c r="F358" s="3">
        <f>VLOOKUP(B358,'Profit &amp; Loss'!$B$2:$C$390,2,0)</f>
        <v>33298</v>
      </c>
    </row>
    <row r="359" spans="1:6" x14ac:dyDescent="0.2">
      <c r="A359" s="3" t="s">
        <v>313</v>
      </c>
      <c r="B359" s="3" t="s">
        <v>913</v>
      </c>
      <c r="C359" s="4">
        <v>2173.5100000000002</v>
      </c>
      <c r="D359" s="4">
        <v>329.26</v>
      </c>
      <c r="E359" s="4">
        <v>1844.25</v>
      </c>
      <c r="F359" s="3">
        <f>VLOOKUP(B359,'Profit &amp; Loss'!$B$2:$C$390,2,0)</f>
        <v>0</v>
      </c>
    </row>
    <row r="360" spans="1:6" x14ac:dyDescent="0.2">
      <c r="A360" s="3" t="s">
        <v>313</v>
      </c>
      <c r="B360" s="3" t="s">
        <v>561</v>
      </c>
      <c r="C360" s="4">
        <v>2176.3200000000002</v>
      </c>
      <c r="D360" s="4">
        <v>1493.56</v>
      </c>
      <c r="E360" s="4">
        <v>682.76</v>
      </c>
      <c r="F360" s="3">
        <f>VLOOKUP(B360,'Profit &amp; Loss'!$B$2:$C$390,2,0)</f>
        <v>0</v>
      </c>
    </row>
    <row r="361" spans="1:6" x14ac:dyDescent="0.2">
      <c r="A361" s="3" t="s">
        <v>313</v>
      </c>
      <c r="B361" s="3" t="s">
        <v>325</v>
      </c>
      <c r="C361" s="4">
        <v>39836</v>
      </c>
      <c r="D361" s="4">
        <v>36708</v>
      </c>
      <c r="E361" s="4">
        <v>3128</v>
      </c>
      <c r="F361" s="3">
        <f>VLOOKUP(B361,'Profit &amp; Loss'!$B$2:$C$390,2,0)</f>
        <v>0</v>
      </c>
    </row>
    <row r="362" spans="1:6" x14ac:dyDescent="0.2">
      <c r="A362" s="3" t="s">
        <v>313</v>
      </c>
      <c r="B362" s="3" t="s">
        <v>654</v>
      </c>
      <c r="C362" s="4">
        <v>21989.23</v>
      </c>
      <c r="D362" s="4">
        <v>16131.64</v>
      </c>
      <c r="E362" s="4">
        <v>5857.59</v>
      </c>
      <c r="F362" s="3">
        <f>VLOOKUP(B362,'Profit &amp; Loss'!$B$2:$C$390,2,0)</f>
        <v>36.44</v>
      </c>
    </row>
    <row r="363" spans="1:6" x14ac:dyDescent="0.2">
      <c r="A363" s="3" t="s">
        <v>313</v>
      </c>
      <c r="B363" s="3" t="s">
        <v>991</v>
      </c>
      <c r="C363" s="4">
        <v>469.21</v>
      </c>
      <c r="D363" s="4">
        <v>469.21</v>
      </c>
      <c r="E363" s="4">
        <v>0</v>
      </c>
      <c r="F363" s="3">
        <f>VLOOKUP(B363,'Profit &amp; Loss'!$B$2:$C$390,2,0)</f>
        <v>-28825.55</v>
      </c>
    </row>
    <row r="364" spans="1:6" x14ac:dyDescent="0.2">
      <c r="A364" s="3" t="s">
        <v>313</v>
      </c>
      <c r="B364" s="3" t="s">
        <v>326</v>
      </c>
      <c r="C364" s="4">
        <v>170419.46</v>
      </c>
      <c r="D364" s="4">
        <v>94206.88</v>
      </c>
      <c r="E364" s="4">
        <v>76212.58</v>
      </c>
      <c r="F364" s="3">
        <f>VLOOKUP(B364,'Profit &amp; Loss'!$B$2:$C$390,2,0)</f>
        <v>-435.68</v>
      </c>
    </row>
    <row r="365" spans="1:6" x14ac:dyDescent="0.2">
      <c r="A365" s="3" t="s">
        <v>313</v>
      </c>
      <c r="B365" s="3" t="s">
        <v>1254</v>
      </c>
      <c r="C365" s="4">
        <v>124.19</v>
      </c>
      <c r="D365" s="4">
        <v>124.19</v>
      </c>
      <c r="E365" s="4">
        <v>0</v>
      </c>
      <c r="F365" s="3">
        <f>VLOOKUP(B365,'Profit &amp; Loss'!$B$2:$C$390,2,0)</f>
        <v>0</v>
      </c>
    </row>
    <row r="366" spans="1:6" x14ac:dyDescent="0.2">
      <c r="A366" s="3" t="s">
        <v>313</v>
      </c>
      <c r="B366" s="3" t="s">
        <v>327</v>
      </c>
      <c r="C366" s="4">
        <v>712.16</v>
      </c>
      <c r="D366" s="4">
        <v>712.16</v>
      </c>
      <c r="E366" s="4">
        <v>0</v>
      </c>
      <c r="F366" s="3">
        <f>VLOOKUP(B366,'Profit &amp; Loss'!$B$2:$C$390,2,0)</f>
        <v>286.14</v>
      </c>
    </row>
    <row r="367" spans="1:6" x14ac:dyDescent="0.2">
      <c r="A367" s="3" t="s">
        <v>313</v>
      </c>
      <c r="B367" s="3" t="s">
        <v>328</v>
      </c>
      <c r="C367" s="4">
        <v>-568.38</v>
      </c>
      <c r="D367" s="4">
        <v>-990.48</v>
      </c>
      <c r="E367" s="4">
        <v>422.1</v>
      </c>
      <c r="F367" s="3">
        <f>VLOOKUP(B367,'Profit &amp; Loss'!$B$2:$C$390,2,0)</f>
        <v>-756.63</v>
      </c>
    </row>
    <row r="368" spans="1:6" x14ac:dyDescent="0.2">
      <c r="A368" s="3" t="s">
        <v>313</v>
      </c>
      <c r="B368" s="3" t="s">
        <v>1433</v>
      </c>
      <c r="C368" s="4">
        <v>-3168.71</v>
      </c>
      <c r="D368" s="4">
        <v>-3168.71</v>
      </c>
      <c r="E368" s="4">
        <v>0</v>
      </c>
      <c r="F368" s="3">
        <f>VLOOKUP(B368,'Profit &amp; Loss'!$B$2:$C$390,2,0)</f>
        <v>0</v>
      </c>
    </row>
    <row r="369" spans="1:6" x14ac:dyDescent="0.2">
      <c r="A369" s="3" t="s">
        <v>313</v>
      </c>
      <c r="B369" s="3" t="s">
        <v>656</v>
      </c>
      <c r="C369" s="4">
        <v>94629.65</v>
      </c>
      <c r="D369" s="4">
        <v>75053.240000000005</v>
      </c>
      <c r="E369" s="4">
        <v>19576.41</v>
      </c>
      <c r="F369" s="3">
        <f>VLOOKUP(B369,'Profit &amp; Loss'!$B$2:$C$390,2,0)</f>
        <v>0</v>
      </c>
    </row>
    <row r="370" spans="1:6" x14ac:dyDescent="0.2">
      <c r="A370" s="3" t="s">
        <v>313</v>
      </c>
      <c r="B370" s="3" t="s">
        <v>329</v>
      </c>
      <c r="C370" s="4">
        <v>66477.440000000002</v>
      </c>
      <c r="D370" s="4">
        <v>60515.69</v>
      </c>
      <c r="E370" s="4">
        <v>5961.75</v>
      </c>
      <c r="F370" s="3">
        <f>VLOOKUP(B370,'Profit &amp; Loss'!$B$2:$C$390,2,0)</f>
        <v>6174.84</v>
      </c>
    </row>
    <row r="371" spans="1:6" x14ac:dyDescent="0.2">
      <c r="A371" s="3" t="s">
        <v>313</v>
      </c>
      <c r="B371" s="3" t="s">
        <v>330</v>
      </c>
      <c r="C371" s="4">
        <v>7625.45</v>
      </c>
      <c r="D371" s="4">
        <v>6090.36</v>
      </c>
      <c r="E371" s="4">
        <v>1535.09</v>
      </c>
      <c r="F371" s="3">
        <f>VLOOKUP(B371,'Profit &amp; Loss'!$B$2:$C$390,2,0)</f>
        <v>890.78</v>
      </c>
    </row>
    <row r="372" spans="1:6" x14ac:dyDescent="0.2">
      <c r="A372" s="3" t="s">
        <v>313</v>
      </c>
      <c r="B372" s="3" t="s">
        <v>331</v>
      </c>
      <c r="C372" s="4">
        <v>136881.78</v>
      </c>
      <c r="D372" s="4">
        <v>96739.79</v>
      </c>
      <c r="E372" s="4">
        <v>40141.99</v>
      </c>
      <c r="F372" s="3">
        <f>VLOOKUP(B372,'Profit &amp; Loss'!$B$2:$C$390,2,0)</f>
        <v>-3008.88</v>
      </c>
    </row>
    <row r="373" spans="1:6" x14ac:dyDescent="0.2">
      <c r="A373" s="3" t="s">
        <v>313</v>
      </c>
      <c r="B373" s="3" t="s">
        <v>332</v>
      </c>
      <c r="C373" s="4">
        <v>889.52</v>
      </c>
      <c r="D373" s="4">
        <v>889.52</v>
      </c>
      <c r="E373" s="4">
        <v>0</v>
      </c>
      <c r="F373" s="3">
        <f>VLOOKUP(B373,'Profit &amp; Loss'!$B$2:$C$390,2,0)</f>
        <v>24.68</v>
      </c>
    </row>
    <row r="374" spans="1:6" x14ac:dyDescent="0.2">
      <c r="A374" s="3" t="s">
        <v>313</v>
      </c>
      <c r="B374" s="3" t="s">
        <v>657</v>
      </c>
      <c r="C374" s="4">
        <v>20561.919999999998</v>
      </c>
      <c r="D374" s="4">
        <v>2559.48</v>
      </c>
      <c r="E374" s="4">
        <v>18002.439999999999</v>
      </c>
      <c r="F374" s="3">
        <f>VLOOKUP(B374,'Profit &amp; Loss'!$B$2:$C$390,2,0)</f>
        <v>0</v>
      </c>
    </row>
    <row r="375" spans="1:6" x14ac:dyDescent="0.2">
      <c r="A375" s="3" t="s">
        <v>313</v>
      </c>
      <c r="B375" s="3" t="s">
        <v>333</v>
      </c>
      <c r="C375" s="4">
        <v>34056.85</v>
      </c>
      <c r="D375" s="4">
        <v>26339.200000000001</v>
      </c>
      <c r="E375" s="4">
        <v>7717.65</v>
      </c>
      <c r="F375" s="3">
        <f>VLOOKUP(B375,'Profit &amp; Loss'!$B$2:$C$390,2,0)</f>
        <v>3308.5</v>
      </c>
    </row>
    <row r="376" spans="1:6" x14ac:dyDescent="0.2">
      <c r="A376" s="3" t="s">
        <v>313</v>
      </c>
      <c r="B376" s="3" t="s">
        <v>658</v>
      </c>
      <c r="C376" s="4">
        <v>3860.75</v>
      </c>
      <c r="D376" s="4">
        <v>3303.48</v>
      </c>
      <c r="E376" s="4">
        <v>557.27</v>
      </c>
      <c r="F376" s="3">
        <f>VLOOKUP(B376,'Profit &amp; Loss'!$B$2:$C$390,2,0)</f>
        <v>2303.5500000000002</v>
      </c>
    </row>
    <row r="377" spans="1:6" x14ac:dyDescent="0.2">
      <c r="A377" s="3" t="s">
        <v>313</v>
      </c>
      <c r="B377" s="3" t="s">
        <v>843</v>
      </c>
      <c r="C377" s="4">
        <v>43.34</v>
      </c>
      <c r="D377" s="4">
        <v>43.34</v>
      </c>
      <c r="E377" s="4">
        <v>0</v>
      </c>
      <c r="F377" s="3">
        <f>VLOOKUP(B377,'Profit &amp; Loss'!$B$2:$C$390,2,0)</f>
        <v>0</v>
      </c>
    </row>
    <row r="378" spans="1:6" x14ac:dyDescent="0.2">
      <c r="A378" s="3" t="s">
        <v>313</v>
      </c>
      <c r="B378" s="3" t="s">
        <v>1434</v>
      </c>
      <c r="C378" s="4">
        <v>111.08</v>
      </c>
      <c r="D378" s="4">
        <v>111.08</v>
      </c>
      <c r="E378" s="4">
        <v>0</v>
      </c>
      <c r="F378" s="3">
        <f>VLOOKUP(B378,'Profit &amp; Loss'!$B$2:$C$390,2,0)</f>
        <v>0</v>
      </c>
    </row>
    <row r="379" spans="1:6" x14ac:dyDescent="0.2">
      <c r="A379" s="3" t="s">
        <v>313</v>
      </c>
      <c r="B379" s="3" t="s">
        <v>2</v>
      </c>
      <c r="C379" s="4">
        <v>1341035.3500000001</v>
      </c>
      <c r="D379" s="4">
        <v>1059509.43</v>
      </c>
      <c r="E379" s="4">
        <v>281525.92</v>
      </c>
      <c r="F379" s="3" t="e">
        <f>VLOOKUP(B379,'Profit &amp; Loss'!$B$2:$C$390,2,0)</f>
        <v>#N/A</v>
      </c>
    </row>
    <row r="380" spans="1:6" x14ac:dyDescent="0.2">
      <c r="A380" s="3" t="s">
        <v>334</v>
      </c>
      <c r="B380" s="3" t="s">
        <v>335</v>
      </c>
      <c r="C380" s="4">
        <v>876736.26</v>
      </c>
      <c r="D380" s="4">
        <v>806249.59</v>
      </c>
      <c r="E380" s="4">
        <v>70486.67</v>
      </c>
      <c r="F380" s="3">
        <f>VLOOKUP(B380,'Profit &amp; Loss'!$B$2:$C$390,2,0)</f>
        <v>55035.39</v>
      </c>
    </row>
    <row r="381" spans="1:6" x14ac:dyDescent="0.2">
      <c r="A381" s="3" t="s">
        <v>334</v>
      </c>
      <c r="B381" s="3" t="s">
        <v>562</v>
      </c>
      <c r="C381" s="4">
        <v>73191.199999999997</v>
      </c>
      <c r="D381" s="4">
        <v>73191.199999999997</v>
      </c>
      <c r="E381" s="4">
        <v>0</v>
      </c>
      <c r="F381" s="3">
        <f>VLOOKUP(B381,'Profit &amp; Loss'!$B$2:$C$390,2,0)</f>
        <v>0</v>
      </c>
    </row>
    <row r="382" spans="1:6" x14ac:dyDescent="0.2">
      <c r="A382" s="3" t="s">
        <v>334</v>
      </c>
      <c r="B382" s="3" t="s">
        <v>336</v>
      </c>
      <c r="C382" s="4">
        <v>-27.6</v>
      </c>
      <c r="D382" s="4">
        <v>-5927.21</v>
      </c>
      <c r="E382" s="4">
        <v>5899.61</v>
      </c>
      <c r="F382" s="3">
        <f>VLOOKUP(B382,'Profit &amp; Loss'!$B$2:$C$390,2,0)</f>
        <v>5279.69</v>
      </c>
    </row>
    <row r="383" spans="1:6" x14ac:dyDescent="0.2">
      <c r="A383" s="3" t="s">
        <v>334</v>
      </c>
      <c r="B383" s="3" t="s">
        <v>337</v>
      </c>
      <c r="C383" s="4">
        <v>37291.42</v>
      </c>
      <c r="D383" s="4">
        <v>35590.300000000003</v>
      </c>
      <c r="E383" s="4">
        <v>1701.12</v>
      </c>
      <c r="F383" s="3">
        <f>VLOOKUP(B383,'Profit &amp; Loss'!$B$2:$C$390,2,0)</f>
        <v>2800.93</v>
      </c>
    </row>
    <row r="384" spans="1:6" x14ac:dyDescent="0.2">
      <c r="A384" s="3" t="s">
        <v>334</v>
      </c>
      <c r="B384" s="3" t="s">
        <v>338</v>
      </c>
      <c r="C384" s="4">
        <v>297176.90999999997</v>
      </c>
      <c r="D384" s="4">
        <v>245058.24</v>
      </c>
      <c r="E384" s="4">
        <v>52118.67</v>
      </c>
      <c r="F384" s="3">
        <f>VLOOKUP(B384,'Profit &amp; Loss'!$B$2:$C$390,2,0)</f>
        <v>17648.05</v>
      </c>
    </row>
    <row r="385" spans="1:6" x14ac:dyDescent="0.2">
      <c r="A385" s="3" t="s">
        <v>334</v>
      </c>
      <c r="B385" s="3" t="s">
        <v>563</v>
      </c>
      <c r="C385" s="4">
        <v>165.75</v>
      </c>
      <c r="D385" s="4">
        <v>165.75</v>
      </c>
      <c r="E385" s="4">
        <v>0</v>
      </c>
      <c r="F385" s="3">
        <f>VLOOKUP(B385,'Profit &amp; Loss'!$B$2:$C$390,2,0)</f>
        <v>0</v>
      </c>
    </row>
    <row r="386" spans="1:6" x14ac:dyDescent="0.2">
      <c r="A386" s="3" t="s">
        <v>334</v>
      </c>
      <c r="B386" s="3" t="s">
        <v>339</v>
      </c>
      <c r="C386" s="4">
        <v>28493.439999999999</v>
      </c>
      <c r="D386" s="4">
        <v>25870.27</v>
      </c>
      <c r="E386" s="4">
        <v>2623.17</v>
      </c>
      <c r="F386" s="3">
        <f>VLOOKUP(B386,'Profit &amp; Loss'!$B$2:$C$390,2,0)</f>
        <v>4180.01</v>
      </c>
    </row>
    <row r="387" spans="1:6" x14ac:dyDescent="0.2">
      <c r="A387" s="3" t="s">
        <v>334</v>
      </c>
      <c r="B387" s="3" t="s">
        <v>768</v>
      </c>
      <c r="C387" s="4">
        <v>96267.16</v>
      </c>
      <c r="D387" s="4">
        <v>96267.16</v>
      </c>
      <c r="E387" s="4">
        <v>0</v>
      </c>
      <c r="F387" s="3">
        <f>VLOOKUP(B387,'Profit &amp; Loss'!$B$2:$C$390,2,0)</f>
        <v>0</v>
      </c>
    </row>
    <row r="388" spans="1:6" x14ac:dyDescent="0.2">
      <c r="A388" s="3" t="s">
        <v>334</v>
      </c>
      <c r="B388" s="3" t="s">
        <v>340</v>
      </c>
      <c r="C388" s="4">
        <v>50060.07</v>
      </c>
      <c r="D388" s="4">
        <v>38260.839999999997</v>
      </c>
      <c r="E388" s="4">
        <v>11799.23</v>
      </c>
      <c r="F388" s="3">
        <f>VLOOKUP(B388,'Profit &amp; Loss'!$B$2:$C$390,2,0)</f>
        <v>10559.39</v>
      </c>
    </row>
    <row r="389" spans="1:6" x14ac:dyDescent="0.2">
      <c r="A389" s="3" t="s">
        <v>334</v>
      </c>
      <c r="B389" s="3" t="s">
        <v>341</v>
      </c>
      <c r="C389" s="4">
        <v>213975.95</v>
      </c>
      <c r="D389" s="4">
        <v>206887.65</v>
      </c>
      <c r="E389" s="4">
        <v>7088.3</v>
      </c>
      <c r="F389" s="3">
        <f>VLOOKUP(B389,'Profit &amp; Loss'!$B$2:$C$390,2,0)</f>
        <v>18487.189999999999</v>
      </c>
    </row>
    <row r="390" spans="1:6" x14ac:dyDescent="0.2">
      <c r="A390" s="3" t="s">
        <v>334</v>
      </c>
      <c r="B390" s="3" t="s">
        <v>1533</v>
      </c>
      <c r="C390" s="4">
        <v>44.81</v>
      </c>
      <c r="D390" s="4">
        <v>44.81</v>
      </c>
      <c r="E390" s="4">
        <v>0</v>
      </c>
      <c r="F390" s="3">
        <f>VLOOKUP(B390,'Profit &amp; Loss'!$B$2:$C$390,2,0)</f>
        <v>0</v>
      </c>
    </row>
    <row r="391" spans="1:6" x14ac:dyDescent="0.2">
      <c r="A391" s="3" t="s">
        <v>334</v>
      </c>
      <c r="B391" s="3" t="s">
        <v>342</v>
      </c>
      <c r="C391" s="4">
        <v>8921.4599999999991</v>
      </c>
      <c r="D391" s="4">
        <v>8921.4599999999991</v>
      </c>
      <c r="E391" s="4">
        <v>0</v>
      </c>
      <c r="F391" s="3">
        <f>VLOOKUP(B391,'Profit &amp; Loss'!$B$2:$C$390,2,0)</f>
        <v>2577.34</v>
      </c>
    </row>
    <row r="392" spans="1:6" x14ac:dyDescent="0.2">
      <c r="A392" s="3" t="s">
        <v>334</v>
      </c>
      <c r="B392" s="3" t="s">
        <v>566</v>
      </c>
      <c r="C392" s="4">
        <v>16596.78</v>
      </c>
      <c r="D392" s="4">
        <v>16596.78</v>
      </c>
      <c r="E392" s="4">
        <v>0</v>
      </c>
      <c r="F392" s="3">
        <f>VLOOKUP(B392,'Profit &amp; Loss'!$B$2:$C$390,2,0)</f>
        <v>0</v>
      </c>
    </row>
    <row r="393" spans="1:6" x14ac:dyDescent="0.2">
      <c r="A393" s="3" t="s">
        <v>334</v>
      </c>
      <c r="B393" s="3" t="s">
        <v>343</v>
      </c>
      <c r="C393" s="4">
        <v>35968.58</v>
      </c>
      <c r="D393" s="4">
        <v>28989.68</v>
      </c>
      <c r="E393" s="4">
        <v>6978.9</v>
      </c>
      <c r="F393" s="3">
        <f>VLOOKUP(B393,'Profit &amp; Loss'!$B$2:$C$390,2,0)</f>
        <v>-203.37</v>
      </c>
    </row>
    <row r="394" spans="1:6" x14ac:dyDescent="0.2">
      <c r="A394" s="3" t="s">
        <v>334</v>
      </c>
      <c r="B394" s="3" t="s">
        <v>992</v>
      </c>
      <c r="C394" s="4">
        <v>733.43</v>
      </c>
      <c r="D394" s="4">
        <v>733.43</v>
      </c>
      <c r="E394" s="4">
        <v>0</v>
      </c>
      <c r="F394" s="3">
        <f>VLOOKUP(B394,'Profit &amp; Loss'!$B$2:$C$390,2,0)</f>
        <v>733.43</v>
      </c>
    </row>
    <row r="395" spans="1:6" x14ac:dyDescent="0.2">
      <c r="A395" s="3" t="s">
        <v>334</v>
      </c>
      <c r="B395" s="3" t="s">
        <v>344</v>
      </c>
      <c r="C395" s="4">
        <v>662.24</v>
      </c>
      <c r="D395" s="4">
        <v>544.80999999999995</v>
      </c>
      <c r="E395" s="4">
        <v>117.43</v>
      </c>
      <c r="F395" s="3">
        <f>VLOOKUP(B395,'Profit &amp; Loss'!$B$2:$C$390,2,0)</f>
        <v>0</v>
      </c>
    </row>
    <row r="396" spans="1:6" x14ac:dyDescent="0.2">
      <c r="A396" s="3" t="s">
        <v>334</v>
      </c>
      <c r="B396" s="3" t="s">
        <v>345</v>
      </c>
      <c r="C396" s="4">
        <v>162307.75</v>
      </c>
      <c r="D396" s="4">
        <v>149726.76999999999</v>
      </c>
      <c r="E396" s="4">
        <v>12580.98</v>
      </c>
      <c r="F396" s="3">
        <f>VLOOKUP(B396,'Profit &amp; Loss'!$B$2:$C$390,2,0)</f>
        <v>11989.03</v>
      </c>
    </row>
    <row r="397" spans="1:6" x14ac:dyDescent="0.2">
      <c r="A397" s="3" t="s">
        <v>334</v>
      </c>
      <c r="B397" s="18" t="s">
        <v>1535</v>
      </c>
      <c r="C397" s="4">
        <v>18.649999999999999</v>
      </c>
      <c r="D397" s="4">
        <v>0</v>
      </c>
      <c r="E397" s="4">
        <v>18.649999999999999</v>
      </c>
      <c r="F397" s="3">
        <f>VLOOKUP(B397,'Profit &amp; Loss'!$B$2:$C$390,2,0)</f>
        <v>0</v>
      </c>
    </row>
    <row r="398" spans="1:6" x14ac:dyDescent="0.2">
      <c r="A398" s="3" t="s">
        <v>334</v>
      </c>
      <c r="B398" s="3" t="s">
        <v>346</v>
      </c>
      <c r="C398" s="4">
        <v>59262.16</v>
      </c>
      <c r="D398" s="4">
        <v>54218.02</v>
      </c>
      <c r="E398" s="4">
        <v>5044.1400000000003</v>
      </c>
      <c r="F398" s="3">
        <f>VLOOKUP(B398,'Profit &amp; Loss'!$B$2:$C$390,2,0)</f>
        <v>4420.24</v>
      </c>
    </row>
    <row r="399" spans="1:6" x14ac:dyDescent="0.2">
      <c r="A399" s="3" t="s">
        <v>334</v>
      </c>
      <c r="B399" s="3" t="s">
        <v>347</v>
      </c>
      <c r="C399" s="4">
        <v>28789.41</v>
      </c>
      <c r="D399" s="4">
        <v>26327.22</v>
      </c>
      <c r="E399" s="4">
        <v>2462.19</v>
      </c>
      <c r="F399" s="3">
        <f>VLOOKUP(B399,'Profit &amp; Loss'!$B$2:$C$390,2,0)</f>
        <v>2182.88</v>
      </c>
    </row>
    <row r="400" spans="1:6" x14ac:dyDescent="0.2">
      <c r="A400" s="3" t="s">
        <v>334</v>
      </c>
      <c r="B400" s="3" t="s">
        <v>348</v>
      </c>
      <c r="C400" s="4">
        <v>80349.070000000007</v>
      </c>
      <c r="D400" s="4">
        <v>73725.23</v>
      </c>
      <c r="E400" s="4">
        <v>6623.84</v>
      </c>
      <c r="F400" s="3">
        <f>VLOOKUP(B400,'Profit &amp; Loss'!$B$2:$C$390,2,0)</f>
        <v>5823.94</v>
      </c>
    </row>
    <row r="401" spans="1:6" x14ac:dyDescent="0.2">
      <c r="A401" s="3" t="s">
        <v>334</v>
      </c>
      <c r="B401" s="3" t="s">
        <v>349</v>
      </c>
      <c r="C401" s="4">
        <v>53805.08</v>
      </c>
      <c r="D401" s="4">
        <v>49741.41</v>
      </c>
      <c r="E401" s="4">
        <v>4063.67</v>
      </c>
      <c r="F401" s="3">
        <f>VLOOKUP(B401,'Profit &amp; Loss'!$B$2:$C$390,2,0)</f>
        <v>3750.29</v>
      </c>
    </row>
    <row r="402" spans="1:6" x14ac:dyDescent="0.2">
      <c r="A402" s="3" t="s">
        <v>334</v>
      </c>
      <c r="B402" s="3" t="s">
        <v>350</v>
      </c>
      <c r="C402" s="4">
        <v>51264.59</v>
      </c>
      <c r="D402" s="4">
        <v>46956.77</v>
      </c>
      <c r="E402" s="4">
        <v>4307.82</v>
      </c>
      <c r="F402" s="3">
        <f>VLOOKUP(B402,'Profit &amp; Loss'!$B$2:$C$390,2,0)</f>
        <v>5549.93</v>
      </c>
    </row>
    <row r="403" spans="1:6" x14ac:dyDescent="0.2">
      <c r="A403" s="3" t="s">
        <v>334</v>
      </c>
      <c r="B403" s="3" t="s">
        <v>351</v>
      </c>
      <c r="C403" s="4">
        <v>91935.55</v>
      </c>
      <c r="D403" s="4">
        <v>79884.37</v>
      </c>
      <c r="E403" s="4">
        <v>12051.18</v>
      </c>
      <c r="F403" s="3">
        <f>VLOOKUP(B403,'Profit &amp; Loss'!$B$2:$C$390,2,0)</f>
        <v>4678.2299999999996</v>
      </c>
    </row>
    <row r="404" spans="1:6" x14ac:dyDescent="0.2">
      <c r="A404" s="3" t="s">
        <v>334</v>
      </c>
      <c r="B404" s="3" t="s">
        <v>352</v>
      </c>
      <c r="C404" s="4">
        <v>5039.21</v>
      </c>
      <c r="D404" s="4">
        <v>4808.12</v>
      </c>
      <c r="E404" s="4">
        <v>231.09</v>
      </c>
      <c r="F404" s="3">
        <f>VLOOKUP(B404,'Profit &amp; Loss'!$B$2:$C$390,2,0)</f>
        <v>1184.21</v>
      </c>
    </row>
    <row r="405" spans="1:6" x14ac:dyDescent="0.2">
      <c r="A405" s="3" t="s">
        <v>334</v>
      </c>
      <c r="B405" s="3" t="s">
        <v>569</v>
      </c>
      <c r="C405" s="4">
        <v>6489.7</v>
      </c>
      <c r="D405" s="4">
        <v>5154.9799999999996</v>
      </c>
      <c r="E405" s="4">
        <v>1334.72</v>
      </c>
      <c r="F405" s="3">
        <f>VLOOKUP(B405,'Profit &amp; Loss'!$B$2:$C$390,2,0)</f>
        <v>1388.56</v>
      </c>
    </row>
    <row r="406" spans="1:6" x14ac:dyDescent="0.2">
      <c r="A406" s="3" t="s">
        <v>334</v>
      </c>
      <c r="B406" s="3" t="s">
        <v>667</v>
      </c>
      <c r="C406" s="4">
        <v>2890.23</v>
      </c>
      <c r="D406" s="4">
        <v>2890.23</v>
      </c>
      <c r="E406" s="4">
        <v>0</v>
      </c>
      <c r="F406" s="3">
        <f>VLOOKUP(B406,'Profit &amp; Loss'!$B$2:$C$390,2,0)</f>
        <v>0</v>
      </c>
    </row>
    <row r="407" spans="1:6" x14ac:dyDescent="0.2">
      <c r="A407" s="3" t="s">
        <v>334</v>
      </c>
      <c r="B407" s="3" t="s">
        <v>353</v>
      </c>
      <c r="C407" s="4">
        <v>22613.65</v>
      </c>
      <c r="D407" s="4">
        <v>19701.95</v>
      </c>
      <c r="E407" s="4">
        <v>2911.7</v>
      </c>
      <c r="F407" s="3">
        <f>VLOOKUP(B407,'Profit &amp; Loss'!$B$2:$C$390,2,0)</f>
        <v>1304.8699999999999</v>
      </c>
    </row>
    <row r="408" spans="1:6" x14ac:dyDescent="0.2">
      <c r="A408" s="3" t="s">
        <v>334</v>
      </c>
      <c r="B408" s="3" t="s">
        <v>772</v>
      </c>
      <c r="C408" s="4">
        <v>1746.14</v>
      </c>
      <c r="D408" s="4">
        <v>1600.66</v>
      </c>
      <c r="E408" s="4">
        <v>145.47999999999999</v>
      </c>
      <c r="F408" s="3">
        <f>VLOOKUP(B408,'Profit &amp; Loss'!$B$2:$C$390,2,0)</f>
        <v>0</v>
      </c>
    </row>
    <row r="409" spans="1:6" x14ac:dyDescent="0.2">
      <c r="A409" s="3" t="s">
        <v>334</v>
      </c>
      <c r="B409" s="3" t="s">
        <v>354</v>
      </c>
      <c r="C409" s="4">
        <v>8649.1200000000008</v>
      </c>
      <c r="D409" s="4">
        <v>7912.94</v>
      </c>
      <c r="E409" s="4">
        <v>736.18</v>
      </c>
      <c r="F409" s="3">
        <f>VLOOKUP(B409,'Profit &amp; Loss'!$B$2:$C$390,2,0)</f>
        <v>645.12</v>
      </c>
    </row>
    <row r="410" spans="1:6" x14ac:dyDescent="0.2">
      <c r="A410" s="3" t="s">
        <v>334</v>
      </c>
      <c r="B410" s="3" t="s">
        <v>355</v>
      </c>
      <c r="C410" s="4">
        <v>60321.68</v>
      </c>
      <c r="D410" s="4">
        <v>55015.48</v>
      </c>
      <c r="E410" s="4">
        <v>5306.2</v>
      </c>
      <c r="F410" s="3">
        <f>VLOOKUP(B410,'Profit &amp; Loss'!$B$2:$C$390,2,0)</f>
        <v>4654.41</v>
      </c>
    </row>
    <row r="411" spans="1:6" x14ac:dyDescent="0.2">
      <c r="A411" s="3" t="s">
        <v>334</v>
      </c>
      <c r="B411" s="3" t="s">
        <v>356</v>
      </c>
      <c r="C411" s="4">
        <v>0.55000000000000004</v>
      </c>
      <c r="D411" s="4">
        <v>-32.54</v>
      </c>
      <c r="E411" s="4">
        <v>33.090000000000003</v>
      </c>
      <c r="F411" s="3">
        <f>VLOOKUP(B411,'Profit &amp; Loss'!$B$2:$C$390,2,0)</f>
        <v>164.53</v>
      </c>
    </row>
    <row r="412" spans="1:6" x14ac:dyDescent="0.2">
      <c r="A412" s="3" t="s">
        <v>334</v>
      </c>
      <c r="B412" s="3" t="s">
        <v>357</v>
      </c>
      <c r="C412" s="4">
        <v>34367.82</v>
      </c>
      <c r="D412" s="4">
        <v>28843.759999999998</v>
      </c>
      <c r="E412" s="4">
        <v>5524.06</v>
      </c>
      <c r="F412" s="3">
        <f>VLOOKUP(B412,'Profit &amp; Loss'!$B$2:$C$390,2,0)</f>
        <v>1147.27</v>
      </c>
    </row>
    <row r="413" spans="1:6" x14ac:dyDescent="0.2">
      <c r="A413" s="3" t="s">
        <v>334</v>
      </c>
      <c r="B413" s="3" t="s">
        <v>920</v>
      </c>
      <c r="C413" s="4">
        <v>6178.53</v>
      </c>
      <c r="D413" s="4">
        <v>6178.53</v>
      </c>
      <c r="E413" s="4">
        <v>0</v>
      </c>
      <c r="F413" s="3">
        <f>VLOOKUP(B413,'Profit &amp; Loss'!$B$2:$C$390,2,0)</f>
        <v>0</v>
      </c>
    </row>
    <row r="414" spans="1:6" x14ac:dyDescent="0.2">
      <c r="A414" s="3" t="s">
        <v>334</v>
      </c>
      <c r="B414" s="3" t="s">
        <v>358</v>
      </c>
      <c r="C414" s="4">
        <v>7616</v>
      </c>
      <c r="D414" s="4">
        <v>7616</v>
      </c>
      <c r="E414" s="4">
        <v>0</v>
      </c>
      <c r="F414" s="3">
        <f>VLOOKUP(B414,'Profit &amp; Loss'!$B$2:$C$390,2,0)</f>
        <v>3993.12</v>
      </c>
    </row>
    <row r="415" spans="1:6" x14ac:dyDescent="0.2">
      <c r="A415" s="3" t="s">
        <v>334</v>
      </c>
      <c r="B415" s="3" t="s">
        <v>359</v>
      </c>
      <c r="C415" s="4">
        <v>1270.6400000000001</v>
      </c>
      <c r="D415" s="4">
        <v>1270.6400000000001</v>
      </c>
      <c r="E415" s="4">
        <v>0</v>
      </c>
      <c r="F415" s="3">
        <f>VLOOKUP(B415,'Profit &amp; Loss'!$B$2:$C$390,2,0)</f>
        <v>1270.6400000000001</v>
      </c>
    </row>
    <row r="416" spans="1:6" x14ac:dyDescent="0.2">
      <c r="A416" s="3" t="s">
        <v>334</v>
      </c>
      <c r="B416" s="3" t="s">
        <v>360</v>
      </c>
      <c r="C416" s="4">
        <v>255103.46</v>
      </c>
      <c r="D416" s="4">
        <v>217787.4</v>
      </c>
      <c r="E416" s="4">
        <v>37316.06</v>
      </c>
      <c r="F416" s="3">
        <f>VLOOKUP(B416,'Profit &amp; Loss'!$B$2:$C$390,2,0)</f>
        <v>16594.689999999999</v>
      </c>
    </row>
    <row r="417" spans="1:6" x14ac:dyDescent="0.2">
      <c r="A417" s="3" t="s">
        <v>334</v>
      </c>
      <c r="B417" s="3" t="s">
        <v>571</v>
      </c>
      <c r="C417" s="4">
        <v>15123.67</v>
      </c>
      <c r="D417" s="4">
        <v>13119.51</v>
      </c>
      <c r="E417" s="4">
        <v>2004.16</v>
      </c>
      <c r="F417" s="3">
        <f>VLOOKUP(B417,'Profit &amp; Loss'!$B$2:$C$390,2,0)</f>
        <v>7423.55</v>
      </c>
    </row>
    <row r="418" spans="1:6" x14ac:dyDescent="0.2">
      <c r="A418" s="3" t="s">
        <v>334</v>
      </c>
      <c r="B418" s="3" t="s">
        <v>361</v>
      </c>
      <c r="C418" s="4">
        <v>6947.04</v>
      </c>
      <c r="D418" s="4">
        <v>4299.66</v>
      </c>
      <c r="E418" s="4">
        <v>2647.38</v>
      </c>
      <c r="F418" s="3">
        <f>VLOOKUP(B418,'Profit &amp; Loss'!$B$2:$C$390,2,0)</f>
        <v>0</v>
      </c>
    </row>
    <row r="419" spans="1:6" x14ac:dyDescent="0.2">
      <c r="A419" s="3" t="s">
        <v>334</v>
      </c>
      <c r="B419" s="3" t="s">
        <v>1427</v>
      </c>
      <c r="C419" s="4">
        <v>34.090000000000003</v>
      </c>
      <c r="D419" s="4">
        <v>34.090000000000003</v>
      </c>
      <c r="E419" s="4">
        <v>0</v>
      </c>
      <c r="F419" s="3">
        <f>VLOOKUP(B419,'Profit &amp; Loss'!$B$2:$C$390,2,0)</f>
        <v>0</v>
      </c>
    </row>
    <row r="420" spans="1:6" x14ac:dyDescent="0.2">
      <c r="A420" s="3" t="s">
        <v>334</v>
      </c>
      <c r="B420" s="3" t="s">
        <v>1446</v>
      </c>
      <c r="C420" s="4">
        <v>25.6</v>
      </c>
      <c r="D420" s="4">
        <v>25.6</v>
      </c>
      <c r="E420" s="4">
        <v>0</v>
      </c>
      <c r="F420" s="3">
        <f>VLOOKUP(B420,'Profit &amp; Loss'!$B$2:$C$390,2,0)</f>
        <v>0</v>
      </c>
    </row>
    <row r="421" spans="1:6" x14ac:dyDescent="0.2">
      <c r="A421" s="3" t="s">
        <v>334</v>
      </c>
      <c r="B421" s="3" t="s">
        <v>921</v>
      </c>
      <c r="C421" s="4">
        <v>193.49</v>
      </c>
      <c r="D421" s="4">
        <v>122.03</v>
      </c>
      <c r="E421" s="4">
        <v>71.459999999999994</v>
      </c>
      <c r="F421" s="3">
        <f>VLOOKUP(B421,'Profit &amp; Loss'!$B$2:$C$390,2,0)</f>
        <v>0</v>
      </c>
    </row>
    <row r="422" spans="1:6" x14ac:dyDescent="0.2">
      <c r="A422" s="3" t="s">
        <v>334</v>
      </c>
      <c r="B422" s="18" t="s">
        <v>362</v>
      </c>
      <c r="C422" s="4">
        <v>1385.41</v>
      </c>
      <c r="D422" s="4">
        <v>0</v>
      </c>
      <c r="E422" s="4">
        <v>1385.41</v>
      </c>
      <c r="F422" s="3">
        <f>VLOOKUP(B422,'Profit &amp; Loss'!$B$2:$C$390,2,0)</f>
        <v>0</v>
      </c>
    </row>
    <row r="423" spans="1:6" x14ac:dyDescent="0.2">
      <c r="A423" s="3" t="s">
        <v>334</v>
      </c>
      <c r="B423" s="3" t="s">
        <v>852</v>
      </c>
      <c r="C423" s="4">
        <v>6329.54</v>
      </c>
      <c r="D423" s="4">
        <v>6329.54</v>
      </c>
      <c r="E423" s="4">
        <v>0</v>
      </c>
      <c r="F423" s="3">
        <f>VLOOKUP(B423,'Profit &amp; Loss'!$B$2:$C$390,2,0)</f>
        <v>0</v>
      </c>
    </row>
    <row r="424" spans="1:6" x14ac:dyDescent="0.2">
      <c r="A424" s="3" t="s">
        <v>334</v>
      </c>
      <c r="B424" s="3" t="s">
        <v>363</v>
      </c>
      <c r="C424" s="4">
        <v>12475.09</v>
      </c>
      <c r="D424" s="4">
        <v>12326.34</v>
      </c>
      <c r="E424" s="4">
        <v>148.75</v>
      </c>
      <c r="F424" s="3">
        <f>VLOOKUP(B424,'Profit &amp; Loss'!$B$2:$C$390,2,0)</f>
        <v>1958.16</v>
      </c>
    </row>
    <row r="425" spans="1:6" x14ac:dyDescent="0.2">
      <c r="A425" s="3" t="s">
        <v>334</v>
      </c>
      <c r="B425" s="3" t="s">
        <v>2</v>
      </c>
      <c r="C425" s="4">
        <v>2718790.78</v>
      </c>
      <c r="D425" s="4">
        <v>2453029.4700000002</v>
      </c>
      <c r="E425" s="4">
        <v>265761.31</v>
      </c>
      <c r="F425" s="3" t="e">
        <f>VLOOKUP(B425,'Profit &amp; Loss'!$B$2:$C$390,2,0)</f>
        <v>#N/A</v>
      </c>
    </row>
    <row r="426" spans="1:6" x14ac:dyDescent="0.2">
      <c r="A426" s="3" t="s">
        <v>364</v>
      </c>
      <c r="B426" s="3" t="s">
        <v>365</v>
      </c>
      <c r="C426" s="4">
        <v>8941.8799999999992</v>
      </c>
      <c r="D426" s="4">
        <v>6157.86</v>
      </c>
      <c r="E426" s="4">
        <v>2784.02</v>
      </c>
      <c r="F426" s="3">
        <f>VLOOKUP(B426,'Profit &amp; Loss'!$B$2:$C$390,2,0)</f>
        <v>0</v>
      </c>
    </row>
    <row r="427" spans="1:6" x14ac:dyDescent="0.2">
      <c r="A427" s="3" t="s">
        <v>364</v>
      </c>
      <c r="B427" s="3" t="s">
        <v>366</v>
      </c>
      <c r="C427" s="4">
        <v>41814.01</v>
      </c>
      <c r="D427" s="4">
        <v>36540.9</v>
      </c>
      <c r="E427" s="4">
        <v>5273.11</v>
      </c>
      <c r="F427" s="3">
        <f>VLOOKUP(B427,'Profit &amp; Loss'!$B$2:$C$390,2,0)</f>
        <v>223.34</v>
      </c>
    </row>
    <row r="428" spans="1:6" x14ac:dyDescent="0.2">
      <c r="A428" s="3" t="s">
        <v>364</v>
      </c>
      <c r="B428" s="3" t="s">
        <v>367</v>
      </c>
      <c r="C428" s="4">
        <v>8934.89</v>
      </c>
      <c r="D428" s="4">
        <v>8153.18</v>
      </c>
      <c r="E428" s="4">
        <v>781.71</v>
      </c>
      <c r="F428" s="3">
        <f>VLOOKUP(B428,'Profit &amp; Loss'!$B$2:$C$390,2,0)</f>
        <v>462.09</v>
      </c>
    </row>
    <row r="429" spans="1:6" x14ac:dyDescent="0.2">
      <c r="A429" s="3" t="s">
        <v>364</v>
      </c>
      <c r="B429" s="3" t="s">
        <v>368</v>
      </c>
      <c r="C429" s="4">
        <v>3795.95</v>
      </c>
      <c r="D429" s="4">
        <v>3479.27</v>
      </c>
      <c r="E429" s="4">
        <v>316.68</v>
      </c>
      <c r="F429" s="3">
        <f>VLOOKUP(B429,'Profit &amp; Loss'!$B$2:$C$390,2,0)</f>
        <v>120.24</v>
      </c>
    </row>
    <row r="430" spans="1:6" x14ac:dyDescent="0.2">
      <c r="A430" s="3" t="s">
        <v>364</v>
      </c>
      <c r="B430" s="3" t="s">
        <v>369</v>
      </c>
      <c r="C430" s="4">
        <v>2584.8000000000002</v>
      </c>
      <c r="D430" s="4">
        <v>2057.6</v>
      </c>
      <c r="E430" s="4">
        <v>527.20000000000005</v>
      </c>
      <c r="F430" s="3">
        <f>VLOOKUP(B430,'Profit &amp; Loss'!$B$2:$C$390,2,0)</f>
        <v>11.91</v>
      </c>
    </row>
    <row r="431" spans="1:6" x14ac:dyDescent="0.2">
      <c r="A431" s="3" t="s">
        <v>364</v>
      </c>
      <c r="B431" s="3" t="s">
        <v>370</v>
      </c>
      <c r="C431" s="4">
        <v>151.25</v>
      </c>
      <c r="D431" s="4">
        <v>103.56</v>
      </c>
      <c r="E431" s="4">
        <v>47.69</v>
      </c>
      <c r="F431" s="3">
        <f>VLOOKUP(B431,'Profit &amp; Loss'!$B$2:$C$390,2,0)</f>
        <v>0</v>
      </c>
    </row>
    <row r="432" spans="1:6" x14ac:dyDescent="0.2">
      <c r="A432" s="3" t="s">
        <v>364</v>
      </c>
      <c r="B432" s="3" t="s">
        <v>371</v>
      </c>
      <c r="C432" s="4">
        <v>311.41000000000003</v>
      </c>
      <c r="D432" s="4">
        <v>304.51</v>
      </c>
      <c r="E432" s="4">
        <v>6.9</v>
      </c>
      <c r="F432" s="3">
        <f>VLOOKUP(B432,'Profit &amp; Loss'!$B$2:$C$390,2,0)</f>
        <v>0</v>
      </c>
    </row>
    <row r="433" spans="1:6" x14ac:dyDescent="0.2">
      <c r="A433" s="3" t="s">
        <v>364</v>
      </c>
      <c r="B433" s="3" t="s">
        <v>372</v>
      </c>
      <c r="C433" s="4">
        <v>3101.62</v>
      </c>
      <c r="D433" s="4">
        <v>3093.24</v>
      </c>
      <c r="E433" s="4">
        <v>8.3800000000000008</v>
      </c>
      <c r="F433" s="3">
        <f>VLOOKUP(B433,'Profit &amp; Loss'!$B$2:$C$390,2,0)</f>
        <v>247.77</v>
      </c>
    </row>
    <row r="434" spans="1:6" x14ac:dyDescent="0.2">
      <c r="A434" s="3" t="s">
        <v>364</v>
      </c>
      <c r="B434" s="3" t="s">
        <v>572</v>
      </c>
      <c r="C434" s="4">
        <v>1174.08</v>
      </c>
      <c r="D434" s="4">
        <v>1174.08</v>
      </c>
      <c r="E434" s="4">
        <v>0</v>
      </c>
      <c r="F434" s="3">
        <f>VLOOKUP(B434,'Profit &amp; Loss'!$B$2:$C$390,2,0)</f>
        <v>0</v>
      </c>
    </row>
    <row r="435" spans="1:6" x14ac:dyDescent="0.2">
      <c r="A435" s="3" t="s">
        <v>364</v>
      </c>
      <c r="B435" s="3" t="s">
        <v>2</v>
      </c>
      <c r="C435" s="4">
        <v>70809.89</v>
      </c>
      <c r="D435" s="4">
        <v>61064.2</v>
      </c>
      <c r="E435" s="4">
        <v>9745.69</v>
      </c>
      <c r="F435" s="3" t="e">
        <f>VLOOKUP(B435,'Profit &amp; Loss'!$B$2:$C$390,2,0)</f>
        <v>#N/A</v>
      </c>
    </row>
    <row r="436" spans="1:6" x14ac:dyDescent="0.2">
      <c r="A436" s="3" t="s">
        <v>373</v>
      </c>
      <c r="B436" s="3" t="s">
        <v>673</v>
      </c>
      <c r="C436" s="4">
        <v>29726.79</v>
      </c>
      <c r="D436" s="4">
        <v>23124.62</v>
      </c>
      <c r="E436" s="4">
        <v>6602.17</v>
      </c>
      <c r="F436" s="3">
        <f>VLOOKUP(B436,'Profit &amp; Loss'!$B$2:$C$390,2,0)</f>
        <v>0</v>
      </c>
    </row>
    <row r="437" spans="1:6" x14ac:dyDescent="0.2">
      <c r="A437" s="3" t="s">
        <v>373</v>
      </c>
      <c r="B437" s="3" t="s">
        <v>374</v>
      </c>
      <c r="C437" s="4">
        <v>2682.32</v>
      </c>
      <c r="D437" s="4">
        <v>2397.41</v>
      </c>
      <c r="E437" s="4">
        <v>284.91000000000003</v>
      </c>
      <c r="F437" s="3">
        <f>VLOOKUP(B437,'Profit &amp; Loss'!$B$2:$C$390,2,0)</f>
        <v>2.44</v>
      </c>
    </row>
    <row r="438" spans="1:6" x14ac:dyDescent="0.2">
      <c r="A438" s="3" t="s">
        <v>373</v>
      </c>
      <c r="B438" s="3" t="s">
        <v>375</v>
      </c>
      <c r="C438" s="4">
        <v>22938.61</v>
      </c>
      <c r="D438" s="4">
        <v>15890.51</v>
      </c>
      <c r="E438" s="4">
        <v>7048.1</v>
      </c>
      <c r="F438" s="3">
        <f>VLOOKUP(B438,'Profit &amp; Loss'!$B$2:$C$390,2,0)</f>
        <v>-429.67</v>
      </c>
    </row>
    <row r="439" spans="1:6" x14ac:dyDescent="0.2">
      <c r="A439" s="3" t="s">
        <v>373</v>
      </c>
      <c r="B439" s="3" t="s">
        <v>573</v>
      </c>
      <c r="C439" s="4">
        <v>2714.54</v>
      </c>
      <c r="D439" s="4">
        <v>2717.11</v>
      </c>
      <c r="E439" s="4">
        <v>-2.57</v>
      </c>
      <c r="F439" s="3">
        <f>VLOOKUP(B439,'Profit &amp; Loss'!$B$2:$C$390,2,0)</f>
        <v>939.64</v>
      </c>
    </row>
    <row r="440" spans="1:6" x14ac:dyDescent="0.2">
      <c r="A440" s="3" t="s">
        <v>373</v>
      </c>
      <c r="B440" s="3" t="s">
        <v>574</v>
      </c>
      <c r="C440" s="4">
        <v>1110.52</v>
      </c>
      <c r="D440" s="4">
        <v>1110.52</v>
      </c>
      <c r="E440" s="4">
        <v>0</v>
      </c>
      <c r="F440" s="3">
        <f>VLOOKUP(B440,'Profit &amp; Loss'!$B$2:$C$390,2,0)</f>
        <v>0</v>
      </c>
    </row>
    <row r="441" spans="1:6" x14ac:dyDescent="0.2">
      <c r="A441" s="3" t="s">
        <v>373</v>
      </c>
      <c r="B441" s="3" t="s">
        <v>376</v>
      </c>
      <c r="C441" s="4">
        <v>7515.66</v>
      </c>
      <c r="D441" s="4">
        <v>7091.23</v>
      </c>
      <c r="E441" s="4">
        <v>424.43</v>
      </c>
      <c r="F441" s="3">
        <f>VLOOKUP(B441,'Profit &amp; Loss'!$B$2:$C$390,2,0)</f>
        <v>654.64</v>
      </c>
    </row>
    <row r="442" spans="1:6" x14ac:dyDescent="0.2">
      <c r="A442" s="3" t="s">
        <v>373</v>
      </c>
      <c r="B442" s="3" t="s">
        <v>377</v>
      </c>
      <c r="C442" s="4">
        <v>14298.17</v>
      </c>
      <c r="D442" s="4">
        <v>13246.24</v>
      </c>
      <c r="E442" s="4">
        <v>1051.93</v>
      </c>
      <c r="F442" s="3">
        <f>VLOOKUP(B442,'Profit &amp; Loss'!$B$2:$C$390,2,0)</f>
        <v>0</v>
      </c>
    </row>
    <row r="443" spans="1:6" x14ac:dyDescent="0.2">
      <c r="A443" s="3" t="s">
        <v>373</v>
      </c>
      <c r="B443" s="3" t="s">
        <v>857</v>
      </c>
      <c r="C443" s="4">
        <v>72159.240000000005</v>
      </c>
      <c r="D443" s="4">
        <v>65811.69</v>
      </c>
      <c r="E443" s="4">
        <v>6347.55</v>
      </c>
      <c r="F443" s="3">
        <f>VLOOKUP(B443,'Profit &amp; Loss'!$B$2:$C$390,2,0)</f>
        <v>0</v>
      </c>
    </row>
    <row r="444" spans="1:6" x14ac:dyDescent="0.2">
      <c r="A444" s="3" t="s">
        <v>373</v>
      </c>
      <c r="B444" s="3" t="s">
        <v>378</v>
      </c>
      <c r="C444" s="4">
        <v>96747.38</v>
      </c>
      <c r="D444" s="4">
        <v>69377.55</v>
      </c>
      <c r="E444" s="4">
        <v>27369.83</v>
      </c>
      <c r="F444" s="3">
        <f>VLOOKUP(B444,'Profit &amp; Loss'!$B$2:$C$390,2,0)</f>
        <v>679.62</v>
      </c>
    </row>
    <row r="445" spans="1:6" x14ac:dyDescent="0.2">
      <c r="A445" s="3" t="s">
        <v>373</v>
      </c>
      <c r="B445" s="3" t="s">
        <v>2</v>
      </c>
      <c r="C445" s="4">
        <v>249893.23</v>
      </c>
      <c r="D445" s="4">
        <v>200766.88</v>
      </c>
      <c r="E445" s="4">
        <v>49126.35</v>
      </c>
      <c r="F445" s="3" t="e">
        <f>VLOOKUP(B445,'Profit &amp; Loss'!$B$2:$C$390,2,0)</f>
        <v>#N/A</v>
      </c>
    </row>
    <row r="446" spans="1:6" x14ac:dyDescent="0.2">
      <c r="A446" s="3" t="s">
        <v>379</v>
      </c>
      <c r="B446" s="3" t="s">
        <v>380</v>
      </c>
      <c r="C446" s="4">
        <v>3372.05</v>
      </c>
      <c r="D446" s="4">
        <v>3100.75</v>
      </c>
      <c r="E446" s="4">
        <v>271.3</v>
      </c>
      <c r="F446" s="3">
        <f>VLOOKUP(B446,'Profit &amp; Loss'!$B$2:$C$390,2,0)</f>
        <v>94.24</v>
      </c>
    </row>
    <row r="447" spans="1:6" x14ac:dyDescent="0.2">
      <c r="A447" s="3" t="s">
        <v>379</v>
      </c>
      <c r="B447" s="3" t="s">
        <v>381</v>
      </c>
      <c r="C447" s="4">
        <v>34925.17</v>
      </c>
      <c r="D447" s="4">
        <v>33450.080000000002</v>
      </c>
      <c r="E447" s="4">
        <v>1475.09</v>
      </c>
      <c r="F447" s="3">
        <f>VLOOKUP(B447,'Profit &amp; Loss'!$B$2:$C$390,2,0)</f>
        <v>-870.15</v>
      </c>
    </row>
    <row r="448" spans="1:6" x14ac:dyDescent="0.2">
      <c r="A448" s="3" t="s">
        <v>379</v>
      </c>
      <c r="B448" s="3" t="s">
        <v>382</v>
      </c>
      <c r="C448" s="4">
        <v>28710.59</v>
      </c>
      <c r="D448" s="4">
        <v>19256.04</v>
      </c>
      <c r="E448" s="4">
        <v>9454.5499999999993</v>
      </c>
      <c r="F448" s="3">
        <f>VLOOKUP(B448,'Profit &amp; Loss'!$B$2:$C$390,2,0)</f>
        <v>-237.73</v>
      </c>
    </row>
    <row r="449" spans="1:6" x14ac:dyDescent="0.2">
      <c r="A449" s="3" t="s">
        <v>379</v>
      </c>
      <c r="B449" s="3" t="s">
        <v>2</v>
      </c>
      <c r="C449" s="4">
        <v>67007.81</v>
      </c>
      <c r="D449" s="4">
        <v>55806.87</v>
      </c>
      <c r="E449" s="4">
        <v>11200.94</v>
      </c>
      <c r="F449" s="3" t="e">
        <f>VLOOKUP(B449,'Profit &amp; Loss'!$B$2:$C$390,2,0)</f>
        <v>#N/A</v>
      </c>
    </row>
    <row r="450" spans="1:6" x14ac:dyDescent="0.2">
      <c r="A450" s="3" t="s">
        <v>383</v>
      </c>
      <c r="B450" s="3" t="s">
        <v>384</v>
      </c>
      <c r="C450" s="4">
        <v>75909.37</v>
      </c>
      <c r="D450" s="4">
        <v>1151.3499999999999</v>
      </c>
      <c r="E450" s="4">
        <v>74758.02</v>
      </c>
      <c r="F450" s="3">
        <f>VLOOKUP(B450,'Profit &amp; Loss'!$B$2:$C$390,2,0)</f>
        <v>152.97999999999999</v>
      </c>
    </row>
    <row r="451" spans="1:6" x14ac:dyDescent="0.2">
      <c r="A451" s="3" t="s">
        <v>383</v>
      </c>
      <c r="B451" s="3" t="s">
        <v>993</v>
      </c>
      <c r="C451" s="4">
        <v>-130594.91</v>
      </c>
      <c r="D451" s="4">
        <v>-130594.91</v>
      </c>
      <c r="E451" s="4">
        <v>0</v>
      </c>
      <c r="F451" s="3">
        <f>VLOOKUP(B451,'Profit &amp; Loss'!$B$2:$C$390,2,0)</f>
        <v>-130594.91</v>
      </c>
    </row>
    <row r="452" spans="1:6" x14ac:dyDescent="0.2">
      <c r="A452" s="3" t="s">
        <v>383</v>
      </c>
      <c r="B452" s="3" t="s">
        <v>385</v>
      </c>
      <c r="C452" s="4">
        <v>233539.87</v>
      </c>
      <c r="D452" s="4">
        <v>199635.69</v>
      </c>
      <c r="E452" s="4">
        <v>33904.18</v>
      </c>
      <c r="F452" s="3">
        <f>VLOOKUP(B452,'Profit &amp; Loss'!$B$2:$C$390,2,0)</f>
        <v>3245.65</v>
      </c>
    </row>
    <row r="453" spans="1:6" x14ac:dyDescent="0.2">
      <c r="A453" s="3" t="s">
        <v>383</v>
      </c>
      <c r="B453" s="3" t="s">
        <v>386</v>
      </c>
      <c r="C453" s="4">
        <v>45802.35</v>
      </c>
      <c r="D453" s="4">
        <v>44060.23</v>
      </c>
      <c r="E453" s="4">
        <v>1742.12</v>
      </c>
      <c r="F453" s="3">
        <f>VLOOKUP(B453,'Profit &amp; Loss'!$B$2:$C$390,2,0)</f>
        <v>4774.8</v>
      </c>
    </row>
    <row r="454" spans="1:6" x14ac:dyDescent="0.2">
      <c r="A454" s="3" t="s">
        <v>383</v>
      </c>
      <c r="B454" s="3" t="s">
        <v>387</v>
      </c>
      <c r="C454" s="4">
        <v>97831.97</v>
      </c>
      <c r="D454" s="4">
        <v>76082.05</v>
      </c>
      <c r="E454" s="4">
        <v>21749.919999999998</v>
      </c>
      <c r="F454" s="3">
        <f>VLOOKUP(B454,'Profit &amp; Loss'!$B$2:$C$390,2,0)</f>
        <v>5944.89</v>
      </c>
    </row>
    <row r="455" spans="1:6" x14ac:dyDescent="0.2">
      <c r="A455" s="3" t="s">
        <v>383</v>
      </c>
      <c r="B455" s="3" t="s">
        <v>2</v>
      </c>
      <c r="C455" s="4">
        <v>322488.65000000002</v>
      </c>
      <c r="D455" s="4">
        <v>190334.41</v>
      </c>
      <c r="E455" s="4">
        <v>132154.23999999999</v>
      </c>
      <c r="F455" s="3" t="e">
        <f>VLOOKUP(B455,'Profit &amp; Loss'!$B$2:$C$390,2,0)</f>
        <v>#N/A</v>
      </c>
    </row>
    <row r="456" spans="1:6" x14ac:dyDescent="0.2">
      <c r="A456" s="3" t="s">
        <v>678</v>
      </c>
      <c r="B456" s="3" t="s">
        <v>994</v>
      </c>
      <c r="C456" s="4">
        <v>249.17</v>
      </c>
      <c r="D456" s="4">
        <v>249.17</v>
      </c>
      <c r="E456" s="4">
        <v>0</v>
      </c>
      <c r="F456" s="3">
        <f>VLOOKUP(B456,'Profit &amp; Loss'!$B$2:$C$390,2,0)</f>
        <v>1302.99</v>
      </c>
    </row>
    <row r="457" spans="1:6" x14ac:dyDescent="0.2">
      <c r="A457" s="3" t="s">
        <v>678</v>
      </c>
      <c r="B457" s="3" t="s">
        <v>679</v>
      </c>
      <c r="C457" s="4">
        <v>1757.22</v>
      </c>
      <c r="D457" s="4">
        <v>1741.22</v>
      </c>
      <c r="E457" s="4">
        <v>16</v>
      </c>
      <c r="F457" s="3" t="e">
        <f>VLOOKUP(B457,'Profit &amp; Loss'!$B$2:$C$390,2,0)</f>
        <v>#N/A</v>
      </c>
    </row>
    <row r="458" spans="1:6" x14ac:dyDescent="0.2">
      <c r="A458" s="3" t="s">
        <v>678</v>
      </c>
      <c r="B458" s="3" t="s">
        <v>2</v>
      </c>
      <c r="C458" s="4">
        <v>2006.39</v>
      </c>
      <c r="D458" s="4">
        <v>1990.39</v>
      </c>
      <c r="E458" s="4">
        <v>16</v>
      </c>
      <c r="F458" s="3" t="e">
        <f>VLOOKUP(B458,'Profit &amp; Loss'!$B$2:$C$390,2,0)</f>
        <v>#N/A</v>
      </c>
    </row>
    <row r="459" spans="1:6" x14ac:dyDescent="0.2">
      <c r="A459" s="3" t="s">
        <v>388</v>
      </c>
      <c r="B459" s="3" t="s">
        <v>390</v>
      </c>
      <c r="C459" s="4">
        <v>44449.13</v>
      </c>
      <c r="D459" s="4">
        <v>26489.97</v>
      </c>
      <c r="E459" s="4">
        <v>17959.16</v>
      </c>
      <c r="F459" s="3" t="e">
        <f>VLOOKUP(B459,'Profit &amp; Loss'!$B$2:$C$390,2,0)</f>
        <v>#N/A</v>
      </c>
    </row>
    <row r="460" spans="1:6" x14ac:dyDescent="0.2">
      <c r="A460" s="3" t="s">
        <v>388</v>
      </c>
      <c r="B460" s="3" t="s">
        <v>2</v>
      </c>
      <c r="C460" s="4">
        <v>44449.13</v>
      </c>
      <c r="D460" s="4">
        <v>26489.97</v>
      </c>
      <c r="E460" s="4">
        <v>17959.16</v>
      </c>
      <c r="F460" s="3" t="e">
        <f>VLOOKUP(B460,'Profit &amp; Loss'!$B$2:$C$390,2,0)</f>
        <v>#N/A</v>
      </c>
    </row>
    <row r="461" spans="1:6" x14ac:dyDescent="0.2">
      <c r="A461" s="3" t="s">
        <v>391</v>
      </c>
      <c r="B461" s="3" t="s">
        <v>579</v>
      </c>
      <c r="C461" s="4">
        <v>2924.11</v>
      </c>
      <c r="D461" s="4">
        <v>2650.3</v>
      </c>
      <c r="E461" s="4">
        <v>273.81</v>
      </c>
      <c r="F461" s="3">
        <f>VLOOKUP(B461,'Profit &amp; Loss'!$B$2:$C$390,2,0)</f>
        <v>2.69</v>
      </c>
    </row>
    <row r="462" spans="1:6" x14ac:dyDescent="0.2">
      <c r="A462" s="3" t="s">
        <v>391</v>
      </c>
      <c r="B462" s="3" t="s">
        <v>392</v>
      </c>
      <c r="C462" s="4">
        <v>57224.800000000003</v>
      </c>
      <c r="D462" s="4">
        <v>55519.17</v>
      </c>
      <c r="E462" s="4">
        <v>1705.63</v>
      </c>
      <c r="F462" s="3">
        <f>VLOOKUP(B462,'Profit &amp; Loss'!$B$2:$C$390,2,0)</f>
        <v>904.52</v>
      </c>
    </row>
    <row r="463" spans="1:6" x14ac:dyDescent="0.2">
      <c r="A463" s="3" t="s">
        <v>391</v>
      </c>
      <c r="B463" s="3" t="s">
        <v>581</v>
      </c>
      <c r="C463" s="4">
        <v>66.62</v>
      </c>
      <c r="D463" s="4">
        <v>33.64</v>
      </c>
      <c r="E463" s="4">
        <v>32.979999999999997</v>
      </c>
      <c r="F463" s="3">
        <f>VLOOKUP(B463,'Profit &amp; Loss'!$B$2:$C$390,2,0)</f>
        <v>0</v>
      </c>
    </row>
    <row r="464" spans="1:6" x14ac:dyDescent="0.2">
      <c r="A464" s="3" t="s">
        <v>391</v>
      </c>
      <c r="B464" s="3" t="s">
        <v>967</v>
      </c>
      <c r="C464" s="4">
        <v>2062.6799999999998</v>
      </c>
      <c r="D464" s="4">
        <v>2062.6799999999998</v>
      </c>
      <c r="E464" s="4">
        <v>0</v>
      </c>
      <c r="F464" s="3">
        <f>VLOOKUP(B464,'Profit &amp; Loss'!$B$2:$C$390,2,0)</f>
        <v>0</v>
      </c>
    </row>
    <row r="465" spans="1:6" x14ac:dyDescent="0.2">
      <c r="A465" s="3" t="s">
        <v>391</v>
      </c>
      <c r="B465" s="3" t="s">
        <v>1435</v>
      </c>
      <c r="C465" s="4">
        <v>9873.24</v>
      </c>
      <c r="D465" s="4">
        <v>9873.24</v>
      </c>
      <c r="E465" s="4">
        <v>0</v>
      </c>
      <c r="F465" s="3">
        <f>VLOOKUP(B465,'Profit &amp; Loss'!$B$2:$C$390,2,0)</f>
        <v>0</v>
      </c>
    </row>
    <row r="466" spans="1:6" x14ac:dyDescent="0.2">
      <c r="A466" s="3" t="s">
        <v>391</v>
      </c>
      <c r="B466" s="3" t="s">
        <v>2</v>
      </c>
      <c r="C466" s="4">
        <v>72151.45</v>
      </c>
      <c r="D466" s="4">
        <v>70139.03</v>
      </c>
      <c r="E466" s="4">
        <v>2012.42</v>
      </c>
      <c r="F466" s="3" t="e">
        <f>VLOOKUP(B466,'Profit &amp; Loss'!$B$2:$C$390,2,0)</f>
        <v>#N/A</v>
      </c>
    </row>
    <row r="467" spans="1:6" x14ac:dyDescent="0.2">
      <c r="A467" s="3" t="s">
        <v>393</v>
      </c>
      <c r="B467" s="3" t="s">
        <v>394</v>
      </c>
      <c r="C467" s="4">
        <v>32973.68</v>
      </c>
      <c r="D467" s="4">
        <v>29024.34</v>
      </c>
      <c r="E467" s="4">
        <v>3949.34</v>
      </c>
      <c r="F467" s="3">
        <f>VLOOKUP(B467,'Profit &amp; Loss'!$B$2:$C$390,2,0)</f>
        <v>1534.08</v>
      </c>
    </row>
    <row r="468" spans="1:6" x14ac:dyDescent="0.2">
      <c r="A468" s="3" t="s">
        <v>393</v>
      </c>
      <c r="B468" s="3" t="s">
        <v>395</v>
      </c>
      <c r="C468" s="4">
        <v>23235.75</v>
      </c>
      <c r="D468" s="4">
        <v>21422.66</v>
      </c>
      <c r="E468" s="4">
        <v>1813.09</v>
      </c>
      <c r="F468" s="3">
        <f>VLOOKUP(B468,'Profit &amp; Loss'!$B$2:$C$390,2,0)</f>
        <v>2034.12</v>
      </c>
    </row>
    <row r="469" spans="1:6" x14ac:dyDescent="0.2">
      <c r="A469" s="3" t="s">
        <v>393</v>
      </c>
      <c r="B469" s="3" t="s">
        <v>2</v>
      </c>
      <c r="C469" s="4">
        <v>56209.43</v>
      </c>
      <c r="D469" s="4">
        <v>50447</v>
      </c>
      <c r="E469" s="4">
        <v>5762.43</v>
      </c>
      <c r="F469" s="3" t="e">
        <f>VLOOKUP(B469,'Profit &amp; Loss'!$B$2:$C$390,2,0)</f>
        <v>#N/A</v>
      </c>
    </row>
    <row r="470" spans="1:6" x14ac:dyDescent="0.2">
      <c r="A470" s="3" t="s">
        <v>582</v>
      </c>
      <c r="B470" s="3" t="s">
        <v>583</v>
      </c>
      <c r="C470" s="4">
        <v>263517.40999999997</v>
      </c>
      <c r="D470" s="4">
        <v>216550.73</v>
      </c>
      <c r="E470" s="4">
        <v>46966.68</v>
      </c>
      <c r="F470" s="3">
        <f>VLOOKUP(B470,'Profit &amp; Loss'!$B$2:$C$390,2,0)</f>
        <v>-54602.16</v>
      </c>
    </row>
    <row r="471" spans="1:6" x14ac:dyDescent="0.2">
      <c r="A471" s="3" t="s">
        <v>582</v>
      </c>
      <c r="B471" s="3" t="s">
        <v>584</v>
      </c>
      <c r="C471" s="4">
        <v>306590.92</v>
      </c>
      <c r="D471" s="4">
        <v>258828.34</v>
      </c>
      <c r="E471" s="4">
        <v>47762.58</v>
      </c>
      <c r="F471" s="3">
        <f>VLOOKUP(B471,'Profit &amp; Loss'!$B$2:$C$390,2,0)</f>
        <v>-28044.34</v>
      </c>
    </row>
    <row r="472" spans="1:6" x14ac:dyDescent="0.2">
      <c r="A472" s="3" t="s">
        <v>582</v>
      </c>
      <c r="B472" s="3" t="s">
        <v>684</v>
      </c>
      <c r="C472" s="4">
        <v>127457.63</v>
      </c>
      <c r="D472" s="4">
        <v>107148.99</v>
      </c>
      <c r="E472" s="4">
        <v>20308.64</v>
      </c>
      <c r="F472" s="3">
        <f>VLOOKUP(B472,'Profit &amp; Loss'!$B$2:$C$390,2,0)</f>
        <v>-37.07</v>
      </c>
    </row>
    <row r="473" spans="1:6" x14ac:dyDescent="0.2">
      <c r="A473" s="3" t="s">
        <v>582</v>
      </c>
      <c r="B473" s="3" t="s">
        <v>2</v>
      </c>
      <c r="C473" s="4">
        <v>697565.96</v>
      </c>
      <c r="D473" s="4">
        <v>582528.06000000006</v>
      </c>
      <c r="E473" s="4">
        <v>115037.9</v>
      </c>
      <c r="F473" s="3" t="e">
        <f>VLOOKUP(B473,'Profit &amp; Loss'!$B$2:$C$390,2,0)</f>
        <v>#N/A</v>
      </c>
    </row>
    <row r="474" spans="1:6" x14ac:dyDescent="0.2">
      <c r="A474" s="3" t="s">
        <v>396</v>
      </c>
      <c r="B474" s="3" t="s">
        <v>1403</v>
      </c>
      <c r="C474" s="4">
        <v>162.94</v>
      </c>
      <c r="D474" s="4">
        <v>162.94</v>
      </c>
      <c r="E474" s="4">
        <v>0</v>
      </c>
      <c r="F474" s="3">
        <f>VLOOKUP(B474,'Profit &amp; Loss'!$B$2:$C$390,2,0)</f>
        <v>0</v>
      </c>
    </row>
    <row r="475" spans="1:6" x14ac:dyDescent="0.2">
      <c r="A475" s="3" t="s">
        <v>396</v>
      </c>
      <c r="B475" s="3" t="s">
        <v>397</v>
      </c>
      <c r="C475" s="4">
        <v>42930.95</v>
      </c>
      <c r="D475" s="4">
        <v>22748.54</v>
      </c>
      <c r="E475" s="4">
        <v>20182.41</v>
      </c>
      <c r="F475" s="3">
        <f>VLOOKUP(B475,'Profit &amp; Loss'!$B$2:$C$390,2,0)</f>
        <v>4528.21</v>
      </c>
    </row>
    <row r="476" spans="1:6" x14ac:dyDescent="0.2">
      <c r="A476" s="3" t="s">
        <v>396</v>
      </c>
      <c r="B476" s="3" t="s">
        <v>2</v>
      </c>
      <c r="C476" s="4">
        <v>43093.89</v>
      </c>
      <c r="D476" s="4">
        <v>22911.48</v>
      </c>
      <c r="E476" s="4">
        <v>20182.41</v>
      </c>
      <c r="F476" s="3" t="e">
        <f>VLOOKUP(B476,'Profit &amp; Loss'!$B$2:$C$390,2,0)</f>
        <v>#N/A</v>
      </c>
    </row>
    <row r="477" spans="1:6" x14ac:dyDescent="0.2">
      <c r="A477" s="3" t="s">
        <v>398</v>
      </c>
      <c r="B477" s="3" t="s">
        <v>399</v>
      </c>
      <c r="C477" s="4">
        <v>32868.94</v>
      </c>
      <c r="D477" s="4">
        <v>29014.17</v>
      </c>
      <c r="E477" s="4">
        <v>3854.77</v>
      </c>
      <c r="F477" s="3">
        <f>VLOOKUP(B477,'Profit &amp; Loss'!$B$2:$C$390,2,0)</f>
        <v>6517.4</v>
      </c>
    </row>
    <row r="478" spans="1:6" x14ac:dyDescent="0.2">
      <c r="A478" s="3" t="s">
        <v>398</v>
      </c>
      <c r="B478" s="3" t="s">
        <v>400</v>
      </c>
      <c r="C478" s="4">
        <v>28270.44</v>
      </c>
      <c r="D478" s="4">
        <v>22891.07</v>
      </c>
      <c r="E478" s="4">
        <v>5379.37</v>
      </c>
      <c r="F478" s="3">
        <f>VLOOKUP(B478,'Profit &amp; Loss'!$B$2:$C$390,2,0)</f>
        <v>0</v>
      </c>
    </row>
    <row r="479" spans="1:6" x14ac:dyDescent="0.2">
      <c r="A479" s="3" t="s">
        <v>398</v>
      </c>
      <c r="B479" s="3" t="s">
        <v>2</v>
      </c>
      <c r="C479" s="4">
        <v>61139.38</v>
      </c>
      <c r="D479" s="4">
        <v>51905.24</v>
      </c>
      <c r="E479" s="4">
        <v>9234.14</v>
      </c>
      <c r="F479" s="3" t="e">
        <f>VLOOKUP(B479,'Profit &amp; Loss'!$B$2:$C$390,2,0)</f>
        <v>#N/A</v>
      </c>
    </row>
    <row r="480" spans="1:6" x14ac:dyDescent="0.2">
      <c r="A480" s="3" t="s">
        <v>401</v>
      </c>
      <c r="B480" s="3" t="s">
        <v>402</v>
      </c>
      <c r="C480" s="4">
        <v>605.66999999999996</v>
      </c>
      <c r="D480" s="4">
        <v>447.33</v>
      </c>
      <c r="E480" s="4">
        <v>158.34</v>
      </c>
      <c r="F480" s="3">
        <f>VLOOKUP(B480,'Profit &amp; Loss'!$B$2:$C$390,2,0)</f>
        <v>139.75</v>
      </c>
    </row>
    <row r="481" spans="1:6" x14ac:dyDescent="0.2">
      <c r="A481" s="3" t="s">
        <v>401</v>
      </c>
      <c r="B481" s="3" t="s">
        <v>2</v>
      </c>
      <c r="C481" s="4">
        <v>605.66999999999996</v>
      </c>
      <c r="D481" s="4">
        <v>447.33</v>
      </c>
      <c r="E481" s="4">
        <v>158.34</v>
      </c>
      <c r="F481" s="3" t="e">
        <f>VLOOKUP(B481,'Profit &amp; Loss'!$B$2:$C$390,2,0)</f>
        <v>#N/A</v>
      </c>
    </row>
    <row r="482" spans="1:6" x14ac:dyDescent="0.2">
      <c r="A482" s="3" t="s">
        <v>403</v>
      </c>
      <c r="B482" s="3" t="s">
        <v>404</v>
      </c>
      <c r="C482" s="4">
        <v>21114.87</v>
      </c>
      <c r="D482" s="4">
        <v>18577.32</v>
      </c>
      <c r="E482" s="4">
        <v>2537.5500000000002</v>
      </c>
      <c r="F482" s="3">
        <f>VLOOKUP(B482,'Profit &amp; Loss'!$B$2:$C$390,2,0)</f>
        <v>1539.76</v>
      </c>
    </row>
    <row r="483" spans="1:6" x14ac:dyDescent="0.2">
      <c r="A483" s="3" t="s">
        <v>403</v>
      </c>
      <c r="B483" s="3" t="s">
        <v>405</v>
      </c>
      <c r="C483" s="4">
        <v>284674.99</v>
      </c>
      <c r="D483" s="4">
        <v>225305.08</v>
      </c>
      <c r="E483" s="4">
        <v>59369.91</v>
      </c>
      <c r="F483" s="3">
        <f>VLOOKUP(B483,'Profit &amp; Loss'!$B$2:$C$390,2,0)</f>
        <v>2743.74</v>
      </c>
    </row>
    <row r="484" spans="1:6" x14ac:dyDescent="0.2">
      <c r="A484" s="3" t="s">
        <v>403</v>
      </c>
      <c r="B484" s="3" t="s">
        <v>1527</v>
      </c>
      <c r="C484" s="4">
        <v>22294.65</v>
      </c>
      <c r="D484" s="4">
        <v>10816.99</v>
      </c>
      <c r="E484" s="4">
        <v>11477.66</v>
      </c>
      <c r="F484" s="3">
        <f>VLOOKUP(B484,'Profit &amp; Loss'!$B$2:$C$390,2,0)</f>
        <v>0</v>
      </c>
    </row>
    <row r="485" spans="1:6" x14ac:dyDescent="0.2">
      <c r="A485" s="3" t="s">
        <v>403</v>
      </c>
      <c r="B485" s="3" t="s">
        <v>406</v>
      </c>
      <c r="C485" s="4">
        <v>129.56</v>
      </c>
      <c r="D485" s="4">
        <v>121.76</v>
      </c>
      <c r="E485" s="4">
        <v>7.8</v>
      </c>
      <c r="F485" s="3">
        <f>VLOOKUP(B485,'Profit &amp; Loss'!$B$2:$C$390,2,0)</f>
        <v>28.84</v>
      </c>
    </row>
    <row r="486" spans="1:6" x14ac:dyDescent="0.2">
      <c r="A486" s="3" t="s">
        <v>403</v>
      </c>
      <c r="B486" s="3" t="s">
        <v>407</v>
      </c>
      <c r="C486" s="4">
        <v>442.38</v>
      </c>
      <c r="D486" s="4">
        <v>365.49</v>
      </c>
      <c r="E486" s="4">
        <v>76.89</v>
      </c>
      <c r="F486" s="3">
        <f>VLOOKUP(B486,'Profit &amp; Loss'!$B$2:$C$390,2,0)</f>
        <v>0</v>
      </c>
    </row>
    <row r="487" spans="1:6" x14ac:dyDescent="0.2">
      <c r="A487" s="3" t="s">
        <v>403</v>
      </c>
      <c r="B487" s="3" t="s">
        <v>686</v>
      </c>
      <c r="C487" s="4">
        <v>949.51</v>
      </c>
      <c r="D487" s="4">
        <v>949.51</v>
      </c>
      <c r="E487" s="4">
        <v>0</v>
      </c>
      <c r="F487" s="3">
        <f>VLOOKUP(B487,'Profit &amp; Loss'!$B$2:$C$390,2,0)</f>
        <v>494.67</v>
      </c>
    </row>
    <row r="488" spans="1:6" x14ac:dyDescent="0.2">
      <c r="A488" s="3" t="s">
        <v>403</v>
      </c>
      <c r="B488" s="3" t="s">
        <v>2</v>
      </c>
      <c r="C488" s="4">
        <v>329605.96000000002</v>
      </c>
      <c r="D488" s="4">
        <v>256136.15</v>
      </c>
      <c r="E488" s="4">
        <v>73469.81</v>
      </c>
      <c r="F488" s="3" t="e">
        <f>VLOOKUP(B488,'Profit &amp; Loss'!$B$2:$C$390,2,0)</f>
        <v>#N/A</v>
      </c>
    </row>
    <row r="489" spans="1:6" x14ac:dyDescent="0.2">
      <c r="A489" s="3" t="s">
        <v>408</v>
      </c>
      <c r="B489" s="3" t="s">
        <v>409</v>
      </c>
      <c r="C489" s="4">
        <v>66154.05</v>
      </c>
      <c r="D489" s="4">
        <v>59932.02</v>
      </c>
      <c r="E489" s="4">
        <v>6222.03</v>
      </c>
      <c r="F489" s="3">
        <f>VLOOKUP(B489,'Profit &amp; Loss'!$B$2:$C$390,2,0)</f>
        <v>3504.81</v>
      </c>
    </row>
    <row r="490" spans="1:6" x14ac:dyDescent="0.2">
      <c r="A490" s="3" t="s">
        <v>408</v>
      </c>
      <c r="B490" s="3" t="s">
        <v>995</v>
      </c>
      <c r="C490" s="4">
        <v>33.01</v>
      </c>
      <c r="D490" s="4">
        <v>33.01</v>
      </c>
      <c r="E490" s="4">
        <v>0</v>
      </c>
      <c r="F490" s="3">
        <f>VLOOKUP(B490,'Profit &amp; Loss'!$B$2:$C$390,2,0)</f>
        <v>8.25</v>
      </c>
    </row>
    <row r="491" spans="1:6" x14ac:dyDescent="0.2">
      <c r="A491" s="3" t="s">
        <v>408</v>
      </c>
      <c r="B491" s="3" t="s">
        <v>410</v>
      </c>
      <c r="C491" s="4">
        <v>1753.53</v>
      </c>
      <c r="D491" s="4">
        <v>1527.77</v>
      </c>
      <c r="E491" s="4">
        <v>225.76</v>
      </c>
      <c r="F491" s="3">
        <f>VLOOKUP(B491,'Profit &amp; Loss'!$B$2:$C$390,2,0)</f>
        <v>34.97</v>
      </c>
    </row>
    <row r="492" spans="1:6" x14ac:dyDescent="0.2">
      <c r="A492" s="3" t="s">
        <v>408</v>
      </c>
      <c r="B492" s="3" t="s">
        <v>411</v>
      </c>
      <c r="C492" s="4">
        <v>29629.05</v>
      </c>
      <c r="D492" s="4">
        <v>26573.19</v>
      </c>
      <c r="E492" s="4">
        <v>3055.86</v>
      </c>
      <c r="F492" s="3">
        <f>VLOOKUP(B492,'Profit &amp; Loss'!$B$2:$C$390,2,0)</f>
        <v>2065.9299999999998</v>
      </c>
    </row>
    <row r="493" spans="1:6" x14ac:dyDescent="0.2">
      <c r="A493" s="3" t="s">
        <v>408</v>
      </c>
      <c r="B493" s="3" t="s">
        <v>412</v>
      </c>
      <c r="C493" s="4">
        <v>3410.99</v>
      </c>
      <c r="D493" s="4">
        <v>3132.52</v>
      </c>
      <c r="E493" s="4">
        <v>278.47000000000003</v>
      </c>
      <c r="F493" s="3">
        <f>VLOOKUP(B493,'Profit &amp; Loss'!$B$2:$C$390,2,0)</f>
        <v>409.3</v>
      </c>
    </row>
    <row r="494" spans="1:6" x14ac:dyDescent="0.2">
      <c r="A494" s="3" t="s">
        <v>408</v>
      </c>
      <c r="B494" s="3" t="s">
        <v>413</v>
      </c>
      <c r="C494" s="4">
        <v>38091.440000000002</v>
      </c>
      <c r="D494" s="4">
        <v>28115.37</v>
      </c>
      <c r="E494" s="4">
        <v>9976.07</v>
      </c>
      <c r="F494" s="3">
        <f>VLOOKUP(B494,'Profit &amp; Loss'!$B$2:$C$390,2,0)</f>
        <v>1687.53</v>
      </c>
    </row>
    <row r="495" spans="1:6" x14ac:dyDescent="0.2">
      <c r="A495" s="3" t="s">
        <v>408</v>
      </c>
      <c r="B495" s="3" t="s">
        <v>414</v>
      </c>
      <c r="C495" s="4">
        <v>13377.33</v>
      </c>
      <c r="D495" s="4">
        <v>12262.55</v>
      </c>
      <c r="E495" s="4">
        <v>1114.78</v>
      </c>
      <c r="F495" s="3">
        <f>VLOOKUP(B495,'Profit &amp; Loss'!$B$2:$C$390,2,0)</f>
        <v>1114.78</v>
      </c>
    </row>
    <row r="496" spans="1:6" x14ac:dyDescent="0.2">
      <c r="A496" s="3" t="s">
        <v>408</v>
      </c>
      <c r="B496" s="3" t="s">
        <v>415</v>
      </c>
      <c r="C496" s="4">
        <v>667.01</v>
      </c>
      <c r="D496" s="4">
        <v>611.41999999999996</v>
      </c>
      <c r="E496" s="4">
        <v>55.59</v>
      </c>
      <c r="F496" s="3">
        <f>VLOOKUP(B496,'Profit &amp; Loss'!$B$2:$C$390,2,0)</f>
        <v>55.58</v>
      </c>
    </row>
    <row r="497" spans="1:6" x14ac:dyDescent="0.2">
      <c r="A497" s="3" t="s">
        <v>408</v>
      </c>
      <c r="B497" s="3" t="s">
        <v>416</v>
      </c>
      <c r="C497" s="4">
        <v>26967.78</v>
      </c>
      <c r="D497" s="4">
        <v>24656.77</v>
      </c>
      <c r="E497" s="4">
        <v>2311.0100000000002</v>
      </c>
      <c r="F497" s="3">
        <f>VLOOKUP(B497,'Profit &amp; Loss'!$B$2:$C$390,2,0)</f>
        <v>5433.31</v>
      </c>
    </row>
    <row r="498" spans="1:6" x14ac:dyDescent="0.2">
      <c r="A498" s="3" t="s">
        <v>408</v>
      </c>
      <c r="B498" s="3" t="s">
        <v>417</v>
      </c>
      <c r="C498" s="4">
        <v>32180.05</v>
      </c>
      <c r="D498" s="4">
        <v>29196.6</v>
      </c>
      <c r="E498" s="4">
        <v>2983.45</v>
      </c>
      <c r="F498" s="3">
        <f>VLOOKUP(B498,'Profit &amp; Loss'!$B$2:$C$390,2,0)</f>
        <v>2916.44</v>
      </c>
    </row>
    <row r="499" spans="1:6" x14ac:dyDescent="0.2">
      <c r="A499" s="3" t="s">
        <v>408</v>
      </c>
      <c r="B499" s="3" t="s">
        <v>689</v>
      </c>
      <c r="C499" s="4">
        <v>758879.32</v>
      </c>
      <c r="D499" s="4">
        <v>700690.88</v>
      </c>
      <c r="E499" s="4">
        <v>58188.44</v>
      </c>
      <c r="F499" s="3">
        <f>VLOOKUP(B499,'Profit &amp; Loss'!$B$2:$C$390,2,0)</f>
        <v>60617.71</v>
      </c>
    </row>
    <row r="500" spans="1:6" x14ac:dyDescent="0.2">
      <c r="A500" s="3" t="s">
        <v>408</v>
      </c>
      <c r="B500" s="3" t="s">
        <v>418</v>
      </c>
      <c r="C500" s="4">
        <v>159191.70000000001</v>
      </c>
      <c r="D500" s="4">
        <v>133308.54999999999</v>
      </c>
      <c r="E500" s="4">
        <v>25883.15</v>
      </c>
      <c r="F500" s="3">
        <f>VLOOKUP(B500,'Profit &amp; Loss'!$B$2:$C$390,2,0)</f>
        <v>10835.77</v>
      </c>
    </row>
    <row r="501" spans="1:6" x14ac:dyDescent="0.2">
      <c r="A501" s="3" t="s">
        <v>408</v>
      </c>
      <c r="B501" s="3" t="s">
        <v>419</v>
      </c>
      <c r="C501" s="4">
        <v>68641.440000000002</v>
      </c>
      <c r="D501" s="4">
        <v>57694.79</v>
      </c>
      <c r="E501" s="4">
        <v>10946.65</v>
      </c>
      <c r="F501" s="3">
        <f>VLOOKUP(B501,'Profit &amp; Loss'!$B$2:$C$390,2,0)</f>
        <v>5356.49</v>
      </c>
    </row>
    <row r="502" spans="1:6" x14ac:dyDescent="0.2">
      <c r="A502" s="3" t="s">
        <v>408</v>
      </c>
      <c r="B502" s="3" t="s">
        <v>2</v>
      </c>
      <c r="C502" s="4">
        <v>1198976.7</v>
      </c>
      <c r="D502" s="4">
        <v>1077735.44</v>
      </c>
      <c r="E502" s="4">
        <v>121241.26</v>
      </c>
      <c r="F502" s="3" t="e">
        <f>VLOOKUP(B502,'Profit &amp; Loss'!$B$2:$C$390,2,0)</f>
        <v>#N/A</v>
      </c>
    </row>
    <row r="503" spans="1:6" x14ac:dyDescent="0.2">
      <c r="A503" s="3" t="s">
        <v>420</v>
      </c>
      <c r="B503" s="3" t="s">
        <v>421</v>
      </c>
      <c r="C503" s="4">
        <v>128891.66</v>
      </c>
      <c r="D503" s="4">
        <v>82873.39</v>
      </c>
      <c r="E503" s="4">
        <v>46018.27</v>
      </c>
      <c r="F503" s="3">
        <f>VLOOKUP(B503,'Profit &amp; Loss'!$B$2:$C$390,2,0)</f>
        <v>9127.73</v>
      </c>
    </row>
    <row r="504" spans="1:6" x14ac:dyDescent="0.2">
      <c r="A504" s="3" t="s">
        <v>420</v>
      </c>
      <c r="B504" s="3" t="s">
        <v>422</v>
      </c>
      <c r="C504" s="4">
        <v>55121.22</v>
      </c>
      <c r="D504" s="4">
        <v>48007.93</v>
      </c>
      <c r="E504" s="4">
        <v>7113.29</v>
      </c>
      <c r="F504" s="3">
        <f>VLOOKUP(B504,'Profit &amp; Loss'!$B$2:$C$390,2,0)</f>
        <v>4172.96</v>
      </c>
    </row>
    <row r="505" spans="1:6" x14ac:dyDescent="0.2">
      <c r="A505" s="3" t="s">
        <v>420</v>
      </c>
      <c r="B505" s="3" t="s">
        <v>423</v>
      </c>
      <c r="C505" s="4">
        <v>60756.23</v>
      </c>
      <c r="D505" s="4">
        <v>52294.79</v>
      </c>
      <c r="E505" s="4">
        <v>8461.44</v>
      </c>
      <c r="F505" s="3">
        <f>VLOOKUP(B505,'Profit &amp; Loss'!$B$2:$C$390,2,0)</f>
        <v>6431.37</v>
      </c>
    </row>
    <row r="506" spans="1:6" x14ac:dyDescent="0.2">
      <c r="A506" s="3" t="s">
        <v>420</v>
      </c>
      <c r="B506" s="3" t="s">
        <v>424</v>
      </c>
      <c r="C506" s="4">
        <v>47682.9</v>
      </c>
      <c r="D506" s="4">
        <v>40723.19</v>
      </c>
      <c r="E506" s="4">
        <v>6959.71</v>
      </c>
      <c r="F506" s="3">
        <f>VLOOKUP(B506,'Profit &amp; Loss'!$B$2:$C$390,2,0)</f>
        <v>2832.61</v>
      </c>
    </row>
    <row r="507" spans="1:6" x14ac:dyDescent="0.2">
      <c r="A507" s="3" t="s">
        <v>420</v>
      </c>
      <c r="B507" s="3" t="s">
        <v>588</v>
      </c>
      <c r="C507" s="4">
        <v>5895.44</v>
      </c>
      <c r="D507" s="4">
        <v>4774.63</v>
      </c>
      <c r="E507" s="4">
        <v>1120.81</v>
      </c>
      <c r="F507" s="3">
        <f>VLOOKUP(B507,'Profit &amp; Loss'!$B$2:$C$390,2,0)</f>
        <v>104.5</v>
      </c>
    </row>
    <row r="508" spans="1:6" x14ac:dyDescent="0.2">
      <c r="A508" s="3" t="s">
        <v>420</v>
      </c>
      <c r="B508" s="3" t="s">
        <v>425</v>
      </c>
      <c r="C508" s="4">
        <v>12729.4</v>
      </c>
      <c r="D508" s="4">
        <v>9887.1299999999992</v>
      </c>
      <c r="E508" s="4">
        <v>2842.27</v>
      </c>
      <c r="F508" s="3">
        <f>VLOOKUP(B508,'Profit &amp; Loss'!$B$2:$C$390,2,0)</f>
        <v>330.94</v>
      </c>
    </row>
    <row r="509" spans="1:6" x14ac:dyDescent="0.2">
      <c r="A509" s="3" t="s">
        <v>420</v>
      </c>
      <c r="B509" s="3" t="s">
        <v>795</v>
      </c>
      <c r="C509" s="4">
        <v>104576.21</v>
      </c>
      <c r="D509" s="4">
        <v>88138.58</v>
      </c>
      <c r="E509" s="4">
        <v>16437.63</v>
      </c>
      <c r="F509" s="3">
        <f>VLOOKUP(B509,'Profit &amp; Loss'!$B$2:$C$390,2,0)</f>
        <v>-7152.42</v>
      </c>
    </row>
    <row r="510" spans="1:6" x14ac:dyDescent="0.2">
      <c r="A510" s="3" t="s">
        <v>420</v>
      </c>
      <c r="B510" s="3" t="s">
        <v>2</v>
      </c>
      <c r="C510" s="4">
        <v>415653.06</v>
      </c>
      <c r="D510" s="4">
        <v>326699.64</v>
      </c>
      <c r="E510" s="4">
        <v>88953.42</v>
      </c>
      <c r="F510" s="3" t="e">
        <f>VLOOKUP(B510,'Profit &amp; Loss'!$B$2:$C$390,2,0)</f>
        <v>#N/A</v>
      </c>
    </row>
    <row r="511" spans="1:6" x14ac:dyDescent="0.2">
      <c r="A511" s="3" t="s">
        <v>426</v>
      </c>
      <c r="B511" s="3" t="s">
        <v>427</v>
      </c>
      <c r="C511" s="4">
        <v>1669.27</v>
      </c>
      <c r="D511" s="4">
        <v>1405.28</v>
      </c>
      <c r="E511" s="4">
        <v>263.99</v>
      </c>
      <c r="F511" s="3">
        <f>VLOOKUP(B511,'Profit &amp; Loss'!$B$2:$C$390,2,0)</f>
        <v>0</v>
      </c>
    </row>
    <row r="512" spans="1:6" x14ac:dyDescent="0.2">
      <c r="A512" s="3" t="s">
        <v>426</v>
      </c>
      <c r="B512" s="3" t="s">
        <v>428</v>
      </c>
      <c r="C512" s="4">
        <v>10556.45</v>
      </c>
      <c r="D512" s="4">
        <v>7890.92</v>
      </c>
      <c r="E512" s="4">
        <v>2665.53</v>
      </c>
      <c r="F512" s="3">
        <f>VLOOKUP(B512,'Profit &amp; Loss'!$B$2:$C$390,2,0)</f>
        <v>-347.23</v>
      </c>
    </row>
    <row r="513" spans="1:6" x14ac:dyDescent="0.2">
      <c r="A513" s="3" t="s">
        <v>426</v>
      </c>
      <c r="B513" s="3" t="s">
        <v>429</v>
      </c>
      <c r="C513" s="4">
        <v>77693.05</v>
      </c>
      <c r="D513" s="4">
        <v>60723.83</v>
      </c>
      <c r="E513" s="4">
        <v>16969.22</v>
      </c>
      <c r="F513" s="3">
        <f>VLOOKUP(B513,'Profit &amp; Loss'!$B$2:$C$390,2,0)</f>
        <v>7237.53</v>
      </c>
    </row>
    <row r="514" spans="1:6" x14ac:dyDescent="0.2">
      <c r="A514" s="3" t="s">
        <v>426</v>
      </c>
      <c r="B514" s="3" t="s">
        <v>430</v>
      </c>
      <c r="C514" s="4">
        <v>38428.03</v>
      </c>
      <c r="D514" s="4">
        <v>22939.03</v>
      </c>
      <c r="E514" s="4">
        <v>15489</v>
      </c>
      <c r="F514" s="3">
        <f>VLOOKUP(B514,'Profit &amp; Loss'!$B$2:$C$390,2,0)</f>
        <v>378.03</v>
      </c>
    </row>
    <row r="515" spans="1:6" x14ac:dyDescent="0.2">
      <c r="A515" s="3" t="s">
        <v>426</v>
      </c>
      <c r="B515" s="3" t="s">
        <v>2</v>
      </c>
      <c r="C515" s="4">
        <v>128346.8</v>
      </c>
      <c r="D515" s="4">
        <v>92959.06</v>
      </c>
      <c r="E515" s="4">
        <v>35387.74</v>
      </c>
      <c r="F515" s="3" t="e">
        <f>VLOOKUP(B515,'Profit &amp; Loss'!$B$2:$C$390,2,0)</f>
        <v>#N/A</v>
      </c>
    </row>
    <row r="516" spans="1:6" x14ac:dyDescent="0.2">
      <c r="A516" s="3" t="s">
        <v>431</v>
      </c>
      <c r="B516" s="3" t="s">
        <v>432</v>
      </c>
      <c r="C516" s="4">
        <v>-1352905.13</v>
      </c>
      <c r="D516" s="4">
        <v>-1230727.72</v>
      </c>
      <c r="E516" s="4">
        <v>-122177.41</v>
      </c>
      <c r="F516" s="3">
        <f>VLOOKUP(B516,'Profit &amp; Loss'!$B$2:$C$390,2,0)</f>
        <v>-104275.76</v>
      </c>
    </row>
    <row r="517" spans="1:6" x14ac:dyDescent="0.2">
      <c r="A517" s="3" t="s">
        <v>431</v>
      </c>
      <c r="B517" s="3" t="s">
        <v>2</v>
      </c>
      <c r="C517" s="4">
        <v>-1352905.13</v>
      </c>
      <c r="D517" s="4">
        <v>-1230727.72</v>
      </c>
      <c r="E517" s="4">
        <v>-122177.41</v>
      </c>
      <c r="F517" s="3" t="e">
        <f>VLOOKUP(B517,'Profit &amp; Loss'!$B$2:$C$390,2,0)</f>
        <v>#N/A</v>
      </c>
    </row>
    <row r="518" spans="1:6" x14ac:dyDescent="0.2">
      <c r="A518" s="3" t="s">
        <v>433</v>
      </c>
      <c r="B518" s="3" t="s">
        <v>2</v>
      </c>
      <c r="C518" s="4">
        <v>5125889.05</v>
      </c>
      <c r="D518" s="4">
        <v>4290662.9000000004</v>
      </c>
      <c r="E518" s="4">
        <v>835226.15</v>
      </c>
      <c r="F518" s="3" t="e">
        <f>VLOOKUP(B518,'Profit &amp; Loss'!$B$2:$C$390,2,0)</f>
        <v>#N/A</v>
      </c>
    </row>
    <row r="519" spans="1:6" x14ac:dyDescent="0.2">
      <c r="A519" s="3" t="s">
        <v>434</v>
      </c>
      <c r="B519" s="3" t="s">
        <v>796</v>
      </c>
      <c r="C519" s="4">
        <v>-39432.78</v>
      </c>
      <c r="D519" s="4">
        <v>-39432.78</v>
      </c>
      <c r="E519" s="4">
        <v>0</v>
      </c>
      <c r="F519" s="3">
        <f>VLOOKUP(B519,'Profit &amp; Loss'!$B$2:$C$390,2,0)</f>
        <v>0</v>
      </c>
    </row>
    <row r="520" spans="1:6" x14ac:dyDescent="0.2">
      <c r="A520" s="3" t="s">
        <v>434</v>
      </c>
      <c r="B520" s="3" t="s">
        <v>870</v>
      </c>
      <c r="C520" s="4">
        <v>27508.71</v>
      </c>
      <c r="D520" s="4">
        <v>24464.18</v>
      </c>
      <c r="E520" s="4">
        <v>3044.53</v>
      </c>
      <c r="F520" s="3">
        <f>VLOOKUP(B520,'Profit &amp; Loss'!$B$2:$C$390,2,0)</f>
        <v>0</v>
      </c>
    </row>
    <row r="521" spans="1:6" x14ac:dyDescent="0.2">
      <c r="A521" s="3" t="s">
        <v>434</v>
      </c>
      <c r="B521" s="3" t="s">
        <v>590</v>
      </c>
      <c r="C521" s="4">
        <v>-24396.27</v>
      </c>
      <c r="D521" s="4">
        <v>-7261.59</v>
      </c>
      <c r="E521" s="4">
        <v>-17134.68</v>
      </c>
      <c r="F521" s="3">
        <f>VLOOKUP(B521,'Profit &amp; Loss'!$B$2:$C$390,2,0)</f>
        <v>-98.26</v>
      </c>
    </row>
    <row r="522" spans="1:6" x14ac:dyDescent="0.2">
      <c r="A522" s="3" t="s">
        <v>434</v>
      </c>
      <c r="B522" s="3" t="s">
        <v>1310</v>
      </c>
      <c r="C522" s="4">
        <v>5598.32</v>
      </c>
      <c r="D522" s="4">
        <v>5598.32</v>
      </c>
      <c r="E522" s="4">
        <v>0</v>
      </c>
      <c r="F522" s="3">
        <f>VLOOKUP(B522,'Profit &amp; Loss'!$B$2:$C$390,2,0)</f>
        <v>0</v>
      </c>
    </row>
    <row r="523" spans="1:6" x14ac:dyDescent="0.2">
      <c r="A523" s="3" t="s">
        <v>434</v>
      </c>
      <c r="B523" s="3" t="s">
        <v>436</v>
      </c>
      <c r="C523" s="4">
        <v>810857.27</v>
      </c>
      <c r="D523" s="4">
        <v>822922.53</v>
      </c>
      <c r="E523" s="4">
        <v>-12065.26</v>
      </c>
      <c r="F523" s="3">
        <f>VLOOKUP(B523,'Profit &amp; Loss'!$B$2:$C$390,2,0)</f>
        <v>26750</v>
      </c>
    </row>
    <row r="524" spans="1:6" x14ac:dyDescent="0.2">
      <c r="A524" s="3" t="s">
        <v>434</v>
      </c>
      <c r="B524" s="3" t="s">
        <v>2</v>
      </c>
      <c r="C524" s="4">
        <v>780135.25</v>
      </c>
      <c r="D524" s="4">
        <v>806290.66</v>
      </c>
      <c r="E524" s="4">
        <v>-26155.41</v>
      </c>
      <c r="F524" s="3" t="e">
        <f>VLOOKUP(B524,'Profit &amp; Loss'!$B$2:$C$390,2,0)</f>
        <v>#N/A</v>
      </c>
    </row>
    <row r="525" spans="1:6" x14ac:dyDescent="0.2">
      <c r="A525" s="3" t="s">
        <v>437</v>
      </c>
      <c r="B525" s="3" t="s">
        <v>592</v>
      </c>
      <c r="C525" s="4">
        <v>-3796.7</v>
      </c>
      <c r="D525" s="4">
        <v>5742.67</v>
      </c>
      <c r="E525" s="4">
        <v>-9539.3700000000008</v>
      </c>
      <c r="F525" s="3">
        <f>VLOOKUP(B525,'Profit &amp; Loss'!$B$2:$C$390,2,0)</f>
        <v>0</v>
      </c>
    </row>
    <row r="526" spans="1:6" x14ac:dyDescent="0.2">
      <c r="A526" s="3" t="s">
        <v>437</v>
      </c>
      <c r="B526" s="3" t="s">
        <v>1438</v>
      </c>
      <c r="C526" s="4">
        <v>8.1</v>
      </c>
      <c r="D526" s="4">
        <v>8.1</v>
      </c>
      <c r="E526" s="4">
        <v>0</v>
      </c>
      <c r="F526" s="3">
        <f>VLOOKUP(B526,'Profit &amp; Loss'!$B$2:$C$390,2,0)</f>
        <v>0</v>
      </c>
    </row>
    <row r="527" spans="1:6" x14ac:dyDescent="0.2">
      <c r="A527" s="3" t="s">
        <v>437</v>
      </c>
      <c r="B527" s="3" t="s">
        <v>1311</v>
      </c>
      <c r="C527" s="4">
        <v>1673.69</v>
      </c>
      <c r="D527" s="4">
        <v>1673.69</v>
      </c>
      <c r="E527" s="4">
        <v>0</v>
      </c>
      <c r="F527" s="3">
        <f>VLOOKUP(B527,'Profit &amp; Loss'!$B$2:$C$390,2,0)</f>
        <v>0</v>
      </c>
    </row>
    <row r="528" spans="1:6" x14ac:dyDescent="0.2">
      <c r="A528" s="3" t="s">
        <v>437</v>
      </c>
      <c r="B528" s="3" t="s">
        <v>438</v>
      </c>
      <c r="C528" s="4">
        <v>192054.06</v>
      </c>
      <c r="D528" s="4">
        <v>220604.04</v>
      </c>
      <c r="E528" s="4">
        <v>-28549.98</v>
      </c>
      <c r="F528" s="3">
        <f>VLOOKUP(B528,'Profit &amp; Loss'!$B$2:$C$390,2,0)</f>
        <v>9806.14</v>
      </c>
    </row>
    <row r="529" spans="1:6" x14ac:dyDescent="0.2">
      <c r="A529" s="3" t="s">
        <v>437</v>
      </c>
      <c r="B529" s="3" t="s">
        <v>439</v>
      </c>
      <c r="C529" s="4">
        <v>27837.93</v>
      </c>
      <c r="D529" s="4">
        <v>25004.42</v>
      </c>
      <c r="E529" s="4">
        <v>2833.51</v>
      </c>
      <c r="F529" s="3">
        <f>VLOOKUP(B529,'Profit &amp; Loss'!$B$2:$C$390,2,0)</f>
        <v>1430.38</v>
      </c>
    </row>
    <row r="530" spans="1:6" x14ac:dyDescent="0.2">
      <c r="A530" s="3" t="s">
        <v>437</v>
      </c>
      <c r="B530" s="3" t="s">
        <v>440</v>
      </c>
      <c r="C530" s="4">
        <v>53122.42</v>
      </c>
      <c r="D530" s="4">
        <v>56866.32</v>
      </c>
      <c r="E530" s="4">
        <v>-3743.9</v>
      </c>
      <c r="F530" s="3">
        <f>VLOOKUP(B530,'Profit &amp; Loss'!$B$2:$C$390,2,0)</f>
        <v>7785.86</v>
      </c>
    </row>
    <row r="531" spans="1:6" x14ac:dyDescent="0.2">
      <c r="A531" s="3" t="s">
        <v>437</v>
      </c>
      <c r="B531" s="3" t="s">
        <v>2</v>
      </c>
      <c r="C531" s="4">
        <v>270899.5</v>
      </c>
      <c r="D531" s="4">
        <v>309899.24</v>
      </c>
      <c r="E531" s="4">
        <v>-38999.74</v>
      </c>
      <c r="F531" s="3" t="e">
        <f>VLOOKUP(B531,'Profit &amp; Loss'!$B$2:$C$390,2,0)</f>
        <v>#N/A</v>
      </c>
    </row>
    <row r="532" spans="1:6" x14ac:dyDescent="0.2">
      <c r="A532" s="3" t="s">
        <v>441</v>
      </c>
      <c r="B532" s="3" t="s">
        <v>2</v>
      </c>
      <c r="C532" s="4">
        <v>1051034.75</v>
      </c>
      <c r="D532" s="4">
        <v>1116189.8999999999</v>
      </c>
      <c r="E532" s="4">
        <v>-65155.15</v>
      </c>
      <c r="F532" s="3" t="e">
        <f>VLOOKUP(B532,'Profit &amp; Loss'!$B$2:$C$390,2,0)</f>
        <v>#N/A</v>
      </c>
    </row>
    <row r="533" spans="1:6" x14ac:dyDescent="0.2">
      <c r="A533" s="3" t="s">
        <v>442</v>
      </c>
      <c r="B533" s="3" t="s">
        <v>443</v>
      </c>
      <c r="C533" s="4">
        <v>-31</v>
      </c>
      <c r="D533" s="4">
        <v>-24.9</v>
      </c>
      <c r="E533" s="4">
        <v>-6.1</v>
      </c>
      <c r="F533" s="3">
        <f>VLOOKUP(B533,'Profit &amp; Loss'!$B$2:$C$390,2,0)</f>
        <v>-0.33</v>
      </c>
    </row>
    <row r="534" spans="1:6" x14ac:dyDescent="0.2">
      <c r="A534" s="3" t="s">
        <v>442</v>
      </c>
      <c r="B534" s="3" t="s">
        <v>2</v>
      </c>
      <c r="C534" s="4">
        <v>-31</v>
      </c>
      <c r="D534" s="4">
        <v>-24.9</v>
      </c>
      <c r="E534" s="4">
        <v>-6.1</v>
      </c>
      <c r="F534" s="3" t="e">
        <f>VLOOKUP(B534,'Profit &amp; Loss'!$B$2:$C$390,2,0)</f>
        <v>#N/A</v>
      </c>
    </row>
    <row r="535" spans="1:6" x14ac:dyDescent="0.2">
      <c r="A535" s="3" t="s">
        <v>444</v>
      </c>
      <c r="B535" s="3" t="s">
        <v>2</v>
      </c>
      <c r="C535" s="4">
        <v>-31</v>
      </c>
      <c r="D535" s="4">
        <v>-24.9</v>
      </c>
      <c r="E535" s="4">
        <v>-6.1</v>
      </c>
      <c r="F535" s="3" t="e">
        <f>VLOOKUP(B535,'Profit &amp; Loss'!$B$2:$C$390,2,0)</f>
        <v>#N/A</v>
      </c>
    </row>
    <row r="536" spans="1:6" x14ac:dyDescent="0.2">
      <c r="A536" s="3" t="s">
        <v>445</v>
      </c>
      <c r="B536" s="3" t="s">
        <v>692</v>
      </c>
      <c r="C536" s="4">
        <v>356.76</v>
      </c>
      <c r="D536" s="4">
        <v>356.76</v>
      </c>
      <c r="E536" s="4">
        <v>0</v>
      </c>
      <c r="F536" s="3">
        <f>VLOOKUP(B536,'Profit &amp; Loss'!$B$2:$C$390,2,0)</f>
        <v>69.52</v>
      </c>
    </row>
    <row r="537" spans="1:6" x14ac:dyDescent="0.2">
      <c r="A537" s="3" t="s">
        <v>445</v>
      </c>
      <c r="B537" s="3" t="s">
        <v>1161</v>
      </c>
      <c r="C537" s="4">
        <v>3.48</v>
      </c>
      <c r="D537" s="4">
        <v>3.48</v>
      </c>
      <c r="E537" s="4">
        <v>0</v>
      </c>
      <c r="F537" s="3">
        <f>VLOOKUP(B537,'Profit &amp; Loss'!$B$2:$C$390,2,0)</f>
        <v>0</v>
      </c>
    </row>
    <row r="538" spans="1:6" x14ac:dyDescent="0.2">
      <c r="A538" s="3" t="s">
        <v>445</v>
      </c>
      <c r="B538" s="3" t="s">
        <v>446</v>
      </c>
      <c r="C538" s="4">
        <v>74373.02</v>
      </c>
      <c r="D538" s="4">
        <v>65023.38</v>
      </c>
      <c r="E538" s="4">
        <v>9349.64</v>
      </c>
      <c r="F538" s="3">
        <f>VLOOKUP(B538,'Profit &amp; Loss'!$B$2:$C$390,2,0)</f>
        <v>2583.69</v>
      </c>
    </row>
    <row r="539" spans="1:6" x14ac:dyDescent="0.2">
      <c r="A539" s="3" t="s">
        <v>445</v>
      </c>
      <c r="B539" s="3" t="s">
        <v>996</v>
      </c>
      <c r="C539" s="4">
        <v>-14421.05</v>
      </c>
      <c r="D539" s="4">
        <v>-12916.45</v>
      </c>
      <c r="E539" s="4">
        <v>-1504.6</v>
      </c>
      <c r="F539" s="3">
        <f>VLOOKUP(B539,'Profit &amp; Loss'!$B$2:$C$390,2,0)</f>
        <v>-2863.58</v>
      </c>
    </row>
    <row r="540" spans="1:6" x14ac:dyDescent="0.2">
      <c r="A540" s="3" t="s">
        <v>445</v>
      </c>
      <c r="B540" s="3" t="s">
        <v>2</v>
      </c>
      <c r="C540" s="4">
        <v>60312.21</v>
      </c>
      <c r="D540" s="4">
        <v>52467.17</v>
      </c>
      <c r="E540" s="4">
        <v>7845.04</v>
      </c>
      <c r="F540" s="3" t="e">
        <f>VLOOKUP(B540,'Profit &amp; Loss'!$B$2:$C$390,2,0)</f>
        <v>#N/A</v>
      </c>
    </row>
    <row r="541" spans="1:6" x14ac:dyDescent="0.2">
      <c r="A541" s="3" t="s">
        <v>447</v>
      </c>
      <c r="B541" s="3" t="s">
        <v>2</v>
      </c>
      <c r="C541" s="4">
        <v>60312.21</v>
      </c>
      <c r="D541" s="4">
        <v>52467.17</v>
      </c>
      <c r="E541" s="4">
        <v>7845.04</v>
      </c>
      <c r="F541" s="3" t="e">
        <f>VLOOKUP(B541,'Profit &amp; Loss'!$B$2:$C$390,2,0)</f>
        <v>#N/A</v>
      </c>
    </row>
    <row r="542" spans="1:6" x14ac:dyDescent="0.2">
      <c r="A542" s="3" t="s">
        <v>237</v>
      </c>
      <c r="B542" s="3" t="s">
        <v>448</v>
      </c>
      <c r="C542" s="4">
        <v>-23291213.620000001</v>
      </c>
      <c r="D542" s="4">
        <v>-20746870.870000001</v>
      </c>
      <c r="E542" s="4">
        <v>-2544342.75</v>
      </c>
      <c r="F542" s="3">
        <f>VLOOKUP(B542,'Profit &amp; Loss'!$B$2:$C$390,2,0)</f>
        <v>-2188985.1399999992</v>
      </c>
    </row>
    <row r="543" spans="1:6" x14ac:dyDescent="0.2">
      <c r="A543" s="3" t="s">
        <v>237</v>
      </c>
      <c r="B543" s="5" t="s">
        <v>449</v>
      </c>
      <c r="C543" s="4">
        <v>0</v>
      </c>
      <c r="D543" s="4">
        <v>0</v>
      </c>
      <c r="E543" s="4">
        <v>0</v>
      </c>
      <c r="F543" s="3" t="e">
        <f>VLOOKUP(B543,'Profit &amp; Loss'!$B$2:$C$390,2,0)</f>
        <v>#N/A</v>
      </c>
    </row>
    <row r="544" spans="1:6" x14ac:dyDescent="0.2">
      <c r="A544" s="3" t="s">
        <v>450</v>
      </c>
      <c r="B544" s="3" t="s">
        <v>451</v>
      </c>
      <c r="C544" s="4">
        <v>0</v>
      </c>
      <c r="D544" s="4">
        <v>0</v>
      </c>
      <c r="E544" s="4">
        <v>0</v>
      </c>
      <c r="F544" s="3" t="e">
        <f>VLOOKUP(B544,'Profit &amp; Loss'!$B$2:$C$390,2,0)</f>
        <v>#N/A</v>
      </c>
    </row>
    <row r="545" spans="1:6" x14ac:dyDescent="0.2">
      <c r="A545" s="3" t="s">
        <v>450</v>
      </c>
      <c r="B545" s="5" t="s">
        <v>234</v>
      </c>
      <c r="C545" s="4">
        <v>0</v>
      </c>
      <c r="D545" s="4">
        <v>0</v>
      </c>
      <c r="E545" s="4">
        <v>0</v>
      </c>
      <c r="F545" s="3" t="e">
        <f>VLOOKUP(B545,'Profit &amp; Loss'!$B$2:$C$390,2,0)</f>
        <v>#N/A</v>
      </c>
    </row>
    <row r="546" spans="1:6" x14ac:dyDescent="0.2">
      <c r="A546" s="3" t="s">
        <v>452</v>
      </c>
      <c r="B546" s="3" t="s">
        <v>453</v>
      </c>
      <c r="C546" s="4">
        <v>0</v>
      </c>
      <c r="D546" s="4">
        <v>0</v>
      </c>
      <c r="E546" s="4">
        <v>0</v>
      </c>
      <c r="F546" s="3" t="e">
        <f>VLOOKUP(B546,'Profit &amp; Loss'!$B$2:$C$390,2,0)</f>
        <v>#N/A</v>
      </c>
    </row>
    <row r="547" spans="1:6" x14ac:dyDescent="0.2">
      <c r="A547" s="3" t="s">
        <v>452</v>
      </c>
      <c r="B547" s="3" t="s">
        <v>2</v>
      </c>
      <c r="C547" s="4">
        <v>23291213.620000001</v>
      </c>
      <c r="D547" s="4">
        <v>20746870.870000001</v>
      </c>
      <c r="E547" s="4">
        <v>2544342.75</v>
      </c>
      <c r="F547" s="3" t="e">
        <f>VLOOKUP(B547,'Profit &amp; Loss'!$B$2:$C$390,2,0)</f>
        <v>#N/A</v>
      </c>
    </row>
    <row r="548" spans="1:6" x14ac:dyDescent="0.2">
      <c r="A548" s="3" t="s">
        <v>450</v>
      </c>
      <c r="B548" s="3" t="s">
        <v>2</v>
      </c>
      <c r="C548" s="4">
        <v>23291213.620000001</v>
      </c>
      <c r="D548" s="4">
        <v>20746870.870000001</v>
      </c>
      <c r="E548" s="4">
        <v>2544342.75</v>
      </c>
      <c r="F548" s="3" t="e">
        <f>VLOOKUP(B548,'Profit &amp; Loss'!$B$2:$C$390,2,0)</f>
        <v>#N/A</v>
      </c>
    </row>
    <row r="549" spans="1:6" x14ac:dyDescent="0.2">
      <c r="A549" s="3" t="s">
        <v>454</v>
      </c>
      <c r="B549" s="3" t="s">
        <v>455</v>
      </c>
      <c r="C549" s="4">
        <v>0</v>
      </c>
      <c r="D549" s="4">
        <v>0</v>
      </c>
      <c r="E549" s="4">
        <v>0</v>
      </c>
      <c r="F549" s="3" t="e">
        <f>VLOOKUP(B549,'Profit &amp; Loss'!$B$2:$C$390,2,0)</f>
        <v>#N/A</v>
      </c>
    </row>
    <row r="550" spans="1:6" x14ac:dyDescent="0.2">
      <c r="A550" s="3" t="s">
        <v>454</v>
      </c>
      <c r="B550" s="5" t="s">
        <v>456</v>
      </c>
      <c r="C550" s="4">
        <v>0</v>
      </c>
      <c r="D550" s="4">
        <v>0</v>
      </c>
      <c r="E550" s="4">
        <v>0</v>
      </c>
      <c r="F550" s="3" t="e">
        <f>VLOOKUP(B550,'Profit &amp; Loss'!$B$2:$C$390,2,0)</f>
        <v>#N/A</v>
      </c>
    </row>
    <row r="551" spans="1:6" x14ac:dyDescent="0.2">
      <c r="A551" s="3" t="s">
        <v>454</v>
      </c>
      <c r="B551" s="3" t="s">
        <v>457</v>
      </c>
      <c r="C551" s="4">
        <v>-49928.07</v>
      </c>
      <c r="D551" s="4">
        <v>-58121.440000000002</v>
      </c>
      <c r="E551" s="4">
        <v>8193.3700000000008</v>
      </c>
      <c r="F551" s="3" t="e">
        <f>VLOOKUP(B551,'Profit &amp; Loss'!$B$2:$C$390,2,0)</f>
        <v>#N/A</v>
      </c>
    </row>
    <row r="552" spans="1:6" x14ac:dyDescent="0.2">
      <c r="A552" s="3" t="s">
        <v>454</v>
      </c>
      <c r="B552" s="3" t="s">
        <v>458</v>
      </c>
      <c r="C552" s="4">
        <v>-325254.08</v>
      </c>
      <c r="D552" s="4">
        <v>-191335.9</v>
      </c>
      <c r="E552" s="4">
        <v>-133918.18</v>
      </c>
      <c r="F552" s="3" t="e">
        <f>VLOOKUP(B552,'Profit &amp; Loss'!$B$2:$C$390,2,0)</f>
        <v>#N/A</v>
      </c>
    </row>
    <row r="553" spans="1:6" x14ac:dyDescent="0.2">
      <c r="A553" s="3" t="s">
        <v>454</v>
      </c>
      <c r="B553" s="3" t="s">
        <v>694</v>
      </c>
      <c r="C553" s="4">
        <v>-2937.25</v>
      </c>
      <c r="D553" s="4">
        <v>0</v>
      </c>
      <c r="E553" s="4">
        <v>-2937.25</v>
      </c>
      <c r="F553" s="3" t="e">
        <f>VLOOKUP(B553,'Profit &amp; Loss'!$B$2:$C$390,2,0)</f>
        <v>#N/A</v>
      </c>
    </row>
    <row r="554" spans="1:6" x14ac:dyDescent="0.2">
      <c r="A554" s="3" t="s">
        <v>454</v>
      </c>
      <c r="B554" s="3" t="s">
        <v>459</v>
      </c>
      <c r="C554" s="4">
        <v>11123.99</v>
      </c>
      <c r="D554" s="4">
        <v>20121.099999999999</v>
      </c>
      <c r="E554" s="4">
        <v>-8997.11</v>
      </c>
      <c r="F554" s="3" t="e">
        <f>VLOOKUP(B554,'Profit &amp; Loss'!$B$2:$C$390,2,0)</f>
        <v>#N/A</v>
      </c>
    </row>
    <row r="555" spans="1:6" x14ac:dyDescent="0.2">
      <c r="A555" s="3" t="s">
        <v>454</v>
      </c>
      <c r="B555" s="3" t="s">
        <v>460</v>
      </c>
      <c r="C555" s="4">
        <v>-40507.79</v>
      </c>
      <c r="D555" s="4">
        <v>-40507.79</v>
      </c>
      <c r="E555" s="4">
        <v>0</v>
      </c>
      <c r="F555" s="3" t="e">
        <f>VLOOKUP(B555,'Profit &amp; Loss'!$B$2:$C$390,2,0)</f>
        <v>#N/A</v>
      </c>
    </row>
    <row r="556" spans="1:6" x14ac:dyDescent="0.2">
      <c r="A556" s="3" t="s">
        <v>454</v>
      </c>
      <c r="B556" s="18" t="s">
        <v>594</v>
      </c>
      <c r="C556" s="4">
        <v>6459.19</v>
      </c>
      <c r="D556" s="4">
        <v>0</v>
      </c>
      <c r="E556" s="4">
        <v>6459.19</v>
      </c>
      <c r="F556" s="3">
        <f>VLOOKUP(B556,'Profit &amp; Loss'!$B$2:$C$390,2,0)</f>
        <v>0</v>
      </c>
    </row>
    <row r="557" spans="1:6" x14ac:dyDescent="0.2">
      <c r="A557" s="3" t="s">
        <v>454</v>
      </c>
      <c r="B557" s="3" t="s">
        <v>1439</v>
      </c>
      <c r="C557" s="4">
        <v>12895.01</v>
      </c>
      <c r="D557" s="4">
        <v>12895.01</v>
      </c>
      <c r="E557" s="4">
        <v>0</v>
      </c>
      <c r="F557" s="3">
        <f>VLOOKUP(B557,'Profit &amp; Loss'!$B$2:$C$390,2,0)</f>
        <v>0</v>
      </c>
    </row>
    <row r="558" spans="1:6" x14ac:dyDescent="0.2">
      <c r="A558" s="3" t="s">
        <v>454</v>
      </c>
      <c r="B558" s="3" t="s">
        <v>874</v>
      </c>
      <c r="C558" s="4">
        <v>344331.1</v>
      </c>
      <c r="D558" s="4">
        <v>287081.31</v>
      </c>
      <c r="E558" s="4">
        <v>57249.79</v>
      </c>
      <c r="F558" s="3">
        <f>VLOOKUP(B558,'Profit &amp; Loss'!$B$2:$C$390,2,0)</f>
        <v>0</v>
      </c>
    </row>
    <row r="559" spans="1:6" x14ac:dyDescent="0.2">
      <c r="A559" s="3" t="s">
        <v>454</v>
      </c>
      <c r="B559" s="3" t="s">
        <v>461</v>
      </c>
      <c r="C559" s="4">
        <v>-43817.9</v>
      </c>
      <c r="D559" s="4">
        <v>30132.29</v>
      </c>
      <c r="E559" s="4">
        <v>-73950.19</v>
      </c>
      <c r="F559" s="3" t="e">
        <f>VLOOKUP(B559,'Profit &amp; Loss'!$B$2:$C$390,2,0)</f>
        <v>#N/A</v>
      </c>
    </row>
    <row r="560" spans="1:6" x14ac:dyDescent="0.2">
      <c r="A560" s="3" t="s">
        <v>454</v>
      </c>
      <c r="B560" s="5" t="s">
        <v>462</v>
      </c>
      <c r="C560" s="4">
        <v>0</v>
      </c>
      <c r="D560" s="4">
        <v>0</v>
      </c>
      <c r="E560" s="4">
        <v>0</v>
      </c>
      <c r="F560" s="3" t="e">
        <f>VLOOKUP(B560,'Profit &amp; Loss'!$B$2:$C$390,2,0)</f>
        <v>#N/A</v>
      </c>
    </row>
  </sheetData>
  <autoFilter ref="A1:F560" xr:uid="{CCCD7EDF-E63D-4260-BB96-C594E3559897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AB2F-00A4-42E4-A7AF-1C8167345549}">
  <dimension ref="A1:BC299"/>
  <sheetViews>
    <sheetView showGridLines="0" zoomScale="85" zoomScaleNormal="85" workbookViewId="0">
      <pane xSplit="2" ySplit="1" topLeftCell="C258" activePane="bottomRight" state="frozen"/>
      <selection activeCell="BS336" sqref="BS336"/>
      <selection pane="topRight" activeCell="BS336" sqref="BS336"/>
      <selection pane="bottomLeft" activeCell="BS336" sqref="BS336"/>
      <selection pane="bottomRight" activeCell="BS336" sqref="BS336"/>
    </sheetView>
  </sheetViews>
  <sheetFormatPr defaultColWidth="9.140625" defaultRowHeight="11.25" x14ac:dyDescent="0.2"/>
  <cols>
    <col min="1" max="1" width="1.85546875" style="114" customWidth="1"/>
    <col min="2" max="2" width="42" style="3" bestFit="1" customWidth="1"/>
    <col min="3" max="3" width="14.42578125" style="20" hidden="1" customWidth="1"/>
    <col min="4" max="4" width="12.28515625" style="20" hidden="1" customWidth="1"/>
    <col min="5" max="5" width="14.140625" style="20" hidden="1" customWidth="1"/>
    <col min="6" max="6" width="13.28515625" style="24" hidden="1" customWidth="1"/>
    <col min="7" max="7" width="14" style="24" hidden="1" customWidth="1"/>
    <col min="8" max="8" width="12.42578125" style="20" hidden="1" customWidth="1"/>
    <col min="9" max="9" width="13.85546875" style="20" hidden="1" customWidth="1"/>
    <col min="10" max="10" width="12.42578125" style="20" hidden="1" customWidth="1"/>
    <col min="11" max="11" width="14.42578125" style="20" hidden="1" customWidth="1"/>
    <col min="12" max="12" width="12.7109375" style="83" hidden="1" customWidth="1"/>
    <col min="13" max="13" width="14.42578125" style="83" hidden="1" customWidth="1"/>
    <col min="14" max="14" width="13.140625" style="83" hidden="1" customWidth="1"/>
    <col min="15" max="15" width="14.85546875" style="83" hidden="1" customWidth="1"/>
    <col min="16" max="26" width="13.140625" style="83" hidden="1" customWidth="1"/>
    <col min="27" max="27" width="14" style="3" hidden="1" customWidth="1"/>
    <col min="28" max="38" width="13.140625" style="83" hidden="1" customWidth="1"/>
    <col min="39" max="39" width="14" style="83" hidden="1" customWidth="1"/>
    <col min="40" max="40" width="14" style="3" hidden="1" customWidth="1"/>
    <col min="41" max="47" width="13.140625" style="83" customWidth="1"/>
    <col min="48" max="51" width="13.140625" style="83" hidden="1" customWidth="1"/>
    <col min="52" max="52" width="14" style="83" hidden="1" customWidth="1"/>
    <col min="53" max="54" width="14" style="3" bestFit="1" customWidth="1"/>
    <col min="55" max="55" width="14.28515625" style="3" bestFit="1" customWidth="1"/>
    <col min="56" max="16384" width="9.140625" style="3"/>
  </cols>
  <sheetData>
    <row r="1" spans="1:54" x14ac:dyDescent="0.2">
      <c r="B1" s="37" t="s">
        <v>464</v>
      </c>
      <c r="C1" s="40" t="s">
        <v>1615</v>
      </c>
      <c r="D1" s="40" t="s">
        <v>1616</v>
      </c>
      <c r="E1" s="40" t="s">
        <v>1617</v>
      </c>
      <c r="F1" s="59" t="s">
        <v>1618</v>
      </c>
      <c r="G1" s="59" t="s">
        <v>1619</v>
      </c>
      <c r="H1" s="61" t="s">
        <v>1620</v>
      </c>
      <c r="I1" s="61" t="s">
        <v>1614</v>
      </c>
      <c r="J1" s="61" t="s">
        <v>1621</v>
      </c>
      <c r="K1" s="61" t="s">
        <v>1622</v>
      </c>
      <c r="L1" s="81" t="s">
        <v>1623</v>
      </c>
      <c r="M1" s="81" t="s">
        <v>1624</v>
      </c>
      <c r="N1" s="81" t="s">
        <v>1625</v>
      </c>
      <c r="O1" s="61" t="s">
        <v>1807</v>
      </c>
      <c r="P1" s="61" t="s">
        <v>1808</v>
      </c>
      <c r="Q1" s="61" t="s">
        <v>1809</v>
      </c>
      <c r="R1" s="59" t="s">
        <v>1798</v>
      </c>
      <c r="S1" s="59" t="s">
        <v>1799</v>
      </c>
      <c r="T1" s="61" t="s">
        <v>1800</v>
      </c>
      <c r="U1" s="61" t="s">
        <v>1801</v>
      </c>
      <c r="V1" s="61" t="s">
        <v>1802</v>
      </c>
      <c r="W1" s="61" t="s">
        <v>1803</v>
      </c>
      <c r="X1" s="81" t="s">
        <v>1804</v>
      </c>
      <c r="Y1" s="81" t="s">
        <v>1805</v>
      </c>
      <c r="Z1" s="81" t="s">
        <v>1806</v>
      </c>
      <c r="AA1" s="38" t="s">
        <v>1812</v>
      </c>
      <c r="AB1" s="61" t="s">
        <v>1843</v>
      </c>
      <c r="AC1" s="61" t="s">
        <v>1844</v>
      </c>
      <c r="AD1" s="61" t="s">
        <v>1845</v>
      </c>
      <c r="AE1" s="59" t="s">
        <v>1846</v>
      </c>
      <c r="AF1" s="59" t="s">
        <v>1847</v>
      </c>
      <c r="AG1" s="61" t="s">
        <v>1848</v>
      </c>
      <c r="AH1" s="61" t="s">
        <v>1849</v>
      </c>
      <c r="AI1" s="61" t="s">
        <v>1850</v>
      </c>
      <c r="AJ1" s="61" t="s">
        <v>1851</v>
      </c>
      <c r="AK1" s="81" t="s">
        <v>1852</v>
      </c>
      <c r="AL1" s="81" t="s">
        <v>1853</v>
      </c>
      <c r="AM1" s="81" t="s">
        <v>1854</v>
      </c>
      <c r="AN1" s="38" t="s">
        <v>1855</v>
      </c>
      <c r="AO1" s="61" t="s">
        <v>1908</v>
      </c>
      <c r="AP1" s="61" t="s">
        <v>1896</v>
      </c>
      <c r="AQ1" s="61" t="s">
        <v>1897</v>
      </c>
      <c r="AR1" s="59" t="s">
        <v>1898</v>
      </c>
      <c r="AS1" s="59" t="s">
        <v>1899</v>
      </c>
      <c r="AT1" s="61" t="s">
        <v>1900</v>
      </c>
      <c r="AU1" s="61" t="s">
        <v>1901</v>
      </c>
      <c r="AV1" s="61" t="s">
        <v>1902</v>
      </c>
      <c r="AW1" s="61" t="s">
        <v>1903</v>
      </c>
      <c r="AX1" s="81" t="s">
        <v>1904</v>
      </c>
      <c r="AY1" s="81" t="s">
        <v>1905</v>
      </c>
      <c r="AZ1" s="81" t="s">
        <v>1906</v>
      </c>
      <c r="BA1" s="38" t="s">
        <v>1907</v>
      </c>
    </row>
    <row r="2" spans="1:54" x14ac:dyDescent="0.2">
      <c r="B2" s="11" t="s">
        <v>1</v>
      </c>
      <c r="C2" s="39"/>
      <c r="D2" s="39"/>
      <c r="E2" s="39"/>
      <c r="F2" s="12"/>
      <c r="G2" s="12"/>
      <c r="H2" s="39"/>
      <c r="I2" s="39"/>
      <c r="J2" s="39"/>
      <c r="K2" s="39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1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1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12"/>
    </row>
    <row r="3" spans="1:54" x14ac:dyDescent="0.2">
      <c r="B3" s="3" t="s">
        <v>5</v>
      </c>
      <c r="C3" s="20">
        <v>329.08</v>
      </c>
      <c r="D3" s="20">
        <v>0</v>
      </c>
      <c r="E3" s="20">
        <v>0</v>
      </c>
      <c r="F3" s="24">
        <v>0</v>
      </c>
      <c r="G3" s="24">
        <v>0</v>
      </c>
      <c r="H3" s="20">
        <v>0</v>
      </c>
      <c r="I3" s="20">
        <v>0</v>
      </c>
      <c r="J3" s="20">
        <v>0</v>
      </c>
      <c r="K3" s="20">
        <v>0</v>
      </c>
      <c r="L3" s="83">
        <v>0</v>
      </c>
      <c r="M3" s="83">
        <v>0</v>
      </c>
      <c r="N3" s="83">
        <v>0</v>
      </c>
      <c r="O3" s="83">
        <v>329.08</v>
      </c>
      <c r="P3" s="83">
        <v>0</v>
      </c>
      <c r="Q3" s="83">
        <v>0</v>
      </c>
      <c r="R3" s="83">
        <v>0</v>
      </c>
      <c r="S3" s="83">
        <v>0</v>
      </c>
      <c r="T3" s="83">
        <v>0</v>
      </c>
      <c r="U3" s="83">
        <v>0</v>
      </c>
      <c r="V3" s="83">
        <v>0</v>
      </c>
      <c r="W3" s="83">
        <v>0</v>
      </c>
      <c r="X3" s="83">
        <v>0</v>
      </c>
      <c r="Y3" s="83">
        <v>0</v>
      </c>
      <c r="Z3" s="83">
        <v>0</v>
      </c>
      <c r="AA3" s="31">
        <f t="shared" ref="AA3:AA10" si="0">SUM(O3:Z3)</f>
        <v>329.08</v>
      </c>
      <c r="AB3" s="83">
        <v>0</v>
      </c>
      <c r="AC3" s="83">
        <v>0</v>
      </c>
      <c r="AD3" s="83">
        <v>0</v>
      </c>
      <c r="AE3" s="83">
        <v>0</v>
      </c>
      <c r="AF3" s="83">
        <v>0</v>
      </c>
      <c r="AG3" s="83">
        <v>0</v>
      </c>
      <c r="AH3" s="83">
        <v>0</v>
      </c>
      <c r="AI3" s="83">
        <v>0</v>
      </c>
      <c r="AJ3" s="83">
        <v>0</v>
      </c>
      <c r="AK3" s="83">
        <v>0</v>
      </c>
      <c r="AL3" s="83">
        <v>0</v>
      </c>
      <c r="AM3" s="83">
        <v>0</v>
      </c>
      <c r="AN3" s="31">
        <f>SUM(AA3:AM3)</f>
        <v>329.08</v>
      </c>
      <c r="AO3" s="83">
        <v>-329.08</v>
      </c>
      <c r="AP3" s="83">
        <v>0</v>
      </c>
      <c r="AQ3" s="83">
        <v>0</v>
      </c>
      <c r="AR3" s="83">
        <v>0</v>
      </c>
      <c r="AS3" s="83">
        <v>0</v>
      </c>
      <c r="AT3" s="83">
        <v>0</v>
      </c>
      <c r="AU3" s="83">
        <v>0</v>
      </c>
      <c r="BA3" s="31">
        <f>SUM(AN3:AZ3)</f>
        <v>0</v>
      </c>
    </row>
    <row r="4" spans="1:54" x14ac:dyDescent="0.2">
      <c r="B4" s="3" t="s">
        <v>7</v>
      </c>
      <c r="C4" s="20">
        <v>610.44000000000005</v>
      </c>
      <c r="D4" s="20">
        <v>0</v>
      </c>
      <c r="E4" s="20">
        <v>0</v>
      </c>
      <c r="F4" s="24">
        <v>0</v>
      </c>
      <c r="G4" s="24">
        <v>0</v>
      </c>
      <c r="H4" s="20">
        <v>0</v>
      </c>
      <c r="I4" s="20">
        <v>0</v>
      </c>
      <c r="J4" s="20">
        <v>0</v>
      </c>
      <c r="K4" s="20">
        <v>0</v>
      </c>
      <c r="L4" s="83">
        <v>0</v>
      </c>
      <c r="M4" s="83">
        <v>0</v>
      </c>
      <c r="N4" s="83">
        <v>0</v>
      </c>
      <c r="O4" s="83">
        <v>610.44000000000005</v>
      </c>
      <c r="P4" s="83">
        <v>0</v>
      </c>
      <c r="Q4" s="83">
        <v>0</v>
      </c>
      <c r="R4" s="83">
        <v>0</v>
      </c>
      <c r="S4" s="83">
        <v>0</v>
      </c>
      <c r="T4" s="83">
        <v>0</v>
      </c>
      <c r="U4" s="83">
        <v>0</v>
      </c>
      <c r="V4" s="83">
        <v>0</v>
      </c>
      <c r="W4" s="83">
        <v>0</v>
      </c>
      <c r="X4" s="83">
        <v>0</v>
      </c>
      <c r="Y4" s="83">
        <v>-610.44000000000005</v>
      </c>
      <c r="Z4" s="83">
        <v>0</v>
      </c>
      <c r="AA4" s="31">
        <f t="shared" si="0"/>
        <v>0</v>
      </c>
      <c r="AB4" s="83">
        <v>0</v>
      </c>
      <c r="AC4" s="83">
        <v>0</v>
      </c>
      <c r="AD4" s="83">
        <v>0</v>
      </c>
      <c r="AE4" s="83">
        <v>0</v>
      </c>
      <c r="AF4" s="83">
        <v>0</v>
      </c>
      <c r="AG4" s="83">
        <v>0</v>
      </c>
      <c r="AH4" s="83">
        <v>0</v>
      </c>
      <c r="AI4" s="83">
        <v>0</v>
      </c>
      <c r="AJ4" s="83">
        <v>0</v>
      </c>
      <c r="AK4" s="83">
        <v>0</v>
      </c>
      <c r="AL4" s="83">
        <v>0</v>
      </c>
      <c r="AM4" s="83">
        <v>0</v>
      </c>
      <c r="AN4" s="31">
        <f t="shared" ref="AN4:AN10" si="1">SUM(AA4:AM4)</f>
        <v>0</v>
      </c>
      <c r="AO4" s="83">
        <v>0</v>
      </c>
      <c r="AP4" s="83">
        <v>0</v>
      </c>
      <c r="AQ4" s="83">
        <v>0</v>
      </c>
      <c r="AR4" s="83">
        <v>0</v>
      </c>
      <c r="AS4" s="83">
        <v>0</v>
      </c>
      <c r="AT4" s="83">
        <v>0</v>
      </c>
      <c r="AU4" s="83">
        <v>0</v>
      </c>
      <c r="BA4" s="31">
        <f t="shared" ref="BA4:BA10" si="2">SUM(AN4:AZ4)</f>
        <v>0</v>
      </c>
    </row>
    <row r="5" spans="1:54" x14ac:dyDescent="0.2">
      <c r="B5" s="3" t="s">
        <v>8</v>
      </c>
      <c r="C5" s="20">
        <v>29159.62</v>
      </c>
      <c r="D5" s="20">
        <v>-1380.48</v>
      </c>
      <c r="E5" s="20">
        <v>-3514.15</v>
      </c>
      <c r="F5" s="24">
        <v>722.33</v>
      </c>
      <c r="G5" s="24">
        <v>4056.95</v>
      </c>
      <c r="H5" s="20">
        <v>-3982.29</v>
      </c>
      <c r="I5" s="20">
        <v>5551.6</v>
      </c>
      <c r="J5" s="20">
        <v>6709.67</v>
      </c>
      <c r="K5" s="20">
        <v>-12394.78</v>
      </c>
      <c r="L5" s="83">
        <v>4313.4399999999996</v>
      </c>
      <c r="M5" s="83">
        <v>-1785.34</v>
      </c>
      <c r="N5" s="83">
        <v>-2964.03</v>
      </c>
      <c r="O5" s="83">
        <v>25589.98</v>
      </c>
      <c r="P5" s="83">
        <v>224.5</v>
      </c>
      <c r="Q5" s="83">
        <v>-1321.35</v>
      </c>
      <c r="R5" s="83">
        <v>176.2</v>
      </c>
      <c r="S5" s="83">
        <v>-67.17</v>
      </c>
      <c r="T5" s="83">
        <v>16.79</v>
      </c>
      <c r="U5" s="83">
        <v>4275.93</v>
      </c>
      <c r="V5" s="83">
        <v>-4544.5600000000004</v>
      </c>
      <c r="W5" s="83">
        <v>7986.56</v>
      </c>
      <c r="X5" s="83">
        <v>-5638.67</v>
      </c>
      <c r="Y5" s="83">
        <v>-3115.42</v>
      </c>
      <c r="Z5" s="83">
        <v>7430.18</v>
      </c>
      <c r="AA5" s="31">
        <f t="shared" si="0"/>
        <v>31012.970000000008</v>
      </c>
      <c r="AB5" s="83">
        <v>-7502.55</v>
      </c>
      <c r="AC5" s="83">
        <v>-13.15</v>
      </c>
      <c r="AD5" s="83">
        <v>9006.4</v>
      </c>
      <c r="AE5" s="83">
        <v>-5448.28</v>
      </c>
      <c r="AF5" s="83">
        <v>-3833.37</v>
      </c>
      <c r="AG5" s="83">
        <v>7980.14</v>
      </c>
      <c r="AH5" s="83">
        <v>-4462.3900000000003</v>
      </c>
      <c r="AI5" s="83">
        <v>-3413.81</v>
      </c>
      <c r="AJ5" s="83">
        <v>5264.34</v>
      </c>
      <c r="AK5" s="83">
        <v>-5191.58</v>
      </c>
      <c r="AL5" s="83">
        <v>-18.760000000000002</v>
      </c>
      <c r="AM5" s="83">
        <v>3983.45</v>
      </c>
      <c r="AN5" s="31">
        <f t="shared" si="1"/>
        <v>27363.410000000011</v>
      </c>
      <c r="AO5" s="83">
        <v>-3783.36</v>
      </c>
      <c r="AP5" s="83">
        <v>-6.54</v>
      </c>
      <c r="AQ5" s="83">
        <v>7137.42</v>
      </c>
      <c r="AR5" s="83">
        <v>-6960.05</v>
      </c>
      <c r="AS5" s="83">
        <v>275.32</v>
      </c>
      <c r="AT5" s="83">
        <v>5699.02</v>
      </c>
      <c r="AU5" s="83">
        <v>-5671.41</v>
      </c>
      <c r="BA5" s="31">
        <f t="shared" si="2"/>
        <v>24053.810000000009</v>
      </c>
    </row>
    <row r="6" spans="1:54" x14ac:dyDescent="0.2">
      <c r="B6" s="3" t="s">
        <v>9</v>
      </c>
      <c r="C6" s="20">
        <v>-24199.83</v>
      </c>
      <c r="D6" s="20">
        <v>-98.53</v>
      </c>
      <c r="E6" s="20">
        <v>105.1</v>
      </c>
      <c r="F6" s="24">
        <v>-714.12</v>
      </c>
      <c r="G6" s="24">
        <v>-74.06</v>
      </c>
      <c r="H6" s="20">
        <v>-8.64</v>
      </c>
      <c r="I6" s="20">
        <v>139.47</v>
      </c>
      <c r="J6" s="20">
        <v>26.56</v>
      </c>
      <c r="K6" s="20">
        <v>-34.78</v>
      </c>
      <c r="L6" s="83">
        <v>-63.18</v>
      </c>
      <c r="M6" s="83">
        <v>118.08</v>
      </c>
      <c r="N6" s="83">
        <v>393.06</v>
      </c>
      <c r="O6" s="83">
        <v>-24484.7</v>
      </c>
      <c r="P6" s="83">
        <v>44.35</v>
      </c>
      <c r="Q6" s="83">
        <v>-7.05</v>
      </c>
      <c r="R6" s="83">
        <v>-99.99</v>
      </c>
      <c r="S6" s="83">
        <v>11.75</v>
      </c>
      <c r="T6" s="83">
        <v>-16.82</v>
      </c>
      <c r="U6" s="83">
        <v>15.92</v>
      </c>
      <c r="V6" s="83">
        <v>260.73</v>
      </c>
      <c r="W6" s="83">
        <v>922.42</v>
      </c>
      <c r="X6" s="83">
        <v>-117.37</v>
      </c>
      <c r="Y6" s="83">
        <v>-42.56</v>
      </c>
      <c r="Z6" s="83">
        <v>54.3</v>
      </c>
      <c r="AA6" s="31">
        <f t="shared" si="0"/>
        <v>-23459.020000000008</v>
      </c>
      <c r="AB6" s="83">
        <v>23.77</v>
      </c>
      <c r="AC6" s="83">
        <v>3.77</v>
      </c>
      <c r="AD6" s="83">
        <v>-86.91</v>
      </c>
      <c r="AE6" s="83">
        <v>-149.35</v>
      </c>
      <c r="AF6" s="83">
        <v>516.30999999999995</v>
      </c>
      <c r="AG6" s="83">
        <v>-21.28</v>
      </c>
      <c r="AH6" s="83">
        <v>-73.36</v>
      </c>
      <c r="AI6" s="83">
        <v>-13.77</v>
      </c>
      <c r="AJ6" s="83">
        <v>-52.71</v>
      </c>
      <c r="AK6" s="83">
        <v>-20.96</v>
      </c>
      <c r="AL6" s="83">
        <v>18.690000000000001</v>
      </c>
      <c r="AM6" s="83">
        <v>-197.23</v>
      </c>
      <c r="AN6" s="31">
        <f t="shared" si="1"/>
        <v>-23512.050000000003</v>
      </c>
      <c r="AO6" s="83">
        <v>-3.68</v>
      </c>
      <c r="AP6" s="83">
        <v>7.48</v>
      </c>
      <c r="AQ6" s="83">
        <v>-33.020000000000003</v>
      </c>
      <c r="AR6" s="83">
        <v>-12.51</v>
      </c>
      <c r="AS6" s="83">
        <v>-409.94</v>
      </c>
      <c r="AT6" s="83">
        <v>9.8699999999999992</v>
      </c>
      <c r="AU6" s="83">
        <v>-40.32</v>
      </c>
      <c r="BA6" s="31">
        <f t="shared" si="2"/>
        <v>-23994.170000000002</v>
      </c>
    </row>
    <row r="7" spans="1:54" x14ac:dyDescent="0.2">
      <c r="B7" s="3" t="s">
        <v>10</v>
      </c>
      <c r="C7" s="20">
        <v>68.709999999999994</v>
      </c>
      <c r="D7" s="20">
        <v>0.04</v>
      </c>
      <c r="E7" s="20">
        <v>-0.02</v>
      </c>
      <c r="F7" s="24">
        <v>-0.03</v>
      </c>
      <c r="G7" s="24">
        <v>0.03</v>
      </c>
      <c r="H7" s="20">
        <v>0.01</v>
      </c>
      <c r="I7" s="20">
        <v>-0.01</v>
      </c>
      <c r="J7" s="20">
        <v>0.02</v>
      </c>
      <c r="K7" s="20">
        <v>0.03</v>
      </c>
      <c r="L7" s="83">
        <v>0.03</v>
      </c>
      <c r="M7" s="83">
        <v>-0.03</v>
      </c>
      <c r="N7" s="83">
        <v>0</v>
      </c>
      <c r="O7" s="83">
        <v>68.81</v>
      </c>
      <c r="P7" s="83">
        <v>-0.03</v>
      </c>
      <c r="Q7" s="83">
        <v>0.04</v>
      </c>
      <c r="R7" s="83">
        <v>0.06</v>
      </c>
      <c r="S7" s="83">
        <v>-0.01</v>
      </c>
      <c r="T7" s="83">
        <v>-0.01</v>
      </c>
      <c r="U7" s="83">
        <v>-0.02</v>
      </c>
      <c r="V7" s="83">
        <v>-0.1</v>
      </c>
      <c r="W7" s="83">
        <v>-0.03</v>
      </c>
      <c r="X7" s="83">
        <v>0.08</v>
      </c>
      <c r="Y7" s="83">
        <v>0.01</v>
      </c>
      <c r="Z7" s="83">
        <v>0.03</v>
      </c>
      <c r="AA7" s="31">
        <f t="shared" si="0"/>
        <v>68.830000000000013</v>
      </c>
      <c r="AB7" s="83">
        <v>0</v>
      </c>
      <c r="AC7" s="83">
        <v>0</v>
      </c>
      <c r="AD7" s="83">
        <v>-0.02</v>
      </c>
      <c r="AE7" s="83">
        <v>0.03</v>
      </c>
      <c r="AF7" s="83">
        <v>-0.04</v>
      </c>
      <c r="AG7" s="83">
        <v>0.01</v>
      </c>
      <c r="AH7" s="83">
        <v>0.02</v>
      </c>
      <c r="AI7" s="83">
        <v>-0.01</v>
      </c>
      <c r="AJ7" s="83">
        <v>0.04</v>
      </c>
      <c r="AK7" s="83">
        <v>-0.02</v>
      </c>
      <c r="AL7" s="83">
        <v>0</v>
      </c>
      <c r="AM7" s="83">
        <v>-0.01</v>
      </c>
      <c r="AN7" s="31">
        <f t="shared" si="1"/>
        <v>68.830000000000013</v>
      </c>
      <c r="AO7" s="83">
        <v>0</v>
      </c>
      <c r="AP7" s="83">
        <v>0.01</v>
      </c>
      <c r="AQ7" s="83">
        <v>0.02</v>
      </c>
      <c r="AR7" s="83">
        <v>0.02</v>
      </c>
      <c r="AS7" s="83">
        <v>0.02</v>
      </c>
      <c r="AT7" s="83">
        <v>0.02</v>
      </c>
      <c r="AU7" s="83">
        <v>0.04</v>
      </c>
      <c r="BA7" s="31">
        <f t="shared" si="2"/>
        <v>68.960000000000008</v>
      </c>
    </row>
    <row r="8" spans="1:54" x14ac:dyDescent="0.2">
      <c r="B8" s="3" t="s">
        <v>1791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83">
        <v>0</v>
      </c>
      <c r="O8" s="83">
        <v>0</v>
      </c>
      <c r="P8" s="83">
        <v>0</v>
      </c>
      <c r="Q8" s="83">
        <v>0</v>
      </c>
      <c r="R8" s="83">
        <v>0</v>
      </c>
      <c r="S8" s="83">
        <v>0</v>
      </c>
      <c r="T8" s="83">
        <v>0</v>
      </c>
      <c r="U8" s="83">
        <v>0</v>
      </c>
      <c r="V8" s="83">
        <v>0</v>
      </c>
      <c r="W8" s="83">
        <v>0</v>
      </c>
      <c r="X8" s="83">
        <v>0</v>
      </c>
      <c r="Y8" s="83">
        <v>0</v>
      </c>
      <c r="Z8" s="83">
        <v>0</v>
      </c>
      <c r="AA8" s="31">
        <f t="shared" si="0"/>
        <v>0</v>
      </c>
      <c r="AB8" s="83">
        <v>0</v>
      </c>
      <c r="AC8" s="83">
        <v>0</v>
      </c>
      <c r="AD8" s="83">
        <v>0</v>
      </c>
      <c r="AE8" s="83">
        <v>0</v>
      </c>
      <c r="AF8" s="83">
        <v>0</v>
      </c>
      <c r="AG8" s="83">
        <v>0</v>
      </c>
      <c r="AH8" s="83">
        <v>0</v>
      </c>
      <c r="AI8" s="83">
        <v>0</v>
      </c>
      <c r="AJ8" s="83">
        <v>0</v>
      </c>
      <c r="AK8" s="83">
        <v>0</v>
      </c>
      <c r="AL8" s="83">
        <v>0</v>
      </c>
      <c r="AM8" s="83">
        <v>0</v>
      </c>
      <c r="AN8" s="31">
        <f t="shared" si="1"/>
        <v>0</v>
      </c>
      <c r="AO8" s="83">
        <v>0</v>
      </c>
      <c r="AP8" s="83">
        <v>0</v>
      </c>
      <c r="AQ8" s="83">
        <v>0</v>
      </c>
      <c r="AR8" s="83">
        <v>0</v>
      </c>
      <c r="AS8" s="83">
        <v>0</v>
      </c>
      <c r="AT8" s="83">
        <v>0</v>
      </c>
      <c r="AU8" s="83">
        <v>0</v>
      </c>
      <c r="BA8" s="31">
        <f t="shared" si="2"/>
        <v>0</v>
      </c>
    </row>
    <row r="9" spans="1:54" x14ac:dyDescent="0.2">
      <c r="B9" s="3" t="s">
        <v>1792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83">
        <v>0</v>
      </c>
      <c r="O9" s="83">
        <v>0</v>
      </c>
      <c r="P9" s="83">
        <v>0</v>
      </c>
      <c r="Q9" s="83">
        <v>0</v>
      </c>
      <c r="R9" s="83">
        <v>0</v>
      </c>
      <c r="S9" s="83">
        <v>0</v>
      </c>
      <c r="T9" s="83">
        <v>0</v>
      </c>
      <c r="U9" s="83">
        <v>0</v>
      </c>
      <c r="V9" s="83">
        <v>0</v>
      </c>
      <c r="W9" s="83">
        <v>0</v>
      </c>
      <c r="X9" s="83">
        <v>0</v>
      </c>
      <c r="Y9" s="83">
        <v>0</v>
      </c>
      <c r="Z9" s="83">
        <v>0</v>
      </c>
      <c r="AA9" s="31">
        <f t="shared" si="0"/>
        <v>0</v>
      </c>
      <c r="AB9" s="83">
        <v>0</v>
      </c>
      <c r="AC9" s="83">
        <v>0</v>
      </c>
      <c r="AD9" s="83">
        <v>0</v>
      </c>
      <c r="AE9" s="83">
        <v>0</v>
      </c>
      <c r="AF9" s="83">
        <v>0</v>
      </c>
      <c r="AG9" s="83">
        <v>0</v>
      </c>
      <c r="AH9" s="83">
        <v>0</v>
      </c>
      <c r="AI9" s="83">
        <v>0</v>
      </c>
      <c r="AJ9" s="83">
        <v>0</v>
      </c>
      <c r="AK9" s="83">
        <v>0</v>
      </c>
      <c r="AL9" s="83">
        <v>0</v>
      </c>
      <c r="AM9" s="83">
        <v>0</v>
      </c>
      <c r="AN9" s="31">
        <f t="shared" si="1"/>
        <v>0</v>
      </c>
      <c r="AO9" s="83">
        <v>0</v>
      </c>
      <c r="AP9" s="83">
        <v>0</v>
      </c>
      <c r="AQ9" s="83">
        <v>0</v>
      </c>
      <c r="AR9" s="83">
        <v>0</v>
      </c>
      <c r="AS9" s="83">
        <v>0</v>
      </c>
      <c r="AT9" s="83">
        <v>0</v>
      </c>
      <c r="AU9" s="83">
        <v>0</v>
      </c>
      <c r="BA9" s="31">
        <f t="shared" si="2"/>
        <v>0</v>
      </c>
    </row>
    <row r="10" spans="1:54" x14ac:dyDescent="0.2">
      <c r="B10" s="3" t="s">
        <v>11</v>
      </c>
      <c r="C10" s="20">
        <v>-0.28000000000000003</v>
      </c>
      <c r="D10" s="20">
        <v>-1.36</v>
      </c>
      <c r="E10" s="20">
        <v>0.96</v>
      </c>
      <c r="F10" s="24">
        <v>1.9</v>
      </c>
      <c r="G10" s="24">
        <v>-1.48</v>
      </c>
      <c r="H10" s="20">
        <v>-0.27</v>
      </c>
      <c r="I10" s="20">
        <v>-0.24</v>
      </c>
      <c r="J10" s="20">
        <v>-0.72</v>
      </c>
      <c r="K10" s="20">
        <v>-1.27</v>
      </c>
      <c r="L10" s="83">
        <v>-1.65</v>
      </c>
      <c r="M10" s="83">
        <v>1.82</v>
      </c>
      <c r="N10" s="83">
        <v>0.2</v>
      </c>
      <c r="O10" s="83">
        <v>-3.95</v>
      </c>
      <c r="P10" s="83">
        <v>0.39</v>
      </c>
      <c r="Q10" s="83">
        <v>-0.68</v>
      </c>
      <c r="R10" s="83">
        <v>-1.66</v>
      </c>
      <c r="S10" s="83">
        <v>0.1</v>
      </c>
      <c r="T10" s="83">
        <v>-0.53</v>
      </c>
      <c r="U10" s="83">
        <v>0.39</v>
      </c>
      <c r="V10" s="83">
        <v>3.45</v>
      </c>
      <c r="W10" s="83">
        <v>1.46</v>
      </c>
      <c r="X10" s="83">
        <v>-2.5</v>
      </c>
      <c r="Y10" s="83">
        <v>-0.62</v>
      </c>
      <c r="Z10" s="83">
        <v>-1.24</v>
      </c>
      <c r="AA10" s="31">
        <f t="shared" si="0"/>
        <v>-5.3900000000000015</v>
      </c>
      <c r="AB10" s="83">
        <v>-0.61</v>
      </c>
      <c r="AC10" s="83">
        <v>-0.99</v>
      </c>
      <c r="AD10" s="83">
        <v>0.05</v>
      </c>
      <c r="AE10" s="83">
        <v>-0.44</v>
      </c>
      <c r="AF10" s="83">
        <v>1.46</v>
      </c>
      <c r="AG10" s="83">
        <v>0.26</v>
      </c>
      <c r="AH10" s="83">
        <v>-0.89</v>
      </c>
      <c r="AI10" s="83">
        <v>0</v>
      </c>
      <c r="AJ10" s="83">
        <v>-0.86</v>
      </c>
      <c r="AK10" s="83">
        <v>0.22</v>
      </c>
      <c r="AL10" s="83">
        <v>-0.13</v>
      </c>
      <c r="AM10" s="83">
        <v>-0.2</v>
      </c>
      <c r="AN10" s="31">
        <f t="shared" si="1"/>
        <v>-7.5200000000000031</v>
      </c>
      <c r="AO10" s="83">
        <v>-0.28000000000000003</v>
      </c>
      <c r="AP10" s="83">
        <v>0.05</v>
      </c>
      <c r="AQ10" s="83">
        <v>-0.81</v>
      </c>
      <c r="AR10" s="83">
        <v>-1.34</v>
      </c>
      <c r="AS10" s="83">
        <v>-1.68</v>
      </c>
      <c r="AT10" s="83">
        <v>-7.0000000000000007E-2</v>
      </c>
      <c r="AU10" s="83">
        <v>-0.55000000000000004</v>
      </c>
      <c r="BA10" s="31">
        <f t="shared" si="2"/>
        <v>-12.200000000000005</v>
      </c>
    </row>
    <row r="11" spans="1:54" s="9" customFormat="1" ht="12.75" x14ac:dyDescent="0.2">
      <c r="A11" s="115"/>
      <c r="B11" s="13" t="s">
        <v>1606</v>
      </c>
      <c r="C11" s="41">
        <f t="shared" ref="C11:AK11" si="3">SUM(C3:C10)</f>
        <v>5967.739999999998</v>
      </c>
      <c r="D11" s="41">
        <f t="shared" si="3"/>
        <v>-1480.33</v>
      </c>
      <c r="E11" s="41">
        <f t="shared" si="3"/>
        <v>-3408.11</v>
      </c>
      <c r="F11" s="41">
        <f t="shared" si="3"/>
        <v>10.080000000000037</v>
      </c>
      <c r="G11" s="41">
        <f t="shared" si="3"/>
        <v>3981.44</v>
      </c>
      <c r="H11" s="41">
        <f t="shared" si="3"/>
        <v>-3991.1899999999996</v>
      </c>
      <c r="I11" s="41">
        <f t="shared" si="3"/>
        <v>5690.8200000000006</v>
      </c>
      <c r="J11" s="41">
        <f t="shared" si="3"/>
        <v>6735.5300000000007</v>
      </c>
      <c r="K11" s="41">
        <f t="shared" si="3"/>
        <v>-12430.800000000001</v>
      </c>
      <c r="L11" s="84">
        <f t="shared" si="3"/>
        <v>4248.6399999999994</v>
      </c>
      <c r="M11" s="84">
        <f t="shared" si="3"/>
        <v>-1665.47</v>
      </c>
      <c r="N11" s="84">
        <f t="shared" si="3"/>
        <v>-2570.7700000000004</v>
      </c>
      <c r="O11" s="84">
        <f t="shared" si="3"/>
        <v>2109.6599999999994</v>
      </c>
      <c r="P11" s="84">
        <f t="shared" si="3"/>
        <v>269.21000000000004</v>
      </c>
      <c r="Q11" s="84">
        <f t="shared" si="3"/>
        <v>-1329.04</v>
      </c>
      <c r="R11" s="84">
        <f t="shared" si="3"/>
        <v>74.61</v>
      </c>
      <c r="S11" s="84">
        <f t="shared" si="3"/>
        <v>-55.33</v>
      </c>
      <c r="T11" s="84">
        <f t="shared" si="3"/>
        <v>-0.57000000000000117</v>
      </c>
      <c r="U11" s="84">
        <f t="shared" si="3"/>
        <v>4292.22</v>
      </c>
      <c r="V11" s="84">
        <f t="shared" si="3"/>
        <v>-4280.4800000000005</v>
      </c>
      <c r="W11" s="84">
        <f t="shared" si="3"/>
        <v>8910.409999999998</v>
      </c>
      <c r="X11" s="84">
        <f t="shared" si="3"/>
        <v>-5758.46</v>
      </c>
      <c r="Y11" s="84">
        <f t="shared" si="3"/>
        <v>-3769.0299999999997</v>
      </c>
      <c r="Z11" s="84">
        <f t="shared" si="3"/>
        <v>7483.27</v>
      </c>
      <c r="AA11" s="84">
        <f t="shared" si="3"/>
        <v>7946.4700000000021</v>
      </c>
      <c r="AB11" s="84">
        <f t="shared" si="3"/>
        <v>-7479.3899999999994</v>
      </c>
      <c r="AC11" s="84">
        <f t="shared" si="3"/>
        <v>-10.370000000000001</v>
      </c>
      <c r="AD11" s="84">
        <f t="shared" si="3"/>
        <v>8919.5199999999986</v>
      </c>
      <c r="AE11" s="84">
        <f t="shared" si="3"/>
        <v>-5598.04</v>
      </c>
      <c r="AF11" s="84">
        <f t="shared" si="3"/>
        <v>-3315.64</v>
      </c>
      <c r="AG11" s="84">
        <f t="shared" si="3"/>
        <v>7959.130000000001</v>
      </c>
      <c r="AH11" s="84">
        <f t="shared" si="3"/>
        <v>-4536.62</v>
      </c>
      <c r="AI11" s="84">
        <f t="shared" si="3"/>
        <v>-3427.59</v>
      </c>
      <c r="AJ11" s="84">
        <f t="shared" si="3"/>
        <v>5210.8100000000004</v>
      </c>
      <c r="AK11" s="84">
        <f t="shared" si="3"/>
        <v>-5212.34</v>
      </c>
      <c r="AL11" s="84">
        <f t="shared" ref="AL11:AM11" si="4">SUM(AL3:AL10)</f>
        <v>-0.20000000000000029</v>
      </c>
      <c r="AM11" s="84">
        <f t="shared" si="4"/>
        <v>3786.0099999999998</v>
      </c>
      <c r="AN11" s="127">
        <f>SUM(AN3:AN10)</f>
        <v>4241.7500000000091</v>
      </c>
      <c r="AO11" s="84">
        <f t="shared" ref="AO11:AZ11" si="5">SUM(AO3:AO10)</f>
        <v>-4116.4000000000005</v>
      </c>
      <c r="AP11" s="84">
        <f t="shared" si="5"/>
        <v>1.0000000000000004</v>
      </c>
      <c r="AQ11" s="84">
        <f t="shared" si="5"/>
        <v>7103.61</v>
      </c>
      <c r="AR11" s="84">
        <f t="shared" si="5"/>
        <v>-6973.88</v>
      </c>
      <c r="AS11" s="84">
        <f t="shared" si="5"/>
        <v>-136.28</v>
      </c>
      <c r="AT11" s="84">
        <f t="shared" si="5"/>
        <v>5708.8400000000011</v>
      </c>
      <c r="AU11" s="84">
        <f t="shared" si="5"/>
        <v>-5712.24</v>
      </c>
      <c r="AV11" s="84">
        <f t="shared" si="5"/>
        <v>0</v>
      </c>
      <c r="AW11" s="84">
        <f t="shared" si="5"/>
        <v>0</v>
      </c>
      <c r="AX11" s="84">
        <f t="shared" si="5"/>
        <v>0</v>
      </c>
      <c r="AY11" s="84">
        <f t="shared" si="5"/>
        <v>0</v>
      </c>
      <c r="AZ11" s="84">
        <f t="shared" si="5"/>
        <v>0</v>
      </c>
      <c r="BA11" s="127">
        <f>SUM(BA3:BA10)</f>
        <v>116.4000000000067</v>
      </c>
      <c r="BB11" s="9">
        <v>0.1198</v>
      </c>
    </row>
    <row r="12" spans="1:54" x14ac:dyDescent="0.2">
      <c r="B12" s="3" t="s">
        <v>14</v>
      </c>
      <c r="C12" s="20">
        <v>25718432.940000001</v>
      </c>
      <c r="D12" s="20">
        <v>-4406522.67</v>
      </c>
      <c r="E12" s="20">
        <v>6603173.96</v>
      </c>
      <c r="F12" s="24">
        <v>2843745.7</v>
      </c>
      <c r="G12" s="24">
        <v>-8480493.0600000005</v>
      </c>
      <c r="H12" s="20">
        <v>-1381687.71</v>
      </c>
      <c r="I12" s="20">
        <v>3162147.63</v>
      </c>
      <c r="J12" s="20">
        <v>-1166388.95</v>
      </c>
      <c r="K12" s="20">
        <v>845768</v>
      </c>
      <c r="L12" s="83">
        <v>5436374.8799999999</v>
      </c>
      <c r="M12" s="83">
        <v>-1508815.28</v>
      </c>
      <c r="N12" s="83">
        <v>2178979.94</v>
      </c>
      <c r="O12" s="83">
        <v>28675879.399999999</v>
      </c>
      <c r="P12" s="83">
        <v>47431.27</v>
      </c>
      <c r="Q12" s="83">
        <v>-236058.01</v>
      </c>
      <c r="R12" s="83">
        <v>387985.9</v>
      </c>
      <c r="S12" s="83">
        <v>2874355.96</v>
      </c>
      <c r="T12" s="83">
        <v>-1175022.8899999999</v>
      </c>
      <c r="U12" s="83">
        <v>393159.6</v>
      </c>
      <c r="V12" s="83">
        <v>-1848884.93</v>
      </c>
      <c r="W12" s="83">
        <v>5123047.41</v>
      </c>
      <c r="X12" s="83">
        <v>1930910.42</v>
      </c>
      <c r="Y12" s="83">
        <v>823263.75</v>
      </c>
      <c r="Z12" s="83">
        <v>2288631.44</v>
      </c>
      <c r="AA12" s="31">
        <f>SUM(O12:Z12)</f>
        <v>39284699.319999993</v>
      </c>
      <c r="AB12" s="83">
        <v>-2791939.43</v>
      </c>
      <c r="AC12" s="83">
        <v>-892841.35</v>
      </c>
      <c r="AD12" s="83">
        <v>-1267823.21</v>
      </c>
      <c r="AE12" s="83">
        <v>-2895494.03</v>
      </c>
      <c r="AF12" s="83">
        <v>-2467648.1</v>
      </c>
      <c r="AG12" s="83">
        <v>-1163883.99</v>
      </c>
      <c r="AH12" s="83">
        <v>-1721004.31</v>
      </c>
      <c r="AI12" s="83">
        <v>-1773439.91</v>
      </c>
      <c r="AJ12" s="83">
        <v>-1610239.94</v>
      </c>
      <c r="AK12" s="83">
        <v>-158228.31</v>
      </c>
      <c r="AL12" s="83">
        <v>809476.24</v>
      </c>
      <c r="AM12" s="83">
        <v>677619.57</v>
      </c>
      <c r="AN12" s="31">
        <f>SUM(AA12:AM12)</f>
        <v>24029252.54999999</v>
      </c>
      <c r="AO12" s="83">
        <v>-726560.79</v>
      </c>
      <c r="AP12" s="83">
        <v>-16029.1</v>
      </c>
      <c r="AQ12" s="83">
        <v>100111.83</v>
      </c>
      <c r="AR12" s="83">
        <v>488113.15</v>
      </c>
      <c r="AS12" s="83">
        <v>-762219.44</v>
      </c>
      <c r="AT12" s="83">
        <v>-828114.47</v>
      </c>
      <c r="AU12" s="83">
        <v>29507.29</v>
      </c>
      <c r="BA12" s="31">
        <f t="shared" ref="BA12:BA15" si="6">SUM(AN12:AZ12)</f>
        <v>22314061.019999985</v>
      </c>
    </row>
    <row r="13" spans="1:54" x14ac:dyDescent="0.2">
      <c r="B13" s="22" t="s">
        <v>15</v>
      </c>
      <c r="C13" s="20">
        <v>812336.36</v>
      </c>
      <c r="D13" s="20">
        <v>-899203.73</v>
      </c>
      <c r="E13" s="20">
        <v>392055.76</v>
      </c>
      <c r="F13" s="24">
        <v>674266.6</v>
      </c>
      <c r="G13" s="24">
        <v>-880208.33</v>
      </c>
      <c r="H13" s="20">
        <v>-200742.96</v>
      </c>
      <c r="I13" s="20">
        <v>-56421.16</v>
      </c>
      <c r="J13" s="20">
        <v>-5880.64</v>
      </c>
      <c r="K13" s="20">
        <v>-188923.13</v>
      </c>
      <c r="L13" s="83">
        <v>-308055.51</v>
      </c>
      <c r="M13" s="83">
        <v>930973.26</v>
      </c>
      <c r="N13" s="83">
        <v>41936.120000000003</v>
      </c>
      <c r="O13" s="83">
        <v>-295378.51</v>
      </c>
      <c r="P13" s="83">
        <v>105762.67</v>
      </c>
      <c r="Q13" s="83">
        <v>-131318.76</v>
      </c>
      <c r="R13" s="83">
        <v>-438192.12</v>
      </c>
      <c r="S13" s="83">
        <v>120770.91</v>
      </c>
      <c r="T13" s="83">
        <v>112572.79</v>
      </c>
      <c r="U13" s="83">
        <v>423696.98</v>
      </c>
      <c r="V13" s="83">
        <v>1397238.04</v>
      </c>
      <c r="W13" s="83">
        <v>159581.94</v>
      </c>
      <c r="X13" s="83">
        <v>-1419660.14</v>
      </c>
      <c r="Y13" s="83">
        <v>-612847.39</v>
      </c>
      <c r="Z13" s="83">
        <v>-462421.32</v>
      </c>
      <c r="AA13" s="31">
        <f>SUM(O13:Z13)</f>
        <v>-1040194.9099999999</v>
      </c>
      <c r="AB13" s="83">
        <v>85993.7</v>
      </c>
      <c r="AC13" s="83">
        <v>-89155.55</v>
      </c>
      <c r="AD13" s="83">
        <v>304860.61</v>
      </c>
      <c r="AE13" s="83">
        <v>146093.09</v>
      </c>
      <c r="AF13" s="83">
        <v>748530.86</v>
      </c>
      <c r="AG13" s="83">
        <v>120563.81</v>
      </c>
      <c r="AH13" s="83">
        <v>-326403.53999999998</v>
      </c>
      <c r="AI13" s="83">
        <v>-59000.35</v>
      </c>
      <c r="AJ13" s="83">
        <v>-259724.59</v>
      </c>
      <c r="AK13" s="83">
        <v>198333.49</v>
      </c>
      <c r="AL13" s="83">
        <v>31929.64</v>
      </c>
      <c r="AM13" s="83">
        <v>29030.34</v>
      </c>
      <c r="AN13" s="31">
        <f>SUM(AA13:AM13)</f>
        <v>-109143.40000000005</v>
      </c>
      <c r="AO13" s="83">
        <v>-3592.88</v>
      </c>
      <c r="AP13" s="83">
        <v>47055.07</v>
      </c>
      <c r="AQ13" s="83">
        <v>-197345.38</v>
      </c>
      <c r="AR13" s="83">
        <v>-367331.07</v>
      </c>
      <c r="AS13" s="83">
        <v>-357569.59</v>
      </c>
      <c r="AT13" s="83">
        <v>327631.35999999999</v>
      </c>
      <c r="AU13" s="83">
        <v>141476.46</v>
      </c>
      <c r="BA13" s="31">
        <f t="shared" si="6"/>
        <v>-518819.43000000028</v>
      </c>
    </row>
    <row r="14" spans="1:54" x14ac:dyDescent="0.2">
      <c r="B14" s="22" t="s">
        <v>16</v>
      </c>
      <c r="C14" s="20">
        <v>1475835.15</v>
      </c>
      <c r="D14" s="20">
        <v>0</v>
      </c>
      <c r="E14" s="20">
        <v>0</v>
      </c>
      <c r="F14" s="24">
        <v>0</v>
      </c>
      <c r="G14" s="24">
        <v>0</v>
      </c>
      <c r="H14" s="20">
        <v>0</v>
      </c>
      <c r="I14" s="20">
        <v>-1475835.15</v>
      </c>
      <c r="J14" s="20">
        <v>0</v>
      </c>
      <c r="K14" s="20">
        <v>0</v>
      </c>
      <c r="L14" s="83">
        <v>0</v>
      </c>
      <c r="M14" s="83">
        <v>0</v>
      </c>
      <c r="N14" s="83">
        <v>0</v>
      </c>
      <c r="O14" s="83">
        <v>0</v>
      </c>
      <c r="P14" s="83">
        <v>0</v>
      </c>
      <c r="Q14" s="83">
        <v>0</v>
      </c>
      <c r="R14" s="83">
        <v>0</v>
      </c>
      <c r="S14" s="83">
        <v>0</v>
      </c>
      <c r="T14" s="83">
        <v>0</v>
      </c>
      <c r="U14" s="83">
        <v>0</v>
      </c>
      <c r="V14" s="83">
        <v>0</v>
      </c>
      <c r="W14" s="83">
        <v>0</v>
      </c>
      <c r="X14" s="83">
        <v>0</v>
      </c>
      <c r="Y14" s="83">
        <v>0</v>
      </c>
      <c r="Z14" s="83">
        <v>0</v>
      </c>
      <c r="AA14" s="31">
        <f>SUM(O14:Z14)</f>
        <v>0</v>
      </c>
      <c r="AB14" s="83">
        <v>0</v>
      </c>
      <c r="AC14" s="83">
        <v>0</v>
      </c>
      <c r="AD14" s="83">
        <v>96.86</v>
      </c>
      <c r="AE14" s="83">
        <v>237.92</v>
      </c>
      <c r="AF14" s="83">
        <v>0</v>
      </c>
      <c r="AG14" s="83">
        <v>853.63</v>
      </c>
      <c r="AH14" s="83">
        <v>-1188.4100000000001</v>
      </c>
      <c r="AI14" s="83">
        <v>0</v>
      </c>
      <c r="AJ14" s="83">
        <v>0</v>
      </c>
      <c r="AK14" s="83">
        <v>0</v>
      </c>
      <c r="AL14" s="83">
        <v>3770.84</v>
      </c>
      <c r="AM14" s="83">
        <v>0</v>
      </c>
      <c r="AN14" s="31">
        <f>SUM(AA14:AM14)</f>
        <v>3770.84</v>
      </c>
      <c r="AO14" s="83">
        <v>-3629.09</v>
      </c>
      <c r="AP14" s="83">
        <v>0</v>
      </c>
      <c r="AQ14" s="83">
        <v>-141.75</v>
      </c>
      <c r="AR14" s="83">
        <v>0</v>
      </c>
      <c r="AS14" s="83">
        <v>0</v>
      </c>
      <c r="AT14" s="83">
        <v>0</v>
      </c>
      <c r="AU14" s="83">
        <v>73.099999999999994</v>
      </c>
      <c r="BA14" s="31">
        <f t="shared" si="6"/>
        <v>73.099999999999994</v>
      </c>
    </row>
    <row r="15" spans="1:54" x14ac:dyDescent="0.2">
      <c r="B15" s="22" t="s">
        <v>17</v>
      </c>
      <c r="C15" s="20">
        <v>-155116.62</v>
      </c>
      <c r="D15" s="20">
        <v>-25520.23</v>
      </c>
      <c r="E15" s="20">
        <v>18200.650000000001</v>
      </c>
      <c r="F15" s="24">
        <v>36005.14</v>
      </c>
      <c r="G15" s="24">
        <v>-27894.12</v>
      </c>
      <c r="H15" s="20">
        <v>-4945.8999999999996</v>
      </c>
      <c r="I15" s="20">
        <v>159271.07999999999</v>
      </c>
      <c r="J15" s="20">
        <v>0</v>
      </c>
      <c r="K15" s="20">
        <v>0</v>
      </c>
      <c r="L15" s="83">
        <v>0</v>
      </c>
      <c r="M15" s="83">
        <v>0</v>
      </c>
      <c r="N15" s="83">
        <v>0</v>
      </c>
      <c r="O15" s="83">
        <v>0</v>
      </c>
      <c r="P15" s="83">
        <v>0</v>
      </c>
      <c r="Q15" s="83">
        <v>0</v>
      </c>
      <c r="R15" s="83">
        <v>0</v>
      </c>
      <c r="S15" s="83">
        <v>0</v>
      </c>
      <c r="T15" s="83">
        <v>0</v>
      </c>
      <c r="U15" s="83">
        <v>0</v>
      </c>
      <c r="V15" s="83">
        <v>0</v>
      </c>
      <c r="W15" s="83">
        <v>0</v>
      </c>
      <c r="X15" s="83">
        <v>0</v>
      </c>
      <c r="Y15" s="83">
        <v>0</v>
      </c>
      <c r="Z15" s="83">
        <v>0</v>
      </c>
      <c r="AA15" s="31">
        <f>SUM(O15:Z15)</f>
        <v>0</v>
      </c>
      <c r="AB15" s="83">
        <v>0</v>
      </c>
      <c r="AC15" s="83">
        <v>0</v>
      </c>
      <c r="AD15" s="83">
        <v>-0.67</v>
      </c>
      <c r="AE15" s="83">
        <v>1.74</v>
      </c>
      <c r="AF15" s="83">
        <v>7.79</v>
      </c>
      <c r="AG15" s="83">
        <v>3.69</v>
      </c>
      <c r="AH15" s="83">
        <v>-12.55</v>
      </c>
      <c r="AI15" s="83">
        <v>0</v>
      </c>
      <c r="AJ15" s="83">
        <v>0</v>
      </c>
      <c r="AK15" s="83">
        <v>0</v>
      </c>
      <c r="AL15" s="83">
        <v>16.27</v>
      </c>
      <c r="AM15" s="83">
        <v>-13.25</v>
      </c>
      <c r="AN15" s="31">
        <f>SUM(AA15:AM15)</f>
        <v>3.019999999999996</v>
      </c>
      <c r="AO15" s="83">
        <v>-3.63</v>
      </c>
      <c r="AP15" s="83">
        <v>0.14000000000000001</v>
      </c>
      <c r="AQ15" s="83">
        <v>0.47</v>
      </c>
      <c r="AR15" s="83">
        <v>0</v>
      </c>
      <c r="AS15" s="83">
        <v>0</v>
      </c>
      <c r="AT15" s="83">
        <v>0</v>
      </c>
      <c r="AU15" s="83">
        <v>0.17</v>
      </c>
      <c r="BA15" s="31">
        <f t="shared" si="6"/>
        <v>0.16999999999999613</v>
      </c>
    </row>
    <row r="16" spans="1:54" s="34" customFormat="1" ht="12" x14ac:dyDescent="0.2">
      <c r="A16" s="116"/>
      <c r="B16" s="35" t="s">
        <v>1580</v>
      </c>
      <c r="C16" s="36">
        <f t="shared" ref="C16:AU16" si="7">SUM(C12:C15)</f>
        <v>27851487.829999998</v>
      </c>
      <c r="D16" s="36">
        <f t="shared" si="7"/>
        <v>-5331246.6300000008</v>
      </c>
      <c r="E16" s="36">
        <f t="shared" si="7"/>
        <v>7013430.3700000001</v>
      </c>
      <c r="F16" s="36">
        <f t="shared" si="7"/>
        <v>3554017.4400000004</v>
      </c>
      <c r="G16" s="36">
        <f t="shared" si="7"/>
        <v>-9388595.5099999998</v>
      </c>
      <c r="H16" s="36">
        <f t="shared" si="7"/>
        <v>-1587376.5699999998</v>
      </c>
      <c r="I16" s="36">
        <f t="shared" si="7"/>
        <v>1789162.4</v>
      </c>
      <c r="J16" s="36">
        <f t="shared" si="7"/>
        <v>-1172269.5899999999</v>
      </c>
      <c r="K16" s="36">
        <f t="shared" si="7"/>
        <v>656844.87</v>
      </c>
      <c r="L16" s="85">
        <f t="shared" si="7"/>
        <v>5128319.37</v>
      </c>
      <c r="M16" s="85">
        <f t="shared" si="7"/>
        <v>-577842.02</v>
      </c>
      <c r="N16" s="85">
        <f t="shared" si="7"/>
        <v>2220916.06</v>
      </c>
      <c r="O16" s="85">
        <f t="shared" si="7"/>
        <v>28380500.889999997</v>
      </c>
      <c r="P16" s="85">
        <f t="shared" si="7"/>
        <v>153193.94</v>
      </c>
      <c r="Q16" s="85">
        <f t="shared" si="7"/>
        <v>-367376.77</v>
      </c>
      <c r="R16" s="85">
        <f t="shared" si="7"/>
        <v>-50206.219999999972</v>
      </c>
      <c r="S16" s="85">
        <f t="shared" si="7"/>
        <v>2995126.87</v>
      </c>
      <c r="T16" s="85">
        <f t="shared" si="7"/>
        <v>-1062450.0999999999</v>
      </c>
      <c r="U16" s="85">
        <f t="shared" si="7"/>
        <v>816856.58</v>
      </c>
      <c r="V16" s="85">
        <f t="shared" si="7"/>
        <v>-451646.8899999999</v>
      </c>
      <c r="W16" s="85">
        <f t="shared" si="7"/>
        <v>5282629.3500000006</v>
      </c>
      <c r="X16" s="85">
        <f t="shared" si="7"/>
        <v>511250.28</v>
      </c>
      <c r="Y16" s="85">
        <f t="shared" si="7"/>
        <v>210416.36</v>
      </c>
      <c r="Z16" s="85">
        <f t="shared" si="7"/>
        <v>1826210.1199999999</v>
      </c>
      <c r="AA16" s="85">
        <f t="shared" si="7"/>
        <v>38244504.409999996</v>
      </c>
      <c r="AB16" s="85">
        <f t="shared" si="7"/>
        <v>-2705945.73</v>
      </c>
      <c r="AC16" s="85">
        <f t="shared" si="7"/>
        <v>-981996.9</v>
      </c>
      <c r="AD16" s="85">
        <f t="shared" si="7"/>
        <v>-962866.41</v>
      </c>
      <c r="AE16" s="85">
        <f t="shared" si="7"/>
        <v>-2749161.28</v>
      </c>
      <c r="AF16" s="85">
        <f t="shared" si="7"/>
        <v>-1719109.4500000002</v>
      </c>
      <c r="AG16" s="85">
        <f t="shared" si="7"/>
        <v>-1042462.86</v>
      </c>
      <c r="AH16" s="85">
        <f t="shared" si="7"/>
        <v>-2048608.81</v>
      </c>
      <c r="AI16" s="85">
        <f t="shared" si="7"/>
        <v>-1832440.26</v>
      </c>
      <c r="AJ16" s="85">
        <f t="shared" si="7"/>
        <v>-1869964.53</v>
      </c>
      <c r="AK16" s="85">
        <f t="shared" si="7"/>
        <v>40105.179999999993</v>
      </c>
      <c r="AL16" s="85">
        <f t="shared" si="7"/>
        <v>845192.99</v>
      </c>
      <c r="AM16" s="85">
        <f t="shared" si="7"/>
        <v>706636.65999999992</v>
      </c>
      <c r="AN16" s="89">
        <f t="shared" si="7"/>
        <v>23923883.00999999</v>
      </c>
      <c r="AO16" s="85">
        <f t="shared" si="7"/>
        <v>-733786.39</v>
      </c>
      <c r="AP16" s="85">
        <f t="shared" si="7"/>
        <v>31026.11</v>
      </c>
      <c r="AQ16" s="85">
        <f t="shared" si="7"/>
        <v>-97374.83</v>
      </c>
      <c r="AR16" s="85">
        <f t="shared" si="7"/>
        <v>120782.08000000002</v>
      </c>
      <c r="AS16" s="85">
        <f t="shared" si="7"/>
        <v>-1119789.03</v>
      </c>
      <c r="AT16" s="85">
        <f t="shared" si="7"/>
        <v>-500483.11</v>
      </c>
      <c r="AU16" s="85">
        <f t="shared" si="7"/>
        <v>171057.02000000002</v>
      </c>
      <c r="AV16" s="85">
        <f t="shared" ref="AV16" si="8">SUM(AV12:AV15)</f>
        <v>0</v>
      </c>
      <c r="AW16" s="85">
        <f t="shared" ref="AW16" si="9">SUM(AW12:AW15)</f>
        <v>0</v>
      </c>
      <c r="AX16" s="85">
        <f t="shared" ref="AX16" si="10">SUM(AX12:AX15)</f>
        <v>0</v>
      </c>
      <c r="AY16" s="85">
        <f t="shared" ref="AY16" si="11">SUM(AY12:AY15)</f>
        <v>0</v>
      </c>
      <c r="AZ16" s="85">
        <f t="shared" ref="AZ16" si="12">SUM(AZ12:AZ15)</f>
        <v>0</v>
      </c>
      <c r="BA16" s="89">
        <f t="shared" ref="BA16" si="13">SUM(BA12:BA15)</f>
        <v>21795314.859999988</v>
      </c>
    </row>
    <row r="17" spans="1:55" x14ac:dyDescent="0.2">
      <c r="B17" s="22" t="s">
        <v>19</v>
      </c>
      <c r="C17" s="20">
        <v>-60137.97</v>
      </c>
      <c r="D17" s="20">
        <v>9255.4699999999993</v>
      </c>
      <c r="E17" s="20">
        <v>-14974.92</v>
      </c>
      <c r="F17" s="24">
        <v>-6532.88</v>
      </c>
      <c r="G17" s="24">
        <v>20148.11</v>
      </c>
      <c r="H17" s="20">
        <v>2838.51</v>
      </c>
      <c r="I17" s="20">
        <v>-7508.4</v>
      </c>
      <c r="J17" s="20">
        <v>229</v>
      </c>
      <c r="K17" s="20">
        <v>1593.85</v>
      </c>
      <c r="L17" s="83">
        <v>-14495.73</v>
      </c>
      <c r="M17" s="83">
        <v>6283.62</v>
      </c>
      <c r="N17" s="83">
        <v>-13208.66</v>
      </c>
      <c r="O17" s="83">
        <v>-90737.600000000006</v>
      </c>
      <c r="P17" s="83">
        <v>-2318.2199999999998</v>
      </c>
      <c r="Q17" s="83">
        <v>15139.65</v>
      </c>
      <c r="R17" s="83">
        <v>-7994.45</v>
      </c>
      <c r="S17" s="83">
        <v>-127770.91</v>
      </c>
      <c r="T17" s="83">
        <v>106472.25</v>
      </c>
      <c r="U17" s="83">
        <v>-9877.18</v>
      </c>
      <c r="V17" s="83">
        <v>-141835.4</v>
      </c>
      <c r="W17" s="83">
        <v>91636.11</v>
      </c>
      <c r="X17" s="83">
        <v>-117199.3</v>
      </c>
      <c r="Y17" s="83">
        <v>58707.76</v>
      </c>
      <c r="Z17" s="83">
        <v>-76282.97</v>
      </c>
      <c r="AA17" s="31">
        <f>SUM(O17:Z17)</f>
        <v>-302060.26</v>
      </c>
      <c r="AB17" s="83">
        <v>4262.09</v>
      </c>
      <c r="AC17" s="83">
        <v>62045.24</v>
      </c>
      <c r="AD17" s="83">
        <v>-193788.01</v>
      </c>
      <c r="AE17" s="83">
        <v>37418.129999999997</v>
      </c>
      <c r="AF17" s="83">
        <v>-98025.08</v>
      </c>
      <c r="AG17" s="83">
        <v>132000.25</v>
      </c>
      <c r="AH17" s="83">
        <v>-43120.51</v>
      </c>
      <c r="AI17" s="83">
        <v>123142.18</v>
      </c>
      <c r="AJ17" s="83">
        <v>67161.320000000007</v>
      </c>
      <c r="AK17" s="83">
        <v>17780.009999999998</v>
      </c>
      <c r="AL17" s="83">
        <v>33255.519999999997</v>
      </c>
      <c r="AM17" s="83">
        <v>-21031.39</v>
      </c>
      <c r="AN17" s="31">
        <f>SUM(AA17:AM17)</f>
        <v>-180960.51</v>
      </c>
      <c r="AO17" s="83">
        <v>-101041.17</v>
      </c>
      <c r="AP17" s="83">
        <v>134905.91</v>
      </c>
      <c r="AQ17" s="83">
        <v>24806.32</v>
      </c>
      <c r="AR17" s="83">
        <v>5054.5</v>
      </c>
      <c r="AS17" s="83">
        <v>-122260.41</v>
      </c>
      <c r="AT17" s="83">
        <v>83834.34</v>
      </c>
      <c r="AU17" s="83">
        <v>-55936.49</v>
      </c>
      <c r="BA17" s="31">
        <f>SUM(AN17:AZ17)</f>
        <v>-211597.50999999998</v>
      </c>
    </row>
    <row r="18" spans="1:55" s="34" customFormat="1" ht="12" x14ac:dyDescent="0.2">
      <c r="A18" s="116"/>
      <c r="B18" s="35" t="s">
        <v>1769</v>
      </c>
      <c r="C18" s="36">
        <f t="shared" ref="C18:AU18" si="14">SUM(C17)</f>
        <v>-60137.97</v>
      </c>
      <c r="D18" s="36">
        <f t="shared" si="14"/>
        <v>9255.4699999999993</v>
      </c>
      <c r="E18" s="36">
        <f t="shared" si="14"/>
        <v>-14974.92</v>
      </c>
      <c r="F18" s="36">
        <f t="shared" si="14"/>
        <v>-6532.88</v>
      </c>
      <c r="G18" s="36">
        <f t="shared" si="14"/>
        <v>20148.11</v>
      </c>
      <c r="H18" s="36">
        <f t="shared" si="14"/>
        <v>2838.51</v>
      </c>
      <c r="I18" s="36">
        <f t="shared" si="14"/>
        <v>-7508.4</v>
      </c>
      <c r="J18" s="36">
        <f t="shared" si="14"/>
        <v>229</v>
      </c>
      <c r="K18" s="36">
        <f t="shared" si="14"/>
        <v>1593.85</v>
      </c>
      <c r="L18" s="85">
        <f t="shared" si="14"/>
        <v>-14495.73</v>
      </c>
      <c r="M18" s="85">
        <f t="shared" si="14"/>
        <v>6283.62</v>
      </c>
      <c r="N18" s="85">
        <f t="shared" si="14"/>
        <v>-13208.66</v>
      </c>
      <c r="O18" s="85">
        <f t="shared" si="14"/>
        <v>-90737.600000000006</v>
      </c>
      <c r="P18" s="85">
        <f t="shared" si="14"/>
        <v>-2318.2199999999998</v>
      </c>
      <c r="Q18" s="85">
        <f t="shared" si="14"/>
        <v>15139.65</v>
      </c>
      <c r="R18" s="85">
        <f t="shared" si="14"/>
        <v>-7994.45</v>
      </c>
      <c r="S18" s="85">
        <f t="shared" si="14"/>
        <v>-127770.91</v>
      </c>
      <c r="T18" s="85">
        <f t="shared" si="14"/>
        <v>106472.25</v>
      </c>
      <c r="U18" s="85">
        <f t="shared" si="14"/>
        <v>-9877.18</v>
      </c>
      <c r="V18" s="85">
        <f t="shared" si="14"/>
        <v>-141835.4</v>
      </c>
      <c r="W18" s="85">
        <f t="shared" si="14"/>
        <v>91636.11</v>
      </c>
      <c r="X18" s="85">
        <f t="shared" si="14"/>
        <v>-117199.3</v>
      </c>
      <c r="Y18" s="85">
        <f t="shared" si="14"/>
        <v>58707.76</v>
      </c>
      <c r="Z18" s="85">
        <f t="shared" si="14"/>
        <v>-76282.97</v>
      </c>
      <c r="AA18" s="85">
        <f t="shared" si="14"/>
        <v>-302060.26</v>
      </c>
      <c r="AB18" s="85">
        <f t="shared" si="14"/>
        <v>4262.09</v>
      </c>
      <c r="AC18" s="85">
        <f t="shared" si="14"/>
        <v>62045.24</v>
      </c>
      <c r="AD18" s="85">
        <f t="shared" si="14"/>
        <v>-193788.01</v>
      </c>
      <c r="AE18" s="85">
        <f t="shared" si="14"/>
        <v>37418.129999999997</v>
      </c>
      <c r="AF18" s="85">
        <f t="shared" si="14"/>
        <v>-98025.08</v>
      </c>
      <c r="AG18" s="85">
        <f t="shared" si="14"/>
        <v>132000.25</v>
      </c>
      <c r="AH18" s="85">
        <f t="shared" si="14"/>
        <v>-43120.51</v>
      </c>
      <c r="AI18" s="85">
        <f t="shared" si="14"/>
        <v>123142.18</v>
      </c>
      <c r="AJ18" s="85">
        <f t="shared" si="14"/>
        <v>67161.320000000007</v>
      </c>
      <c r="AK18" s="85">
        <f t="shared" si="14"/>
        <v>17780.009999999998</v>
      </c>
      <c r="AL18" s="85">
        <f t="shared" si="14"/>
        <v>33255.519999999997</v>
      </c>
      <c r="AM18" s="85">
        <f t="shared" si="14"/>
        <v>-21031.39</v>
      </c>
      <c r="AN18" s="89">
        <f t="shared" si="14"/>
        <v>-180960.51</v>
      </c>
      <c r="AO18" s="85">
        <f t="shared" si="14"/>
        <v>-101041.17</v>
      </c>
      <c r="AP18" s="85">
        <f t="shared" si="14"/>
        <v>134905.91</v>
      </c>
      <c r="AQ18" s="85">
        <f t="shared" si="14"/>
        <v>24806.32</v>
      </c>
      <c r="AR18" s="85">
        <f t="shared" si="14"/>
        <v>5054.5</v>
      </c>
      <c r="AS18" s="85">
        <f t="shared" si="14"/>
        <v>-122260.41</v>
      </c>
      <c r="AT18" s="85">
        <f t="shared" si="14"/>
        <v>83834.34</v>
      </c>
      <c r="AU18" s="85">
        <f t="shared" si="14"/>
        <v>-55936.49</v>
      </c>
      <c r="AV18" s="85">
        <f t="shared" ref="AV18" si="15">SUM(AV17)</f>
        <v>0</v>
      </c>
      <c r="AW18" s="85">
        <f t="shared" ref="AW18" si="16">SUM(AW17)</f>
        <v>0</v>
      </c>
      <c r="AX18" s="85">
        <f t="shared" ref="AX18" si="17">SUM(AX17)</f>
        <v>0</v>
      </c>
      <c r="AY18" s="85">
        <f t="shared" ref="AY18" si="18">SUM(AY17)</f>
        <v>0</v>
      </c>
      <c r="AZ18" s="85">
        <f t="shared" ref="AZ18" si="19">SUM(AZ17)</f>
        <v>0</v>
      </c>
      <c r="BA18" s="89">
        <f t="shared" ref="BA18" si="20">SUM(BA17)</f>
        <v>-211597.50999999998</v>
      </c>
    </row>
    <row r="19" spans="1:55" s="9" customFormat="1" ht="12.75" x14ac:dyDescent="0.2">
      <c r="A19" s="115"/>
      <c r="B19" s="13" t="s">
        <v>1581</v>
      </c>
      <c r="C19" s="41">
        <f t="shared" ref="C19:AK19" si="21">C18+C16</f>
        <v>27791349.859999999</v>
      </c>
      <c r="D19" s="41">
        <f t="shared" si="21"/>
        <v>-5321991.1600000011</v>
      </c>
      <c r="E19" s="41">
        <f t="shared" si="21"/>
        <v>6998455.4500000002</v>
      </c>
      <c r="F19" s="41">
        <f t="shared" si="21"/>
        <v>3547484.5600000005</v>
      </c>
      <c r="G19" s="41">
        <f t="shared" si="21"/>
        <v>-9368447.4000000004</v>
      </c>
      <c r="H19" s="41">
        <f t="shared" si="21"/>
        <v>-1584538.0599999998</v>
      </c>
      <c r="I19" s="41">
        <f t="shared" si="21"/>
        <v>1781654</v>
      </c>
      <c r="J19" s="41">
        <f t="shared" si="21"/>
        <v>-1172040.5899999999</v>
      </c>
      <c r="K19" s="41">
        <f t="shared" si="21"/>
        <v>658438.72</v>
      </c>
      <c r="L19" s="84">
        <f t="shared" si="21"/>
        <v>5113823.6399999997</v>
      </c>
      <c r="M19" s="84">
        <f t="shared" si="21"/>
        <v>-571558.40000000002</v>
      </c>
      <c r="N19" s="84">
        <f t="shared" si="21"/>
        <v>2207707.4</v>
      </c>
      <c r="O19" s="84">
        <f t="shared" si="21"/>
        <v>28289763.289999995</v>
      </c>
      <c r="P19" s="84">
        <f t="shared" si="21"/>
        <v>150875.72</v>
      </c>
      <c r="Q19" s="84">
        <f t="shared" si="21"/>
        <v>-352237.12</v>
      </c>
      <c r="R19" s="84">
        <f t="shared" si="21"/>
        <v>-58200.669999999969</v>
      </c>
      <c r="S19" s="84">
        <f t="shared" si="21"/>
        <v>2867355.96</v>
      </c>
      <c r="T19" s="84">
        <f t="shared" si="21"/>
        <v>-955977.84999999986</v>
      </c>
      <c r="U19" s="84">
        <f t="shared" si="21"/>
        <v>806979.39999999991</v>
      </c>
      <c r="V19" s="84">
        <f t="shared" si="21"/>
        <v>-593482.28999999992</v>
      </c>
      <c r="W19" s="84">
        <f t="shared" si="21"/>
        <v>5374265.4600000009</v>
      </c>
      <c r="X19" s="84">
        <f t="shared" si="21"/>
        <v>394050.98000000004</v>
      </c>
      <c r="Y19" s="84">
        <f t="shared" si="21"/>
        <v>269124.12</v>
      </c>
      <c r="Z19" s="84">
        <f t="shared" si="21"/>
        <v>1749927.15</v>
      </c>
      <c r="AA19" s="84">
        <f t="shared" si="21"/>
        <v>37942444.149999999</v>
      </c>
      <c r="AB19" s="84">
        <f t="shared" si="21"/>
        <v>-2701683.64</v>
      </c>
      <c r="AC19" s="84">
        <f t="shared" si="21"/>
        <v>-919951.66</v>
      </c>
      <c r="AD19" s="84">
        <f t="shared" si="21"/>
        <v>-1156654.42</v>
      </c>
      <c r="AE19" s="84">
        <f t="shared" si="21"/>
        <v>-2711743.15</v>
      </c>
      <c r="AF19" s="84">
        <f t="shared" si="21"/>
        <v>-1817134.5300000003</v>
      </c>
      <c r="AG19" s="84">
        <f t="shared" si="21"/>
        <v>-910462.61</v>
      </c>
      <c r="AH19" s="84">
        <f t="shared" si="21"/>
        <v>-2091729.32</v>
      </c>
      <c r="AI19" s="84">
        <f t="shared" si="21"/>
        <v>-1709298.08</v>
      </c>
      <c r="AJ19" s="84">
        <f t="shared" si="21"/>
        <v>-1802803.21</v>
      </c>
      <c r="AK19" s="84">
        <f t="shared" si="21"/>
        <v>57885.189999999988</v>
      </c>
      <c r="AL19" s="84">
        <f t="shared" ref="AL19:AM19" si="22">AL18+AL16</f>
        <v>878448.51</v>
      </c>
      <c r="AM19" s="84">
        <f t="shared" si="22"/>
        <v>685605.2699999999</v>
      </c>
      <c r="AN19" s="127">
        <f>AN18+AN16</f>
        <v>23742922.499999989</v>
      </c>
      <c r="AO19" s="84">
        <f t="shared" ref="AO19:AU19" si="23">AO18+AO16</f>
        <v>-834827.56</v>
      </c>
      <c r="AP19" s="84">
        <f t="shared" si="23"/>
        <v>165932.02000000002</v>
      </c>
      <c r="AQ19" s="84">
        <f t="shared" si="23"/>
        <v>-72568.510000000009</v>
      </c>
      <c r="AR19" s="84">
        <f t="shared" si="23"/>
        <v>125836.58000000002</v>
      </c>
      <c r="AS19" s="84">
        <f t="shared" si="23"/>
        <v>-1242049.44</v>
      </c>
      <c r="AT19" s="84">
        <f t="shared" si="23"/>
        <v>-416648.77</v>
      </c>
      <c r="AU19" s="84">
        <f t="shared" si="23"/>
        <v>115120.53000000003</v>
      </c>
      <c r="AV19" s="84">
        <f t="shared" ref="AV19" si="24">AV18+AV16</f>
        <v>0</v>
      </c>
      <c r="AW19" s="84">
        <f t="shared" ref="AW19" si="25">AW18+AW16</f>
        <v>0</v>
      </c>
      <c r="AX19" s="84">
        <f t="shared" ref="AX19:AZ19" si="26">AX18+AX16</f>
        <v>0</v>
      </c>
      <c r="AY19" s="84">
        <f t="shared" si="26"/>
        <v>0</v>
      </c>
      <c r="AZ19" s="84">
        <f t="shared" si="26"/>
        <v>0</v>
      </c>
      <c r="BA19" s="127">
        <f>BA18+BA16</f>
        <v>21583717.349999987</v>
      </c>
      <c r="BB19" s="186">
        <v>21885245.59</v>
      </c>
      <c r="BC19" s="187">
        <f>BA19-BB19</f>
        <v>-301528.24000001326</v>
      </c>
    </row>
    <row r="20" spans="1:55" x14ac:dyDescent="0.2">
      <c r="B20" s="3" t="s">
        <v>22</v>
      </c>
      <c r="C20" s="20">
        <v>0.01</v>
      </c>
      <c r="D20" s="20">
        <v>0</v>
      </c>
      <c r="E20" s="20">
        <v>0</v>
      </c>
      <c r="F20" s="24">
        <v>0</v>
      </c>
      <c r="G20" s="24">
        <v>0</v>
      </c>
      <c r="H20" s="20">
        <v>0</v>
      </c>
      <c r="I20" s="20">
        <v>0</v>
      </c>
      <c r="J20" s="20">
        <v>0</v>
      </c>
      <c r="K20" s="20">
        <v>0</v>
      </c>
      <c r="L20" s="83">
        <v>0</v>
      </c>
      <c r="M20" s="83">
        <v>0</v>
      </c>
      <c r="N20" s="83">
        <v>0</v>
      </c>
      <c r="O20" s="83">
        <v>0.01</v>
      </c>
      <c r="P20" s="83">
        <v>0</v>
      </c>
      <c r="Q20" s="83">
        <v>0</v>
      </c>
      <c r="R20" s="83">
        <v>0</v>
      </c>
      <c r="S20" s="83">
        <v>0</v>
      </c>
      <c r="T20" s="83">
        <v>0</v>
      </c>
      <c r="U20" s="83">
        <v>0</v>
      </c>
      <c r="V20" s="83">
        <v>0</v>
      </c>
      <c r="W20" s="83">
        <v>0</v>
      </c>
      <c r="X20" s="83">
        <v>0</v>
      </c>
      <c r="Y20" s="83">
        <v>0</v>
      </c>
      <c r="Z20" s="83">
        <v>0</v>
      </c>
      <c r="AA20" s="31">
        <f t="shared" ref="AA20:AA27" si="27">SUM(O20:Z20)</f>
        <v>0.01</v>
      </c>
      <c r="AB20" s="83">
        <v>0</v>
      </c>
      <c r="AC20" s="83">
        <v>0</v>
      </c>
      <c r="AD20" s="83">
        <v>0</v>
      </c>
      <c r="AE20" s="83">
        <v>0</v>
      </c>
      <c r="AF20" s="83">
        <v>0</v>
      </c>
      <c r="AG20" s="83">
        <v>0</v>
      </c>
      <c r="AH20" s="83">
        <v>0</v>
      </c>
      <c r="AI20" s="83">
        <v>0</v>
      </c>
      <c r="AJ20" s="83">
        <v>0</v>
      </c>
      <c r="AK20" s="83">
        <v>0</v>
      </c>
      <c r="AL20" s="83">
        <v>0</v>
      </c>
      <c r="AM20" s="83">
        <v>0</v>
      </c>
      <c r="AN20" s="31">
        <f t="shared" ref="AN20:AN27" si="28">SUM(AA20:AM20)</f>
        <v>0.01</v>
      </c>
      <c r="AO20" s="83">
        <v>0</v>
      </c>
      <c r="AP20" s="83">
        <v>0</v>
      </c>
      <c r="AQ20" s="83">
        <v>0</v>
      </c>
      <c r="AR20" s="83">
        <v>0</v>
      </c>
      <c r="AS20" s="83">
        <v>0</v>
      </c>
      <c r="AT20" s="83">
        <v>0</v>
      </c>
      <c r="AU20" s="83">
        <v>0</v>
      </c>
      <c r="BA20" s="31">
        <f t="shared" ref="BA20:BA27" si="29">SUM(AN20:AZ20)</f>
        <v>0.01</v>
      </c>
    </row>
    <row r="21" spans="1:55" x14ac:dyDescent="0.2">
      <c r="B21" s="3" t="s">
        <v>23</v>
      </c>
      <c r="C21" s="20">
        <v>276.48</v>
      </c>
      <c r="D21" s="20">
        <v>165.35</v>
      </c>
      <c r="E21" s="20">
        <v>245.98</v>
      </c>
      <c r="F21" s="24">
        <v>146.22</v>
      </c>
      <c r="G21" s="24">
        <v>7685.58</v>
      </c>
      <c r="H21" s="20">
        <v>3289.81</v>
      </c>
      <c r="I21" s="20">
        <v>-8011.95</v>
      </c>
      <c r="J21" s="20">
        <v>24729.66</v>
      </c>
      <c r="K21" s="20">
        <v>-18927.63</v>
      </c>
      <c r="L21" s="83">
        <v>386.68</v>
      </c>
      <c r="M21" s="83">
        <v>-8200.94</v>
      </c>
      <c r="N21" s="83">
        <v>-82.01</v>
      </c>
      <c r="O21" s="83">
        <v>1040.78</v>
      </c>
      <c r="P21" s="83">
        <v>-1040.78</v>
      </c>
      <c r="Q21" s="83">
        <v>0</v>
      </c>
      <c r="R21" s="83">
        <v>0</v>
      </c>
      <c r="S21" s="83">
        <v>0</v>
      </c>
      <c r="T21" s="83">
        <v>0</v>
      </c>
      <c r="U21" s="83">
        <v>0</v>
      </c>
      <c r="V21" s="83">
        <v>0</v>
      </c>
      <c r="W21" s="83">
        <v>0</v>
      </c>
      <c r="X21" s="83">
        <v>1507.1</v>
      </c>
      <c r="Y21" s="83">
        <v>-1507.1</v>
      </c>
      <c r="Z21" s="83">
        <v>4931.46</v>
      </c>
      <c r="AA21" s="31">
        <f t="shared" si="27"/>
        <v>4931.46</v>
      </c>
      <c r="AB21" s="83">
        <v>-4931.46</v>
      </c>
      <c r="AC21" s="83">
        <v>0</v>
      </c>
      <c r="AD21" s="83">
        <v>0</v>
      </c>
      <c r="AE21" s="83">
        <v>0</v>
      </c>
      <c r="AF21" s="83">
        <v>195.8</v>
      </c>
      <c r="AG21" s="83">
        <v>-195.8</v>
      </c>
      <c r="AH21" s="83">
        <v>694.81</v>
      </c>
      <c r="AI21" s="83">
        <v>120.99</v>
      </c>
      <c r="AJ21" s="83">
        <v>-6.21</v>
      </c>
      <c r="AK21" s="83">
        <v>277.67</v>
      </c>
      <c r="AL21" s="83">
        <v>-494.34</v>
      </c>
      <c r="AM21" s="83">
        <v>41.02</v>
      </c>
      <c r="AN21" s="31">
        <f t="shared" si="28"/>
        <v>633.94000000000005</v>
      </c>
      <c r="AO21" s="83">
        <v>-486.7</v>
      </c>
      <c r="AP21" s="83">
        <v>-147.24</v>
      </c>
      <c r="AQ21" s="83">
        <v>345.44</v>
      </c>
      <c r="AR21" s="83">
        <v>-292.2</v>
      </c>
      <c r="AS21" s="83">
        <v>-53.24</v>
      </c>
      <c r="AT21" s="83">
        <v>0</v>
      </c>
      <c r="AU21" s="83">
        <v>0</v>
      </c>
      <c r="BA21" s="31">
        <f t="shared" si="29"/>
        <v>6.3948846218409017E-14</v>
      </c>
    </row>
    <row r="22" spans="1:55" x14ac:dyDescent="0.2">
      <c r="B22" s="3" t="s">
        <v>24</v>
      </c>
      <c r="C22" s="20">
        <v>2572.83</v>
      </c>
      <c r="D22" s="20">
        <v>-2572.83</v>
      </c>
      <c r="E22" s="20">
        <v>0</v>
      </c>
      <c r="F22" s="24">
        <v>0</v>
      </c>
      <c r="G22" s="24">
        <v>0</v>
      </c>
      <c r="H22" s="20">
        <v>0</v>
      </c>
      <c r="I22" s="20">
        <v>0</v>
      </c>
      <c r="J22" s="20">
        <v>0</v>
      </c>
      <c r="K22" s="20">
        <v>0</v>
      </c>
      <c r="L22" s="83">
        <v>0</v>
      </c>
      <c r="M22" s="83">
        <v>0</v>
      </c>
      <c r="N22" s="83">
        <v>0</v>
      </c>
      <c r="O22" s="83">
        <v>0</v>
      </c>
      <c r="P22" s="83">
        <v>0</v>
      </c>
      <c r="Q22" s="83">
        <v>0</v>
      </c>
      <c r="R22" s="83">
        <v>0</v>
      </c>
      <c r="S22" s="83">
        <v>0</v>
      </c>
      <c r="T22" s="83">
        <v>0</v>
      </c>
      <c r="U22" s="83">
        <v>0</v>
      </c>
      <c r="V22" s="83">
        <v>0</v>
      </c>
      <c r="W22" s="83">
        <v>0</v>
      </c>
      <c r="X22" s="83">
        <v>0</v>
      </c>
      <c r="Y22" s="83">
        <v>0</v>
      </c>
      <c r="Z22" s="83">
        <v>0</v>
      </c>
      <c r="AA22" s="31">
        <f t="shared" si="27"/>
        <v>0</v>
      </c>
      <c r="AB22" s="83">
        <v>0</v>
      </c>
      <c r="AC22" s="83">
        <v>0</v>
      </c>
      <c r="AD22" s="83">
        <v>0</v>
      </c>
      <c r="AE22" s="83">
        <v>0</v>
      </c>
      <c r="AF22" s="83">
        <v>0</v>
      </c>
      <c r="AG22" s="83">
        <v>0</v>
      </c>
      <c r="AH22" s="83">
        <v>0</v>
      </c>
      <c r="AI22" s="83">
        <v>0</v>
      </c>
      <c r="AJ22" s="83">
        <v>0</v>
      </c>
      <c r="AK22" s="83">
        <v>0</v>
      </c>
      <c r="AL22" s="83">
        <v>0</v>
      </c>
      <c r="AM22" s="83">
        <v>0</v>
      </c>
      <c r="AN22" s="31">
        <f t="shared" si="28"/>
        <v>0</v>
      </c>
      <c r="AO22" s="83">
        <v>0</v>
      </c>
      <c r="AP22" s="83">
        <v>0</v>
      </c>
      <c r="AQ22" s="83">
        <v>0</v>
      </c>
      <c r="AR22" s="83">
        <v>0</v>
      </c>
      <c r="AS22" s="83">
        <v>0</v>
      </c>
      <c r="AT22" s="83">
        <v>0</v>
      </c>
      <c r="AU22" s="83">
        <v>0</v>
      </c>
      <c r="BA22" s="31">
        <f t="shared" si="29"/>
        <v>0</v>
      </c>
    </row>
    <row r="23" spans="1:55" x14ac:dyDescent="0.2">
      <c r="B23" s="3" t="s">
        <v>25</v>
      </c>
      <c r="C23" s="20">
        <v>66415.64</v>
      </c>
      <c r="D23" s="20">
        <v>-66415.64</v>
      </c>
      <c r="E23" s="20">
        <v>0</v>
      </c>
      <c r="F23" s="24">
        <v>0</v>
      </c>
      <c r="G23" s="24">
        <v>0</v>
      </c>
      <c r="H23" s="20">
        <v>0</v>
      </c>
      <c r="I23" s="20">
        <v>0</v>
      </c>
      <c r="J23" s="20">
        <v>0</v>
      </c>
      <c r="K23" s="20">
        <v>0</v>
      </c>
      <c r="L23" s="83">
        <v>0</v>
      </c>
      <c r="M23" s="83">
        <v>0</v>
      </c>
      <c r="N23" s="83">
        <v>0</v>
      </c>
      <c r="O23" s="83">
        <v>0</v>
      </c>
      <c r="P23" s="83">
        <v>0</v>
      </c>
      <c r="Q23" s="83">
        <v>0</v>
      </c>
      <c r="R23" s="83">
        <v>0</v>
      </c>
      <c r="S23" s="83">
        <v>0</v>
      </c>
      <c r="T23" s="83">
        <v>0</v>
      </c>
      <c r="U23" s="83">
        <v>0</v>
      </c>
      <c r="V23" s="83">
        <v>0</v>
      </c>
      <c r="W23" s="83">
        <v>0</v>
      </c>
      <c r="X23" s="83">
        <v>0</v>
      </c>
      <c r="Y23" s="83">
        <v>0</v>
      </c>
      <c r="Z23" s="83">
        <v>0</v>
      </c>
      <c r="AA23" s="31">
        <f t="shared" si="27"/>
        <v>0</v>
      </c>
      <c r="AB23" s="83">
        <v>0</v>
      </c>
      <c r="AC23" s="83">
        <v>0</v>
      </c>
      <c r="AD23" s="83">
        <v>0</v>
      </c>
      <c r="AE23" s="83">
        <v>0</v>
      </c>
      <c r="AF23" s="83">
        <v>0</v>
      </c>
      <c r="AG23" s="83">
        <v>0</v>
      </c>
      <c r="AH23" s="83">
        <v>0</v>
      </c>
      <c r="AI23" s="83">
        <v>0</v>
      </c>
      <c r="AJ23" s="83">
        <v>0</v>
      </c>
      <c r="AK23" s="83">
        <v>0</v>
      </c>
      <c r="AL23" s="83">
        <v>0</v>
      </c>
      <c r="AM23" s="83">
        <v>0</v>
      </c>
      <c r="AN23" s="31">
        <f t="shared" si="28"/>
        <v>0</v>
      </c>
      <c r="AO23" s="83">
        <v>0</v>
      </c>
      <c r="AP23" s="83">
        <v>0</v>
      </c>
      <c r="AQ23" s="83">
        <v>0</v>
      </c>
      <c r="AR23" s="83">
        <v>0</v>
      </c>
      <c r="AS23" s="83">
        <v>0</v>
      </c>
      <c r="AT23" s="83">
        <v>0</v>
      </c>
      <c r="AU23" s="83">
        <v>0</v>
      </c>
      <c r="BA23" s="31">
        <f t="shared" si="29"/>
        <v>0</v>
      </c>
    </row>
    <row r="24" spans="1:55" x14ac:dyDescent="0.2">
      <c r="B24" s="3" t="s">
        <v>26</v>
      </c>
      <c r="C24" s="20">
        <v>0.01</v>
      </c>
      <c r="D24" s="20">
        <v>0</v>
      </c>
      <c r="E24" s="20">
        <v>0</v>
      </c>
      <c r="F24" s="24">
        <v>0</v>
      </c>
      <c r="G24" s="24">
        <v>0</v>
      </c>
      <c r="H24" s="20">
        <v>0</v>
      </c>
      <c r="I24" s="20">
        <v>0</v>
      </c>
      <c r="J24" s="20">
        <v>0</v>
      </c>
      <c r="K24" s="20">
        <v>0</v>
      </c>
      <c r="L24" s="83">
        <v>0</v>
      </c>
      <c r="M24" s="83">
        <v>0</v>
      </c>
      <c r="N24" s="83">
        <v>0</v>
      </c>
      <c r="O24" s="83">
        <v>0.01</v>
      </c>
      <c r="P24" s="83">
        <v>0</v>
      </c>
      <c r="Q24" s="83">
        <v>0</v>
      </c>
      <c r="R24" s="83">
        <v>0</v>
      </c>
      <c r="S24" s="83">
        <v>0</v>
      </c>
      <c r="T24" s="83">
        <v>0</v>
      </c>
      <c r="U24" s="83">
        <v>0</v>
      </c>
      <c r="V24" s="83">
        <v>0</v>
      </c>
      <c r="W24" s="83">
        <v>0</v>
      </c>
      <c r="X24" s="83">
        <v>0</v>
      </c>
      <c r="Y24" s="83">
        <v>0</v>
      </c>
      <c r="Z24" s="83">
        <v>0</v>
      </c>
      <c r="AA24" s="31">
        <f t="shared" si="27"/>
        <v>0.01</v>
      </c>
      <c r="AB24" s="83">
        <v>0</v>
      </c>
      <c r="AC24" s="83">
        <v>0</v>
      </c>
      <c r="AD24" s="83">
        <v>0</v>
      </c>
      <c r="AE24" s="83">
        <v>0</v>
      </c>
      <c r="AF24" s="83">
        <v>0</v>
      </c>
      <c r="AG24" s="83">
        <v>0</v>
      </c>
      <c r="AH24" s="83">
        <v>0</v>
      </c>
      <c r="AI24" s="83">
        <v>0</v>
      </c>
      <c r="AJ24" s="83">
        <v>0</v>
      </c>
      <c r="AK24" s="83">
        <v>0</v>
      </c>
      <c r="AL24" s="83">
        <v>0</v>
      </c>
      <c r="AM24" s="83">
        <v>0</v>
      </c>
      <c r="AN24" s="31">
        <f t="shared" si="28"/>
        <v>0.01</v>
      </c>
      <c r="AO24" s="83">
        <v>0</v>
      </c>
      <c r="AP24" s="83">
        <v>0</v>
      </c>
      <c r="AQ24" s="83">
        <v>0</v>
      </c>
      <c r="AR24" s="83">
        <v>0</v>
      </c>
      <c r="AS24" s="83">
        <v>0</v>
      </c>
      <c r="AT24" s="83">
        <v>0</v>
      </c>
      <c r="AU24" s="83">
        <v>0</v>
      </c>
      <c r="BA24" s="31">
        <f t="shared" si="29"/>
        <v>0.01</v>
      </c>
    </row>
    <row r="25" spans="1:55" x14ac:dyDescent="0.2">
      <c r="B25" s="3" t="s">
        <v>27</v>
      </c>
      <c r="C25" s="20">
        <v>54276.32</v>
      </c>
      <c r="D25" s="20">
        <v>-32561.7</v>
      </c>
      <c r="E25" s="20">
        <v>103120.79</v>
      </c>
      <c r="F25" s="24">
        <v>-90677.17</v>
      </c>
      <c r="G25" s="24">
        <v>73377.02</v>
      </c>
      <c r="H25" s="20">
        <v>67719.94</v>
      </c>
      <c r="I25" s="20">
        <v>-87613.24</v>
      </c>
      <c r="J25" s="20">
        <v>-58877.81</v>
      </c>
      <c r="K25" s="20">
        <v>122850.51</v>
      </c>
      <c r="L25" s="83">
        <v>-33380.1</v>
      </c>
      <c r="M25" s="83">
        <v>-17735.310000000001</v>
      </c>
      <c r="N25" s="83">
        <v>-84164.4</v>
      </c>
      <c r="O25" s="83">
        <v>41392.36</v>
      </c>
      <c r="P25" s="83">
        <v>36378.959999999999</v>
      </c>
      <c r="Q25" s="83">
        <v>4548.99</v>
      </c>
      <c r="R25" s="83">
        <v>87235.78</v>
      </c>
      <c r="S25" s="83">
        <v>-94957.39</v>
      </c>
      <c r="T25" s="83">
        <v>-40910.49</v>
      </c>
      <c r="U25" s="83">
        <v>114404.22</v>
      </c>
      <c r="V25" s="83">
        <v>-127669.29</v>
      </c>
      <c r="W25" s="83">
        <v>24726.43</v>
      </c>
      <c r="X25" s="83">
        <v>39054.35</v>
      </c>
      <c r="Y25" s="83">
        <v>-23557.26</v>
      </c>
      <c r="Z25" s="83">
        <v>-18348.310000000001</v>
      </c>
      <c r="AA25" s="31">
        <f t="shared" si="27"/>
        <v>42298.350000000035</v>
      </c>
      <c r="AB25" s="83">
        <v>48640.99</v>
      </c>
      <c r="AC25" s="83">
        <v>-48874.58</v>
      </c>
      <c r="AD25" s="83">
        <v>4490.3599999999997</v>
      </c>
      <c r="AE25" s="83">
        <v>19911.37</v>
      </c>
      <c r="AF25" s="83">
        <v>49040.33</v>
      </c>
      <c r="AG25" s="83">
        <v>-57676.65</v>
      </c>
      <c r="AH25" s="83">
        <v>-33778.21</v>
      </c>
      <c r="AI25" s="83">
        <v>80882.31</v>
      </c>
      <c r="AJ25" s="83">
        <v>-42649.919999999998</v>
      </c>
      <c r="AK25" s="83">
        <v>-39288.980000000003</v>
      </c>
      <c r="AL25" s="83">
        <v>16160.73</v>
      </c>
      <c r="AM25" s="83">
        <v>51088.99</v>
      </c>
      <c r="AN25" s="31">
        <f t="shared" si="28"/>
        <v>90245.090000000026</v>
      </c>
      <c r="AO25" s="83">
        <v>-36756.58</v>
      </c>
      <c r="AP25" s="83">
        <v>-7799.26</v>
      </c>
      <c r="AQ25" s="83">
        <v>4136.0200000000004</v>
      </c>
      <c r="AR25" s="83">
        <v>-26549.09</v>
      </c>
      <c r="AS25" s="83">
        <v>23217.55</v>
      </c>
      <c r="AT25" s="83">
        <v>-24095.65</v>
      </c>
      <c r="AU25" s="83">
        <v>30527.31</v>
      </c>
      <c r="BA25" s="31">
        <f t="shared" si="29"/>
        <v>52925.390000000014</v>
      </c>
    </row>
    <row r="26" spans="1:55" x14ac:dyDescent="0.2">
      <c r="B26" s="3" t="s">
        <v>28</v>
      </c>
      <c r="C26" s="20">
        <v>155914.67000000001</v>
      </c>
      <c r="D26" s="20">
        <v>-71058.240000000005</v>
      </c>
      <c r="E26" s="20">
        <v>74970.539999999994</v>
      </c>
      <c r="F26" s="24">
        <v>-12435.11</v>
      </c>
      <c r="G26" s="24">
        <v>6607.49</v>
      </c>
      <c r="H26" s="20">
        <v>-12795.41</v>
      </c>
      <c r="I26" s="20">
        <v>-4746.54</v>
      </c>
      <c r="J26" s="20">
        <v>-24754.61</v>
      </c>
      <c r="K26" s="20">
        <v>8701.83</v>
      </c>
      <c r="L26" s="83">
        <v>28514.31</v>
      </c>
      <c r="M26" s="83">
        <v>-33754.46</v>
      </c>
      <c r="N26" s="83">
        <v>11616.02</v>
      </c>
      <c r="O26" s="83">
        <v>128596.7</v>
      </c>
      <c r="P26" s="83">
        <v>-82088.19</v>
      </c>
      <c r="Q26" s="83">
        <v>2755.84</v>
      </c>
      <c r="R26" s="83">
        <v>6475.72</v>
      </c>
      <c r="S26" s="83">
        <v>-5299.25</v>
      </c>
      <c r="T26" s="83">
        <v>-9968.01</v>
      </c>
      <c r="U26" s="83">
        <v>-4476.46</v>
      </c>
      <c r="V26" s="83">
        <v>32167.68</v>
      </c>
      <c r="W26" s="83">
        <v>41905.03</v>
      </c>
      <c r="X26" s="83">
        <v>15584.86</v>
      </c>
      <c r="Y26" s="83">
        <v>1316.74</v>
      </c>
      <c r="Z26" s="83">
        <v>-9483.7099999999991</v>
      </c>
      <c r="AA26" s="31">
        <f t="shared" si="27"/>
        <v>117486.95000000001</v>
      </c>
      <c r="AB26" s="83">
        <v>-3162.53</v>
      </c>
      <c r="AC26" s="83">
        <v>-33252.82</v>
      </c>
      <c r="AD26" s="83">
        <v>2760.73</v>
      </c>
      <c r="AE26" s="83">
        <v>-26843.91</v>
      </c>
      <c r="AF26" s="83">
        <v>-17628.7</v>
      </c>
      <c r="AG26" s="83">
        <v>4982</v>
      </c>
      <c r="AH26" s="83">
        <v>-360.26</v>
      </c>
      <c r="AI26" s="83">
        <v>-6639.75</v>
      </c>
      <c r="AJ26" s="83">
        <v>8284.6</v>
      </c>
      <c r="AK26" s="83">
        <v>-5608.16</v>
      </c>
      <c r="AL26" s="83">
        <v>-8305.7199999999993</v>
      </c>
      <c r="AM26" s="83">
        <v>-1138.02</v>
      </c>
      <c r="AN26" s="31">
        <f t="shared" si="28"/>
        <v>30574.409999999993</v>
      </c>
      <c r="AO26" s="83">
        <v>-5486.38</v>
      </c>
      <c r="AP26" s="83">
        <v>20601.48</v>
      </c>
      <c r="AQ26" s="83">
        <v>-19865.45</v>
      </c>
      <c r="AR26" s="83">
        <v>10482.74</v>
      </c>
      <c r="AS26" s="83">
        <v>830.61</v>
      </c>
      <c r="AT26" s="83">
        <v>2827.49</v>
      </c>
      <c r="AU26" s="83">
        <v>-15795.55</v>
      </c>
      <c r="BA26" s="31">
        <f t="shared" si="29"/>
        <v>24169.349999999995</v>
      </c>
    </row>
    <row r="27" spans="1:55" x14ac:dyDescent="0.2">
      <c r="B27" s="3" t="s">
        <v>29</v>
      </c>
      <c r="C27" s="20">
        <v>19.350000000000001</v>
      </c>
      <c r="D27" s="20">
        <v>0</v>
      </c>
      <c r="E27" s="20">
        <v>0</v>
      </c>
      <c r="F27" s="24">
        <v>0</v>
      </c>
      <c r="G27" s="24">
        <v>0</v>
      </c>
      <c r="H27" s="20">
        <v>0</v>
      </c>
      <c r="I27" s="20">
        <v>0</v>
      </c>
      <c r="J27" s="20">
        <v>0</v>
      </c>
      <c r="K27" s="20">
        <v>0</v>
      </c>
      <c r="L27" s="83">
        <v>0</v>
      </c>
      <c r="M27" s="83">
        <v>0</v>
      </c>
      <c r="N27" s="83">
        <v>0</v>
      </c>
      <c r="O27" s="83">
        <v>19.350000000000001</v>
      </c>
      <c r="P27" s="83">
        <v>0</v>
      </c>
      <c r="Q27" s="83">
        <v>0</v>
      </c>
      <c r="R27" s="83">
        <v>0</v>
      </c>
      <c r="S27" s="83">
        <v>0</v>
      </c>
      <c r="T27" s="83">
        <v>0</v>
      </c>
      <c r="U27" s="83">
        <v>0</v>
      </c>
      <c r="V27" s="83">
        <v>0</v>
      </c>
      <c r="W27" s="83">
        <v>0</v>
      </c>
      <c r="X27" s="83">
        <v>0</v>
      </c>
      <c r="Y27" s="83">
        <v>0</v>
      </c>
      <c r="Z27" s="83">
        <v>0</v>
      </c>
      <c r="AA27" s="31">
        <f t="shared" si="27"/>
        <v>19.350000000000001</v>
      </c>
      <c r="AB27" s="83">
        <v>0</v>
      </c>
      <c r="AC27" s="83">
        <v>0</v>
      </c>
      <c r="AD27" s="83">
        <v>0</v>
      </c>
      <c r="AE27" s="83">
        <v>0</v>
      </c>
      <c r="AF27" s="83">
        <v>0</v>
      </c>
      <c r="AG27" s="83">
        <v>0</v>
      </c>
      <c r="AH27" s="83">
        <v>0</v>
      </c>
      <c r="AI27" s="83">
        <v>0</v>
      </c>
      <c r="AJ27" s="83">
        <v>0</v>
      </c>
      <c r="AK27" s="83">
        <v>0</v>
      </c>
      <c r="AL27" s="83">
        <v>0</v>
      </c>
      <c r="AM27" s="83">
        <v>0</v>
      </c>
      <c r="AN27" s="31">
        <f t="shared" si="28"/>
        <v>19.350000000000001</v>
      </c>
      <c r="AO27" s="83">
        <v>0</v>
      </c>
      <c r="AP27" s="83">
        <v>0</v>
      </c>
      <c r="AQ27" s="83">
        <v>0</v>
      </c>
      <c r="AR27" s="83">
        <v>0</v>
      </c>
      <c r="AS27" s="83">
        <v>0</v>
      </c>
      <c r="AT27" s="83">
        <v>0</v>
      </c>
      <c r="AU27" s="83">
        <v>0</v>
      </c>
      <c r="BA27" s="31">
        <f t="shared" si="29"/>
        <v>19.350000000000001</v>
      </c>
    </row>
    <row r="28" spans="1:55" s="34" customFormat="1" ht="12" x14ac:dyDescent="0.2">
      <c r="A28" s="116"/>
      <c r="B28" s="35" t="s">
        <v>1772</v>
      </c>
      <c r="C28" s="36">
        <f t="shared" ref="C28:AU28" si="30">SUM(C20:C27)</f>
        <v>279475.30999999994</v>
      </c>
      <c r="D28" s="36">
        <f t="shared" si="30"/>
        <v>-172443.06</v>
      </c>
      <c r="E28" s="36">
        <f t="shared" si="30"/>
        <v>178337.31</v>
      </c>
      <c r="F28" s="36">
        <f t="shared" si="30"/>
        <v>-102966.06</v>
      </c>
      <c r="G28" s="36">
        <f t="shared" si="30"/>
        <v>87670.090000000011</v>
      </c>
      <c r="H28" s="36">
        <f t="shared" si="30"/>
        <v>58214.34</v>
      </c>
      <c r="I28" s="36">
        <f t="shared" si="30"/>
        <v>-100371.73</v>
      </c>
      <c r="J28" s="36">
        <f t="shared" si="30"/>
        <v>-58902.759999999995</v>
      </c>
      <c r="K28" s="36">
        <f t="shared" si="30"/>
        <v>112624.70999999999</v>
      </c>
      <c r="L28" s="85">
        <f t="shared" si="30"/>
        <v>-4479.1099999999969</v>
      </c>
      <c r="M28" s="85">
        <f t="shared" si="30"/>
        <v>-59690.71</v>
      </c>
      <c r="N28" s="85">
        <f t="shared" si="30"/>
        <v>-72630.389999999985</v>
      </c>
      <c r="O28" s="85">
        <f t="shared" si="30"/>
        <v>171049.21</v>
      </c>
      <c r="P28" s="85">
        <f t="shared" si="30"/>
        <v>-46750.01</v>
      </c>
      <c r="Q28" s="85">
        <f t="shared" si="30"/>
        <v>7304.83</v>
      </c>
      <c r="R28" s="85">
        <f t="shared" si="30"/>
        <v>93711.5</v>
      </c>
      <c r="S28" s="85">
        <f t="shared" si="30"/>
        <v>-100256.64</v>
      </c>
      <c r="T28" s="85">
        <f t="shared" si="30"/>
        <v>-50878.5</v>
      </c>
      <c r="U28" s="85">
        <f t="shared" si="30"/>
        <v>109927.76</v>
      </c>
      <c r="V28" s="85">
        <f t="shared" si="30"/>
        <v>-95501.609999999986</v>
      </c>
      <c r="W28" s="85">
        <f t="shared" si="30"/>
        <v>66631.459999999992</v>
      </c>
      <c r="X28" s="85">
        <f t="shared" si="30"/>
        <v>56146.31</v>
      </c>
      <c r="Y28" s="85">
        <f t="shared" si="30"/>
        <v>-23747.619999999995</v>
      </c>
      <c r="Z28" s="85">
        <f t="shared" si="30"/>
        <v>-22900.560000000001</v>
      </c>
      <c r="AA28" s="85">
        <f t="shared" si="30"/>
        <v>164736.13000000006</v>
      </c>
      <c r="AB28" s="85">
        <f t="shared" si="30"/>
        <v>40547</v>
      </c>
      <c r="AC28" s="85">
        <f t="shared" si="30"/>
        <v>-82127.399999999994</v>
      </c>
      <c r="AD28" s="85">
        <f t="shared" si="30"/>
        <v>7251.09</v>
      </c>
      <c r="AE28" s="85">
        <f t="shared" si="30"/>
        <v>-6932.5400000000009</v>
      </c>
      <c r="AF28" s="85">
        <f t="shared" si="30"/>
        <v>31607.430000000004</v>
      </c>
      <c r="AG28" s="85">
        <f t="shared" si="30"/>
        <v>-52890.450000000004</v>
      </c>
      <c r="AH28" s="85">
        <f t="shared" si="30"/>
        <v>-33443.660000000003</v>
      </c>
      <c r="AI28" s="85">
        <f t="shared" si="30"/>
        <v>74363.55</v>
      </c>
      <c r="AJ28" s="85">
        <f t="shared" si="30"/>
        <v>-34371.53</v>
      </c>
      <c r="AK28" s="85">
        <f t="shared" si="30"/>
        <v>-44619.47</v>
      </c>
      <c r="AL28" s="85">
        <f t="shared" si="30"/>
        <v>7360.67</v>
      </c>
      <c r="AM28" s="85">
        <f t="shared" si="30"/>
        <v>49991.99</v>
      </c>
      <c r="AN28" s="129">
        <f t="shared" si="30"/>
        <v>121472.81000000003</v>
      </c>
      <c r="AO28" s="85">
        <f t="shared" si="30"/>
        <v>-42729.659999999996</v>
      </c>
      <c r="AP28" s="85">
        <f t="shared" si="30"/>
        <v>12654.98</v>
      </c>
      <c r="AQ28" s="85">
        <f t="shared" si="30"/>
        <v>-15383.990000000002</v>
      </c>
      <c r="AR28" s="85">
        <f t="shared" si="30"/>
        <v>-16358.550000000001</v>
      </c>
      <c r="AS28" s="85">
        <f t="shared" si="30"/>
        <v>23994.92</v>
      </c>
      <c r="AT28" s="85">
        <f t="shared" si="30"/>
        <v>-21268.160000000003</v>
      </c>
      <c r="AU28" s="85">
        <f t="shared" si="30"/>
        <v>14731.760000000002</v>
      </c>
      <c r="AV28" s="85">
        <f t="shared" ref="AV28" si="31">SUM(AV20:AV27)</f>
        <v>0</v>
      </c>
      <c r="AW28" s="85">
        <f t="shared" ref="AW28" si="32">SUM(AW20:AW27)</f>
        <v>0</v>
      </c>
      <c r="AX28" s="85">
        <f t="shared" ref="AX28" si="33">SUM(AX20:AX27)</f>
        <v>0</v>
      </c>
      <c r="AY28" s="85">
        <f t="shared" ref="AY28" si="34">SUM(AY20:AY27)</f>
        <v>0</v>
      </c>
      <c r="AZ28" s="85">
        <f t="shared" ref="AZ28" si="35">SUM(AZ20:AZ27)</f>
        <v>0</v>
      </c>
      <c r="BA28" s="129">
        <f t="shared" ref="BA28" si="36">SUM(BA20:BA27)</f>
        <v>77114.110000000015</v>
      </c>
    </row>
    <row r="29" spans="1:55" x14ac:dyDescent="0.2">
      <c r="B29" s="3" t="s">
        <v>31</v>
      </c>
      <c r="C29" s="20">
        <v>55393.68</v>
      </c>
      <c r="D29" s="20">
        <v>95661.38</v>
      </c>
      <c r="E29" s="20">
        <v>53439.66</v>
      </c>
      <c r="F29" s="24">
        <v>110157.09</v>
      </c>
      <c r="G29" s="24">
        <v>-221089.36</v>
      </c>
      <c r="H29" s="20">
        <v>57261.89</v>
      </c>
      <c r="I29" s="20">
        <v>-41814.230000000003</v>
      </c>
      <c r="J29" s="20">
        <v>-74295.33</v>
      </c>
      <c r="K29" s="20">
        <v>124516.51</v>
      </c>
      <c r="L29" s="83">
        <v>-34323.370000000003</v>
      </c>
      <c r="M29" s="83">
        <v>33418.86</v>
      </c>
      <c r="N29" s="83">
        <v>-94781.53</v>
      </c>
      <c r="O29" s="83">
        <v>114519.62</v>
      </c>
      <c r="P29" s="83">
        <v>-263.66000000000003</v>
      </c>
      <c r="Q29" s="83">
        <v>-93787.16</v>
      </c>
      <c r="R29" s="83">
        <v>111315.87</v>
      </c>
      <c r="S29" s="83">
        <v>737.73</v>
      </c>
      <c r="T29" s="83">
        <v>-82547</v>
      </c>
      <c r="U29" s="83">
        <v>155918.03</v>
      </c>
      <c r="V29" s="83">
        <v>18318.47</v>
      </c>
      <c r="W29" s="83">
        <v>-80803.22</v>
      </c>
      <c r="X29" s="83">
        <v>99252.95</v>
      </c>
      <c r="Y29" s="83">
        <v>-69035.27</v>
      </c>
      <c r="Z29" s="83">
        <v>-16263.44</v>
      </c>
      <c r="AA29" s="31">
        <f>SUM(O29:Z29)</f>
        <v>157362.91999999998</v>
      </c>
      <c r="AB29" s="83">
        <v>-70919.759999999995</v>
      </c>
      <c r="AC29" s="83">
        <v>109326.01</v>
      </c>
      <c r="AD29" s="83">
        <v>-31874.12</v>
      </c>
      <c r="AE29" s="83">
        <v>-104581.38</v>
      </c>
      <c r="AF29" s="83">
        <v>26559.34</v>
      </c>
      <c r="AG29" s="83">
        <v>-52438.35</v>
      </c>
      <c r="AH29" s="83">
        <v>164492.16</v>
      </c>
      <c r="AI29" s="83">
        <v>-190296.28</v>
      </c>
      <c r="AJ29" s="83">
        <v>95529.01</v>
      </c>
      <c r="AK29" s="83">
        <v>-103159.55</v>
      </c>
      <c r="AL29" s="83">
        <v>142776.07</v>
      </c>
      <c r="AM29" s="83">
        <v>22889.73</v>
      </c>
      <c r="AN29" s="31">
        <f>SUM(AA29:AM29)</f>
        <v>165665.79999999999</v>
      </c>
      <c r="AO29" s="83">
        <v>-71792.61</v>
      </c>
      <c r="AP29" s="83">
        <v>2459.08</v>
      </c>
      <c r="AQ29" s="83">
        <v>49001.39</v>
      </c>
      <c r="AR29" s="83">
        <v>-122952.13</v>
      </c>
      <c r="AS29" s="83">
        <v>71297.84</v>
      </c>
      <c r="AT29" s="83">
        <v>-24582.06</v>
      </c>
      <c r="AU29" s="83">
        <v>-27490.15</v>
      </c>
      <c r="BA29" s="31">
        <f>SUM(AN29:AZ29)</f>
        <v>41607.159999999967</v>
      </c>
    </row>
    <row r="30" spans="1:55" s="34" customFormat="1" ht="12" x14ac:dyDescent="0.2">
      <c r="A30" s="116"/>
      <c r="B30" s="35" t="s">
        <v>1771</v>
      </c>
      <c r="C30" s="36">
        <f t="shared" ref="C30:AU30" si="37">SUM(C29)</f>
        <v>55393.68</v>
      </c>
      <c r="D30" s="36">
        <f t="shared" si="37"/>
        <v>95661.38</v>
      </c>
      <c r="E30" s="36">
        <f t="shared" si="37"/>
        <v>53439.66</v>
      </c>
      <c r="F30" s="36">
        <f t="shared" si="37"/>
        <v>110157.09</v>
      </c>
      <c r="G30" s="36">
        <f t="shared" si="37"/>
        <v>-221089.36</v>
      </c>
      <c r="H30" s="36">
        <f t="shared" si="37"/>
        <v>57261.89</v>
      </c>
      <c r="I30" s="36">
        <f t="shared" si="37"/>
        <v>-41814.230000000003</v>
      </c>
      <c r="J30" s="36">
        <f t="shared" si="37"/>
        <v>-74295.33</v>
      </c>
      <c r="K30" s="36">
        <f t="shared" si="37"/>
        <v>124516.51</v>
      </c>
      <c r="L30" s="85">
        <f t="shared" si="37"/>
        <v>-34323.370000000003</v>
      </c>
      <c r="M30" s="85">
        <f t="shared" si="37"/>
        <v>33418.86</v>
      </c>
      <c r="N30" s="85">
        <f t="shared" si="37"/>
        <v>-94781.53</v>
      </c>
      <c r="O30" s="85">
        <f t="shared" si="37"/>
        <v>114519.62</v>
      </c>
      <c r="P30" s="85">
        <f t="shared" si="37"/>
        <v>-263.66000000000003</v>
      </c>
      <c r="Q30" s="85">
        <f t="shared" si="37"/>
        <v>-93787.16</v>
      </c>
      <c r="R30" s="85">
        <f t="shared" si="37"/>
        <v>111315.87</v>
      </c>
      <c r="S30" s="85">
        <f t="shared" si="37"/>
        <v>737.73</v>
      </c>
      <c r="T30" s="85">
        <f t="shared" si="37"/>
        <v>-82547</v>
      </c>
      <c r="U30" s="85">
        <f t="shared" si="37"/>
        <v>155918.03</v>
      </c>
      <c r="V30" s="85">
        <f t="shared" si="37"/>
        <v>18318.47</v>
      </c>
      <c r="W30" s="85">
        <f t="shared" si="37"/>
        <v>-80803.22</v>
      </c>
      <c r="X30" s="85">
        <f t="shared" si="37"/>
        <v>99252.95</v>
      </c>
      <c r="Y30" s="85">
        <f t="shared" si="37"/>
        <v>-69035.27</v>
      </c>
      <c r="Z30" s="85">
        <f t="shared" si="37"/>
        <v>-16263.44</v>
      </c>
      <c r="AA30" s="85">
        <f t="shared" si="37"/>
        <v>157362.91999999998</v>
      </c>
      <c r="AB30" s="85">
        <f t="shared" si="37"/>
        <v>-70919.759999999995</v>
      </c>
      <c r="AC30" s="85">
        <f t="shared" si="37"/>
        <v>109326.01</v>
      </c>
      <c r="AD30" s="85">
        <f t="shared" si="37"/>
        <v>-31874.12</v>
      </c>
      <c r="AE30" s="85">
        <f t="shared" si="37"/>
        <v>-104581.38</v>
      </c>
      <c r="AF30" s="85">
        <f t="shared" si="37"/>
        <v>26559.34</v>
      </c>
      <c r="AG30" s="85">
        <f t="shared" si="37"/>
        <v>-52438.35</v>
      </c>
      <c r="AH30" s="85">
        <f t="shared" si="37"/>
        <v>164492.16</v>
      </c>
      <c r="AI30" s="85">
        <f t="shared" si="37"/>
        <v>-190296.28</v>
      </c>
      <c r="AJ30" s="85">
        <f t="shared" si="37"/>
        <v>95529.01</v>
      </c>
      <c r="AK30" s="85">
        <f t="shared" si="37"/>
        <v>-103159.55</v>
      </c>
      <c r="AL30" s="85">
        <f t="shared" si="37"/>
        <v>142776.07</v>
      </c>
      <c r="AM30" s="85">
        <f t="shared" si="37"/>
        <v>22889.73</v>
      </c>
      <c r="AN30" s="129">
        <f t="shared" si="37"/>
        <v>165665.79999999999</v>
      </c>
      <c r="AO30" s="85">
        <f t="shared" si="37"/>
        <v>-71792.61</v>
      </c>
      <c r="AP30" s="85">
        <f t="shared" si="37"/>
        <v>2459.08</v>
      </c>
      <c r="AQ30" s="85">
        <f t="shared" si="37"/>
        <v>49001.39</v>
      </c>
      <c r="AR30" s="85">
        <f t="shared" si="37"/>
        <v>-122952.13</v>
      </c>
      <c r="AS30" s="85">
        <f t="shared" si="37"/>
        <v>71297.84</v>
      </c>
      <c r="AT30" s="85">
        <f t="shared" si="37"/>
        <v>-24582.06</v>
      </c>
      <c r="AU30" s="85">
        <f t="shared" si="37"/>
        <v>-27490.15</v>
      </c>
      <c r="AV30" s="85">
        <f t="shared" ref="AV30" si="38">SUM(AV29)</f>
        <v>0</v>
      </c>
      <c r="AW30" s="85">
        <f t="shared" ref="AW30" si="39">SUM(AW29)</f>
        <v>0</v>
      </c>
      <c r="AX30" s="85">
        <f t="shared" ref="AX30" si="40">SUM(AX29)</f>
        <v>0</v>
      </c>
      <c r="AY30" s="85">
        <f t="shared" ref="AY30" si="41">SUM(AY29)</f>
        <v>0</v>
      </c>
      <c r="AZ30" s="85">
        <f t="shared" ref="AZ30" si="42">SUM(AZ29)</f>
        <v>0</v>
      </c>
      <c r="BA30" s="129">
        <f t="shared" ref="BA30" si="43">SUM(BA29)</f>
        <v>41607.159999999967</v>
      </c>
    </row>
    <row r="31" spans="1:55" x14ac:dyDescent="0.2">
      <c r="B31" s="3" t="s">
        <v>1763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9923.6200000000008</v>
      </c>
      <c r="L31" s="83">
        <v>0</v>
      </c>
      <c r="M31" s="83">
        <v>-9923.6200000000008</v>
      </c>
      <c r="N31" s="83">
        <v>0</v>
      </c>
      <c r="O31" s="83">
        <v>0</v>
      </c>
      <c r="P31" s="83">
        <v>0</v>
      </c>
      <c r="Q31" s="83">
        <v>0</v>
      </c>
      <c r="R31" s="83">
        <v>0</v>
      </c>
      <c r="S31" s="83">
        <v>0</v>
      </c>
      <c r="T31" s="83">
        <v>0</v>
      </c>
      <c r="U31" s="83">
        <v>0</v>
      </c>
      <c r="V31" s="83">
        <v>0</v>
      </c>
      <c r="W31" s="83">
        <v>0</v>
      </c>
      <c r="X31" s="83">
        <v>0</v>
      </c>
      <c r="Y31" s="83">
        <v>0</v>
      </c>
      <c r="Z31" s="83">
        <v>0</v>
      </c>
      <c r="AA31" s="31">
        <f>SUM(O31:Z31)</f>
        <v>0</v>
      </c>
      <c r="AB31" s="83">
        <v>0</v>
      </c>
      <c r="AC31" s="83">
        <v>0</v>
      </c>
      <c r="AD31" s="83">
        <v>0</v>
      </c>
      <c r="AE31" s="83">
        <v>0</v>
      </c>
      <c r="AF31" s="83">
        <v>0</v>
      </c>
      <c r="AG31" s="83">
        <v>0</v>
      </c>
      <c r="AH31" s="83">
        <v>0</v>
      </c>
      <c r="AI31" s="83">
        <v>0</v>
      </c>
      <c r="AJ31" s="83">
        <v>0</v>
      </c>
      <c r="AK31" s="83">
        <v>0</v>
      </c>
      <c r="AL31" s="83">
        <v>0</v>
      </c>
      <c r="AM31" s="83">
        <v>0</v>
      </c>
      <c r="AN31" s="31">
        <f>SUM(AA31:AM31)</f>
        <v>0</v>
      </c>
      <c r="AO31" s="83">
        <v>0</v>
      </c>
      <c r="AP31" s="83">
        <v>0</v>
      </c>
      <c r="AQ31" s="83">
        <v>0</v>
      </c>
      <c r="AR31" s="83">
        <v>0</v>
      </c>
      <c r="AS31" s="83">
        <v>0</v>
      </c>
      <c r="AT31" s="83">
        <v>0</v>
      </c>
      <c r="AU31" s="83">
        <v>0</v>
      </c>
      <c r="BA31" s="31">
        <f t="shared" ref="BA31:BA32" si="44">SUM(AN31:AZ31)</f>
        <v>0</v>
      </c>
    </row>
    <row r="32" spans="1:55" x14ac:dyDescent="0.2">
      <c r="B32" s="3" t="s">
        <v>1764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-80.239999999999995</v>
      </c>
      <c r="L32" s="83">
        <v>-241.46</v>
      </c>
      <c r="M32" s="83">
        <v>321.7</v>
      </c>
      <c r="N32" s="83">
        <v>0</v>
      </c>
      <c r="O32" s="83">
        <v>0</v>
      </c>
      <c r="P32" s="83">
        <v>0</v>
      </c>
      <c r="Q32" s="83">
        <v>0</v>
      </c>
      <c r="R32" s="83">
        <v>0</v>
      </c>
      <c r="S32" s="83">
        <v>0</v>
      </c>
      <c r="T32" s="83">
        <v>0</v>
      </c>
      <c r="U32" s="83">
        <v>0</v>
      </c>
      <c r="V32" s="83">
        <v>0</v>
      </c>
      <c r="W32" s="83">
        <v>0</v>
      </c>
      <c r="X32" s="83">
        <v>0</v>
      </c>
      <c r="Y32" s="83">
        <v>0</v>
      </c>
      <c r="Z32" s="83">
        <v>0</v>
      </c>
      <c r="AA32" s="31">
        <f>SUM(O32:Z32)</f>
        <v>0</v>
      </c>
      <c r="AB32" s="83">
        <v>0</v>
      </c>
      <c r="AC32" s="83">
        <v>0</v>
      </c>
      <c r="AD32" s="83">
        <v>0</v>
      </c>
      <c r="AE32" s="83">
        <v>0</v>
      </c>
      <c r="AF32" s="83">
        <v>0</v>
      </c>
      <c r="AG32" s="83">
        <v>0</v>
      </c>
      <c r="AH32" s="83">
        <v>0</v>
      </c>
      <c r="AI32" s="83">
        <v>0</v>
      </c>
      <c r="AJ32" s="83">
        <v>0</v>
      </c>
      <c r="AK32" s="83">
        <v>0</v>
      </c>
      <c r="AL32" s="83">
        <v>0</v>
      </c>
      <c r="AM32" s="83">
        <v>0</v>
      </c>
      <c r="AN32" s="31">
        <f>SUM(AA32:AM32)</f>
        <v>0</v>
      </c>
      <c r="AO32" s="83">
        <v>0</v>
      </c>
      <c r="AP32" s="83">
        <v>0</v>
      </c>
      <c r="AQ32" s="83">
        <v>0</v>
      </c>
      <c r="AR32" s="83">
        <v>0</v>
      </c>
      <c r="AS32" s="83">
        <v>0</v>
      </c>
      <c r="AT32" s="83">
        <v>0</v>
      </c>
      <c r="AU32" s="83">
        <v>0</v>
      </c>
      <c r="BA32" s="31">
        <f t="shared" si="44"/>
        <v>0</v>
      </c>
    </row>
    <row r="33" spans="1:54" s="34" customFormat="1" ht="12" x14ac:dyDescent="0.2">
      <c r="A33" s="116"/>
      <c r="B33" s="35" t="s">
        <v>1770</v>
      </c>
      <c r="C33" s="36">
        <f t="shared" ref="C33:AU33" si="45">SUM(C31:C32)</f>
        <v>0</v>
      </c>
      <c r="D33" s="36">
        <f t="shared" si="45"/>
        <v>0</v>
      </c>
      <c r="E33" s="36">
        <f t="shared" si="45"/>
        <v>0</v>
      </c>
      <c r="F33" s="36">
        <f t="shared" si="45"/>
        <v>0</v>
      </c>
      <c r="G33" s="36">
        <f t="shared" si="45"/>
        <v>0</v>
      </c>
      <c r="H33" s="36">
        <f t="shared" si="45"/>
        <v>0</v>
      </c>
      <c r="I33" s="36">
        <f t="shared" si="45"/>
        <v>0</v>
      </c>
      <c r="J33" s="36">
        <f t="shared" si="45"/>
        <v>0</v>
      </c>
      <c r="K33" s="36">
        <f t="shared" si="45"/>
        <v>9843.380000000001</v>
      </c>
      <c r="L33" s="85">
        <f t="shared" si="45"/>
        <v>-241.46</v>
      </c>
      <c r="M33" s="85">
        <f t="shared" si="45"/>
        <v>-9601.92</v>
      </c>
      <c r="N33" s="85">
        <f t="shared" si="45"/>
        <v>0</v>
      </c>
      <c r="O33" s="85">
        <f t="shared" si="45"/>
        <v>0</v>
      </c>
      <c r="P33" s="85">
        <f t="shared" si="45"/>
        <v>0</v>
      </c>
      <c r="Q33" s="85">
        <f t="shared" si="45"/>
        <v>0</v>
      </c>
      <c r="R33" s="85">
        <f t="shared" si="45"/>
        <v>0</v>
      </c>
      <c r="S33" s="85">
        <f t="shared" si="45"/>
        <v>0</v>
      </c>
      <c r="T33" s="85">
        <f t="shared" si="45"/>
        <v>0</v>
      </c>
      <c r="U33" s="85">
        <f t="shared" si="45"/>
        <v>0</v>
      </c>
      <c r="V33" s="85">
        <f t="shared" si="45"/>
        <v>0</v>
      </c>
      <c r="W33" s="85">
        <f t="shared" si="45"/>
        <v>0</v>
      </c>
      <c r="X33" s="85">
        <f t="shared" si="45"/>
        <v>0</v>
      </c>
      <c r="Y33" s="85">
        <f t="shared" si="45"/>
        <v>0</v>
      </c>
      <c r="Z33" s="85">
        <f t="shared" si="45"/>
        <v>0</v>
      </c>
      <c r="AA33" s="85">
        <f t="shared" si="45"/>
        <v>0</v>
      </c>
      <c r="AB33" s="85">
        <f t="shared" si="45"/>
        <v>0</v>
      </c>
      <c r="AC33" s="85">
        <f t="shared" si="45"/>
        <v>0</v>
      </c>
      <c r="AD33" s="85">
        <f t="shared" si="45"/>
        <v>0</v>
      </c>
      <c r="AE33" s="85">
        <f t="shared" si="45"/>
        <v>0</v>
      </c>
      <c r="AF33" s="85">
        <f t="shared" si="45"/>
        <v>0</v>
      </c>
      <c r="AG33" s="85">
        <f t="shared" si="45"/>
        <v>0</v>
      </c>
      <c r="AH33" s="85">
        <f t="shared" si="45"/>
        <v>0</v>
      </c>
      <c r="AI33" s="85">
        <f t="shared" si="45"/>
        <v>0</v>
      </c>
      <c r="AJ33" s="85">
        <f t="shared" si="45"/>
        <v>0</v>
      </c>
      <c r="AK33" s="85">
        <f t="shared" si="45"/>
        <v>0</v>
      </c>
      <c r="AL33" s="85">
        <f t="shared" si="45"/>
        <v>0</v>
      </c>
      <c r="AM33" s="85">
        <f t="shared" si="45"/>
        <v>0</v>
      </c>
      <c r="AN33" s="129">
        <f t="shared" si="45"/>
        <v>0</v>
      </c>
      <c r="AO33" s="85">
        <f t="shared" si="45"/>
        <v>0</v>
      </c>
      <c r="AP33" s="85">
        <f t="shared" si="45"/>
        <v>0</v>
      </c>
      <c r="AQ33" s="85">
        <f t="shared" si="45"/>
        <v>0</v>
      </c>
      <c r="AR33" s="85">
        <f t="shared" si="45"/>
        <v>0</v>
      </c>
      <c r="AS33" s="85">
        <f t="shared" si="45"/>
        <v>0</v>
      </c>
      <c r="AT33" s="85">
        <f t="shared" si="45"/>
        <v>0</v>
      </c>
      <c r="AU33" s="85">
        <f t="shared" si="45"/>
        <v>0</v>
      </c>
      <c r="AV33" s="85">
        <f t="shared" ref="AV33" si="46">SUM(AV31:AV32)</f>
        <v>0</v>
      </c>
      <c r="AW33" s="85">
        <f t="shared" ref="AW33" si="47">SUM(AW31:AW32)</f>
        <v>0</v>
      </c>
      <c r="AX33" s="85">
        <f t="shared" ref="AX33" si="48">SUM(AX31:AX32)</f>
        <v>0</v>
      </c>
      <c r="AY33" s="85">
        <f t="shared" ref="AY33" si="49">SUM(AY31:AY32)</f>
        <v>0</v>
      </c>
      <c r="AZ33" s="85">
        <f t="shared" ref="AZ33" si="50">SUM(AZ31:AZ32)</f>
        <v>0</v>
      </c>
      <c r="BA33" s="129">
        <f t="shared" ref="BA33" si="51">SUM(BA31:BA32)</f>
        <v>0</v>
      </c>
    </row>
    <row r="34" spans="1:54" x14ac:dyDescent="0.2">
      <c r="B34" s="3" t="s">
        <v>33</v>
      </c>
      <c r="C34" s="20">
        <v>61827.360000000001</v>
      </c>
      <c r="D34" s="20">
        <v>28072.04</v>
      </c>
      <c r="E34" s="20">
        <v>620.86</v>
      </c>
      <c r="F34" s="24">
        <v>-2070.5</v>
      </c>
      <c r="G34" s="24">
        <v>30196.34</v>
      </c>
      <c r="H34" s="20">
        <v>-34509.89</v>
      </c>
      <c r="I34" s="20">
        <v>-14156.93</v>
      </c>
      <c r="J34" s="20">
        <v>3288.3</v>
      </c>
      <c r="K34" s="20">
        <v>17653.3</v>
      </c>
      <c r="L34" s="83">
        <v>7875.48</v>
      </c>
      <c r="M34" s="83">
        <v>2176.2199999999998</v>
      </c>
      <c r="N34" s="83">
        <v>41</v>
      </c>
      <c r="O34" s="83">
        <v>104384.55</v>
      </c>
      <c r="P34" s="83">
        <v>15068.45</v>
      </c>
      <c r="Q34" s="83">
        <v>-1661.31</v>
      </c>
      <c r="R34" s="83">
        <v>-1543.65</v>
      </c>
      <c r="S34" s="83">
        <v>-1991.43</v>
      </c>
      <c r="T34" s="83">
        <v>-6052.87</v>
      </c>
      <c r="U34" s="83">
        <v>6842.49</v>
      </c>
      <c r="V34" s="83">
        <v>-239.04</v>
      </c>
      <c r="W34" s="83">
        <v>1367.18</v>
      </c>
      <c r="X34" s="83">
        <v>14606.98</v>
      </c>
      <c r="Y34" s="83">
        <v>2752.62</v>
      </c>
      <c r="Z34" s="83">
        <v>-10882.98</v>
      </c>
      <c r="AA34" s="31">
        <f>SUM(O34:Z34)</f>
        <v>122650.99000000003</v>
      </c>
      <c r="AB34" s="83">
        <v>-10141.969999999999</v>
      </c>
      <c r="AC34" s="83">
        <v>16931.87</v>
      </c>
      <c r="AD34" s="83">
        <v>-1218.44</v>
      </c>
      <c r="AE34" s="83">
        <v>-2880.95</v>
      </c>
      <c r="AF34" s="83">
        <v>-5633.2</v>
      </c>
      <c r="AG34" s="83">
        <v>-3767.54</v>
      </c>
      <c r="AH34" s="83">
        <v>-5123.18</v>
      </c>
      <c r="AI34" s="83">
        <v>-18758.78</v>
      </c>
      <c r="AJ34" s="83">
        <v>-13350.66</v>
      </c>
      <c r="AK34" s="83">
        <v>-2150.3200000000002</v>
      </c>
      <c r="AL34" s="83">
        <v>102.7</v>
      </c>
      <c r="AM34" s="83">
        <v>19581.03</v>
      </c>
      <c r="AN34" s="31">
        <f t="shared" ref="AN34:AN48" si="52">SUM(AA34:AM34)</f>
        <v>96241.550000000032</v>
      </c>
      <c r="AO34" s="83">
        <v>9199.64</v>
      </c>
      <c r="AP34" s="83">
        <v>-17011.66</v>
      </c>
      <c r="AQ34" s="83">
        <v>-16091.23</v>
      </c>
      <c r="AR34" s="83">
        <v>-9769.44</v>
      </c>
      <c r="AS34" s="83">
        <v>14889.67</v>
      </c>
      <c r="AT34" s="83">
        <v>-19023.990000000002</v>
      </c>
      <c r="AU34" s="83">
        <v>-333.04</v>
      </c>
      <c r="BA34" s="31">
        <f t="shared" ref="BA34:BA48" si="53">SUM(AN34:AZ34)</f>
        <v>58101.500000000022</v>
      </c>
    </row>
    <row r="35" spans="1:54" x14ac:dyDescent="0.2">
      <c r="B35" s="3" t="s">
        <v>34</v>
      </c>
      <c r="C35" s="20">
        <v>1075.56</v>
      </c>
      <c r="D35" s="20">
        <v>-1904.17</v>
      </c>
      <c r="E35" s="20">
        <v>1460.94</v>
      </c>
      <c r="F35" s="24">
        <v>1989.77</v>
      </c>
      <c r="G35" s="24">
        <v>-3665.45</v>
      </c>
      <c r="H35" s="20">
        <v>540.78</v>
      </c>
      <c r="I35" s="20">
        <v>168.83</v>
      </c>
      <c r="J35" s="20">
        <v>84.7</v>
      </c>
      <c r="K35" s="20">
        <v>-1191</v>
      </c>
      <c r="L35" s="83">
        <v>-688.59</v>
      </c>
      <c r="M35" s="83">
        <v>3099.51</v>
      </c>
      <c r="N35" s="83">
        <v>-285.37</v>
      </c>
      <c r="O35" s="83">
        <v>-1217.69</v>
      </c>
      <c r="P35" s="83">
        <v>487.62</v>
      </c>
      <c r="Q35" s="83">
        <v>-779.94</v>
      </c>
      <c r="R35" s="83">
        <v>-2007.02</v>
      </c>
      <c r="S35" s="83">
        <v>905.34</v>
      </c>
      <c r="T35" s="83">
        <v>626.51</v>
      </c>
      <c r="U35" s="83">
        <v>1455.46</v>
      </c>
      <c r="V35" s="83">
        <v>4637.47</v>
      </c>
      <c r="W35" s="83">
        <v>-8.7100000000000009</v>
      </c>
      <c r="X35" s="83">
        <v>-4925.8900000000003</v>
      </c>
      <c r="Y35" s="83">
        <v>-1275.48</v>
      </c>
      <c r="Z35" s="83">
        <v>-1016.14</v>
      </c>
      <c r="AA35" s="31">
        <f>SUM(O35:Z35)</f>
        <v>-3118.4700000000003</v>
      </c>
      <c r="AB35" s="83">
        <v>1045.42</v>
      </c>
      <c r="AC35" s="83">
        <v>-1109.3699999999999</v>
      </c>
      <c r="AD35" s="83">
        <v>549.76</v>
      </c>
      <c r="AE35" s="83">
        <v>1412.29</v>
      </c>
      <c r="AF35" s="83">
        <v>2491.11</v>
      </c>
      <c r="AG35" s="83">
        <v>-539.17999999999995</v>
      </c>
      <c r="AH35" s="83">
        <v>-1611.91</v>
      </c>
      <c r="AI35" s="83">
        <v>118.9</v>
      </c>
      <c r="AJ35" s="83">
        <v>-268.58</v>
      </c>
      <c r="AK35" s="83">
        <v>726.98</v>
      </c>
      <c r="AL35" s="83">
        <v>-49.55</v>
      </c>
      <c r="AM35" s="83">
        <v>81.87</v>
      </c>
      <c r="AN35" s="31">
        <f t="shared" si="52"/>
        <v>-270.72999999999973</v>
      </c>
      <c r="AO35" s="83">
        <v>-109.41</v>
      </c>
      <c r="AP35" s="83">
        <v>329.22</v>
      </c>
      <c r="AQ35" s="83">
        <v>-504.56</v>
      </c>
      <c r="AR35" s="83">
        <v>-621.91999999999996</v>
      </c>
      <c r="AS35" s="83">
        <v>-1188.06</v>
      </c>
      <c r="AT35" s="83">
        <v>1594.16</v>
      </c>
      <c r="AU35" s="83">
        <v>297.33999999999997</v>
      </c>
      <c r="BA35" s="31">
        <f t="shared" si="53"/>
        <v>-473.95999999999952</v>
      </c>
    </row>
    <row r="36" spans="1:54" s="22" customFormat="1" x14ac:dyDescent="0.2">
      <c r="A36" s="117"/>
      <c r="B36" s="105" t="s">
        <v>1005</v>
      </c>
      <c r="C36" s="130"/>
      <c r="D36" s="130"/>
      <c r="E36" s="130"/>
      <c r="F36" s="131"/>
      <c r="G36" s="131"/>
      <c r="H36" s="130"/>
      <c r="I36" s="130"/>
      <c r="J36" s="130"/>
      <c r="K36" s="130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3">
        <v>0</v>
      </c>
      <c r="AB36" s="123">
        <v>0</v>
      </c>
      <c r="AC36" s="123">
        <v>0</v>
      </c>
      <c r="AD36" s="123">
        <v>0</v>
      </c>
      <c r="AE36" s="123">
        <v>0</v>
      </c>
      <c r="AF36" s="122">
        <v>-262.92</v>
      </c>
      <c r="AG36" s="122">
        <v>0</v>
      </c>
      <c r="AH36" s="122">
        <v>0</v>
      </c>
      <c r="AI36" s="122">
        <v>0</v>
      </c>
      <c r="AJ36" s="122">
        <v>0</v>
      </c>
      <c r="AK36" s="122">
        <v>0</v>
      </c>
      <c r="AL36" s="122">
        <v>0</v>
      </c>
      <c r="AM36" s="122">
        <v>0</v>
      </c>
      <c r="AN36" s="123">
        <f t="shared" si="52"/>
        <v>-262.92</v>
      </c>
      <c r="AO36" s="112">
        <v>0</v>
      </c>
      <c r="AP36" s="83">
        <v>0</v>
      </c>
      <c r="AQ36" s="83">
        <v>0</v>
      </c>
      <c r="AR36" s="83">
        <v>0</v>
      </c>
      <c r="AS36" s="83">
        <v>0</v>
      </c>
      <c r="AT36" s="83">
        <v>0</v>
      </c>
      <c r="AU36" s="83">
        <v>262.92</v>
      </c>
      <c r="AV36" s="122"/>
      <c r="AW36" s="122"/>
      <c r="AX36" s="122"/>
      <c r="AY36" s="122"/>
      <c r="AZ36" s="122"/>
      <c r="BA36" s="113">
        <f t="shared" si="53"/>
        <v>0</v>
      </c>
      <c r="BB36" s="185">
        <f>BA36+AN36</f>
        <v>-262.92</v>
      </c>
    </row>
    <row r="37" spans="1:54" x14ac:dyDescent="0.2">
      <c r="B37" s="18" t="s">
        <v>1006</v>
      </c>
      <c r="AA37" s="31">
        <v>0</v>
      </c>
      <c r="AB37" s="31">
        <v>0</v>
      </c>
      <c r="AC37" s="31">
        <v>0</v>
      </c>
      <c r="AD37" s="31">
        <v>0</v>
      </c>
      <c r="AE37" s="31">
        <v>0</v>
      </c>
      <c r="AF37" s="83">
        <v>-1.71</v>
      </c>
      <c r="AG37" s="83">
        <v>-1.1200000000000001</v>
      </c>
      <c r="AH37" s="83">
        <v>3.67</v>
      </c>
      <c r="AI37" s="83">
        <v>0.04</v>
      </c>
      <c r="AJ37" s="83">
        <v>3.45</v>
      </c>
      <c r="AK37" s="83">
        <v>-0.86</v>
      </c>
      <c r="AL37" s="83">
        <v>0.56000000000000005</v>
      </c>
      <c r="AM37" s="83">
        <v>0.9</v>
      </c>
      <c r="AN37" s="31">
        <f t="shared" si="52"/>
        <v>4.9300000000000006</v>
      </c>
      <c r="AO37" s="83">
        <v>1.17</v>
      </c>
      <c r="AP37" s="83">
        <v>-0.26</v>
      </c>
      <c r="AQ37" s="83">
        <v>3.32</v>
      </c>
      <c r="AR37" s="83">
        <v>5.57</v>
      </c>
      <c r="AS37" s="83">
        <v>6.98</v>
      </c>
      <c r="AT37" s="83">
        <v>0.22</v>
      </c>
      <c r="AU37" s="83">
        <v>-21.93</v>
      </c>
      <c r="BA37" s="31">
        <f t="shared" si="53"/>
        <v>0</v>
      </c>
    </row>
    <row r="38" spans="1:54" x14ac:dyDescent="0.2">
      <c r="B38" s="18" t="s">
        <v>1890</v>
      </c>
      <c r="AA38" s="31">
        <v>0</v>
      </c>
      <c r="AB38" s="31">
        <v>0</v>
      </c>
      <c r="AC38" s="31">
        <v>0</v>
      </c>
      <c r="AD38" s="31">
        <v>0</v>
      </c>
      <c r="AE38" s="31">
        <v>0</v>
      </c>
      <c r="AF38" s="31">
        <v>0</v>
      </c>
      <c r="AG38" s="31">
        <v>0</v>
      </c>
      <c r="AH38" s="31">
        <v>0</v>
      </c>
      <c r="AI38" s="31">
        <v>0</v>
      </c>
      <c r="AJ38" s="31">
        <v>0</v>
      </c>
      <c r="AK38" s="31">
        <v>0</v>
      </c>
      <c r="AL38" s="31">
        <v>0</v>
      </c>
      <c r="AM38" s="91">
        <v>759.11</v>
      </c>
      <c r="AN38" s="31">
        <f t="shared" si="52"/>
        <v>759.11</v>
      </c>
      <c r="AO38" s="83">
        <v>-759.11</v>
      </c>
      <c r="AP38" s="83">
        <v>0</v>
      </c>
      <c r="AQ38" s="83">
        <v>0</v>
      </c>
      <c r="AR38" s="83">
        <v>0</v>
      </c>
      <c r="AS38" s="83">
        <v>0</v>
      </c>
      <c r="AT38" s="83">
        <v>0</v>
      </c>
      <c r="AU38" s="83">
        <v>0</v>
      </c>
      <c r="AV38" s="31"/>
      <c r="AW38" s="31"/>
      <c r="AX38" s="31"/>
      <c r="AY38" s="31"/>
      <c r="AZ38" s="91"/>
      <c r="BA38" s="31">
        <f t="shared" si="53"/>
        <v>0</v>
      </c>
    </row>
    <row r="39" spans="1:54" s="18" customFormat="1" x14ac:dyDescent="0.2">
      <c r="A39" s="114"/>
      <c r="B39" s="18" t="s">
        <v>35</v>
      </c>
      <c r="C39" s="76">
        <v>2597.52</v>
      </c>
      <c r="D39" s="76">
        <v>0</v>
      </c>
      <c r="E39" s="76">
        <v>0</v>
      </c>
      <c r="F39" s="77">
        <v>-2597.52</v>
      </c>
      <c r="G39" s="77">
        <v>0</v>
      </c>
      <c r="H39" s="76">
        <v>0</v>
      </c>
      <c r="I39" s="76">
        <v>0</v>
      </c>
      <c r="J39" s="76">
        <v>331221.69</v>
      </c>
      <c r="K39" s="76">
        <v>132089.60999999999</v>
      </c>
      <c r="L39" s="83">
        <v>-463311.3</v>
      </c>
      <c r="M39" s="83">
        <v>0</v>
      </c>
      <c r="N39" s="83">
        <v>565357.01</v>
      </c>
      <c r="O39" s="83">
        <v>583232.68999999994</v>
      </c>
      <c r="P39" s="83">
        <v>3003.32</v>
      </c>
      <c r="Q39" s="83">
        <v>-586236.01</v>
      </c>
      <c r="R39" s="83">
        <v>0</v>
      </c>
      <c r="S39" s="83">
        <v>0</v>
      </c>
      <c r="T39" s="83">
        <v>0</v>
      </c>
      <c r="U39" s="83">
        <v>0</v>
      </c>
      <c r="V39" s="83">
        <v>0</v>
      </c>
      <c r="W39" s="83">
        <v>0</v>
      </c>
      <c r="X39" s="83">
        <v>0</v>
      </c>
      <c r="Y39" s="83">
        <v>0</v>
      </c>
      <c r="Z39" s="83">
        <v>0</v>
      </c>
      <c r="AA39" s="31">
        <f t="shared" ref="AA39:AA48" si="54">SUM(O39:Z39)</f>
        <v>-1.1641532182693481E-10</v>
      </c>
      <c r="AB39" s="83">
        <v>0</v>
      </c>
      <c r="AC39" s="83">
        <v>0</v>
      </c>
      <c r="AD39" s="83">
        <v>0</v>
      </c>
      <c r="AE39" s="83">
        <v>0</v>
      </c>
      <c r="AF39" s="83">
        <v>0</v>
      </c>
      <c r="AG39" s="83">
        <v>0</v>
      </c>
      <c r="AH39" s="83">
        <v>0</v>
      </c>
      <c r="AI39" s="83">
        <v>0</v>
      </c>
      <c r="AJ39" s="83">
        <v>0</v>
      </c>
      <c r="AK39" s="83">
        <v>0</v>
      </c>
      <c r="AL39" s="83">
        <v>0</v>
      </c>
      <c r="AM39" s="83">
        <v>435432.41</v>
      </c>
      <c r="AN39" s="31">
        <f t="shared" si="52"/>
        <v>435432.40999999986</v>
      </c>
      <c r="AO39" s="83">
        <v>180.87</v>
      </c>
      <c r="AP39" s="83">
        <v>921.2</v>
      </c>
      <c r="AQ39" s="83">
        <v>-436534.48</v>
      </c>
      <c r="AR39" s="83">
        <v>0</v>
      </c>
      <c r="AS39" s="83">
        <v>0</v>
      </c>
      <c r="AT39" s="83">
        <v>0</v>
      </c>
      <c r="AU39" s="83">
        <v>0</v>
      </c>
      <c r="AV39" s="83"/>
      <c r="AW39" s="83"/>
      <c r="AX39" s="83"/>
      <c r="AY39" s="83"/>
      <c r="AZ39" s="83"/>
      <c r="BA39" s="31">
        <f t="shared" si="53"/>
        <v>-1.1641532182693481E-10</v>
      </c>
    </row>
    <row r="40" spans="1:54" x14ac:dyDescent="0.2">
      <c r="B40" s="3" t="s">
        <v>971</v>
      </c>
      <c r="C40" s="20">
        <v>0</v>
      </c>
      <c r="D40" s="20">
        <v>0</v>
      </c>
      <c r="E40" s="20">
        <v>0</v>
      </c>
      <c r="F40" s="24">
        <v>0</v>
      </c>
      <c r="G40" s="24">
        <v>0</v>
      </c>
      <c r="H40" s="20">
        <v>0</v>
      </c>
      <c r="I40" s="20">
        <v>0</v>
      </c>
      <c r="J40" s="20">
        <v>0</v>
      </c>
      <c r="K40" s="20">
        <v>0</v>
      </c>
      <c r="L40" s="83">
        <v>0</v>
      </c>
      <c r="M40" s="83">
        <v>0</v>
      </c>
      <c r="N40" s="83">
        <v>0</v>
      </c>
      <c r="O40" s="83">
        <v>0</v>
      </c>
      <c r="P40" s="83">
        <v>0</v>
      </c>
      <c r="Q40" s="83">
        <v>0</v>
      </c>
      <c r="R40" s="83">
        <v>0</v>
      </c>
      <c r="S40" s="83">
        <v>0</v>
      </c>
      <c r="T40" s="83">
        <v>0</v>
      </c>
      <c r="U40" s="83">
        <v>0</v>
      </c>
      <c r="V40" s="83">
        <v>0</v>
      </c>
      <c r="W40" s="83">
        <v>0</v>
      </c>
      <c r="X40" s="83">
        <v>0</v>
      </c>
      <c r="Y40" s="83">
        <v>0</v>
      </c>
      <c r="Z40" s="83">
        <v>0</v>
      </c>
      <c r="AA40" s="31">
        <f t="shared" si="54"/>
        <v>0</v>
      </c>
      <c r="AB40" s="83">
        <v>0</v>
      </c>
      <c r="AC40" s="83">
        <v>0</v>
      </c>
      <c r="AD40" s="83">
        <v>0</v>
      </c>
      <c r="AE40" s="83">
        <v>0</v>
      </c>
      <c r="AF40" s="83">
        <v>0</v>
      </c>
      <c r="AG40" s="83">
        <v>0</v>
      </c>
      <c r="AH40" s="83">
        <v>0</v>
      </c>
      <c r="AI40" s="83">
        <v>0</v>
      </c>
      <c r="AJ40" s="83">
        <v>0</v>
      </c>
      <c r="AK40" s="83">
        <v>0</v>
      </c>
      <c r="AL40" s="83">
        <v>0</v>
      </c>
      <c r="AM40" s="83">
        <v>0</v>
      </c>
      <c r="AN40" s="31">
        <f t="shared" si="52"/>
        <v>0</v>
      </c>
      <c r="AO40" s="83">
        <v>0</v>
      </c>
      <c r="AP40" s="83">
        <v>0</v>
      </c>
      <c r="AQ40" s="83">
        <v>0</v>
      </c>
      <c r="AR40" s="83">
        <v>0</v>
      </c>
      <c r="AS40" s="83">
        <v>0</v>
      </c>
      <c r="AT40" s="83">
        <v>0</v>
      </c>
      <c r="AU40" s="83">
        <v>0</v>
      </c>
      <c r="BA40" s="31">
        <f t="shared" si="53"/>
        <v>0</v>
      </c>
    </row>
    <row r="41" spans="1:54" x14ac:dyDescent="0.2">
      <c r="B41" s="3" t="s">
        <v>972</v>
      </c>
      <c r="C41" s="20">
        <v>0</v>
      </c>
      <c r="D41" s="20">
        <v>0</v>
      </c>
      <c r="E41" s="20">
        <v>0</v>
      </c>
      <c r="F41" s="24">
        <v>0</v>
      </c>
      <c r="G41" s="24">
        <v>0</v>
      </c>
      <c r="H41" s="20">
        <v>0</v>
      </c>
      <c r="I41" s="20">
        <v>0</v>
      </c>
      <c r="J41" s="20">
        <v>0</v>
      </c>
      <c r="K41" s="20">
        <v>0</v>
      </c>
      <c r="L41" s="83">
        <v>0</v>
      </c>
      <c r="M41" s="83">
        <v>0</v>
      </c>
      <c r="N41" s="83">
        <v>0</v>
      </c>
      <c r="O41" s="83">
        <v>0</v>
      </c>
      <c r="P41" s="83">
        <v>0</v>
      </c>
      <c r="Q41" s="83">
        <v>0</v>
      </c>
      <c r="R41" s="83">
        <v>0</v>
      </c>
      <c r="S41" s="83">
        <v>0</v>
      </c>
      <c r="T41" s="83">
        <v>0</v>
      </c>
      <c r="U41" s="83">
        <v>0</v>
      </c>
      <c r="V41" s="83">
        <v>0</v>
      </c>
      <c r="W41" s="83">
        <v>0</v>
      </c>
      <c r="X41" s="83">
        <v>0</v>
      </c>
      <c r="Y41" s="83">
        <v>0</v>
      </c>
      <c r="Z41" s="83">
        <v>0</v>
      </c>
      <c r="AA41" s="31">
        <f t="shared" si="54"/>
        <v>0</v>
      </c>
      <c r="AB41" s="83">
        <v>0</v>
      </c>
      <c r="AC41" s="83">
        <v>0</v>
      </c>
      <c r="AD41" s="83">
        <v>0</v>
      </c>
      <c r="AE41" s="83">
        <v>0</v>
      </c>
      <c r="AF41" s="83">
        <v>0</v>
      </c>
      <c r="AG41" s="83">
        <v>0</v>
      </c>
      <c r="AH41" s="83">
        <v>0</v>
      </c>
      <c r="AI41" s="83">
        <v>0</v>
      </c>
      <c r="AJ41" s="83">
        <v>0</v>
      </c>
      <c r="AK41" s="83">
        <v>0</v>
      </c>
      <c r="AL41" s="83">
        <v>0</v>
      </c>
      <c r="AM41" s="83">
        <v>0</v>
      </c>
      <c r="AN41" s="31">
        <f t="shared" si="52"/>
        <v>0</v>
      </c>
      <c r="AO41" s="83">
        <v>0</v>
      </c>
      <c r="AP41" s="83">
        <v>0</v>
      </c>
      <c r="AQ41" s="83">
        <v>0</v>
      </c>
      <c r="AR41" s="83">
        <v>0</v>
      </c>
      <c r="AS41" s="83">
        <v>0</v>
      </c>
      <c r="AT41" s="83">
        <v>0</v>
      </c>
      <c r="AU41" s="83">
        <v>0</v>
      </c>
      <c r="BA41" s="31">
        <f t="shared" si="53"/>
        <v>0</v>
      </c>
    </row>
    <row r="42" spans="1:54" x14ac:dyDescent="0.2">
      <c r="B42" s="3" t="s">
        <v>477</v>
      </c>
      <c r="C42" s="20">
        <v>0</v>
      </c>
      <c r="D42" s="20">
        <v>1308.82</v>
      </c>
      <c r="E42" s="20">
        <v>3234.62</v>
      </c>
      <c r="F42" s="24">
        <v>-4543.4399999999996</v>
      </c>
      <c r="G42" s="24">
        <v>0</v>
      </c>
      <c r="H42" s="20">
        <v>1316.63</v>
      </c>
      <c r="I42" s="20">
        <v>-1316.63</v>
      </c>
      <c r="J42" s="20">
        <v>0</v>
      </c>
      <c r="K42" s="20">
        <v>4809.87</v>
      </c>
      <c r="L42" s="83">
        <v>0</v>
      </c>
      <c r="M42" s="83">
        <v>408.85</v>
      </c>
      <c r="N42" s="83">
        <v>-1682.66</v>
      </c>
      <c r="O42" s="83">
        <v>0</v>
      </c>
      <c r="P42" s="83">
        <v>0</v>
      </c>
      <c r="Q42" s="83">
        <v>3672.41</v>
      </c>
      <c r="R42" s="83">
        <v>5577.87</v>
      </c>
      <c r="S42" s="83">
        <v>0</v>
      </c>
      <c r="T42" s="83">
        <v>-1748.38</v>
      </c>
      <c r="U42" s="83">
        <v>-3359.92</v>
      </c>
      <c r="V42" s="83">
        <v>-667.46</v>
      </c>
      <c r="W42" s="83">
        <v>-3474.52</v>
      </c>
      <c r="X42" s="83">
        <v>1153.06</v>
      </c>
      <c r="Y42" s="83">
        <v>-1153.06</v>
      </c>
      <c r="Z42" s="83">
        <v>2757.73</v>
      </c>
      <c r="AA42" s="31">
        <f t="shared" si="54"/>
        <v>2757.7299999999987</v>
      </c>
      <c r="AB42" s="83">
        <v>-2733.75</v>
      </c>
      <c r="AC42" s="83">
        <v>-23.98</v>
      </c>
      <c r="AD42" s="83">
        <v>50.67</v>
      </c>
      <c r="AE42" s="83">
        <v>2509.84</v>
      </c>
      <c r="AF42" s="83">
        <v>-1689.88</v>
      </c>
      <c r="AG42" s="83">
        <v>-870.63</v>
      </c>
      <c r="AH42" s="83">
        <v>1742.84</v>
      </c>
      <c r="AI42" s="83">
        <v>20.57</v>
      </c>
      <c r="AJ42" s="83">
        <v>-1763.41</v>
      </c>
      <c r="AK42" s="83">
        <v>852.92</v>
      </c>
      <c r="AL42" s="83">
        <v>-852.92</v>
      </c>
      <c r="AM42" s="83">
        <v>1712.8</v>
      </c>
      <c r="AN42" s="31">
        <f t="shared" si="52"/>
        <v>1712.7999999999986</v>
      </c>
      <c r="AO42" s="83">
        <v>-1712.8</v>
      </c>
      <c r="AP42" s="83">
        <v>840.11</v>
      </c>
      <c r="AQ42" s="83">
        <v>-840.11</v>
      </c>
      <c r="AR42" s="83">
        <v>3400.04</v>
      </c>
      <c r="AS42" s="83">
        <v>-3400.04</v>
      </c>
      <c r="AT42" s="83">
        <v>1636.76</v>
      </c>
      <c r="AU42" s="83">
        <v>-816.7</v>
      </c>
      <c r="BA42" s="31">
        <f t="shared" si="53"/>
        <v>820.05999999999858</v>
      </c>
    </row>
    <row r="43" spans="1:54" x14ac:dyDescent="0.2">
      <c r="B43" s="3" t="s">
        <v>478</v>
      </c>
      <c r="C43" s="20">
        <v>0</v>
      </c>
      <c r="D43" s="20">
        <v>-24.18</v>
      </c>
      <c r="E43" s="20">
        <v>63.25</v>
      </c>
      <c r="F43" s="24">
        <v>-39.07</v>
      </c>
      <c r="G43" s="24">
        <v>0</v>
      </c>
      <c r="H43" s="20">
        <v>-10.8</v>
      </c>
      <c r="I43" s="20">
        <v>10.8</v>
      </c>
      <c r="J43" s="20">
        <v>0</v>
      </c>
      <c r="K43" s="20">
        <v>-19.05</v>
      </c>
      <c r="L43" s="83">
        <v>-117.54</v>
      </c>
      <c r="M43" s="83">
        <v>197.75</v>
      </c>
      <c r="N43" s="83">
        <v>-66.94</v>
      </c>
      <c r="O43" s="83">
        <v>0</v>
      </c>
      <c r="P43" s="83">
        <v>0</v>
      </c>
      <c r="Q43" s="83">
        <v>-27.07</v>
      </c>
      <c r="R43" s="83">
        <v>-110.67</v>
      </c>
      <c r="S43" s="83">
        <v>13.33</v>
      </c>
      <c r="T43" s="83">
        <v>84.63</v>
      </c>
      <c r="U43" s="83">
        <v>60.21</v>
      </c>
      <c r="V43" s="83">
        <v>27.69</v>
      </c>
      <c r="W43" s="83">
        <v>-48.12</v>
      </c>
      <c r="X43" s="83">
        <v>-4.63</v>
      </c>
      <c r="Y43" s="83">
        <v>4.63</v>
      </c>
      <c r="Z43" s="83">
        <v>-9.85</v>
      </c>
      <c r="AA43" s="31">
        <f t="shared" si="54"/>
        <v>-9.8500000000000068</v>
      </c>
      <c r="AB43" s="83">
        <v>9.69</v>
      </c>
      <c r="AC43" s="83">
        <v>0.16</v>
      </c>
      <c r="AD43" s="83">
        <v>-0.42</v>
      </c>
      <c r="AE43" s="83">
        <v>-2.2400000000000002</v>
      </c>
      <c r="AF43" s="83">
        <v>16.89</v>
      </c>
      <c r="AG43" s="83">
        <v>-14.23</v>
      </c>
      <c r="AH43" s="83">
        <v>-23.84</v>
      </c>
      <c r="AI43" s="83">
        <v>-0.64</v>
      </c>
      <c r="AJ43" s="83">
        <v>24.48</v>
      </c>
      <c r="AK43" s="83">
        <v>-2.0499999999999998</v>
      </c>
      <c r="AL43" s="83">
        <v>2.0499999999999998</v>
      </c>
      <c r="AM43" s="83">
        <v>2.56</v>
      </c>
      <c r="AN43" s="31">
        <f t="shared" si="52"/>
        <v>2.5599999999999929</v>
      </c>
      <c r="AO43" s="83">
        <v>-2.56</v>
      </c>
      <c r="AP43" s="83">
        <v>2.98</v>
      </c>
      <c r="AQ43" s="83">
        <v>-2.98</v>
      </c>
      <c r="AR43" s="83">
        <v>-19.8</v>
      </c>
      <c r="AS43" s="83">
        <v>19.8</v>
      </c>
      <c r="AT43" s="83">
        <v>4.32</v>
      </c>
      <c r="AU43" s="83">
        <v>-11.04</v>
      </c>
      <c r="BA43" s="31">
        <f t="shared" si="53"/>
        <v>-6.720000000000006</v>
      </c>
    </row>
    <row r="44" spans="1:54" x14ac:dyDescent="0.2">
      <c r="B44" s="3" t="s">
        <v>36</v>
      </c>
      <c r="C44" s="20">
        <v>266.16000000000003</v>
      </c>
      <c r="D44" s="20">
        <v>312.07</v>
      </c>
      <c r="E44" s="20">
        <v>-2265.4699999999998</v>
      </c>
      <c r="F44" s="24">
        <v>1422.16</v>
      </c>
      <c r="G44" s="24">
        <v>-5352.68</v>
      </c>
      <c r="H44" s="20">
        <v>6984.65</v>
      </c>
      <c r="I44" s="20">
        <v>8562.68</v>
      </c>
      <c r="J44" s="20">
        <v>-5861.35</v>
      </c>
      <c r="K44" s="20">
        <v>-3033.54</v>
      </c>
      <c r="L44" s="83">
        <v>4804.29</v>
      </c>
      <c r="M44" s="83">
        <v>-4190.87</v>
      </c>
      <c r="N44" s="83">
        <v>-772.93</v>
      </c>
      <c r="O44" s="83">
        <v>1006.07</v>
      </c>
      <c r="P44" s="83">
        <v>2787.49</v>
      </c>
      <c r="Q44" s="83">
        <v>-2832.04</v>
      </c>
      <c r="R44" s="83">
        <v>4964.97</v>
      </c>
      <c r="S44" s="83">
        <v>-3125.31</v>
      </c>
      <c r="T44" s="83">
        <v>-287.76</v>
      </c>
      <c r="U44" s="83">
        <v>-2450.42</v>
      </c>
      <c r="V44" s="83">
        <v>15384.76</v>
      </c>
      <c r="W44" s="83">
        <v>40.630000000000003</v>
      </c>
      <c r="X44" s="83">
        <v>-15444.63</v>
      </c>
      <c r="Y44" s="83">
        <v>0</v>
      </c>
      <c r="Z44" s="83">
        <v>-43.76</v>
      </c>
      <c r="AA44" s="31">
        <f t="shared" si="54"/>
        <v>2.2026824808563106E-13</v>
      </c>
      <c r="AB44" s="83">
        <v>0</v>
      </c>
      <c r="AC44" s="83">
        <v>-560.51</v>
      </c>
      <c r="AD44" s="83">
        <v>560.51</v>
      </c>
      <c r="AE44" s="83">
        <v>0</v>
      </c>
      <c r="AF44" s="83">
        <v>-2073.67</v>
      </c>
      <c r="AG44" s="83">
        <v>6764.85</v>
      </c>
      <c r="AH44" s="83">
        <v>-4691.18</v>
      </c>
      <c r="AI44" s="83">
        <v>0</v>
      </c>
      <c r="AJ44" s="83">
        <v>0</v>
      </c>
      <c r="AK44" s="83">
        <v>0</v>
      </c>
      <c r="AL44" s="83">
        <v>0</v>
      </c>
      <c r="AM44" s="83">
        <v>27.77</v>
      </c>
      <c r="AN44" s="31">
        <f t="shared" si="52"/>
        <v>27.77</v>
      </c>
      <c r="AO44" s="83">
        <v>-116</v>
      </c>
      <c r="AP44" s="83">
        <v>0</v>
      </c>
      <c r="AQ44" s="83">
        <v>5941.91</v>
      </c>
      <c r="AR44" s="83">
        <v>-5853.68</v>
      </c>
      <c r="AS44" s="83">
        <v>395.19</v>
      </c>
      <c r="AT44" s="83">
        <v>943.81</v>
      </c>
      <c r="AU44" s="83">
        <v>-1453.75</v>
      </c>
      <c r="BA44" s="31">
        <f t="shared" si="53"/>
        <v>-114.75</v>
      </c>
    </row>
    <row r="45" spans="1:54" x14ac:dyDescent="0.2">
      <c r="B45" s="3" t="s">
        <v>39</v>
      </c>
      <c r="C45" s="20">
        <v>2185.29</v>
      </c>
      <c r="D45" s="20">
        <v>2487.23</v>
      </c>
      <c r="E45" s="20">
        <v>8262.32</v>
      </c>
      <c r="F45" s="24">
        <v>11.3</v>
      </c>
      <c r="G45" s="24">
        <v>-1543.23</v>
      </c>
      <c r="H45" s="20">
        <v>0</v>
      </c>
      <c r="I45" s="20">
        <v>-10344.780000000001</v>
      </c>
      <c r="J45" s="20">
        <v>0</v>
      </c>
      <c r="K45" s="20">
        <v>-1058.1300000000001</v>
      </c>
      <c r="L45" s="83">
        <v>0</v>
      </c>
      <c r="M45" s="83">
        <v>1024.5999999999999</v>
      </c>
      <c r="N45" s="83">
        <v>0</v>
      </c>
      <c r="O45" s="83">
        <v>0</v>
      </c>
      <c r="P45" s="83">
        <v>0</v>
      </c>
      <c r="Q45" s="83">
        <v>0</v>
      </c>
      <c r="R45" s="83">
        <v>538.29</v>
      </c>
      <c r="S45" s="83">
        <v>36.200000000000003</v>
      </c>
      <c r="T45" s="83">
        <v>0</v>
      </c>
      <c r="U45" s="83">
        <v>434</v>
      </c>
      <c r="V45" s="83">
        <v>27.59</v>
      </c>
      <c r="W45" s="83">
        <v>-1036.08</v>
      </c>
      <c r="X45" s="83">
        <v>0</v>
      </c>
      <c r="Y45" s="83">
        <v>1915.8</v>
      </c>
      <c r="Z45" s="83">
        <v>0</v>
      </c>
      <c r="AA45" s="31">
        <f t="shared" si="54"/>
        <v>1915.8</v>
      </c>
      <c r="AB45" s="83">
        <v>-1361.92</v>
      </c>
      <c r="AC45" s="83">
        <v>-553.88</v>
      </c>
      <c r="AD45" s="83">
        <v>0</v>
      </c>
      <c r="AE45" s="83">
        <v>0</v>
      </c>
      <c r="AF45" s="83">
        <v>0</v>
      </c>
      <c r="AG45" s="83">
        <v>0</v>
      </c>
      <c r="AH45" s="83">
        <v>0</v>
      </c>
      <c r="AI45" s="83">
        <v>0</v>
      </c>
      <c r="AJ45" s="83">
        <v>26.42</v>
      </c>
      <c r="AK45" s="83">
        <v>-24.27</v>
      </c>
      <c r="AL45" s="83">
        <v>-2.15</v>
      </c>
      <c r="AM45" s="83">
        <v>0</v>
      </c>
      <c r="AN45" s="31">
        <f t="shared" si="52"/>
        <v>-1.1146639167236572E-13</v>
      </c>
      <c r="AO45" s="83">
        <v>0</v>
      </c>
      <c r="AP45" s="83">
        <v>0</v>
      </c>
      <c r="AQ45" s="83">
        <v>0</v>
      </c>
      <c r="AR45" s="83">
        <v>0</v>
      </c>
      <c r="AS45" s="83">
        <v>410.16</v>
      </c>
      <c r="AT45" s="83">
        <v>0</v>
      </c>
      <c r="AU45" s="83">
        <v>0</v>
      </c>
      <c r="BA45" s="31">
        <f t="shared" si="53"/>
        <v>410.15999999999991</v>
      </c>
    </row>
    <row r="46" spans="1:54" x14ac:dyDescent="0.2">
      <c r="B46" s="3" t="s">
        <v>40</v>
      </c>
      <c r="C46" s="4">
        <v>0.1</v>
      </c>
      <c r="D46" s="20">
        <v>-0.1</v>
      </c>
      <c r="E46" s="20">
        <v>0</v>
      </c>
      <c r="F46" s="24">
        <v>0</v>
      </c>
      <c r="G46" s="24">
        <v>0</v>
      </c>
      <c r="H46" s="20">
        <v>0</v>
      </c>
      <c r="I46" s="20">
        <v>0</v>
      </c>
      <c r="J46" s="20">
        <v>0</v>
      </c>
      <c r="K46" s="20">
        <v>0</v>
      </c>
      <c r="L46" s="83">
        <v>0</v>
      </c>
      <c r="M46" s="83">
        <v>0</v>
      </c>
      <c r="N46" s="83">
        <v>0</v>
      </c>
      <c r="O46" s="83">
        <v>0</v>
      </c>
      <c r="P46" s="83">
        <v>0</v>
      </c>
      <c r="Q46" s="83">
        <v>0</v>
      </c>
      <c r="R46" s="83">
        <v>0</v>
      </c>
      <c r="S46" s="83">
        <v>0</v>
      </c>
      <c r="T46" s="83">
        <v>0</v>
      </c>
      <c r="U46" s="83">
        <v>0</v>
      </c>
      <c r="V46" s="83">
        <v>0</v>
      </c>
      <c r="W46" s="83">
        <v>0</v>
      </c>
      <c r="X46" s="83">
        <v>0</v>
      </c>
      <c r="Y46" s="83">
        <v>0</v>
      </c>
      <c r="Z46" s="83">
        <v>0</v>
      </c>
      <c r="AA46" s="31">
        <f t="shared" si="54"/>
        <v>0</v>
      </c>
      <c r="AB46" s="83">
        <v>0</v>
      </c>
      <c r="AC46" s="83">
        <v>0</v>
      </c>
      <c r="AD46" s="83">
        <v>0</v>
      </c>
      <c r="AE46" s="83">
        <v>0</v>
      </c>
      <c r="AF46" s="83">
        <v>0</v>
      </c>
      <c r="AG46" s="83">
        <v>0</v>
      </c>
      <c r="AH46" s="83">
        <v>0</v>
      </c>
      <c r="AI46" s="83">
        <v>0</v>
      </c>
      <c r="AJ46" s="83">
        <v>0</v>
      </c>
      <c r="AK46" s="83">
        <v>0</v>
      </c>
      <c r="AL46" s="83">
        <v>0</v>
      </c>
      <c r="AM46" s="83">
        <v>0</v>
      </c>
      <c r="AN46" s="31">
        <f t="shared" si="52"/>
        <v>0</v>
      </c>
      <c r="AO46" s="83">
        <v>0</v>
      </c>
      <c r="AP46" s="83">
        <v>0</v>
      </c>
      <c r="AQ46" s="83">
        <v>0</v>
      </c>
      <c r="AR46" s="83">
        <v>0</v>
      </c>
      <c r="AS46" s="83">
        <v>0</v>
      </c>
      <c r="AT46" s="83">
        <v>0</v>
      </c>
      <c r="AU46" s="83">
        <v>0</v>
      </c>
      <c r="BA46" s="31">
        <f t="shared" si="53"/>
        <v>0</v>
      </c>
    </row>
    <row r="47" spans="1:54" x14ac:dyDescent="0.2">
      <c r="B47" s="3" t="s">
        <v>41</v>
      </c>
      <c r="C47" s="4">
        <v>1225.31</v>
      </c>
      <c r="D47" s="20">
        <v>0</v>
      </c>
      <c r="E47" s="20">
        <v>0</v>
      </c>
      <c r="F47" s="24">
        <v>0</v>
      </c>
      <c r="G47" s="24">
        <v>0</v>
      </c>
      <c r="H47" s="20">
        <v>0</v>
      </c>
      <c r="I47" s="20">
        <v>0</v>
      </c>
      <c r="J47" s="20">
        <v>0</v>
      </c>
      <c r="K47" s="20">
        <v>0</v>
      </c>
      <c r="L47" s="83">
        <v>0</v>
      </c>
      <c r="M47" s="83">
        <v>0</v>
      </c>
      <c r="N47" s="83">
        <v>0</v>
      </c>
      <c r="O47" s="83">
        <v>1225.31</v>
      </c>
      <c r="P47" s="83">
        <v>0</v>
      </c>
      <c r="Q47" s="83">
        <v>0</v>
      </c>
      <c r="R47" s="83">
        <v>0</v>
      </c>
      <c r="S47" s="83">
        <v>0</v>
      </c>
      <c r="T47" s="83">
        <v>0</v>
      </c>
      <c r="U47" s="83">
        <v>0</v>
      </c>
      <c r="V47" s="83">
        <v>0</v>
      </c>
      <c r="W47" s="83">
        <v>0</v>
      </c>
      <c r="X47" s="83">
        <v>0</v>
      </c>
      <c r="Y47" s="83">
        <v>0</v>
      </c>
      <c r="Z47" s="83">
        <v>0</v>
      </c>
      <c r="AA47" s="31">
        <f t="shared" si="54"/>
        <v>1225.31</v>
      </c>
      <c r="AB47" s="83">
        <v>0</v>
      </c>
      <c r="AC47" s="83">
        <v>0</v>
      </c>
      <c r="AD47" s="83">
        <v>0</v>
      </c>
      <c r="AE47" s="83">
        <v>0</v>
      </c>
      <c r="AF47" s="83">
        <v>0</v>
      </c>
      <c r="AG47" s="83">
        <v>0</v>
      </c>
      <c r="AH47" s="83">
        <v>0</v>
      </c>
      <c r="AI47" s="83">
        <v>0</v>
      </c>
      <c r="AJ47" s="83">
        <v>0</v>
      </c>
      <c r="AK47" s="83">
        <v>0</v>
      </c>
      <c r="AL47" s="83">
        <v>0</v>
      </c>
      <c r="AM47" s="83">
        <v>0</v>
      </c>
      <c r="AN47" s="31">
        <f t="shared" si="52"/>
        <v>1225.31</v>
      </c>
      <c r="AO47" s="83">
        <v>0</v>
      </c>
      <c r="AP47" s="83">
        <v>0</v>
      </c>
      <c r="AQ47" s="83">
        <v>0</v>
      </c>
      <c r="AR47" s="83">
        <v>0</v>
      </c>
      <c r="AS47" s="83">
        <v>0</v>
      </c>
      <c r="AT47" s="83">
        <v>0</v>
      </c>
      <c r="AU47" s="83">
        <v>0</v>
      </c>
      <c r="BA47" s="31">
        <f t="shared" si="53"/>
        <v>1225.31</v>
      </c>
    </row>
    <row r="48" spans="1:54" x14ac:dyDescent="0.2">
      <c r="B48" s="3" t="s">
        <v>42</v>
      </c>
      <c r="C48" s="20">
        <v>49.42</v>
      </c>
      <c r="D48" s="20">
        <v>4.1900000000000004</v>
      </c>
      <c r="E48" s="20">
        <v>-2.99</v>
      </c>
      <c r="F48" s="24">
        <v>-5.91</v>
      </c>
      <c r="G48" s="24">
        <v>4.58</v>
      </c>
      <c r="H48" s="20">
        <v>0.81</v>
      </c>
      <c r="I48" s="20">
        <v>0.81</v>
      </c>
      <c r="J48" s="20">
        <v>2.21</v>
      </c>
      <c r="K48" s="20">
        <v>3.94</v>
      </c>
      <c r="L48" s="83">
        <v>5.13</v>
      </c>
      <c r="M48" s="83">
        <v>-5.69</v>
      </c>
      <c r="N48" s="83">
        <v>-0.61</v>
      </c>
      <c r="O48" s="83">
        <v>60.73</v>
      </c>
      <c r="P48" s="83">
        <v>-1.1399999999999999</v>
      </c>
      <c r="Q48" s="83">
        <v>2.0499999999999998</v>
      </c>
      <c r="R48" s="83">
        <v>5.07</v>
      </c>
      <c r="S48" s="83">
        <v>-0.28999999999999998</v>
      </c>
      <c r="T48" s="83">
        <v>1.72</v>
      </c>
      <c r="U48" s="83">
        <v>-1.2</v>
      </c>
      <c r="V48" s="83">
        <v>-10.6</v>
      </c>
      <c r="W48" s="83">
        <v>-4.55</v>
      </c>
      <c r="X48" s="83">
        <v>7.67</v>
      </c>
      <c r="Y48" s="83">
        <v>1.95</v>
      </c>
      <c r="Z48" s="83">
        <v>-61.41</v>
      </c>
      <c r="AA48" s="31">
        <f t="shared" si="54"/>
        <v>0</v>
      </c>
      <c r="AB48" s="83">
        <v>67.16</v>
      </c>
      <c r="AC48" s="83">
        <v>3.16</v>
      </c>
      <c r="AD48" s="83">
        <v>-0.1</v>
      </c>
      <c r="AE48" s="83">
        <v>1.3</v>
      </c>
      <c r="AF48" s="83">
        <v>-4.5199999999999996</v>
      </c>
      <c r="AG48" s="83">
        <v>-0.84</v>
      </c>
      <c r="AH48" s="83">
        <v>2.76</v>
      </c>
      <c r="AI48" s="83">
        <v>0.03</v>
      </c>
      <c r="AJ48" s="83">
        <v>2.6</v>
      </c>
      <c r="AK48" s="83">
        <v>-0.65</v>
      </c>
      <c r="AL48" s="83">
        <v>0.42</v>
      </c>
      <c r="AM48" s="83">
        <v>0.69</v>
      </c>
      <c r="AN48" s="31">
        <f t="shared" si="52"/>
        <v>72.009999999999991</v>
      </c>
      <c r="AO48" s="83">
        <v>0.87</v>
      </c>
      <c r="AP48" s="83">
        <v>-0.19</v>
      </c>
      <c r="AQ48" s="83">
        <v>2.5</v>
      </c>
      <c r="AR48" s="83">
        <v>4.1900000000000004</v>
      </c>
      <c r="AS48" s="83">
        <v>-79.38</v>
      </c>
      <c r="AT48" s="83">
        <v>0</v>
      </c>
      <c r="AU48" s="83">
        <v>0</v>
      </c>
      <c r="BA48" s="31">
        <f t="shared" si="53"/>
        <v>0</v>
      </c>
    </row>
    <row r="49" spans="1:54" s="34" customFormat="1" ht="12" x14ac:dyDescent="0.2">
      <c r="A49" s="116"/>
      <c r="B49" s="55" t="s">
        <v>1562</v>
      </c>
      <c r="C49" s="36">
        <f t="shared" ref="C49:AU49" si="55">SUM(C34:C48)</f>
        <v>69226.719999999987</v>
      </c>
      <c r="D49" s="36">
        <f t="shared" si="55"/>
        <v>30255.9</v>
      </c>
      <c r="E49" s="36">
        <f t="shared" si="55"/>
        <v>11373.53</v>
      </c>
      <c r="F49" s="36">
        <f t="shared" si="55"/>
        <v>-5833.2099999999991</v>
      </c>
      <c r="G49" s="36">
        <f t="shared" si="55"/>
        <v>19639.560000000001</v>
      </c>
      <c r="H49" s="36">
        <f t="shared" si="55"/>
        <v>-25677.819999999996</v>
      </c>
      <c r="I49" s="36">
        <f t="shared" si="55"/>
        <v>-17075.219999999998</v>
      </c>
      <c r="J49" s="36">
        <f t="shared" si="55"/>
        <v>328735.55000000005</v>
      </c>
      <c r="K49" s="36">
        <f t="shared" si="55"/>
        <v>149254.99999999997</v>
      </c>
      <c r="L49" s="85">
        <f t="shared" si="55"/>
        <v>-451432.52999999997</v>
      </c>
      <c r="M49" s="85">
        <f t="shared" si="55"/>
        <v>2710.37</v>
      </c>
      <c r="N49" s="85">
        <f t="shared" si="55"/>
        <v>562589.5</v>
      </c>
      <c r="O49" s="85">
        <f t="shared" si="55"/>
        <v>688691.65999999992</v>
      </c>
      <c r="P49" s="85">
        <f t="shared" si="55"/>
        <v>21345.740000000005</v>
      </c>
      <c r="Q49" s="85">
        <f t="shared" si="55"/>
        <v>-587861.90999999992</v>
      </c>
      <c r="R49" s="85">
        <f t="shared" si="55"/>
        <v>7424.86</v>
      </c>
      <c r="S49" s="85">
        <f t="shared" si="55"/>
        <v>-4162.16</v>
      </c>
      <c r="T49" s="85">
        <f t="shared" si="55"/>
        <v>-7376.15</v>
      </c>
      <c r="U49" s="85">
        <f t="shared" si="55"/>
        <v>2980.6200000000008</v>
      </c>
      <c r="V49" s="85">
        <f t="shared" si="55"/>
        <v>19160.410000000003</v>
      </c>
      <c r="W49" s="85">
        <f t="shared" si="55"/>
        <v>-3164.17</v>
      </c>
      <c r="X49" s="85">
        <f t="shared" si="55"/>
        <v>-4607.4399999999987</v>
      </c>
      <c r="Y49" s="85">
        <f t="shared" si="55"/>
        <v>2246.4599999999996</v>
      </c>
      <c r="Z49" s="85">
        <f t="shared" si="55"/>
        <v>-9256.41</v>
      </c>
      <c r="AA49" s="85">
        <f t="shared" si="55"/>
        <v>125421.50999999991</v>
      </c>
      <c r="AB49" s="85">
        <f t="shared" si="55"/>
        <v>-13115.369999999999</v>
      </c>
      <c r="AC49" s="85">
        <f t="shared" si="55"/>
        <v>14687.45</v>
      </c>
      <c r="AD49" s="85">
        <f t="shared" si="55"/>
        <v>-58.020000000000074</v>
      </c>
      <c r="AE49" s="85">
        <f t="shared" si="55"/>
        <v>1040.2400000000002</v>
      </c>
      <c r="AF49" s="85">
        <f t="shared" si="55"/>
        <v>-7157.9000000000005</v>
      </c>
      <c r="AG49" s="85">
        <f t="shared" si="55"/>
        <v>1571.3100000000006</v>
      </c>
      <c r="AH49" s="85">
        <f t="shared" si="55"/>
        <v>-9700.84</v>
      </c>
      <c r="AI49" s="85">
        <f t="shared" si="55"/>
        <v>-18619.879999999997</v>
      </c>
      <c r="AJ49" s="85">
        <f t="shared" si="55"/>
        <v>-15325.699999999999</v>
      </c>
      <c r="AK49" s="85">
        <f t="shared" si="55"/>
        <v>-598.25</v>
      </c>
      <c r="AL49" s="85">
        <f t="shared" si="55"/>
        <v>-798.89</v>
      </c>
      <c r="AM49" s="85">
        <f t="shared" si="55"/>
        <v>457599.13999999996</v>
      </c>
      <c r="AN49" s="129">
        <f t="shared" si="55"/>
        <v>534944.80000000005</v>
      </c>
      <c r="AO49" s="85">
        <f t="shared" si="55"/>
        <v>6682.6699999999992</v>
      </c>
      <c r="AP49" s="85">
        <f t="shared" si="55"/>
        <v>-14918.599999999997</v>
      </c>
      <c r="AQ49" s="85">
        <f t="shared" si="55"/>
        <v>-448025.62999999995</v>
      </c>
      <c r="AR49" s="85">
        <f t="shared" si="55"/>
        <v>-12855.04</v>
      </c>
      <c r="AS49" s="85">
        <f t="shared" si="55"/>
        <v>11054.32</v>
      </c>
      <c r="AT49" s="85">
        <f t="shared" si="55"/>
        <v>-14844.720000000001</v>
      </c>
      <c r="AU49" s="85">
        <f t="shared" si="55"/>
        <v>-2076.1999999999998</v>
      </c>
      <c r="AV49" s="85">
        <f t="shared" ref="AV49" si="56">SUM(AV34:AV48)</f>
        <v>0</v>
      </c>
      <c r="AW49" s="85">
        <f t="shared" ref="AW49" si="57">SUM(AW34:AW48)</f>
        <v>0</v>
      </c>
      <c r="AX49" s="85">
        <f t="shared" ref="AX49" si="58">SUM(AX34:AX48)</f>
        <v>0</v>
      </c>
      <c r="AY49" s="85">
        <f t="shared" ref="AY49" si="59">SUM(AY34:AY48)</f>
        <v>0</v>
      </c>
      <c r="AZ49" s="85">
        <f t="shared" ref="AZ49" si="60">SUM(AZ34:AZ48)</f>
        <v>0</v>
      </c>
      <c r="BA49" s="129">
        <f>SUM(BA34:BA48)</f>
        <v>59961.599999999904</v>
      </c>
    </row>
    <row r="50" spans="1:54" s="18" customFormat="1" x14ac:dyDescent="0.2">
      <c r="B50" s="18" t="s">
        <v>1880</v>
      </c>
      <c r="C50" s="76"/>
      <c r="D50" s="76"/>
      <c r="E50" s="76"/>
      <c r="F50" s="77"/>
      <c r="G50" s="77"/>
      <c r="H50" s="76"/>
      <c r="I50" s="76"/>
      <c r="J50" s="76"/>
      <c r="K50" s="76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83"/>
      <c r="Z50" s="83"/>
      <c r="AA50" s="106">
        <v>0</v>
      </c>
      <c r="AB50" s="83">
        <v>0</v>
      </c>
      <c r="AC50" s="83">
        <v>0</v>
      </c>
      <c r="AD50" s="83">
        <v>0</v>
      </c>
      <c r="AE50" s="83">
        <v>0</v>
      </c>
      <c r="AF50" s="83">
        <v>262.92</v>
      </c>
      <c r="AG50" s="83">
        <v>0</v>
      </c>
      <c r="AH50" s="83">
        <v>0</v>
      </c>
      <c r="AI50" s="83">
        <v>-262.92</v>
      </c>
      <c r="AJ50" s="83">
        <v>0</v>
      </c>
      <c r="AK50" s="83">
        <v>0</v>
      </c>
      <c r="AL50" s="83">
        <v>0</v>
      </c>
      <c r="AM50" s="83">
        <v>0</v>
      </c>
      <c r="AN50" s="31">
        <f>SUM(AA50:AM50)</f>
        <v>0</v>
      </c>
      <c r="AO50" s="83">
        <v>0</v>
      </c>
      <c r="AP50" s="83">
        <v>0</v>
      </c>
      <c r="AQ50" s="83">
        <v>0</v>
      </c>
      <c r="AR50" s="83">
        <v>0</v>
      </c>
      <c r="AS50" s="83">
        <v>0</v>
      </c>
      <c r="AT50" s="83">
        <v>0</v>
      </c>
      <c r="AU50" s="83">
        <v>0</v>
      </c>
      <c r="AV50" s="83"/>
      <c r="AW50" s="83"/>
      <c r="AX50" s="83"/>
      <c r="AY50" s="83"/>
      <c r="AZ50" s="83"/>
      <c r="BA50" s="113">
        <f>SUM(AN50:AZ50)</f>
        <v>0</v>
      </c>
    </row>
    <row r="51" spans="1:54" s="18" customFormat="1" x14ac:dyDescent="0.2">
      <c r="B51" s="18" t="s">
        <v>37</v>
      </c>
      <c r="C51" s="76">
        <v>653147.53</v>
      </c>
      <c r="D51" s="76">
        <v>0</v>
      </c>
      <c r="E51" s="76">
        <v>-653147.53</v>
      </c>
      <c r="F51" s="77">
        <v>0</v>
      </c>
      <c r="G51" s="77">
        <v>0</v>
      </c>
      <c r="H51" s="76">
        <v>0</v>
      </c>
      <c r="I51" s="76">
        <v>0</v>
      </c>
      <c r="J51" s="76">
        <v>0</v>
      </c>
      <c r="K51" s="76">
        <v>0</v>
      </c>
      <c r="L51" s="91">
        <v>325880.3</v>
      </c>
      <c r="M51" s="91">
        <v>197788.17</v>
      </c>
      <c r="N51" s="91">
        <v>266924</v>
      </c>
      <c r="O51" s="91">
        <v>0</v>
      </c>
      <c r="P51" s="91">
        <v>0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6160.67</v>
      </c>
      <c r="Y51" s="83">
        <v>127223.17</v>
      </c>
      <c r="Z51" s="83">
        <v>266108.82</v>
      </c>
      <c r="AA51" s="106">
        <f>SUM(O51:Z51)</f>
        <v>399492.66000000003</v>
      </c>
      <c r="AB51" s="83">
        <v>0</v>
      </c>
      <c r="AC51" s="83">
        <v>0</v>
      </c>
      <c r="AD51" s="83">
        <v>-199746.56</v>
      </c>
      <c r="AE51" s="83">
        <v>-199746.1</v>
      </c>
      <c r="AF51" s="83">
        <v>0</v>
      </c>
      <c r="AG51" s="83">
        <v>0</v>
      </c>
      <c r="AH51" s="83">
        <v>0</v>
      </c>
      <c r="AI51" s="83">
        <v>0</v>
      </c>
      <c r="AJ51" s="83">
        <v>0</v>
      </c>
      <c r="AK51" s="83">
        <v>0</v>
      </c>
      <c r="AL51" s="83">
        <v>0</v>
      </c>
      <c r="AM51" s="83">
        <v>11168.52</v>
      </c>
      <c r="AN51" s="31">
        <f>SUM(AA51:AM51)</f>
        <v>11168.52000000003</v>
      </c>
      <c r="AO51" s="83">
        <v>-11168.52</v>
      </c>
      <c r="AP51" s="83">
        <v>0</v>
      </c>
      <c r="AQ51" s="83">
        <v>0</v>
      </c>
      <c r="AR51" s="83">
        <v>3887.6</v>
      </c>
      <c r="AS51" s="83">
        <v>0</v>
      </c>
      <c r="AT51" s="83">
        <v>-3887.6</v>
      </c>
      <c r="AU51" s="83">
        <v>0</v>
      </c>
      <c r="AV51" s="83"/>
      <c r="AW51" s="83"/>
      <c r="AX51" s="83"/>
      <c r="AY51" s="83"/>
      <c r="AZ51" s="83"/>
      <c r="BA51" s="31">
        <f t="shared" ref="BA51:BA52" si="61">SUM(AN51:AZ51)</f>
        <v>2.9103830456733704E-11</v>
      </c>
    </row>
    <row r="52" spans="1:54" x14ac:dyDescent="0.2">
      <c r="B52" s="3" t="s">
        <v>38</v>
      </c>
      <c r="C52" s="20">
        <v>26597.24</v>
      </c>
      <c r="D52" s="20">
        <v>-13134.67</v>
      </c>
      <c r="E52" s="20">
        <v>-13462.57</v>
      </c>
      <c r="F52" s="24">
        <v>0</v>
      </c>
      <c r="G52" s="24">
        <v>0</v>
      </c>
      <c r="H52" s="20">
        <v>0</v>
      </c>
      <c r="I52" s="20">
        <v>0</v>
      </c>
      <c r="J52" s="20">
        <v>0</v>
      </c>
      <c r="K52" s="20">
        <v>0</v>
      </c>
      <c r="L52" s="83">
        <v>-3398.1</v>
      </c>
      <c r="M52" s="83">
        <v>14287.13</v>
      </c>
      <c r="N52" s="83">
        <v>3487.47</v>
      </c>
      <c r="O52" s="83">
        <v>0</v>
      </c>
      <c r="P52" s="83">
        <v>0</v>
      </c>
      <c r="Q52" s="83">
        <v>0</v>
      </c>
      <c r="R52" s="83">
        <v>0</v>
      </c>
      <c r="S52" s="83">
        <v>0</v>
      </c>
      <c r="T52" s="83">
        <v>0</v>
      </c>
      <c r="U52" s="83">
        <v>0</v>
      </c>
      <c r="V52" s="83">
        <v>0</v>
      </c>
      <c r="W52" s="83">
        <v>0</v>
      </c>
      <c r="X52" s="83">
        <v>-2.36</v>
      </c>
      <c r="Y52" s="83">
        <v>1218.82</v>
      </c>
      <c r="Z52" s="83">
        <v>-174.68</v>
      </c>
      <c r="AA52" s="31">
        <f>SUM(O52:Z52)</f>
        <v>1041.78</v>
      </c>
      <c r="AB52" s="83">
        <v>-3818.29</v>
      </c>
      <c r="AC52" s="83">
        <v>-6277.59</v>
      </c>
      <c r="AD52" s="83">
        <v>3416.49</v>
      </c>
      <c r="AE52" s="83">
        <v>5637.61</v>
      </c>
      <c r="AF52" s="83">
        <v>0</v>
      </c>
      <c r="AG52" s="83">
        <v>0</v>
      </c>
      <c r="AH52" s="83">
        <v>0</v>
      </c>
      <c r="AI52" s="83">
        <v>0</v>
      </c>
      <c r="AJ52" s="83">
        <v>0</v>
      </c>
      <c r="AK52" s="83">
        <v>0</v>
      </c>
      <c r="AL52" s="83">
        <v>0</v>
      </c>
      <c r="AM52" s="83">
        <v>-13.1</v>
      </c>
      <c r="AN52" s="31">
        <f>SUM(AA52:AM52)</f>
        <v>-13.100000000000909</v>
      </c>
      <c r="AO52" s="83">
        <v>13.1</v>
      </c>
      <c r="AP52" s="83">
        <v>0</v>
      </c>
      <c r="AQ52" s="83">
        <v>0</v>
      </c>
      <c r="AR52" s="83">
        <v>-62.46</v>
      </c>
      <c r="AS52" s="83">
        <v>-107.69</v>
      </c>
      <c r="AT52" s="83">
        <v>170.15</v>
      </c>
      <c r="AU52" s="83">
        <v>0</v>
      </c>
      <c r="BA52" s="31">
        <f t="shared" si="61"/>
        <v>-9.0949470177292824E-13</v>
      </c>
    </row>
    <row r="53" spans="1:54" s="34" customFormat="1" ht="12" x14ac:dyDescent="0.2">
      <c r="A53" s="116"/>
      <c r="B53" s="35" t="s">
        <v>1626</v>
      </c>
      <c r="C53" s="36">
        <f t="shared" ref="C53:Z53" si="62">SUM(C51:C52)</f>
        <v>679744.77</v>
      </c>
      <c r="D53" s="36">
        <f t="shared" si="62"/>
        <v>-13134.67</v>
      </c>
      <c r="E53" s="36">
        <f t="shared" si="62"/>
        <v>-666610.1</v>
      </c>
      <c r="F53" s="36">
        <f t="shared" si="62"/>
        <v>0</v>
      </c>
      <c r="G53" s="36">
        <f t="shared" si="62"/>
        <v>0</v>
      </c>
      <c r="H53" s="36">
        <f t="shared" si="62"/>
        <v>0</v>
      </c>
      <c r="I53" s="36">
        <f t="shared" si="62"/>
        <v>0</v>
      </c>
      <c r="J53" s="36">
        <f t="shared" si="62"/>
        <v>0</v>
      </c>
      <c r="K53" s="36">
        <f t="shared" si="62"/>
        <v>0</v>
      </c>
      <c r="L53" s="85">
        <f t="shared" si="62"/>
        <v>322482.2</v>
      </c>
      <c r="M53" s="85">
        <f t="shared" si="62"/>
        <v>212075.30000000002</v>
      </c>
      <c r="N53" s="85">
        <f t="shared" si="62"/>
        <v>270411.46999999997</v>
      </c>
      <c r="O53" s="85">
        <f t="shared" si="62"/>
        <v>0</v>
      </c>
      <c r="P53" s="85">
        <f t="shared" si="62"/>
        <v>0</v>
      </c>
      <c r="Q53" s="85">
        <f t="shared" si="62"/>
        <v>0</v>
      </c>
      <c r="R53" s="85">
        <f t="shared" si="62"/>
        <v>0</v>
      </c>
      <c r="S53" s="85">
        <f t="shared" si="62"/>
        <v>0</v>
      </c>
      <c r="T53" s="85">
        <f t="shared" si="62"/>
        <v>0</v>
      </c>
      <c r="U53" s="85">
        <f t="shared" si="62"/>
        <v>0</v>
      </c>
      <c r="V53" s="85">
        <f t="shared" si="62"/>
        <v>0</v>
      </c>
      <c r="W53" s="85">
        <f t="shared" si="62"/>
        <v>0</v>
      </c>
      <c r="X53" s="85">
        <f t="shared" si="62"/>
        <v>6158.31</v>
      </c>
      <c r="Y53" s="85">
        <f t="shared" si="62"/>
        <v>128441.99</v>
      </c>
      <c r="Z53" s="85">
        <f t="shared" si="62"/>
        <v>265934.14</v>
      </c>
      <c r="AA53" s="85">
        <f t="shared" ref="AA53:AU53" si="63">SUM(AA50:AA52)</f>
        <v>400534.44000000006</v>
      </c>
      <c r="AB53" s="85">
        <f t="shared" si="63"/>
        <v>-3818.29</v>
      </c>
      <c r="AC53" s="85">
        <f t="shared" si="63"/>
        <v>-6277.59</v>
      </c>
      <c r="AD53" s="85">
        <f t="shared" si="63"/>
        <v>-196330.07</v>
      </c>
      <c r="AE53" s="85">
        <f t="shared" si="63"/>
        <v>-194108.49000000002</v>
      </c>
      <c r="AF53" s="85">
        <f t="shared" si="63"/>
        <v>262.92</v>
      </c>
      <c r="AG53" s="85">
        <f t="shared" si="63"/>
        <v>0</v>
      </c>
      <c r="AH53" s="85">
        <f t="shared" si="63"/>
        <v>0</v>
      </c>
      <c r="AI53" s="85">
        <f t="shared" si="63"/>
        <v>-262.92</v>
      </c>
      <c r="AJ53" s="85">
        <f t="shared" si="63"/>
        <v>0</v>
      </c>
      <c r="AK53" s="85">
        <f t="shared" si="63"/>
        <v>0</v>
      </c>
      <c r="AL53" s="85">
        <f t="shared" si="63"/>
        <v>0</v>
      </c>
      <c r="AM53" s="85">
        <f t="shared" si="63"/>
        <v>11155.42</v>
      </c>
      <c r="AN53" s="129">
        <f t="shared" si="63"/>
        <v>11155.420000000029</v>
      </c>
      <c r="AO53" s="85">
        <f t="shared" si="63"/>
        <v>-11155.42</v>
      </c>
      <c r="AP53" s="85">
        <f t="shared" si="63"/>
        <v>0</v>
      </c>
      <c r="AQ53" s="85">
        <f t="shared" si="63"/>
        <v>0</v>
      </c>
      <c r="AR53" s="85">
        <f t="shared" si="63"/>
        <v>3825.14</v>
      </c>
      <c r="AS53" s="85">
        <f t="shared" si="63"/>
        <v>-107.69</v>
      </c>
      <c r="AT53" s="85">
        <f t="shared" si="63"/>
        <v>-3717.45</v>
      </c>
      <c r="AU53" s="85">
        <f t="shared" si="63"/>
        <v>0</v>
      </c>
      <c r="AV53" s="85">
        <f t="shared" ref="AV53" si="64">SUM(AV50:AV52)</f>
        <v>0</v>
      </c>
      <c r="AW53" s="85">
        <f t="shared" ref="AW53" si="65">SUM(AW50:AW52)</f>
        <v>0</v>
      </c>
      <c r="AX53" s="85">
        <f t="shared" ref="AX53" si="66">SUM(AX50:AX52)</f>
        <v>0</v>
      </c>
      <c r="AY53" s="85">
        <f t="shared" ref="AY53" si="67">SUM(AY50:AY52)</f>
        <v>0</v>
      </c>
      <c r="AZ53" s="85">
        <f t="shared" ref="AZ53" si="68">SUM(AZ50:AZ52)</f>
        <v>0</v>
      </c>
      <c r="BA53" s="129">
        <f>SUM(BA50:BA52)</f>
        <v>2.8194335754960775E-11</v>
      </c>
    </row>
    <row r="54" spans="1:54" s="9" customFormat="1" ht="12.75" x14ac:dyDescent="0.2">
      <c r="A54" s="115"/>
      <c r="B54" s="13" t="s">
        <v>1768</v>
      </c>
      <c r="C54" s="41">
        <f t="shared" ref="C54:AK54" si="69">C28+C30+C49+C53+C33</f>
        <v>1083840.48</v>
      </c>
      <c r="D54" s="41">
        <f t="shared" si="69"/>
        <v>-59660.44999999999</v>
      </c>
      <c r="E54" s="41">
        <f t="shared" si="69"/>
        <v>-423459.6</v>
      </c>
      <c r="F54" s="41">
        <f t="shared" si="69"/>
        <v>1357.8199999999997</v>
      </c>
      <c r="G54" s="41">
        <f t="shared" si="69"/>
        <v>-113779.70999999996</v>
      </c>
      <c r="H54" s="41">
        <f t="shared" si="69"/>
        <v>89798.41</v>
      </c>
      <c r="I54" s="41">
        <f t="shared" si="69"/>
        <v>-159261.18</v>
      </c>
      <c r="J54" s="41">
        <f t="shared" si="69"/>
        <v>195537.46000000005</v>
      </c>
      <c r="K54" s="41">
        <f t="shared" si="69"/>
        <v>396239.6</v>
      </c>
      <c r="L54" s="84">
        <f t="shared" si="69"/>
        <v>-167994.26999999993</v>
      </c>
      <c r="M54" s="84">
        <f t="shared" si="69"/>
        <v>178911.9</v>
      </c>
      <c r="N54" s="84">
        <f t="shared" si="69"/>
        <v>665589.05000000005</v>
      </c>
      <c r="O54" s="84">
        <f t="shared" si="69"/>
        <v>974260.48999999987</v>
      </c>
      <c r="P54" s="84">
        <f t="shared" si="69"/>
        <v>-25667.93</v>
      </c>
      <c r="Q54" s="84">
        <f t="shared" si="69"/>
        <v>-674344.23999999987</v>
      </c>
      <c r="R54" s="84">
        <f t="shared" si="69"/>
        <v>212452.22999999998</v>
      </c>
      <c r="S54" s="84">
        <f t="shared" si="69"/>
        <v>-103681.07</v>
      </c>
      <c r="T54" s="84">
        <f t="shared" si="69"/>
        <v>-140801.65</v>
      </c>
      <c r="U54" s="84">
        <f t="shared" si="69"/>
        <v>268826.40999999997</v>
      </c>
      <c r="V54" s="84">
        <f t="shared" si="69"/>
        <v>-58022.729999999981</v>
      </c>
      <c r="W54" s="84">
        <f t="shared" si="69"/>
        <v>-17335.930000000008</v>
      </c>
      <c r="X54" s="84">
        <f t="shared" si="69"/>
        <v>156950.13</v>
      </c>
      <c r="Y54" s="84">
        <f t="shared" si="69"/>
        <v>37905.560000000012</v>
      </c>
      <c r="Z54" s="84">
        <f t="shared" si="69"/>
        <v>217513.73</v>
      </c>
      <c r="AA54" s="84">
        <f t="shared" si="69"/>
        <v>848055</v>
      </c>
      <c r="AB54" s="84">
        <f t="shared" si="69"/>
        <v>-47306.419999999991</v>
      </c>
      <c r="AC54" s="84">
        <f t="shared" si="69"/>
        <v>35608.47</v>
      </c>
      <c r="AD54" s="84">
        <f t="shared" si="69"/>
        <v>-221011.12</v>
      </c>
      <c r="AE54" s="84">
        <f t="shared" si="69"/>
        <v>-304582.17000000004</v>
      </c>
      <c r="AF54" s="84">
        <f t="shared" si="69"/>
        <v>51271.79</v>
      </c>
      <c r="AG54" s="84">
        <f t="shared" si="69"/>
        <v>-103757.49</v>
      </c>
      <c r="AH54" s="84">
        <f t="shared" si="69"/>
        <v>121347.66</v>
      </c>
      <c r="AI54" s="84">
        <f t="shared" si="69"/>
        <v>-134815.53</v>
      </c>
      <c r="AJ54" s="84">
        <f t="shared" si="69"/>
        <v>45831.78</v>
      </c>
      <c r="AK54" s="84">
        <f t="shared" si="69"/>
        <v>-148377.27000000002</v>
      </c>
      <c r="AL54" s="84">
        <f t="shared" ref="AL54:AM54" si="70">AL28+AL30+AL49+AL53+AL33</f>
        <v>149337.85</v>
      </c>
      <c r="AM54" s="84">
        <f t="shared" si="70"/>
        <v>541636.28</v>
      </c>
      <c r="AN54" s="127">
        <f>AN28+AN30+AN49+AN53+AN33</f>
        <v>833238.83000000007</v>
      </c>
      <c r="AO54" s="84">
        <f t="shared" ref="AO54:AU54" si="71">AO28+AO30+AO49+AO53+AO33</f>
        <v>-118995.01999999999</v>
      </c>
      <c r="AP54" s="84">
        <f t="shared" si="71"/>
        <v>195.46000000000276</v>
      </c>
      <c r="AQ54" s="84">
        <f t="shared" si="71"/>
        <v>-414408.23</v>
      </c>
      <c r="AR54" s="84">
        <f t="shared" si="71"/>
        <v>-148340.57999999999</v>
      </c>
      <c r="AS54" s="84">
        <f t="shared" si="71"/>
        <v>106239.38999999998</v>
      </c>
      <c r="AT54" s="84">
        <f t="shared" si="71"/>
        <v>-64412.39</v>
      </c>
      <c r="AU54" s="84">
        <f t="shared" si="71"/>
        <v>-14834.59</v>
      </c>
      <c r="AV54" s="84">
        <f t="shared" ref="AV54" si="72">AV28+AV30+AV49+AV53+AV33</f>
        <v>0</v>
      </c>
      <c r="AW54" s="84">
        <f t="shared" ref="AW54" si="73">AW28+AW30+AW49+AW53+AW33</f>
        <v>0</v>
      </c>
      <c r="AX54" s="84">
        <f t="shared" ref="AX54:AZ54" si="74">AX28+AX30+AX49+AX53+AX33</f>
        <v>0</v>
      </c>
      <c r="AY54" s="84">
        <f t="shared" si="74"/>
        <v>0</v>
      </c>
      <c r="AZ54" s="84">
        <f t="shared" si="74"/>
        <v>0</v>
      </c>
      <c r="BA54" s="127">
        <f>BA28+BA30+BA49+BA53+BA33</f>
        <v>178682.86999999991</v>
      </c>
      <c r="BB54" s="9">
        <v>257.92984999999999</v>
      </c>
    </row>
    <row r="55" spans="1:54" x14ac:dyDescent="0.2">
      <c r="B55" s="3" t="s">
        <v>973</v>
      </c>
      <c r="C55" s="20">
        <v>0</v>
      </c>
      <c r="D55" s="20">
        <v>0</v>
      </c>
      <c r="E55" s="20">
        <v>0</v>
      </c>
      <c r="F55" s="24">
        <v>0</v>
      </c>
      <c r="G55" s="24">
        <v>0</v>
      </c>
      <c r="H55" s="20">
        <v>0</v>
      </c>
      <c r="I55" s="20">
        <v>0</v>
      </c>
      <c r="J55" s="20">
        <v>0</v>
      </c>
      <c r="K55" s="20">
        <v>0</v>
      </c>
      <c r="L55" s="83">
        <v>0</v>
      </c>
      <c r="M55" s="83">
        <v>0</v>
      </c>
      <c r="N55" s="83">
        <v>0</v>
      </c>
      <c r="O55" s="83">
        <v>0</v>
      </c>
      <c r="P55" s="83">
        <v>0</v>
      </c>
      <c r="Q55" s="83">
        <v>0</v>
      </c>
      <c r="R55" s="83">
        <v>0</v>
      </c>
      <c r="S55" s="83">
        <v>0</v>
      </c>
      <c r="T55" s="83">
        <v>0</v>
      </c>
      <c r="U55" s="83">
        <v>0</v>
      </c>
      <c r="V55" s="83">
        <v>0</v>
      </c>
      <c r="W55" s="83">
        <v>0</v>
      </c>
      <c r="X55" s="83">
        <v>0</v>
      </c>
      <c r="Y55" s="83">
        <v>0</v>
      </c>
      <c r="Z55" s="83">
        <v>0</v>
      </c>
      <c r="AA55" s="31">
        <f>SUM(O55:Z55)</f>
        <v>0</v>
      </c>
      <c r="AB55" s="83">
        <v>0</v>
      </c>
      <c r="AC55" s="83">
        <v>0</v>
      </c>
      <c r="AD55" s="83">
        <v>0</v>
      </c>
      <c r="AE55" s="83">
        <v>0</v>
      </c>
      <c r="AF55" s="83">
        <v>0</v>
      </c>
      <c r="AG55" s="83">
        <v>0</v>
      </c>
      <c r="AH55" s="83">
        <v>0</v>
      </c>
      <c r="AI55" s="83">
        <v>0</v>
      </c>
      <c r="AJ55" s="83">
        <v>0</v>
      </c>
      <c r="AK55" s="83">
        <v>0</v>
      </c>
      <c r="AL55" s="83">
        <v>0</v>
      </c>
      <c r="AM55" s="83">
        <v>0</v>
      </c>
      <c r="AN55" s="31">
        <f t="shared" ref="AN55:AN63" si="75">SUM(AA55:AM55)</f>
        <v>0</v>
      </c>
      <c r="AO55" s="83">
        <v>0</v>
      </c>
      <c r="AP55" s="83">
        <v>0</v>
      </c>
      <c r="AQ55" s="83">
        <v>0</v>
      </c>
      <c r="AR55" s="83">
        <v>0</v>
      </c>
      <c r="AS55" s="83">
        <v>0</v>
      </c>
      <c r="AT55" s="83">
        <v>0</v>
      </c>
      <c r="AU55" s="83">
        <v>0</v>
      </c>
      <c r="BA55" s="31">
        <f t="shared" ref="BA55:BA63" si="76">SUM(AN55:AZ55)</f>
        <v>0</v>
      </c>
    </row>
    <row r="56" spans="1:54" x14ac:dyDescent="0.2">
      <c r="B56" s="3" t="s">
        <v>1440</v>
      </c>
      <c r="O56" s="83">
        <v>0</v>
      </c>
      <c r="P56" s="83">
        <v>0</v>
      </c>
      <c r="Q56" s="83">
        <v>0</v>
      </c>
      <c r="R56" s="83">
        <v>0</v>
      </c>
      <c r="S56" s="83">
        <v>0</v>
      </c>
      <c r="T56" s="83">
        <v>0</v>
      </c>
      <c r="U56" s="83">
        <v>35633.519999999997</v>
      </c>
      <c r="V56" s="83">
        <v>-35633.519999999997</v>
      </c>
      <c r="W56" s="83">
        <v>0</v>
      </c>
      <c r="X56" s="83">
        <v>0</v>
      </c>
      <c r="Y56" s="83">
        <v>112986.82</v>
      </c>
      <c r="Z56" s="83">
        <v>-112986.82</v>
      </c>
      <c r="AA56" s="31">
        <f>SUM(O56:Z56)</f>
        <v>0</v>
      </c>
      <c r="AB56" s="83">
        <v>0</v>
      </c>
      <c r="AC56" s="83">
        <v>0</v>
      </c>
      <c r="AD56" s="83">
        <v>0</v>
      </c>
      <c r="AE56" s="83">
        <v>148398.64000000001</v>
      </c>
      <c r="AF56" s="83">
        <v>-148398.64000000001</v>
      </c>
      <c r="AG56" s="83">
        <v>0</v>
      </c>
      <c r="AH56" s="83">
        <v>0</v>
      </c>
      <c r="AI56" s="83">
        <v>0</v>
      </c>
      <c r="AJ56" s="83">
        <v>0</v>
      </c>
      <c r="AK56" s="83">
        <v>0</v>
      </c>
      <c r="AL56" s="83">
        <v>0</v>
      </c>
      <c r="AM56" s="83">
        <v>0</v>
      </c>
      <c r="AN56" s="31">
        <f t="shared" si="75"/>
        <v>0</v>
      </c>
      <c r="AO56" s="83">
        <v>0</v>
      </c>
      <c r="AP56" s="83">
        <v>0</v>
      </c>
      <c r="AQ56" s="83">
        <v>0</v>
      </c>
      <c r="AR56" s="83">
        <v>0</v>
      </c>
      <c r="AS56" s="83">
        <v>0</v>
      </c>
      <c r="AT56" s="83">
        <v>0</v>
      </c>
      <c r="AU56" s="83">
        <v>0</v>
      </c>
      <c r="BA56" s="31">
        <f t="shared" si="76"/>
        <v>0</v>
      </c>
    </row>
    <row r="57" spans="1:54" x14ac:dyDescent="0.2">
      <c r="B57" s="3" t="s">
        <v>1765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2160567.9500000002</v>
      </c>
      <c r="L57" s="83">
        <v>-861156.59</v>
      </c>
      <c r="M57" s="83">
        <v>428535.12</v>
      </c>
      <c r="N57" s="83">
        <v>-1727946.48</v>
      </c>
      <c r="O57" s="83">
        <v>0</v>
      </c>
      <c r="P57" s="83">
        <v>0</v>
      </c>
      <c r="Q57" s="83">
        <v>0</v>
      </c>
      <c r="R57" s="83">
        <v>0</v>
      </c>
      <c r="S57" s="83">
        <v>0</v>
      </c>
      <c r="T57" s="83">
        <v>0</v>
      </c>
      <c r="U57" s="83">
        <v>0</v>
      </c>
      <c r="V57" s="83">
        <v>0</v>
      </c>
      <c r="W57" s="83">
        <v>0</v>
      </c>
      <c r="X57" s="83">
        <v>0</v>
      </c>
      <c r="Y57" s="83">
        <v>0</v>
      </c>
      <c r="Z57" s="83">
        <v>0</v>
      </c>
      <c r="AA57" s="31">
        <f>SUM(O57:Z57)</f>
        <v>0</v>
      </c>
      <c r="AB57" s="83">
        <v>0</v>
      </c>
      <c r="AC57" s="83">
        <v>0</v>
      </c>
      <c r="AD57" s="83">
        <v>0</v>
      </c>
      <c r="AE57" s="83">
        <v>0</v>
      </c>
      <c r="AF57" s="83">
        <v>0</v>
      </c>
      <c r="AG57" s="83">
        <v>0</v>
      </c>
      <c r="AH57" s="83">
        <v>0</v>
      </c>
      <c r="AI57" s="83">
        <v>0</v>
      </c>
      <c r="AJ57" s="83">
        <v>0</v>
      </c>
      <c r="AK57" s="83">
        <v>0</v>
      </c>
      <c r="AL57" s="83">
        <v>0</v>
      </c>
      <c r="AM57" s="83">
        <v>0</v>
      </c>
      <c r="AN57" s="31">
        <f t="shared" si="75"/>
        <v>0</v>
      </c>
      <c r="AO57" s="83">
        <v>0</v>
      </c>
      <c r="AP57" s="83">
        <v>0</v>
      </c>
      <c r="AQ57" s="83">
        <v>0</v>
      </c>
      <c r="AR57" s="83">
        <v>0</v>
      </c>
      <c r="AS57" s="83">
        <v>0</v>
      </c>
      <c r="AT57" s="83">
        <v>0</v>
      </c>
      <c r="AU57" s="83">
        <v>0</v>
      </c>
      <c r="BA57" s="31">
        <f t="shared" si="76"/>
        <v>0</v>
      </c>
    </row>
    <row r="58" spans="1:54" x14ac:dyDescent="0.2">
      <c r="B58" s="3" t="s">
        <v>1797</v>
      </c>
      <c r="F58" s="20"/>
      <c r="G58" s="20"/>
      <c r="N58" s="83">
        <v>5466.12</v>
      </c>
      <c r="O58" s="83">
        <v>5466.12</v>
      </c>
      <c r="P58" s="83">
        <v>7346.37</v>
      </c>
      <c r="Q58" s="83">
        <v>0</v>
      </c>
      <c r="R58" s="83">
        <v>0</v>
      </c>
      <c r="S58" s="83">
        <v>0</v>
      </c>
      <c r="T58" s="83">
        <v>4236.7700000000004</v>
      </c>
      <c r="U58" s="83">
        <v>0</v>
      </c>
      <c r="V58" s="83">
        <v>-17049.259999999998</v>
      </c>
      <c r="W58" s="83">
        <v>0</v>
      </c>
      <c r="X58" s="83">
        <v>0</v>
      </c>
      <c r="Y58" s="83">
        <v>0</v>
      </c>
      <c r="Z58" s="83">
        <v>0</v>
      </c>
      <c r="AA58" s="31">
        <f>SUM(O58:Z58)</f>
        <v>3.637978807091713E-12</v>
      </c>
      <c r="AB58" s="83">
        <v>0</v>
      </c>
      <c r="AC58" s="83">
        <v>0</v>
      </c>
      <c r="AD58" s="83">
        <v>0</v>
      </c>
      <c r="AE58" s="83">
        <v>893.97</v>
      </c>
      <c r="AF58" s="83">
        <v>0</v>
      </c>
      <c r="AG58" s="83">
        <v>-893.97</v>
      </c>
      <c r="AH58" s="83">
        <v>0</v>
      </c>
      <c r="AI58" s="83">
        <v>0</v>
      </c>
      <c r="AJ58" s="83">
        <v>0</v>
      </c>
      <c r="AK58" s="83">
        <v>0</v>
      </c>
      <c r="AL58" s="83">
        <v>0</v>
      </c>
      <c r="AM58" s="83">
        <v>0</v>
      </c>
      <c r="AN58" s="31">
        <f t="shared" si="75"/>
        <v>3.637978807091713E-12</v>
      </c>
      <c r="AO58" s="83">
        <v>0</v>
      </c>
      <c r="AP58" s="83">
        <v>0</v>
      </c>
      <c r="AQ58" s="83">
        <v>0</v>
      </c>
      <c r="AR58" s="83">
        <v>0</v>
      </c>
      <c r="AS58" s="83">
        <v>0</v>
      </c>
      <c r="AT58" s="83">
        <v>0</v>
      </c>
      <c r="AU58" s="83">
        <v>0</v>
      </c>
      <c r="BA58" s="31">
        <f t="shared" si="76"/>
        <v>3.637978807091713E-12</v>
      </c>
    </row>
    <row r="59" spans="1:54" x14ac:dyDescent="0.2">
      <c r="B59" s="3" t="s">
        <v>45</v>
      </c>
      <c r="C59" s="20">
        <v>17.88</v>
      </c>
      <c r="D59" s="20">
        <v>-2181.8200000000002</v>
      </c>
      <c r="E59" s="20">
        <v>0</v>
      </c>
      <c r="F59" s="24">
        <v>0</v>
      </c>
      <c r="G59" s="24">
        <v>0</v>
      </c>
      <c r="H59" s="20">
        <v>0</v>
      </c>
      <c r="I59" s="20">
        <v>0</v>
      </c>
      <c r="J59" s="20">
        <v>0</v>
      </c>
      <c r="K59" s="20">
        <v>0</v>
      </c>
      <c r="L59" s="83">
        <v>0</v>
      </c>
      <c r="M59" s="83">
        <v>0</v>
      </c>
      <c r="N59" s="83">
        <v>0</v>
      </c>
      <c r="O59" s="83">
        <v>-2163.94</v>
      </c>
      <c r="P59" s="83">
        <v>0</v>
      </c>
      <c r="Q59" s="83">
        <v>2163.94</v>
      </c>
      <c r="R59" s="83">
        <v>0</v>
      </c>
      <c r="S59" s="83">
        <v>0</v>
      </c>
      <c r="T59" s="83">
        <v>0</v>
      </c>
      <c r="U59" s="83">
        <v>0</v>
      </c>
      <c r="V59" s="83">
        <v>0</v>
      </c>
      <c r="W59" s="83">
        <v>0</v>
      </c>
      <c r="X59" s="83">
        <v>-0.02</v>
      </c>
      <c r="Y59" s="83">
        <v>0</v>
      </c>
      <c r="Z59" s="83">
        <v>0</v>
      </c>
      <c r="AA59" s="31">
        <f>SUM(O59:Z59)</f>
        <v>-0.02</v>
      </c>
      <c r="AB59" s="83">
        <v>0</v>
      </c>
      <c r="AC59" s="83">
        <v>-42.11</v>
      </c>
      <c r="AD59" s="83">
        <v>0</v>
      </c>
      <c r="AE59" s="83">
        <v>700.45</v>
      </c>
      <c r="AF59" s="83">
        <v>-692.93</v>
      </c>
      <c r="AG59" s="83">
        <v>0</v>
      </c>
      <c r="AH59" s="83">
        <v>0</v>
      </c>
      <c r="AI59" s="83">
        <v>0</v>
      </c>
      <c r="AJ59" s="83">
        <v>0</v>
      </c>
      <c r="AK59" s="83">
        <v>0</v>
      </c>
      <c r="AL59" s="83">
        <v>0</v>
      </c>
      <c r="AM59" s="83">
        <v>0</v>
      </c>
      <c r="AN59" s="31">
        <f t="shared" si="75"/>
        <v>-34.6099999999999</v>
      </c>
      <c r="AO59" s="83">
        <v>0</v>
      </c>
      <c r="AP59" s="83">
        <v>0</v>
      </c>
      <c r="AQ59" s="83">
        <v>0</v>
      </c>
      <c r="AR59" s="83">
        <v>0</v>
      </c>
      <c r="AS59" s="83">
        <v>0</v>
      </c>
      <c r="AT59" s="83">
        <v>0</v>
      </c>
      <c r="AU59" s="83">
        <v>0</v>
      </c>
      <c r="BA59" s="31">
        <f t="shared" si="76"/>
        <v>-34.6099999999999</v>
      </c>
    </row>
    <row r="60" spans="1:54" x14ac:dyDescent="0.2">
      <c r="B60" s="3" t="s">
        <v>1889</v>
      </c>
      <c r="AA60" s="31">
        <v>0</v>
      </c>
      <c r="AB60" s="31">
        <v>0</v>
      </c>
      <c r="AC60" s="31">
        <v>0</v>
      </c>
      <c r="AD60" s="31">
        <v>0</v>
      </c>
      <c r="AE60" s="31">
        <v>0</v>
      </c>
      <c r="AF60" s="31">
        <v>0</v>
      </c>
      <c r="AG60" s="31">
        <v>0</v>
      </c>
      <c r="AH60" s="31">
        <v>0</v>
      </c>
      <c r="AI60" s="31">
        <v>0</v>
      </c>
      <c r="AJ60" s="31">
        <v>0</v>
      </c>
      <c r="AK60" s="31">
        <v>0</v>
      </c>
      <c r="AL60" s="83">
        <v>-926.46</v>
      </c>
      <c r="AM60" s="83">
        <v>0</v>
      </c>
      <c r="AN60" s="31">
        <f t="shared" si="75"/>
        <v>-926.46</v>
      </c>
      <c r="AO60" s="83">
        <v>0</v>
      </c>
      <c r="AP60" s="83">
        <v>0</v>
      </c>
      <c r="AQ60" s="83">
        <v>0</v>
      </c>
      <c r="AR60" s="83">
        <v>137.4</v>
      </c>
      <c r="AS60" s="83">
        <v>0</v>
      </c>
      <c r="AT60" s="83">
        <v>-137.4</v>
      </c>
      <c r="AU60" s="83">
        <v>0</v>
      </c>
      <c r="AV60" s="31"/>
      <c r="AW60" s="31"/>
      <c r="AX60" s="31"/>
      <c r="BA60" s="31">
        <f t="shared" si="76"/>
        <v>-926.46</v>
      </c>
    </row>
    <row r="61" spans="1:54" x14ac:dyDescent="0.2">
      <c r="B61" s="22" t="s">
        <v>1637</v>
      </c>
      <c r="C61" s="74">
        <v>0</v>
      </c>
      <c r="D61" s="74">
        <v>0</v>
      </c>
      <c r="E61" s="74">
        <v>0</v>
      </c>
      <c r="F61" s="74">
        <v>0</v>
      </c>
      <c r="G61" s="74">
        <v>0</v>
      </c>
      <c r="H61" s="74">
        <v>0</v>
      </c>
      <c r="I61" s="74">
        <v>0</v>
      </c>
      <c r="J61" s="74">
        <v>89661.13</v>
      </c>
      <c r="K61" s="74">
        <v>-89661.13</v>
      </c>
      <c r="L61" s="83">
        <v>0</v>
      </c>
      <c r="M61" s="83">
        <v>0</v>
      </c>
      <c r="N61" s="83">
        <v>0</v>
      </c>
      <c r="O61" s="83">
        <v>0</v>
      </c>
      <c r="P61" s="83">
        <v>0</v>
      </c>
      <c r="Q61" s="83">
        <v>0</v>
      </c>
      <c r="R61" s="83">
        <v>0</v>
      </c>
      <c r="S61" s="83">
        <v>0</v>
      </c>
      <c r="T61" s="83">
        <v>0</v>
      </c>
      <c r="U61" s="83">
        <v>0</v>
      </c>
      <c r="V61" s="83">
        <v>0</v>
      </c>
      <c r="W61" s="83">
        <v>0</v>
      </c>
      <c r="X61" s="83">
        <v>0</v>
      </c>
      <c r="Y61" s="83">
        <v>0</v>
      </c>
      <c r="Z61" s="83">
        <v>0</v>
      </c>
      <c r="AA61" s="31">
        <f>SUM(O61:Z61)</f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3">
        <v>0</v>
      </c>
      <c r="AH61" s="83">
        <v>0</v>
      </c>
      <c r="AI61" s="83">
        <v>0</v>
      </c>
      <c r="AJ61" s="83">
        <v>0</v>
      </c>
      <c r="AK61" s="83">
        <v>0</v>
      </c>
      <c r="AL61" s="83">
        <v>0</v>
      </c>
      <c r="AM61" s="83">
        <v>0</v>
      </c>
      <c r="AN61" s="31">
        <f t="shared" si="75"/>
        <v>0</v>
      </c>
      <c r="AO61" s="83">
        <v>0</v>
      </c>
      <c r="AP61" s="83">
        <v>0</v>
      </c>
      <c r="AQ61" s="83">
        <v>0</v>
      </c>
      <c r="AR61" s="83">
        <v>0</v>
      </c>
      <c r="AS61" s="83">
        <v>0</v>
      </c>
      <c r="AT61" s="83">
        <v>0</v>
      </c>
      <c r="AU61" s="83">
        <v>0</v>
      </c>
      <c r="BA61" s="31">
        <f t="shared" si="76"/>
        <v>0</v>
      </c>
    </row>
    <row r="62" spans="1:54" x14ac:dyDescent="0.2">
      <c r="B62" s="3" t="s">
        <v>1638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8915.43</v>
      </c>
      <c r="K62" s="20">
        <v>-8915.43</v>
      </c>
      <c r="L62" s="83">
        <v>0</v>
      </c>
      <c r="M62" s="83">
        <v>0</v>
      </c>
      <c r="N62" s="83">
        <v>0</v>
      </c>
      <c r="O62" s="83">
        <v>0</v>
      </c>
      <c r="P62" s="83">
        <v>0</v>
      </c>
      <c r="Q62" s="83">
        <v>0</v>
      </c>
      <c r="R62" s="83">
        <v>0</v>
      </c>
      <c r="S62" s="83">
        <v>0</v>
      </c>
      <c r="T62" s="83">
        <v>0</v>
      </c>
      <c r="U62" s="83">
        <v>0</v>
      </c>
      <c r="V62" s="83">
        <v>0</v>
      </c>
      <c r="W62" s="83">
        <v>0</v>
      </c>
      <c r="X62" s="83">
        <v>0</v>
      </c>
      <c r="Y62" s="83">
        <v>0</v>
      </c>
      <c r="Z62" s="83">
        <v>0</v>
      </c>
      <c r="AA62" s="31">
        <f>SUM(O62:Z62)</f>
        <v>0</v>
      </c>
      <c r="AB62" s="83">
        <v>0</v>
      </c>
      <c r="AC62" s="83">
        <v>0</v>
      </c>
      <c r="AD62" s="83">
        <v>0</v>
      </c>
      <c r="AE62" s="83">
        <v>0</v>
      </c>
      <c r="AF62" s="83">
        <v>0</v>
      </c>
      <c r="AG62" s="83">
        <v>0</v>
      </c>
      <c r="AH62" s="83">
        <v>0</v>
      </c>
      <c r="AI62" s="83">
        <v>0</v>
      </c>
      <c r="AJ62" s="83">
        <v>0</v>
      </c>
      <c r="AK62" s="83">
        <v>0</v>
      </c>
      <c r="AL62" s="83">
        <v>0</v>
      </c>
      <c r="AM62" s="83">
        <v>0</v>
      </c>
      <c r="AN62" s="31">
        <f t="shared" si="75"/>
        <v>0</v>
      </c>
      <c r="AO62" s="83">
        <v>0</v>
      </c>
      <c r="AP62" s="83">
        <v>0</v>
      </c>
      <c r="AQ62" s="83">
        <v>0</v>
      </c>
      <c r="AR62" s="83">
        <v>0</v>
      </c>
      <c r="AS62" s="83">
        <v>0</v>
      </c>
      <c r="AT62" s="83">
        <v>0</v>
      </c>
      <c r="AU62" s="83">
        <v>0</v>
      </c>
      <c r="BA62" s="31">
        <f t="shared" si="76"/>
        <v>0</v>
      </c>
    </row>
    <row r="63" spans="1:54" s="22" customFormat="1" x14ac:dyDescent="0.2">
      <c r="B63" s="22" t="s">
        <v>46</v>
      </c>
      <c r="C63" s="130">
        <v>601.42999999999995</v>
      </c>
      <c r="D63" s="130">
        <v>0</v>
      </c>
      <c r="E63" s="130">
        <v>-601.42999999999995</v>
      </c>
      <c r="F63" s="131">
        <v>0</v>
      </c>
      <c r="G63" s="131">
        <v>0</v>
      </c>
      <c r="H63" s="130">
        <v>-1514.33</v>
      </c>
      <c r="I63" s="130">
        <v>1514.33</v>
      </c>
      <c r="J63" s="130">
        <v>0</v>
      </c>
      <c r="K63" s="130">
        <v>0.04</v>
      </c>
      <c r="L63" s="122">
        <v>0</v>
      </c>
      <c r="M63" s="122">
        <v>0</v>
      </c>
      <c r="N63" s="122">
        <v>0</v>
      </c>
      <c r="O63" s="122">
        <v>-4187.97</v>
      </c>
      <c r="P63" s="122">
        <v>4112.17</v>
      </c>
      <c r="Q63" s="122">
        <v>0</v>
      </c>
      <c r="R63" s="122">
        <v>0</v>
      </c>
      <c r="S63" s="122">
        <v>0</v>
      </c>
      <c r="T63" s="122">
        <v>0</v>
      </c>
      <c r="U63" s="122">
        <v>0</v>
      </c>
      <c r="V63" s="83">
        <v>75.8</v>
      </c>
      <c r="W63" s="83">
        <v>0</v>
      </c>
      <c r="X63" s="83">
        <v>0</v>
      </c>
      <c r="Y63" s="83">
        <v>0</v>
      </c>
      <c r="Z63" s="83">
        <v>75.540000000000006</v>
      </c>
      <c r="AA63" s="123">
        <f>SUM(O63:Z63)</f>
        <v>75.539999999999822</v>
      </c>
      <c r="AB63" s="83">
        <v>-75.540000000000006</v>
      </c>
      <c r="AC63" s="83">
        <v>947</v>
      </c>
      <c r="AD63" s="83">
        <v>-947</v>
      </c>
      <c r="AE63" s="83">
        <v>0</v>
      </c>
      <c r="AF63" s="83">
        <v>0</v>
      </c>
      <c r="AG63" s="83">
        <v>0</v>
      </c>
      <c r="AH63" s="83">
        <v>0</v>
      </c>
      <c r="AI63" s="83">
        <v>0</v>
      </c>
      <c r="AJ63" s="83">
        <v>0</v>
      </c>
      <c r="AK63" s="83">
        <v>926.46</v>
      </c>
      <c r="AL63" s="83">
        <v>0</v>
      </c>
      <c r="AM63" s="83">
        <v>0</v>
      </c>
      <c r="AN63" s="31">
        <f t="shared" si="75"/>
        <v>926.45999999999981</v>
      </c>
      <c r="AO63" s="83">
        <v>0</v>
      </c>
      <c r="AP63" s="83">
        <v>0</v>
      </c>
      <c r="AQ63" s="83">
        <v>0</v>
      </c>
      <c r="AR63" s="83">
        <v>0</v>
      </c>
      <c r="AS63" s="83">
        <v>0</v>
      </c>
      <c r="AT63" s="83">
        <v>0</v>
      </c>
      <c r="AU63" s="83">
        <v>0</v>
      </c>
      <c r="AV63" s="83"/>
      <c r="AW63" s="83"/>
      <c r="AX63" s="83"/>
      <c r="AY63" s="83"/>
      <c r="AZ63" s="83"/>
      <c r="BA63" s="31">
        <f t="shared" si="76"/>
        <v>926.45999999999981</v>
      </c>
    </row>
    <row r="64" spans="1:54" s="34" customFormat="1" ht="12" x14ac:dyDescent="0.2">
      <c r="A64" s="116"/>
      <c r="B64" s="35" t="s">
        <v>1773</v>
      </c>
      <c r="C64" s="36">
        <f t="shared" ref="C64:AU64" si="77">SUM(C55:C63)</f>
        <v>619.30999999999995</v>
      </c>
      <c r="D64" s="36">
        <f t="shared" si="77"/>
        <v>-2181.8200000000002</v>
      </c>
      <c r="E64" s="36">
        <f t="shared" si="77"/>
        <v>-601.42999999999995</v>
      </c>
      <c r="F64" s="36">
        <f t="shared" si="77"/>
        <v>0</v>
      </c>
      <c r="G64" s="36">
        <f t="shared" si="77"/>
        <v>0</v>
      </c>
      <c r="H64" s="36">
        <f t="shared" si="77"/>
        <v>-1514.33</v>
      </c>
      <c r="I64" s="36">
        <f t="shared" si="77"/>
        <v>1514.33</v>
      </c>
      <c r="J64" s="36">
        <f t="shared" si="77"/>
        <v>98576.56</v>
      </c>
      <c r="K64" s="36">
        <f t="shared" si="77"/>
        <v>2061991.4300000004</v>
      </c>
      <c r="L64" s="85">
        <f t="shared" si="77"/>
        <v>-861156.59</v>
      </c>
      <c r="M64" s="85">
        <f t="shared" si="77"/>
        <v>428535.12</v>
      </c>
      <c r="N64" s="85">
        <f t="shared" si="77"/>
        <v>-1722480.3599999999</v>
      </c>
      <c r="O64" s="85">
        <f t="shared" si="77"/>
        <v>-885.79000000000042</v>
      </c>
      <c r="P64" s="85">
        <f t="shared" si="77"/>
        <v>11458.54</v>
      </c>
      <c r="Q64" s="85">
        <f t="shared" si="77"/>
        <v>2163.94</v>
      </c>
      <c r="R64" s="85">
        <f t="shared" si="77"/>
        <v>0</v>
      </c>
      <c r="S64" s="85">
        <f t="shared" si="77"/>
        <v>0</v>
      </c>
      <c r="T64" s="85">
        <f t="shared" si="77"/>
        <v>4236.7700000000004</v>
      </c>
      <c r="U64" s="85">
        <f t="shared" si="77"/>
        <v>35633.519999999997</v>
      </c>
      <c r="V64" s="85">
        <f t="shared" si="77"/>
        <v>-52606.979999999996</v>
      </c>
      <c r="W64" s="85">
        <f t="shared" si="77"/>
        <v>0</v>
      </c>
      <c r="X64" s="85">
        <f t="shared" si="77"/>
        <v>-0.02</v>
      </c>
      <c r="Y64" s="85">
        <f t="shared" si="77"/>
        <v>112986.82</v>
      </c>
      <c r="Z64" s="85">
        <f t="shared" si="77"/>
        <v>-112911.28000000001</v>
      </c>
      <c r="AA64" s="85">
        <f t="shared" si="77"/>
        <v>75.520000000003463</v>
      </c>
      <c r="AB64" s="85">
        <f t="shared" si="77"/>
        <v>-75.540000000000006</v>
      </c>
      <c r="AC64" s="85">
        <f t="shared" si="77"/>
        <v>904.89</v>
      </c>
      <c r="AD64" s="85">
        <f t="shared" si="77"/>
        <v>-947</v>
      </c>
      <c r="AE64" s="85">
        <f t="shared" si="77"/>
        <v>149993.06000000003</v>
      </c>
      <c r="AF64" s="85">
        <f t="shared" si="77"/>
        <v>-149091.57</v>
      </c>
      <c r="AG64" s="85">
        <f t="shared" si="77"/>
        <v>-893.97</v>
      </c>
      <c r="AH64" s="85">
        <f t="shared" si="77"/>
        <v>0</v>
      </c>
      <c r="AI64" s="85">
        <f t="shared" si="77"/>
        <v>0</v>
      </c>
      <c r="AJ64" s="85">
        <f t="shared" si="77"/>
        <v>0</v>
      </c>
      <c r="AK64" s="85">
        <f t="shared" si="77"/>
        <v>926.46</v>
      </c>
      <c r="AL64" s="85">
        <f t="shared" si="77"/>
        <v>-926.46</v>
      </c>
      <c r="AM64" s="85">
        <f t="shared" si="77"/>
        <v>0</v>
      </c>
      <c r="AN64" s="85">
        <f t="shared" si="77"/>
        <v>-34.609999999996489</v>
      </c>
      <c r="AO64" s="85">
        <f t="shared" si="77"/>
        <v>0</v>
      </c>
      <c r="AP64" s="85">
        <f t="shared" si="77"/>
        <v>0</v>
      </c>
      <c r="AQ64" s="85">
        <f t="shared" si="77"/>
        <v>0</v>
      </c>
      <c r="AR64" s="85">
        <f t="shared" si="77"/>
        <v>137.4</v>
      </c>
      <c r="AS64" s="85">
        <f t="shared" si="77"/>
        <v>0</v>
      </c>
      <c r="AT64" s="85">
        <f t="shared" si="77"/>
        <v>-137.4</v>
      </c>
      <c r="AU64" s="85">
        <f t="shared" si="77"/>
        <v>0</v>
      </c>
      <c r="AV64" s="85">
        <f t="shared" ref="AV64" si="78">SUM(AV55:AV63)</f>
        <v>0</v>
      </c>
      <c r="AW64" s="85">
        <f t="shared" ref="AW64" si="79">SUM(AW55:AW63)</f>
        <v>0</v>
      </c>
      <c r="AX64" s="85">
        <f t="shared" ref="AX64" si="80">SUM(AX55:AX63)</f>
        <v>0</v>
      </c>
      <c r="AY64" s="85">
        <f t="shared" ref="AY64" si="81">SUM(AY55:AY63)</f>
        <v>0</v>
      </c>
      <c r="AZ64" s="85">
        <f t="shared" ref="AZ64" si="82">SUM(AZ55:AZ63)</f>
        <v>0</v>
      </c>
      <c r="BA64" s="85">
        <f t="shared" ref="BA64" si="83">SUM(BA55:BA63)</f>
        <v>-34.609999999996489</v>
      </c>
    </row>
    <row r="65" spans="1:53" x14ac:dyDescent="0.2">
      <c r="B65" s="22" t="s">
        <v>48</v>
      </c>
      <c r="C65" s="74">
        <v>18516576.800000001</v>
      </c>
      <c r="D65" s="74">
        <v>625234.98</v>
      </c>
      <c r="E65" s="74">
        <v>4201971.67</v>
      </c>
      <c r="F65" s="75">
        <v>590297.4</v>
      </c>
      <c r="G65" s="75">
        <v>1366121</v>
      </c>
      <c r="H65" s="74">
        <v>-1240373.79</v>
      </c>
      <c r="I65" s="74">
        <v>-497355.35</v>
      </c>
      <c r="J65" s="74">
        <v>-398165.57</v>
      </c>
      <c r="K65" s="74">
        <v>-2280617.81</v>
      </c>
      <c r="L65" s="83">
        <v>-1580611.2</v>
      </c>
      <c r="M65" s="83">
        <v>-1844141.76</v>
      </c>
      <c r="N65" s="83">
        <v>-1386581.25</v>
      </c>
      <c r="O65" s="83">
        <v>15139281.73</v>
      </c>
      <c r="P65" s="83">
        <v>460384.79</v>
      </c>
      <c r="Q65" s="83">
        <v>-435466.76</v>
      </c>
      <c r="R65" s="83">
        <v>37642.730000000003</v>
      </c>
      <c r="S65" s="83">
        <v>1071742.83</v>
      </c>
      <c r="T65" s="83">
        <v>437627.86</v>
      </c>
      <c r="U65" s="83">
        <v>661228.14</v>
      </c>
      <c r="V65" s="83">
        <v>-1797834.01</v>
      </c>
      <c r="W65" s="83">
        <v>-122283.12</v>
      </c>
      <c r="X65" s="83">
        <v>24475.09</v>
      </c>
      <c r="Y65" s="83">
        <v>-953690.29</v>
      </c>
      <c r="Z65" s="83">
        <v>-1154208.8999999999</v>
      </c>
      <c r="AA65" s="31">
        <f t="shared" ref="AA65:AA72" si="84">SUM(O65:Z65)</f>
        <v>13368900.090000002</v>
      </c>
      <c r="AB65" s="83">
        <v>-1051174.6000000001</v>
      </c>
      <c r="AC65" s="83">
        <v>105644.2</v>
      </c>
      <c r="AD65" s="83">
        <v>1655687.16</v>
      </c>
      <c r="AE65" s="83">
        <v>-50364.07</v>
      </c>
      <c r="AF65" s="83">
        <v>-1227963.96</v>
      </c>
      <c r="AG65" s="83">
        <v>-661902.62</v>
      </c>
      <c r="AH65" s="83">
        <v>-1284091.07</v>
      </c>
      <c r="AI65" s="83">
        <v>-751357.45</v>
      </c>
      <c r="AJ65" s="83">
        <v>-454382.67</v>
      </c>
      <c r="AK65" s="83">
        <v>-16256.87</v>
      </c>
      <c r="AL65" s="83">
        <v>-337628.21</v>
      </c>
      <c r="AM65" s="83">
        <v>35412.199999999997</v>
      </c>
      <c r="AN65" s="31">
        <f t="shared" ref="AN65:AN82" si="85">SUM(AA65:AM65)</f>
        <v>9330522.1300000008</v>
      </c>
      <c r="AO65" s="83">
        <v>-476970.07</v>
      </c>
      <c r="AP65" s="83">
        <v>-686149.59</v>
      </c>
      <c r="AQ65" s="83">
        <v>-639829.89</v>
      </c>
      <c r="AR65" s="83">
        <v>791060.89</v>
      </c>
      <c r="AS65" s="83">
        <v>-402522.68</v>
      </c>
      <c r="AT65" s="83">
        <v>143862.26</v>
      </c>
      <c r="AU65" s="83">
        <v>235263.69</v>
      </c>
      <c r="BA65" s="31">
        <f t="shared" ref="BA65:BA82" si="86">SUM(AN65:AZ65)</f>
        <v>8295236.7400000012</v>
      </c>
    </row>
    <row r="66" spans="1:53" x14ac:dyDescent="0.2">
      <c r="B66" s="3" t="s">
        <v>599</v>
      </c>
      <c r="C66" s="74">
        <v>0</v>
      </c>
      <c r="D66" s="74">
        <v>0</v>
      </c>
      <c r="E66" s="74">
        <v>558.45000000000005</v>
      </c>
      <c r="F66" s="75">
        <v>0</v>
      </c>
      <c r="G66" s="75">
        <v>0</v>
      </c>
      <c r="H66" s="74">
        <v>0.02</v>
      </c>
      <c r="I66" s="74">
        <v>908.57</v>
      </c>
      <c r="J66" s="74">
        <v>-908.42</v>
      </c>
      <c r="K66" s="74">
        <v>0.15</v>
      </c>
      <c r="L66" s="83">
        <v>0.15</v>
      </c>
      <c r="M66" s="83">
        <v>-558.91999999999996</v>
      </c>
      <c r="N66" s="83">
        <v>0</v>
      </c>
      <c r="O66" s="83">
        <v>0</v>
      </c>
      <c r="P66" s="83">
        <v>0</v>
      </c>
      <c r="Q66" s="83">
        <v>0</v>
      </c>
      <c r="R66" s="83">
        <v>0</v>
      </c>
      <c r="S66" s="83">
        <v>0</v>
      </c>
      <c r="T66" s="83">
        <v>0</v>
      </c>
      <c r="U66" s="83">
        <v>0</v>
      </c>
      <c r="V66" s="83">
        <v>0</v>
      </c>
      <c r="W66" s="83">
        <v>0</v>
      </c>
      <c r="X66" s="83">
        <v>0</v>
      </c>
      <c r="Y66" s="83">
        <v>0</v>
      </c>
      <c r="Z66" s="83">
        <v>0</v>
      </c>
      <c r="AA66" s="31">
        <f t="shared" si="84"/>
        <v>0</v>
      </c>
      <c r="AB66" s="83">
        <v>0</v>
      </c>
      <c r="AC66" s="83">
        <v>198.33</v>
      </c>
      <c r="AD66" s="83">
        <v>-198.33</v>
      </c>
      <c r="AE66" s="83">
        <v>0</v>
      </c>
      <c r="AF66" s="83">
        <v>0</v>
      </c>
      <c r="AG66" s="83">
        <v>0</v>
      </c>
      <c r="AH66" s="83">
        <v>0</v>
      </c>
      <c r="AI66" s="83">
        <v>0</v>
      </c>
      <c r="AJ66" s="83">
        <v>19.45</v>
      </c>
      <c r="AK66" s="83">
        <v>-19.45</v>
      </c>
      <c r="AL66" s="83">
        <v>0</v>
      </c>
      <c r="AM66" s="83">
        <v>0</v>
      </c>
      <c r="AN66" s="31">
        <f t="shared" si="85"/>
        <v>0</v>
      </c>
      <c r="AO66" s="83">
        <v>0</v>
      </c>
      <c r="AP66" s="83">
        <v>1228.48</v>
      </c>
      <c r="AQ66" s="83">
        <v>-1228.48</v>
      </c>
      <c r="AR66" s="83">
        <v>937.89</v>
      </c>
      <c r="AS66" s="83">
        <v>-937.89</v>
      </c>
      <c r="AT66" s="83">
        <v>524.70000000000005</v>
      </c>
      <c r="AU66" s="83">
        <v>0</v>
      </c>
      <c r="BA66" s="31">
        <f t="shared" si="86"/>
        <v>524.70000000000005</v>
      </c>
    </row>
    <row r="67" spans="1:53" x14ac:dyDescent="0.2">
      <c r="B67" s="3" t="s">
        <v>1634</v>
      </c>
      <c r="C67" s="74">
        <v>0</v>
      </c>
      <c r="D67" s="74">
        <v>0</v>
      </c>
      <c r="E67" s="74">
        <v>0</v>
      </c>
      <c r="F67" s="75">
        <v>0</v>
      </c>
      <c r="G67" s="75">
        <v>302.76</v>
      </c>
      <c r="H67" s="74">
        <v>0</v>
      </c>
      <c r="I67" s="74">
        <v>0</v>
      </c>
      <c r="J67" s="74">
        <v>0</v>
      </c>
      <c r="K67" s="74">
        <v>-302.76</v>
      </c>
      <c r="L67" s="83">
        <v>0</v>
      </c>
      <c r="M67" s="83">
        <v>0</v>
      </c>
      <c r="N67" s="83">
        <v>0</v>
      </c>
      <c r="O67" s="83">
        <v>0</v>
      </c>
      <c r="P67" s="83">
        <v>0</v>
      </c>
      <c r="Q67" s="83">
        <v>10993.44</v>
      </c>
      <c r="R67" s="83">
        <v>0</v>
      </c>
      <c r="S67" s="83">
        <v>0</v>
      </c>
      <c r="T67" s="83">
        <v>0</v>
      </c>
      <c r="U67" s="83">
        <v>0</v>
      </c>
      <c r="V67" s="83">
        <v>0</v>
      </c>
      <c r="W67" s="83">
        <v>0</v>
      </c>
      <c r="X67" s="83">
        <v>0</v>
      </c>
      <c r="Y67" s="83">
        <v>0</v>
      </c>
      <c r="Z67" s="83">
        <v>0</v>
      </c>
      <c r="AA67" s="31">
        <f t="shared" si="84"/>
        <v>10993.44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3">
        <v>0</v>
      </c>
      <c r="AH67" s="83">
        <v>0</v>
      </c>
      <c r="AI67" s="83">
        <v>0</v>
      </c>
      <c r="AJ67" s="83">
        <v>0</v>
      </c>
      <c r="AK67" s="83">
        <v>0</v>
      </c>
      <c r="AL67" s="83">
        <v>0</v>
      </c>
      <c r="AM67" s="83">
        <v>0</v>
      </c>
      <c r="AN67" s="31">
        <f t="shared" si="85"/>
        <v>10993.44</v>
      </c>
      <c r="AO67" s="83">
        <v>0</v>
      </c>
      <c r="AP67" s="83">
        <v>0</v>
      </c>
      <c r="AQ67" s="83">
        <v>0</v>
      </c>
      <c r="AR67" s="83">
        <v>0</v>
      </c>
      <c r="AS67" s="83">
        <v>0</v>
      </c>
      <c r="AT67" s="83">
        <v>0</v>
      </c>
      <c r="AU67" s="83">
        <v>0</v>
      </c>
      <c r="BA67" s="31">
        <f t="shared" si="86"/>
        <v>10993.44</v>
      </c>
    </row>
    <row r="68" spans="1:53" x14ac:dyDescent="0.2">
      <c r="B68" s="3" t="s">
        <v>974</v>
      </c>
      <c r="C68" s="74">
        <v>0</v>
      </c>
      <c r="D68" s="74">
        <v>0</v>
      </c>
      <c r="E68" s="74">
        <v>0</v>
      </c>
      <c r="F68" s="75">
        <v>0</v>
      </c>
      <c r="G68" s="75">
        <v>0</v>
      </c>
      <c r="H68" s="74">
        <v>0</v>
      </c>
      <c r="I68" s="74">
        <v>0</v>
      </c>
      <c r="J68" s="74">
        <v>0</v>
      </c>
      <c r="K68" s="74">
        <v>0</v>
      </c>
      <c r="L68" s="83">
        <v>0</v>
      </c>
      <c r="M68" s="83">
        <v>0</v>
      </c>
      <c r="N68" s="83">
        <v>0</v>
      </c>
      <c r="O68" s="83">
        <v>0</v>
      </c>
      <c r="P68" s="83">
        <v>0</v>
      </c>
      <c r="Q68" s="83">
        <v>0</v>
      </c>
      <c r="R68" s="83">
        <v>0</v>
      </c>
      <c r="S68" s="83">
        <v>0</v>
      </c>
      <c r="T68" s="83">
        <v>0</v>
      </c>
      <c r="U68" s="83">
        <v>0</v>
      </c>
      <c r="V68" s="83">
        <v>0</v>
      </c>
      <c r="W68" s="83">
        <v>0</v>
      </c>
      <c r="X68" s="83">
        <v>0</v>
      </c>
      <c r="Y68" s="83">
        <v>0</v>
      </c>
      <c r="Z68" s="83">
        <v>0</v>
      </c>
      <c r="AA68" s="31">
        <f t="shared" si="84"/>
        <v>0</v>
      </c>
      <c r="AB68" s="83">
        <v>0</v>
      </c>
      <c r="AC68" s="83">
        <v>0</v>
      </c>
      <c r="AD68" s="83">
        <v>0</v>
      </c>
      <c r="AE68" s="83">
        <v>0</v>
      </c>
      <c r="AF68" s="83">
        <v>0</v>
      </c>
      <c r="AG68" s="83">
        <v>0</v>
      </c>
      <c r="AH68" s="83">
        <v>0</v>
      </c>
      <c r="AI68" s="83">
        <v>0</v>
      </c>
      <c r="AJ68" s="83">
        <v>0</v>
      </c>
      <c r="AK68" s="83">
        <v>0</v>
      </c>
      <c r="AL68" s="83">
        <v>0</v>
      </c>
      <c r="AM68" s="83">
        <v>0</v>
      </c>
      <c r="AN68" s="31">
        <f t="shared" si="85"/>
        <v>0</v>
      </c>
      <c r="AO68" s="83">
        <v>0</v>
      </c>
      <c r="AP68" s="83">
        <v>0</v>
      </c>
      <c r="AQ68" s="83">
        <v>0</v>
      </c>
      <c r="AR68" s="83">
        <v>0</v>
      </c>
      <c r="AS68" s="83">
        <v>0</v>
      </c>
      <c r="AT68" s="83">
        <v>0</v>
      </c>
      <c r="AU68" s="83">
        <v>0</v>
      </c>
      <c r="BA68" s="31">
        <f t="shared" si="86"/>
        <v>0</v>
      </c>
    </row>
    <row r="69" spans="1:53" x14ac:dyDescent="0.2">
      <c r="B69" s="3" t="s">
        <v>1826</v>
      </c>
      <c r="C69" s="74"/>
      <c r="D69" s="74"/>
      <c r="E69" s="74"/>
      <c r="F69" s="75"/>
      <c r="G69" s="75"/>
      <c r="H69" s="74"/>
      <c r="I69" s="74"/>
      <c r="J69" s="74"/>
      <c r="K69" s="74"/>
      <c r="O69" s="83">
        <v>0</v>
      </c>
      <c r="P69" s="83">
        <v>0</v>
      </c>
      <c r="Q69" s="83">
        <v>0</v>
      </c>
      <c r="R69" s="83">
        <v>0</v>
      </c>
      <c r="S69" s="83">
        <v>0</v>
      </c>
      <c r="T69" s="83">
        <v>0</v>
      </c>
      <c r="U69" s="83">
        <v>80.56</v>
      </c>
      <c r="V69" s="83">
        <v>-80.56</v>
      </c>
      <c r="W69" s="83">
        <v>0</v>
      </c>
      <c r="X69" s="83">
        <v>0</v>
      </c>
      <c r="Y69" s="83">
        <v>0</v>
      </c>
      <c r="Z69" s="83">
        <v>0</v>
      </c>
      <c r="AA69" s="31">
        <f t="shared" si="84"/>
        <v>0</v>
      </c>
      <c r="AB69" s="83">
        <v>0</v>
      </c>
      <c r="AC69" s="83">
        <v>0</v>
      </c>
      <c r="AD69" s="83">
        <v>0</v>
      </c>
      <c r="AE69" s="83">
        <v>0</v>
      </c>
      <c r="AF69" s="83">
        <v>0</v>
      </c>
      <c r="AG69" s="83">
        <v>0</v>
      </c>
      <c r="AH69" s="83">
        <v>0</v>
      </c>
      <c r="AI69" s="83">
        <v>0</v>
      </c>
      <c r="AJ69" s="83">
        <v>0</v>
      </c>
      <c r="AK69" s="83">
        <v>0</v>
      </c>
      <c r="AL69" s="83">
        <v>0</v>
      </c>
      <c r="AM69" s="83">
        <v>0</v>
      </c>
      <c r="AN69" s="31">
        <f t="shared" si="85"/>
        <v>0</v>
      </c>
      <c r="AO69" s="83">
        <v>0</v>
      </c>
      <c r="AP69" s="83">
        <v>0</v>
      </c>
      <c r="AQ69" s="83">
        <v>0</v>
      </c>
      <c r="AR69" s="83">
        <v>0</v>
      </c>
      <c r="AS69" s="83">
        <v>0</v>
      </c>
      <c r="AT69" s="83">
        <v>0</v>
      </c>
      <c r="AU69" s="83">
        <v>0</v>
      </c>
      <c r="BA69" s="31">
        <f t="shared" si="86"/>
        <v>0</v>
      </c>
    </row>
    <row r="70" spans="1:53" x14ac:dyDescent="0.2">
      <c r="B70" s="3" t="s">
        <v>49</v>
      </c>
      <c r="C70" s="74">
        <v>-160955.35999999999</v>
      </c>
      <c r="D70" s="74">
        <v>-3312</v>
      </c>
      <c r="E70" s="74">
        <v>-8712</v>
      </c>
      <c r="F70" s="75">
        <v>-3312</v>
      </c>
      <c r="G70" s="75">
        <v>187369.8</v>
      </c>
      <c r="H70" s="74">
        <v>-7263</v>
      </c>
      <c r="I70" s="74">
        <v>28365.11</v>
      </c>
      <c r="J70" s="74">
        <v>-29873.26</v>
      </c>
      <c r="K70" s="74">
        <v>33681.699999999997</v>
      </c>
      <c r="L70" s="83">
        <v>2729.56</v>
      </c>
      <c r="M70" s="83">
        <v>-6146</v>
      </c>
      <c r="N70" s="83">
        <v>-1863</v>
      </c>
      <c r="O70" s="83">
        <v>28846.55</v>
      </c>
      <c r="P70" s="83">
        <v>0</v>
      </c>
      <c r="Q70" s="83">
        <v>0</v>
      </c>
      <c r="R70" s="83">
        <v>5229.6000000000004</v>
      </c>
      <c r="S70" s="83">
        <v>-59661.16</v>
      </c>
      <c r="T70" s="83">
        <v>30849.81</v>
      </c>
      <c r="U70" s="83">
        <v>0</v>
      </c>
      <c r="V70" s="83">
        <v>0</v>
      </c>
      <c r="W70" s="83">
        <v>0</v>
      </c>
      <c r="X70" s="83">
        <v>6841.6</v>
      </c>
      <c r="Y70" s="83">
        <v>-5229.6000000000004</v>
      </c>
      <c r="Z70" s="83">
        <v>-6876.8</v>
      </c>
      <c r="AA70" s="31">
        <f t="shared" si="84"/>
        <v>0</v>
      </c>
      <c r="AB70" s="83">
        <v>452.44</v>
      </c>
      <c r="AC70" s="83">
        <v>0</v>
      </c>
      <c r="AD70" s="83">
        <v>-452.44</v>
      </c>
      <c r="AE70" s="83">
        <v>7581.89</v>
      </c>
      <c r="AF70" s="83">
        <v>-7481.89</v>
      </c>
      <c r="AG70" s="83">
        <v>0</v>
      </c>
      <c r="AH70" s="83">
        <v>0</v>
      </c>
      <c r="AI70" s="83">
        <v>0</v>
      </c>
      <c r="AJ70" s="83">
        <v>632.74</v>
      </c>
      <c r="AK70" s="83">
        <v>-100</v>
      </c>
      <c r="AL70" s="83">
        <v>0</v>
      </c>
      <c r="AM70" s="83">
        <v>0</v>
      </c>
      <c r="AN70" s="31">
        <f t="shared" si="85"/>
        <v>632.74</v>
      </c>
      <c r="AO70" s="83">
        <v>0</v>
      </c>
      <c r="AP70" s="83">
        <v>0</v>
      </c>
      <c r="AQ70" s="83">
        <v>0</v>
      </c>
      <c r="AR70" s="83">
        <v>-632.74</v>
      </c>
      <c r="AS70" s="83">
        <v>0</v>
      </c>
      <c r="AT70" s="83">
        <v>0</v>
      </c>
      <c r="AU70" s="83">
        <v>0</v>
      </c>
      <c r="BA70" s="31">
        <f t="shared" si="86"/>
        <v>0</v>
      </c>
    </row>
    <row r="71" spans="1:53" s="22" customFormat="1" x14ac:dyDescent="0.2">
      <c r="A71" s="117"/>
      <c r="B71" s="22" t="s">
        <v>50</v>
      </c>
      <c r="C71" s="120">
        <v>1700260.51</v>
      </c>
      <c r="D71" s="120">
        <v>-110917.6</v>
      </c>
      <c r="E71" s="120">
        <v>-52836.959999999999</v>
      </c>
      <c r="F71" s="121">
        <v>-227196.62</v>
      </c>
      <c r="G71" s="121">
        <v>-31179.14</v>
      </c>
      <c r="H71" s="120">
        <v>124376.61</v>
      </c>
      <c r="I71" s="120">
        <v>108963.91</v>
      </c>
      <c r="J71" s="120">
        <v>-413814.99</v>
      </c>
      <c r="K71" s="120">
        <v>-21183.07</v>
      </c>
      <c r="L71" s="122">
        <v>107742.09</v>
      </c>
      <c r="M71" s="122">
        <v>-166394.34</v>
      </c>
      <c r="N71" s="122">
        <v>304102.43</v>
      </c>
      <c r="O71" s="122">
        <v>993748.31</v>
      </c>
      <c r="P71" s="122">
        <v>-18465.28</v>
      </c>
      <c r="Q71" s="122">
        <v>548396.26</v>
      </c>
      <c r="R71" s="122">
        <v>-529809.43000000005</v>
      </c>
      <c r="S71" s="122">
        <v>165634.54999999999</v>
      </c>
      <c r="T71" s="122">
        <v>-139779.57999999999</v>
      </c>
      <c r="U71" s="122">
        <v>170137.60000000001</v>
      </c>
      <c r="V71" s="122">
        <v>-162484.28</v>
      </c>
      <c r="W71" s="122">
        <v>301205.73</v>
      </c>
      <c r="X71" s="122">
        <v>-228144.73</v>
      </c>
      <c r="Y71" s="83">
        <v>195419.49</v>
      </c>
      <c r="Z71" s="83">
        <v>-61287.48</v>
      </c>
      <c r="AA71" s="123">
        <f t="shared" si="84"/>
        <v>1234571.1599999999</v>
      </c>
      <c r="AB71" s="83">
        <v>-108321.32</v>
      </c>
      <c r="AC71" s="83">
        <v>-15025.28</v>
      </c>
      <c r="AD71" s="83">
        <v>57364.31</v>
      </c>
      <c r="AE71" s="83">
        <v>-992103.2</v>
      </c>
      <c r="AF71" s="83">
        <v>47867.86</v>
      </c>
      <c r="AG71" s="83">
        <v>45228.08</v>
      </c>
      <c r="AH71" s="83">
        <v>-1873.39</v>
      </c>
      <c r="AI71" s="83">
        <v>-23220.35</v>
      </c>
      <c r="AJ71" s="83">
        <v>17052.560000000001</v>
      </c>
      <c r="AK71" s="83">
        <v>75616.56</v>
      </c>
      <c r="AL71" s="83">
        <v>14542.25</v>
      </c>
      <c r="AM71" s="83">
        <v>13529.83</v>
      </c>
      <c r="AN71" s="31">
        <f t="shared" si="85"/>
        <v>365229.06999999989</v>
      </c>
      <c r="AO71" s="83">
        <v>103293.84</v>
      </c>
      <c r="AP71" s="83">
        <v>-95042.3</v>
      </c>
      <c r="AQ71" s="83">
        <v>39192.74</v>
      </c>
      <c r="AR71" s="83">
        <v>-28517.599999999999</v>
      </c>
      <c r="AS71" s="83">
        <v>-384155.75</v>
      </c>
      <c r="AT71" s="83">
        <v>0</v>
      </c>
      <c r="AU71" s="83">
        <v>0</v>
      </c>
      <c r="AV71" s="83"/>
      <c r="AW71" s="83"/>
      <c r="AX71" s="83"/>
      <c r="AY71" s="83"/>
      <c r="AZ71" s="83"/>
      <c r="BA71" s="31">
        <f t="shared" si="86"/>
        <v>-5.8207660913467407E-11</v>
      </c>
    </row>
    <row r="72" spans="1:53" x14ac:dyDescent="0.2">
      <c r="B72" s="3" t="s">
        <v>51</v>
      </c>
      <c r="C72" s="74">
        <v>1056688.8600000001</v>
      </c>
      <c r="D72" s="74">
        <v>1528045.9</v>
      </c>
      <c r="E72" s="74">
        <v>-1481357.49</v>
      </c>
      <c r="F72" s="75">
        <v>67107.77</v>
      </c>
      <c r="G72" s="75">
        <v>80676.820000000007</v>
      </c>
      <c r="H72" s="74">
        <v>-121129.28</v>
      </c>
      <c r="I72" s="74">
        <v>-527989.31000000006</v>
      </c>
      <c r="J72" s="74">
        <v>211915.84</v>
      </c>
      <c r="K72" s="74">
        <v>342342.32</v>
      </c>
      <c r="L72" s="83">
        <v>-199539.37</v>
      </c>
      <c r="M72" s="83">
        <v>61533.97</v>
      </c>
      <c r="N72" s="83">
        <v>291834.25</v>
      </c>
      <c r="O72" s="83">
        <v>1432855.4</v>
      </c>
      <c r="P72" s="83">
        <v>-1259117.6599999999</v>
      </c>
      <c r="Q72" s="83">
        <v>239974.29</v>
      </c>
      <c r="R72" s="83">
        <v>-177454.31</v>
      </c>
      <c r="S72" s="83">
        <v>-2272.25</v>
      </c>
      <c r="T72" s="83">
        <v>64879.09</v>
      </c>
      <c r="U72" s="83">
        <v>109256.76</v>
      </c>
      <c r="V72" s="83">
        <v>3329324.01</v>
      </c>
      <c r="W72" s="83">
        <v>-3470975.39</v>
      </c>
      <c r="X72" s="83">
        <v>41031.4</v>
      </c>
      <c r="Y72" s="83">
        <v>-34191.56</v>
      </c>
      <c r="Z72" s="83">
        <v>-15312.1</v>
      </c>
      <c r="AA72" s="31">
        <f t="shared" si="84"/>
        <v>257997.67999999996</v>
      </c>
      <c r="AB72" s="83">
        <v>21175.45</v>
      </c>
      <c r="AC72" s="83">
        <v>4087.83</v>
      </c>
      <c r="AD72" s="83">
        <v>-6624.33</v>
      </c>
      <c r="AE72" s="83">
        <v>130335.78</v>
      </c>
      <c r="AF72" s="83">
        <v>19865.240000000002</v>
      </c>
      <c r="AG72" s="83">
        <v>-10490.23</v>
      </c>
      <c r="AH72" s="83">
        <v>174306.97</v>
      </c>
      <c r="AI72" s="83">
        <v>196066.84</v>
      </c>
      <c r="AJ72" s="83">
        <v>705434.75</v>
      </c>
      <c r="AK72" s="83">
        <v>-26641.11</v>
      </c>
      <c r="AL72" s="83">
        <v>-546691.68999999994</v>
      </c>
      <c r="AM72" s="83">
        <v>-307604.03000000003</v>
      </c>
      <c r="AN72" s="31">
        <f t="shared" si="85"/>
        <v>611219.14999999991</v>
      </c>
      <c r="AO72" s="83">
        <v>188724.75</v>
      </c>
      <c r="AP72" s="83">
        <v>69010.44</v>
      </c>
      <c r="AQ72" s="83">
        <v>-646593.74</v>
      </c>
      <c r="AR72" s="83">
        <v>-41972.94</v>
      </c>
      <c r="AS72" s="83">
        <v>43337.07</v>
      </c>
      <c r="AT72" s="83">
        <v>102413.29</v>
      </c>
      <c r="AU72" s="83">
        <v>-67361.61</v>
      </c>
      <c r="BA72" s="31">
        <f t="shared" si="86"/>
        <v>258776.40999999986</v>
      </c>
    </row>
    <row r="73" spans="1:53" x14ac:dyDescent="0.2">
      <c r="B73" s="3" t="s">
        <v>1879</v>
      </c>
      <c r="C73" s="74"/>
      <c r="D73" s="74"/>
      <c r="E73" s="74"/>
      <c r="F73" s="75"/>
      <c r="G73" s="75"/>
      <c r="H73" s="74"/>
      <c r="I73" s="74"/>
      <c r="J73" s="74"/>
      <c r="K73" s="74"/>
      <c r="AA73" s="31">
        <v>0</v>
      </c>
      <c r="AB73" s="83">
        <v>0</v>
      </c>
      <c r="AC73" s="83">
        <v>0</v>
      </c>
      <c r="AD73" s="83">
        <v>0</v>
      </c>
      <c r="AE73" s="83">
        <v>9626.24</v>
      </c>
      <c r="AF73" s="83">
        <v>-7709.63</v>
      </c>
      <c r="AG73" s="83">
        <v>-1916.61</v>
      </c>
      <c r="AH73" s="83">
        <v>0</v>
      </c>
      <c r="AI73" s="83">
        <v>3702.85</v>
      </c>
      <c r="AJ73" s="83">
        <v>3795.37</v>
      </c>
      <c r="AK73" s="83">
        <v>-7498.22</v>
      </c>
      <c r="AL73" s="83">
        <v>0</v>
      </c>
      <c r="AM73" s="83">
        <v>594.71</v>
      </c>
      <c r="AN73" s="31">
        <f t="shared" si="85"/>
        <v>594.70999999999913</v>
      </c>
      <c r="AO73" s="83">
        <v>1406.53</v>
      </c>
      <c r="AP73" s="83">
        <v>-2001.24</v>
      </c>
      <c r="AQ73" s="83">
        <v>0</v>
      </c>
      <c r="AR73" s="83">
        <v>0</v>
      </c>
      <c r="AS73" s="83">
        <v>0</v>
      </c>
      <c r="AT73" s="83">
        <v>0</v>
      </c>
      <c r="AU73" s="83">
        <v>0</v>
      </c>
      <c r="BA73" s="31">
        <f t="shared" si="86"/>
        <v>-9.0949470177292824E-13</v>
      </c>
    </row>
    <row r="74" spans="1:53" s="22" customFormat="1" x14ac:dyDescent="0.2">
      <c r="A74" s="117"/>
      <c r="B74" s="22" t="s">
        <v>52</v>
      </c>
      <c r="C74" s="120">
        <v>3803674.39</v>
      </c>
      <c r="D74" s="120">
        <v>4251417.17</v>
      </c>
      <c r="E74" s="120">
        <v>-4706235.3499999996</v>
      </c>
      <c r="F74" s="121">
        <v>2145947.5299999998</v>
      </c>
      <c r="G74" s="121">
        <v>-2370770.4700000002</v>
      </c>
      <c r="H74" s="120">
        <v>-506345.27</v>
      </c>
      <c r="I74" s="120">
        <v>1467635.82</v>
      </c>
      <c r="J74" s="120">
        <v>-1746907.4</v>
      </c>
      <c r="K74" s="120">
        <v>184659.32</v>
      </c>
      <c r="L74" s="122">
        <v>-972520.92</v>
      </c>
      <c r="M74" s="122">
        <v>233410.11</v>
      </c>
      <c r="N74" s="122">
        <v>-446471.81</v>
      </c>
      <c r="O74" s="122">
        <v>2075444.29</v>
      </c>
      <c r="P74" s="122">
        <v>280836.96999999997</v>
      </c>
      <c r="Q74" s="122">
        <v>207711.04</v>
      </c>
      <c r="R74" s="122">
        <v>1907587.07</v>
      </c>
      <c r="S74" s="122">
        <v>-1765895.89</v>
      </c>
      <c r="T74" s="122">
        <v>363142.51</v>
      </c>
      <c r="U74" s="122">
        <v>-1168835.23</v>
      </c>
      <c r="V74" s="122">
        <v>231418.14</v>
      </c>
      <c r="W74" s="122">
        <v>484500.35</v>
      </c>
      <c r="X74" s="122">
        <v>-480723.67</v>
      </c>
      <c r="Y74" s="83">
        <v>-856984.9</v>
      </c>
      <c r="Z74" s="83">
        <v>-478382.88</v>
      </c>
      <c r="AA74" s="123">
        <f t="shared" ref="AA74:AA82" si="87">SUM(O74:Z74)</f>
        <v>799817.80000000063</v>
      </c>
      <c r="AB74" s="83">
        <v>1227202.94</v>
      </c>
      <c r="AC74" s="83">
        <v>-125348.51</v>
      </c>
      <c r="AD74" s="83">
        <v>-742225.25</v>
      </c>
      <c r="AE74" s="83">
        <v>-321368.89</v>
      </c>
      <c r="AF74" s="83">
        <v>354293.77</v>
      </c>
      <c r="AG74" s="83">
        <v>-501267.46</v>
      </c>
      <c r="AH74" s="83">
        <v>297693.96000000002</v>
      </c>
      <c r="AI74" s="83">
        <v>226921.98</v>
      </c>
      <c r="AJ74" s="83">
        <v>-152355.69</v>
      </c>
      <c r="AK74" s="83">
        <v>175648.89</v>
      </c>
      <c r="AL74" s="83">
        <v>291582.07</v>
      </c>
      <c r="AM74" s="83">
        <v>-219747.75</v>
      </c>
      <c r="AN74" s="31">
        <f t="shared" si="85"/>
        <v>1310847.860000001</v>
      </c>
      <c r="AO74" s="83">
        <v>628508.43000000005</v>
      </c>
      <c r="AP74" s="83">
        <v>-656989.36</v>
      </c>
      <c r="AQ74" s="83">
        <v>559837.69999999995</v>
      </c>
      <c r="AR74" s="83">
        <v>-418983.07</v>
      </c>
      <c r="AS74" s="83">
        <v>109089.56</v>
      </c>
      <c r="AT74" s="83">
        <v>260763.31</v>
      </c>
      <c r="AU74" s="83">
        <v>-517310.24</v>
      </c>
      <c r="AV74" s="83"/>
      <c r="AW74" s="83"/>
      <c r="AX74" s="83"/>
      <c r="AY74" s="83"/>
      <c r="AZ74" s="83"/>
      <c r="BA74" s="31">
        <f t="shared" si="86"/>
        <v>1275764.1900000011</v>
      </c>
    </row>
    <row r="75" spans="1:53" x14ac:dyDescent="0.2">
      <c r="B75" s="3" t="s">
        <v>53</v>
      </c>
      <c r="C75" s="4">
        <v>-240.41</v>
      </c>
      <c r="D75" s="20">
        <v>-2.83</v>
      </c>
      <c r="E75" s="20">
        <v>0</v>
      </c>
      <c r="F75" s="24">
        <v>46.03</v>
      </c>
      <c r="G75" s="24">
        <v>197.21</v>
      </c>
      <c r="H75" s="20">
        <v>0</v>
      </c>
      <c r="I75" s="20">
        <v>0</v>
      </c>
      <c r="J75" s="20">
        <v>0</v>
      </c>
      <c r="K75" s="74">
        <v>0</v>
      </c>
      <c r="L75" s="83">
        <v>0</v>
      </c>
      <c r="M75" s="83">
        <v>0</v>
      </c>
      <c r="N75" s="83">
        <v>0</v>
      </c>
      <c r="O75" s="83">
        <v>0</v>
      </c>
      <c r="P75" s="83">
        <v>0</v>
      </c>
      <c r="Q75" s="83">
        <v>0</v>
      </c>
      <c r="R75" s="83">
        <v>0</v>
      </c>
      <c r="S75" s="83">
        <v>0</v>
      </c>
      <c r="T75" s="83">
        <v>0</v>
      </c>
      <c r="U75" s="83">
        <v>0</v>
      </c>
      <c r="V75" s="83">
        <v>0</v>
      </c>
      <c r="W75" s="83">
        <v>0</v>
      </c>
      <c r="X75" s="83">
        <v>0</v>
      </c>
      <c r="Y75" s="83">
        <v>0</v>
      </c>
      <c r="Z75" s="83">
        <v>0</v>
      </c>
      <c r="AA75" s="31">
        <f t="shared" si="87"/>
        <v>0</v>
      </c>
      <c r="AB75" s="83">
        <v>0</v>
      </c>
      <c r="AC75" s="83">
        <v>0</v>
      </c>
      <c r="AD75" s="83">
        <v>0</v>
      </c>
      <c r="AE75" s="83">
        <v>0</v>
      </c>
      <c r="AF75" s="83">
        <v>0</v>
      </c>
      <c r="AG75" s="83">
        <v>0</v>
      </c>
      <c r="AH75" s="83">
        <v>0</v>
      </c>
      <c r="AI75" s="83">
        <v>0</v>
      </c>
      <c r="AJ75" s="83">
        <v>0</v>
      </c>
      <c r="AK75" s="83">
        <v>0</v>
      </c>
      <c r="AL75" s="83">
        <v>0</v>
      </c>
      <c r="AM75" s="83">
        <v>0</v>
      </c>
      <c r="AN75" s="31">
        <f t="shared" si="85"/>
        <v>0</v>
      </c>
      <c r="AO75" s="83">
        <v>0</v>
      </c>
      <c r="AP75" s="83">
        <v>0</v>
      </c>
      <c r="AQ75" s="83">
        <v>0</v>
      </c>
      <c r="AR75" s="83">
        <v>0</v>
      </c>
      <c r="AS75" s="83">
        <v>0</v>
      </c>
      <c r="AT75" s="83">
        <v>0</v>
      </c>
      <c r="AU75" s="83">
        <v>0</v>
      </c>
      <c r="BA75" s="31">
        <f t="shared" si="86"/>
        <v>0</v>
      </c>
    </row>
    <row r="76" spans="1:53" x14ac:dyDescent="0.2">
      <c r="B76" s="3" t="s">
        <v>54</v>
      </c>
      <c r="C76" s="20">
        <v>54089.09</v>
      </c>
      <c r="D76" s="20">
        <v>-10191.93</v>
      </c>
      <c r="E76" s="20">
        <v>-36183.199999999997</v>
      </c>
      <c r="F76" s="24">
        <v>37330.85</v>
      </c>
      <c r="G76" s="24">
        <v>-5655.69</v>
      </c>
      <c r="H76" s="20">
        <v>-7697.84</v>
      </c>
      <c r="I76" s="20">
        <v>27331.96</v>
      </c>
      <c r="J76" s="20">
        <v>-30836.33</v>
      </c>
      <c r="K76" s="74">
        <v>11489.76</v>
      </c>
      <c r="L76" s="83">
        <v>-9059.9500000000007</v>
      </c>
      <c r="M76" s="83">
        <v>-5803.49</v>
      </c>
      <c r="N76" s="83">
        <v>13181.71</v>
      </c>
      <c r="O76" s="83">
        <v>31974.959999999999</v>
      </c>
      <c r="P76" s="83">
        <v>9232.9599999999991</v>
      </c>
      <c r="Q76" s="83">
        <v>2847.52</v>
      </c>
      <c r="R76" s="83">
        <v>23004.18</v>
      </c>
      <c r="S76" s="83">
        <v>4145.09</v>
      </c>
      <c r="T76" s="83">
        <v>-38173.18</v>
      </c>
      <c r="U76" s="83">
        <v>5033.7700000000004</v>
      </c>
      <c r="V76" s="83">
        <v>32768.269999999997</v>
      </c>
      <c r="W76" s="83">
        <v>-35689.24</v>
      </c>
      <c r="X76" s="83">
        <v>-17824.39</v>
      </c>
      <c r="Y76" s="83">
        <v>5689.02</v>
      </c>
      <c r="Z76" s="83">
        <v>196733.53</v>
      </c>
      <c r="AA76" s="31">
        <f t="shared" si="87"/>
        <v>219742.49</v>
      </c>
      <c r="AB76" s="83">
        <v>-197772.73</v>
      </c>
      <c r="AC76" s="83">
        <v>16389.59</v>
      </c>
      <c r="AD76" s="83">
        <v>30921.040000000001</v>
      </c>
      <c r="AE76" s="83">
        <v>-14596.43</v>
      </c>
      <c r="AF76" s="83">
        <v>17128.830000000002</v>
      </c>
      <c r="AG76" s="83">
        <v>-54945.42</v>
      </c>
      <c r="AH76" s="83">
        <v>-13256.32</v>
      </c>
      <c r="AI76" s="83">
        <v>-3575.41</v>
      </c>
      <c r="AJ76" s="83">
        <v>25900.240000000002</v>
      </c>
      <c r="AK76" s="83">
        <v>1915.79</v>
      </c>
      <c r="AL76" s="83">
        <v>-20460.55</v>
      </c>
      <c r="AM76" s="83">
        <v>19030.099999999999</v>
      </c>
      <c r="AN76" s="31">
        <f t="shared" si="85"/>
        <v>26421.219999999983</v>
      </c>
      <c r="AO76" s="83">
        <v>-6408.08</v>
      </c>
      <c r="AP76" s="83">
        <v>7645.58</v>
      </c>
      <c r="AQ76" s="83">
        <v>19464.349999999999</v>
      </c>
      <c r="AR76" s="83">
        <v>-30509.119999999999</v>
      </c>
      <c r="AS76" s="83">
        <v>11648.22</v>
      </c>
      <c r="AT76" s="83">
        <v>11908.97</v>
      </c>
      <c r="AU76" s="83">
        <v>-23910.99</v>
      </c>
      <c r="BA76" s="31">
        <f t="shared" si="86"/>
        <v>16260.149999999983</v>
      </c>
    </row>
    <row r="77" spans="1:53" x14ac:dyDescent="0.2">
      <c r="B77" s="3" t="s">
        <v>1793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83">
        <v>0</v>
      </c>
      <c r="O77" s="83">
        <v>0</v>
      </c>
      <c r="P77" s="83">
        <v>0</v>
      </c>
      <c r="Q77" s="83">
        <v>0</v>
      </c>
      <c r="R77" s="83">
        <v>0</v>
      </c>
      <c r="S77" s="83">
        <v>0</v>
      </c>
      <c r="T77" s="83">
        <v>0</v>
      </c>
      <c r="U77" s="83">
        <v>0</v>
      </c>
      <c r="V77" s="83">
        <v>0</v>
      </c>
      <c r="W77" s="83">
        <v>0</v>
      </c>
      <c r="X77" s="83">
        <v>0</v>
      </c>
      <c r="Y77" s="83">
        <v>0</v>
      </c>
      <c r="Z77" s="83">
        <v>0</v>
      </c>
      <c r="AA77" s="31">
        <f t="shared" si="87"/>
        <v>0</v>
      </c>
      <c r="AB77" s="83">
        <v>0</v>
      </c>
      <c r="AC77" s="83">
        <v>0</v>
      </c>
      <c r="AD77" s="83">
        <v>0</v>
      </c>
      <c r="AE77" s="83">
        <v>0</v>
      </c>
      <c r="AF77" s="83">
        <v>0</v>
      </c>
      <c r="AG77" s="83">
        <v>0</v>
      </c>
      <c r="AH77" s="83">
        <v>0</v>
      </c>
      <c r="AI77" s="83">
        <v>0</v>
      </c>
      <c r="AJ77" s="83">
        <v>0</v>
      </c>
      <c r="AK77" s="83">
        <v>0</v>
      </c>
      <c r="AL77" s="83">
        <v>0</v>
      </c>
      <c r="AM77" s="83">
        <v>0</v>
      </c>
      <c r="AN77" s="31">
        <f t="shared" si="85"/>
        <v>0</v>
      </c>
      <c r="AO77" s="83">
        <v>0</v>
      </c>
      <c r="AP77" s="83">
        <v>0</v>
      </c>
      <c r="AQ77" s="83">
        <v>0</v>
      </c>
      <c r="AR77" s="83">
        <v>0</v>
      </c>
      <c r="AS77" s="83">
        <v>0</v>
      </c>
      <c r="AT77" s="83">
        <v>0</v>
      </c>
      <c r="AU77" s="83">
        <v>0</v>
      </c>
      <c r="BA77" s="31">
        <f t="shared" si="86"/>
        <v>0</v>
      </c>
    </row>
    <row r="78" spans="1:53" x14ac:dyDescent="0.2">
      <c r="B78" s="3" t="s">
        <v>55</v>
      </c>
      <c r="C78" s="20">
        <v>-1510996.42</v>
      </c>
      <c r="D78" s="20">
        <v>162.28</v>
      </c>
      <c r="E78" s="20">
        <v>-705.89</v>
      </c>
      <c r="F78" s="24">
        <v>80199.58</v>
      </c>
      <c r="G78" s="24">
        <v>199672.41</v>
      </c>
      <c r="H78" s="20">
        <v>-279576.24</v>
      </c>
      <c r="I78" s="20">
        <v>0</v>
      </c>
      <c r="J78" s="20">
        <v>0</v>
      </c>
      <c r="K78" s="74">
        <v>0</v>
      </c>
      <c r="L78" s="83">
        <v>0</v>
      </c>
      <c r="M78" s="83">
        <v>107.08</v>
      </c>
      <c r="N78" s="83">
        <v>6233.35</v>
      </c>
      <c r="O78" s="83">
        <v>-1504783.91</v>
      </c>
      <c r="P78" s="83">
        <v>-48.71</v>
      </c>
      <c r="Q78" s="83">
        <v>0.28000000000000003</v>
      </c>
      <c r="R78" s="83">
        <v>0.06</v>
      </c>
      <c r="S78" s="83">
        <v>0.8</v>
      </c>
      <c r="T78" s="83">
        <v>-6448.73</v>
      </c>
      <c r="U78" s="83">
        <v>0.1</v>
      </c>
      <c r="V78" s="83">
        <v>-43499.32</v>
      </c>
      <c r="W78" s="83">
        <v>5.31</v>
      </c>
      <c r="X78" s="83">
        <v>-129.47999999999999</v>
      </c>
      <c r="Y78" s="83">
        <v>0</v>
      </c>
      <c r="Z78" s="83">
        <v>5359.24</v>
      </c>
      <c r="AA78" s="31">
        <f t="shared" si="87"/>
        <v>-1549544.3599999996</v>
      </c>
      <c r="AB78" s="83">
        <v>0.1</v>
      </c>
      <c r="AC78" s="83">
        <v>-0.1</v>
      </c>
      <c r="AD78" s="83">
        <v>306.63</v>
      </c>
      <c r="AE78" s="83">
        <v>0</v>
      </c>
      <c r="AF78" s="83">
        <v>-735.19</v>
      </c>
      <c r="AG78" s="83">
        <v>0</v>
      </c>
      <c r="AH78" s="83">
        <v>0</v>
      </c>
      <c r="AI78" s="83">
        <v>0.08</v>
      </c>
      <c r="AJ78" s="83">
        <v>215.2</v>
      </c>
      <c r="AK78" s="83">
        <v>0</v>
      </c>
      <c r="AL78" s="83">
        <v>0.01</v>
      </c>
      <c r="AM78" s="83">
        <v>0</v>
      </c>
      <c r="AN78" s="31">
        <f t="shared" si="85"/>
        <v>-1549757.6299999997</v>
      </c>
      <c r="AO78" s="83">
        <v>-0.05</v>
      </c>
      <c r="AP78" s="83">
        <v>5.1100000000000003</v>
      </c>
      <c r="AQ78" s="83">
        <v>0</v>
      </c>
      <c r="AR78" s="83">
        <v>0</v>
      </c>
      <c r="AS78" s="83">
        <v>0</v>
      </c>
      <c r="AT78" s="83">
        <v>0</v>
      </c>
      <c r="AU78" s="83">
        <v>-0.43</v>
      </c>
      <c r="BA78" s="31">
        <f t="shared" si="86"/>
        <v>-1549752.9999999995</v>
      </c>
    </row>
    <row r="79" spans="1:53" x14ac:dyDescent="0.2">
      <c r="B79" s="3" t="s">
        <v>56</v>
      </c>
      <c r="C79" s="20">
        <v>-10101.379999999999</v>
      </c>
      <c r="D79" s="20">
        <v>0</v>
      </c>
      <c r="E79" s="20">
        <v>169.09</v>
      </c>
      <c r="F79" s="24">
        <v>38573.279999999999</v>
      </c>
      <c r="G79" s="24">
        <v>19778.73</v>
      </c>
      <c r="H79" s="20">
        <v>-58516.32</v>
      </c>
      <c r="I79" s="20">
        <v>0</v>
      </c>
      <c r="J79" s="20">
        <v>-134.16999999999999</v>
      </c>
      <c r="K79" s="74">
        <v>0</v>
      </c>
      <c r="L79" s="83">
        <v>0</v>
      </c>
      <c r="M79" s="83">
        <v>0</v>
      </c>
      <c r="N79" s="83">
        <v>18370.5</v>
      </c>
      <c r="O79" s="83">
        <v>10931.59</v>
      </c>
      <c r="P79" s="83">
        <v>-8.68</v>
      </c>
      <c r="Q79" s="83">
        <v>767.64</v>
      </c>
      <c r="R79" s="83">
        <v>0.04</v>
      </c>
      <c r="S79" s="83">
        <v>0</v>
      </c>
      <c r="T79" s="83">
        <v>-1850.31</v>
      </c>
      <c r="U79" s="83">
        <v>-0.82</v>
      </c>
      <c r="V79" s="83">
        <v>79.78</v>
      </c>
      <c r="W79" s="83">
        <v>-65095.35</v>
      </c>
      <c r="X79" s="83">
        <v>66071.839999999997</v>
      </c>
      <c r="Y79" s="83">
        <v>0</v>
      </c>
      <c r="Z79" s="83">
        <v>16752.57</v>
      </c>
      <c r="AA79" s="31">
        <f t="shared" si="87"/>
        <v>27648.299999999996</v>
      </c>
      <c r="AB79" s="83">
        <v>-21520.97</v>
      </c>
      <c r="AC79" s="83">
        <v>5929.34</v>
      </c>
      <c r="AD79" s="83">
        <v>-21.37</v>
      </c>
      <c r="AE79" s="83">
        <v>56.52</v>
      </c>
      <c r="AF79" s="83">
        <v>0</v>
      </c>
      <c r="AG79" s="83">
        <v>0</v>
      </c>
      <c r="AH79" s="83">
        <v>0</v>
      </c>
      <c r="AI79" s="83">
        <v>0</v>
      </c>
      <c r="AJ79" s="83">
        <v>0.64</v>
      </c>
      <c r="AK79" s="83">
        <v>-2206.63</v>
      </c>
      <c r="AL79" s="83">
        <v>2206.63</v>
      </c>
      <c r="AM79" s="83">
        <v>0</v>
      </c>
      <c r="AN79" s="31">
        <f t="shared" si="85"/>
        <v>12092.459999999995</v>
      </c>
      <c r="AO79" s="83">
        <v>0</v>
      </c>
      <c r="AP79" s="83">
        <v>0</v>
      </c>
      <c r="AQ79" s="83">
        <v>0</v>
      </c>
      <c r="AR79" s="83">
        <v>0</v>
      </c>
      <c r="AS79" s="83">
        <v>0</v>
      </c>
      <c r="AT79" s="83">
        <v>-0.02</v>
      </c>
      <c r="AU79" s="83">
        <v>0</v>
      </c>
      <c r="BA79" s="31">
        <f t="shared" si="86"/>
        <v>12092.439999999995</v>
      </c>
    </row>
    <row r="80" spans="1:53" x14ac:dyDescent="0.2">
      <c r="B80" s="3" t="s">
        <v>57</v>
      </c>
      <c r="C80" s="20">
        <v>-28249.32</v>
      </c>
      <c r="D80" s="20">
        <v>1066.6400000000001</v>
      </c>
      <c r="E80" s="20">
        <v>-1741.14</v>
      </c>
      <c r="F80" s="24">
        <v>25028.65</v>
      </c>
      <c r="G80" s="24">
        <v>14859.59</v>
      </c>
      <c r="H80" s="20">
        <v>-34021.160000000003</v>
      </c>
      <c r="I80" s="20">
        <v>-3156.29</v>
      </c>
      <c r="J80" s="20">
        <v>-2236.09</v>
      </c>
      <c r="K80" s="74">
        <v>-800.16</v>
      </c>
      <c r="L80" s="83">
        <v>32321.11</v>
      </c>
      <c r="M80" s="83">
        <v>1557.05</v>
      </c>
      <c r="N80" s="83">
        <v>12975.24</v>
      </c>
      <c r="O80" s="83">
        <v>18276.52</v>
      </c>
      <c r="P80" s="83">
        <v>-56.77</v>
      </c>
      <c r="Q80" s="83">
        <v>24.53</v>
      </c>
      <c r="R80" s="83">
        <v>0</v>
      </c>
      <c r="S80" s="83">
        <v>388.07</v>
      </c>
      <c r="T80" s="83">
        <v>-625.80999999999995</v>
      </c>
      <c r="U80" s="83">
        <v>329.88</v>
      </c>
      <c r="V80" s="83">
        <v>72.760000000000005</v>
      </c>
      <c r="W80" s="83">
        <v>0</v>
      </c>
      <c r="X80" s="83">
        <v>-10.48</v>
      </c>
      <c r="Y80" s="83">
        <v>338.82</v>
      </c>
      <c r="Z80" s="83">
        <v>-62.28</v>
      </c>
      <c r="AA80" s="31">
        <f t="shared" si="87"/>
        <v>18675.239999999998</v>
      </c>
      <c r="AB80" s="83">
        <v>-16526.650000000001</v>
      </c>
      <c r="AC80" s="83">
        <v>18324.73</v>
      </c>
      <c r="AD80" s="83">
        <v>0</v>
      </c>
      <c r="AE80" s="83">
        <v>0</v>
      </c>
      <c r="AF80" s="83">
        <v>0</v>
      </c>
      <c r="AG80" s="83">
        <v>0</v>
      </c>
      <c r="AH80" s="83">
        <v>536.94000000000005</v>
      </c>
      <c r="AI80" s="83">
        <v>0</v>
      </c>
      <c r="AJ80" s="83">
        <v>320.74</v>
      </c>
      <c r="AK80" s="83">
        <v>1178.79</v>
      </c>
      <c r="AL80" s="83">
        <v>-673.39</v>
      </c>
      <c r="AM80" s="83">
        <v>264.20999999999998</v>
      </c>
      <c r="AN80" s="31">
        <f t="shared" si="85"/>
        <v>22100.609999999997</v>
      </c>
      <c r="AO80" s="83">
        <v>358.88</v>
      </c>
      <c r="AP80" s="83">
        <v>446.8</v>
      </c>
      <c r="AQ80" s="83">
        <v>975.49</v>
      </c>
      <c r="AR80" s="83">
        <v>549.19000000000005</v>
      </c>
      <c r="AS80" s="83">
        <v>347.21</v>
      </c>
      <c r="AT80" s="83">
        <v>0</v>
      </c>
      <c r="AU80" s="83">
        <v>712.33</v>
      </c>
      <c r="BA80" s="31">
        <f t="shared" si="86"/>
        <v>25490.51</v>
      </c>
    </row>
    <row r="81" spans="1:53" x14ac:dyDescent="0.2">
      <c r="B81" s="3" t="s">
        <v>58</v>
      </c>
      <c r="C81" s="20">
        <v>-13433.84</v>
      </c>
      <c r="D81" s="20">
        <v>-787.14</v>
      </c>
      <c r="E81" s="20">
        <v>-762.57</v>
      </c>
      <c r="F81" s="24">
        <v>3423.42</v>
      </c>
      <c r="G81" s="24">
        <v>4402.2700000000004</v>
      </c>
      <c r="H81" s="20">
        <v>-8675.2999999999993</v>
      </c>
      <c r="I81" s="20">
        <v>32.08</v>
      </c>
      <c r="J81" s="20">
        <v>0</v>
      </c>
      <c r="K81" s="74">
        <v>-169.55</v>
      </c>
      <c r="L81" s="83">
        <v>3.05</v>
      </c>
      <c r="M81" s="83">
        <v>4.34</v>
      </c>
      <c r="N81" s="83">
        <v>0</v>
      </c>
      <c r="O81" s="83">
        <v>-15963.24</v>
      </c>
      <c r="P81" s="83">
        <v>-63.69</v>
      </c>
      <c r="Q81" s="83">
        <v>0</v>
      </c>
      <c r="R81" s="83">
        <v>0</v>
      </c>
      <c r="S81" s="83">
        <v>0</v>
      </c>
      <c r="T81" s="83">
        <v>-4.34</v>
      </c>
      <c r="U81" s="83">
        <v>0</v>
      </c>
      <c r="V81" s="83">
        <v>12.8</v>
      </c>
      <c r="W81" s="83">
        <v>-12.75</v>
      </c>
      <c r="X81" s="83">
        <v>0</v>
      </c>
      <c r="Y81" s="83">
        <v>10.66</v>
      </c>
      <c r="Z81" s="83">
        <v>0</v>
      </c>
      <c r="AA81" s="31">
        <f t="shared" si="87"/>
        <v>-16020.560000000001</v>
      </c>
      <c r="AB81" s="83">
        <v>0</v>
      </c>
      <c r="AC81" s="83">
        <v>0</v>
      </c>
      <c r="AD81" s="83">
        <v>0</v>
      </c>
      <c r="AE81" s="83">
        <v>0</v>
      </c>
      <c r="AF81" s="83">
        <v>0</v>
      </c>
      <c r="AG81" s="83">
        <v>0</v>
      </c>
      <c r="AH81" s="83">
        <v>0</v>
      </c>
      <c r="AI81" s="83">
        <v>0</v>
      </c>
      <c r="AJ81" s="83">
        <v>0.01</v>
      </c>
      <c r="AK81" s="83">
        <v>0</v>
      </c>
      <c r="AL81" s="83">
        <v>0</v>
      </c>
      <c r="AM81" s="83">
        <v>13.94</v>
      </c>
      <c r="AN81" s="31">
        <f t="shared" si="85"/>
        <v>-16006.61</v>
      </c>
      <c r="AO81" s="83">
        <v>7.27</v>
      </c>
      <c r="AP81" s="83">
        <v>0</v>
      </c>
      <c r="AQ81" s="83">
        <v>0</v>
      </c>
      <c r="AR81" s="83">
        <v>0</v>
      </c>
      <c r="AS81" s="83">
        <v>0</v>
      </c>
      <c r="AT81" s="83">
        <v>0</v>
      </c>
      <c r="AU81" s="83">
        <v>0</v>
      </c>
      <c r="BA81" s="31">
        <f t="shared" si="86"/>
        <v>-15999.34</v>
      </c>
    </row>
    <row r="82" spans="1:53" x14ac:dyDescent="0.2">
      <c r="B82" s="3" t="s">
        <v>1794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83">
        <v>0</v>
      </c>
      <c r="O82" s="83">
        <v>0</v>
      </c>
      <c r="P82" s="83">
        <v>0</v>
      </c>
      <c r="Q82" s="83">
        <v>0</v>
      </c>
      <c r="R82" s="83">
        <v>0</v>
      </c>
      <c r="S82" s="83">
        <v>0</v>
      </c>
      <c r="T82" s="83">
        <v>0</v>
      </c>
      <c r="U82" s="83">
        <v>0</v>
      </c>
      <c r="V82" s="83">
        <v>0</v>
      </c>
      <c r="W82" s="83">
        <v>0</v>
      </c>
      <c r="X82" s="83">
        <v>0</v>
      </c>
      <c r="Y82" s="83">
        <v>0</v>
      </c>
      <c r="Z82" s="83">
        <v>0</v>
      </c>
      <c r="AA82" s="31">
        <f t="shared" si="87"/>
        <v>0</v>
      </c>
      <c r="AB82" s="83">
        <v>0</v>
      </c>
      <c r="AC82" s="83">
        <v>0</v>
      </c>
      <c r="AD82" s="83">
        <v>0</v>
      </c>
      <c r="AE82" s="83">
        <v>0</v>
      </c>
      <c r="AF82" s="83">
        <v>0</v>
      </c>
      <c r="AG82" s="83">
        <v>0</v>
      </c>
      <c r="AH82" s="83">
        <v>0</v>
      </c>
      <c r="AI82" s="83">
        <v>0</v>
      </c>
      <c r="AJ82" s="83">
        <v>0</v>
      </c>
      <c r="AK82" s="83">
        <v>0</v>
      </c>
      <c r="AL82" s="83">
        <v>0</v>
      </c>
      <c r="AM82" s="83">
        <v>0</v>
      </c>
      <c r="AN82" s="31">
        <f t="shared" si="85"/>
        <v>0</v>
      </c>
      <c r="AO82" s="83">
        <v>0</v>
      </c>
      <c r="AP82" s="83">
        <v>0</v>
      </c>
      <c r="AQ82" s="83">
        <v>0</v>
      </c>
      <c r="AR82" s="83">
        <v>0</v>
      </c>
      <c r="AS82" s="83">
        <v>0</v>
      </c>
      <c r="AT82" s="83">
        <v>0</v>
      </c>
      <c r="AU82" s="83">
        <v>0</v>
      </c>
      <c r="BA82" s="31">
        <f t="shared" si="86"/>
        <v>0</v>
      </c>
    </row>
    <row r="83" spans="1:53" s="34" customFormat="1" ht="12" x14ac:dyDescent="0.2">
      <c r="A83" s="116"/>
      <c r="B83" s="35" t="s">
        <v>1774</v>
      </c>
      <c r="C83" s="36">
        <f t="shared" ref="C83:AU83" si="88">SUM(C65:C82)</f>
        <v>23407312.920000002</v>
      </c>
      <c r="D83" s="36">
        <f t="shared" si="88"/>
        <v>6280715.4699999997</v>
      </c>
      <c r="E83" s="36">
        <f t="shared" si="88"/>
        <v>-2085835.3899999994</v>
      </c>
      <c r="F83" s="36">
        <f t="shared" si="88"/>
        <v>2757445.8899999997</v>
      </c>
      <c r="G83" s="36">
        <f t="shared" si="88"/>
        <v>-534224.71</v>
      </c>
      <c r="H83" s="36">
        <f t="shared" si="88"/>
        <v>-2139221.5699999998</v>
      </c>
      <c r="I83" s="36">
        <f t="shared" si="88"/>
        <v>604736.49999999988</v>
      </c>
      <c r="J83" s="36">
        <f t="shared" si="88"/>
        <v>-2410960.3899999997</v>
      </c>
      <c r="K83" s="36">
        <f t="shared" si="88"/>
        <v>-1730900.0999999994</v>
      </c>
      <c r="L83" s="36">
        <f t="shared" si="88"/>
        <v>-2618935.4800000004</v>
      </c>
      <c r="M83" s="36">
        <f t="shared" si="88"/>
        <v>-1726431.9599999997</v>
      </c>
      <c r="N83" s="85">
        <f t="shared" si="88"/>
        <v>-1188218.58</v>
      </c>
      <c r="O83" s="36">
        <f t="shared" si="88"/>
        <v>18210612.200000003</v>
      </c>
      <c r="P83" s="36">
        <f t="shared" si="88"/>
        <v>-527306.06999999995</v>
      </c>
      <c r="Q83" s="36">
        <f t="shared" si="88"/>
        <v>575248.24000000011</v>
      </c>
      <c r="R83" s="36">
        <f t="shared" si="88"/>
        <v>1266199.9400000002</v>
      </c>
      <c r="S83" s="36">
        <f t="shared" si="88"/>
        <v>-585917.96</v>
      </c>
      <c r="T83" s="36">
        <f t="shared" si="88"/>
        <v>709617.31999999983</v>
      </c>
      <c r="U83" s="36">
        <f t="shared" si="88"/>
        <v>-222769.23999999993</v>
      </c>
      <c r="V83" s="36">
        <f t="shared" si="88"/>
        <v>1589777.5899999999</v>
      </c>
      <c r="W83" s="36">
        <f t="shared" si="88"/>
        <v>-2908344.4600000004</v>
      </c>
      <c r="X83" s="36">
        <f t="shared" si="88"/>
        <v>-588412.82000000007</v>
      </c>
      <c r="Y83" s="36">
        <f t="shared" si="88"/>
        <v>-1648638.3599999999</v>
      </c>
      <c r="Z83" s="36">
        <f t="shared" si="88"/>
        <v>-1497285.1</v>
      </c>
      <c r="AA83" s="36">
        <f t="shared" si="88"/>
        <v>14372781.280000003</v>
      </c>
      <c r="AB83" s="36">
        <f t="shared" si="88"/>
        <v>-146485.34000000032</v>
      </c>
      <c r="AC83" s="36">
        <f t="shared" si="88"/>
        <v>10200.130000000006</v>
      </c>
      <c r="AD83" s="36">
        <f t="shared" si="88"/>
        <v>994757.41999999993</v>
      </c>
      <c r="AE83" s="36">
        <f t="shared" si="88"/>
        <v>-1230832.1599999999</v>
      </c>
      <c r="AF83" s="36">
        <f t="shared" si="88"/>
        <v>-804734.96999999962</v>
      </c>
      <c r="AG83" s="36">
        <f t="shared" si="88"/>
        <v>-1185294.26</v>
      </c>
      <c r="AH83" s="36">
        <f t="shared" si="88"/>
        <v>-826682.91</v>
      </c>
      <c r="AI83" s="36">
        <f t="shared" si="88"/>
        <v>-351461.45999999996</v>
      </c>
      <c r="AJ83" s="36">
        <f t="shared" si="88"/>
        <v>146633.34000000003</v>
      </c>
      <c r="AK83" s="36">
        <f t="shared" si="88"/>
        <v>201637.75000000003</v>
      </c>
      <c r="AL83" s="36">
        <f t="shared" si="88"/>
        <v>-597122.87999999989</v>
      </c>
      <c r="AM83" s="36">
        <f t="shared" si="88"/>
        <v>-458506.79000000004</v>
      </c>
      <c r="AN83" s="132">
        <f t="shared" si="88"/>
        <v>10124889.150000006</v>
      </c>
      <c r="AO83" s="36">
        <f t="shared" si="88"/>
        <v>438921.50000000012</v>
      </c>
      <c r="AP83" s="36">
        <f t="shared" si="88"/>
        <v>-1361846.0799999996</v>
      </c>
      <c r="AQ83" s="36">
        <f t="shared" si="88"/>
        <v>-668181.83000000019</v>
      </c>
      <c r="AR83" s="36">
        <f t="shared" si="88"/>
        <v>271932.5</v>
      </c>
      <c r="AS83" s="36">
        <f t="shared" si="88"/>
        <v>-623194.26000000024</v>
      </c>
      <c r="AT83" s="36">
        <f t="shared" si="88"/>
        <v>519472.50999999995</v>
      </c>
      <c r="AU83" s="36">
        <f t="shared" si="88"/>
        <v>-372607.24999999994</v>
      </c>
      <c r="AV83" s="36">
        <f t="shared" ref="AV83" si="89">SUM(AV65:AV82)</f>
        <v>0</v>
      </c>
      <c r="AW83" s="36">
        <f t="shared" ref="AW83" si="90">SUM(AW65:AW82)</f>
        <v>0</v>
      </c>
      <c r="AX83" s="36">
        <f t="shared" ref="AX83" si="91">SUM(AX65:AX82)</f>
        <v>0</v>
      </c>
      <c r="AY83" s="36">
        <f t="shared" ref="AY83" si="92">SUM(AY65:AY82)</f>
        <v>0</v>
      </c>
      <c r="AZ83" s="36">
        <f t="shared" ref="AZ83" si="93">SUM(AZ65:AZ82)</f>
        <v>0</v>
      </c>
      <c r="BA83" s="132">
        <f t="shared" ref="BA83" si="94">SUM(BA65:BA82)</f>
        <v>8329386.240000003</v>
      </c>
    </row>
    <row r="84" spans="1:53" x14ac:dyDescent="0.2">
      <c r="B84" s="3" t="s">
        <v>60</v>
      </c>
      <c r="C84" s="20">
        <v>700433.21</v>
      </c>
      <c r="D84" s="20">
        <v>66141</v>
      </c>
      <c r="E84" s="20">
        <v>116881.51</v>
      </c>
      <c r="F84" s="24">
        <v>-111289.36</v>
      </c>
      <c r="G84" s="24">
        <v>-146567.29999999999</v>
      </c>
      <c r="H84" s="20">
        <v>42671.34</v>
      </c>
      <c r="I84" s="20">
        <v>327026.84999999998</v>
      </c>
      <c r="J84" s="20">
        <v>-551896.69999999995</v>
      </c>
      <c r="K84" s="20">
        <v>-194116.14</v>
      </c>
      <c r="L84" s="83">
        <v>171411.75</v>
      </c>
      <c r="M84" s="83">
        <v>101605.16</v>
      </c>
      <c r="N84" s="83">
        <v>-343473.64</v>
      </c>
      <c r="O84" s="83">
        <v>622061.52</v>
      </c>
      <c r="P84" s="83">
        <v>51998.18</v>
      </c>
      <c r="Q84" s="83">
        <v>540620.71</v>
      </c>
      <c r="R84" s="83">
        <v>36954.68</v>
      </c>
      <c r="S84" s="83">
        <v>-116666.6</v>
      </c>
      <c r="T84" s="83">
        <v>145834.01</v>
      </c>
      <c r="U84" s="83">
        <v>-207192.07</v>
      </c>
      <c r="V84" s="83">
        <v>25811.71</v>
      </c>
      <c r="W84" s="83">
        <v>-379133.7</v>
      </c>
      <c r="X84" s="83">
        <v>-119141.98</v>
      </c>
      <c r="Y84" s="83">
        <v>267876.24</v>
      </c>
      <c r="Z84" s="83">
        <v>-494486.76</v>
      </c>
      <c r="AA84" s="31">
        <f>SUM(O84:Z84)</f>
        <v>374535.93999999994</v>
      </c>
      <c r="AB84" s="83">
        <v>217973.6</v>
      </c>
      <c r="AC84" s="83">
        <v>-67147.820000000007</v>
      </c>
      <c r="AD84" s="83">
        <v>-99275.61</v>
      </c>
      <c r="AE84" s="83">
        <v>367.18</v>
      </c>
      <c r="AF84" s="83">
        <v>10143.68</v>
      </c>
      <c r="AG84" s="83">
        <v>-246649.77</v>
      </c>
      <c r="AH84" s="83">
        <v>25656.36</v>
      </c>
      <c r="AI84" s="83">
        <v>-85758.07</v>
      </c>
      <c r="AJ84" s="83">
        <v>39320.660000000003</v>
      </c>
      <c r="AK84" s="83">
        <v>-26474.12</v>
      </c>
      <c r="AL84" s="83">
        <v>283684.08</v>
      </c>
      <c r="AM84" s="83">
        <v>-333506.34999999998</v>
      </c>
      <c r="AN84" s="31">
        <f t="shared" ref="AN84:AN92" si="95">SUM(AA84:AM84)</f>
        <v>92869.760000000009</v>
      </c>
      <c r="AO84" s="83">
        <v>147383.18</v>
      </c>
      <c r="AP84" s="83">
        <v>-84774.16</v>
      </c>
      <c r="AQ84" s="83">
        <v>80394.240000000005</v>
      </c>
      <c r="AR84" s="83">
        <v>301510.21000000002</v>
      </c>
      <c r="AS84" s="83">
        <v>47341.99</v>
      </c>
      <c r="AT84" s="83">
        <v>-190796.97</v>
      </c>
      <c r="AU84" s="83">
        <v>-30972.65</v>
      </c>
      <c r="BA84" s="31">
        <f t="shared" ref="BA84:BA92" si="96">SUM(AN84:AZ84)</f>
        <v>362955.6</v>
      </c>
    </row>
    <row r="85" spans="1:53" x14ac:dyDescent="0.2">
      <c r="B85" s="3" t="s">
        <v>975</v>
      </c>
      <c r="C85" s="20">
        <v>0</v>
      </c>
      <c r="D85" s="20">
        <v>0</v>
      </c>
      <c r="E85" s="20">
        <v>0</v>
      </c>
      <c r="F85" s="24">
        <v>0</v>
      </c>
      <c r="G85" s="24">
        <v>0</v>
      </c>
      <c r="H85" s="20">
        <v>0</v>
      </c>
      <c r="I85" s="20">
        <v>0</v>
      </c>
      <c r="J85" s="20">
        <v>0</v>
      </c>
      <c r="K85" s="20">
        <v>0</v>
      </c>
      <c r="L85" s="83">
        <v>0</v>
      </c>
      <c r="M85" s="83">
        <v>0</v>
      </c>
      <c r="N85" s="83">
        <v>0</v>
      </c>
      <c r="O85" s="83">
        <v>0</v>
      </c>
      <c r="P85" s="83">
        <v>0</v>
      </c>
      <c r="Q85" s="83">
        <v>0</v>
      </c>
      <c r="R85" s="83">
        <v>0</v>
      </c>
      <c r="S85" s="83">
        <v>0</v>
      </c>
      <c r="T85" s="83">
        <v>0</v>
      </c>
      <c r="U85" s="83">
        <v>0</v>
      </c>
      <c r="V85" s="83">
        <v>0</v>
      </c>
      <c r="W85" s="83">
        <v>0</v>
      </c>
      <c r="X85" s="83">
        <v>0</v>
      </c>
      <c r="Y85" s="83">
        <v>0</v>
      </c>
      <c r="Z85" s="83">
        <v>0</v>
      </c>
      <c r="AA85" s="31">
        <f>SUM(O85:Z85)</f>
        <v>0</v>
      </c>
      <c r="AB85" s="83">
        <v>0</v>
      </c>
      <c r="AC85" s="83">
        <v>0</v>
      </c>
      <c r="AD85" s="83">
        <v>0</v>
      </c>
      <c r="AE85" s="83">
        <v>0</v>
      </c>
      <c r="AF85" s="83">
        <v>0</v>
      </c>
      <c r="AG85" s="83">
        <v>0</v>
      </c>
      <c r="AH85" s="83">
        <v>0</v>
      </c>
      <c r="AI85" s="83">
        <v>0</v>
      </c>
      <c r="AJ85" s="83">
        <v>0</v>
      </c>
      <c r="AK85" s="83">
        <v>0</v>
      </c>
      <c r="AL85" s="83">
        <v>0</v>
      </c>
      <c r="AM85" s="83">
        <v>0</v>
      </c>
      <c r="AN85" s="31">
        <f t="shared" si="95"/>
        <v>0</v>
      </c>
      <c r="AO85" s="83">
        <v>0</v>
      </c>
      <c r="AP85" s="83">
        <v>0</v>
      </c>
      <c r="AQ85" s="83">
        <v>0</v>
      </c>
      <c r="AR85" s="83">
        <v>0</v>
      </c>
      <c r="AS85" s="83">
        <v>0</v>
      </c>
      <c r="AT85" s="83">
        <v>0</v>
      </c>
      <c r="AU85" s="83">
        <v>0</v>
      </c>
      <c r="BA85" s="31">
        <f t="shared" si="96"/>
        <v>0</v>
      </c>
    </row>
    <row r="86" spans="1:53" x14ac:dyDescent="0.2">
      <c r="B86" s="3" t="s">
        <v>883</v>
      </c>
      <c r="C86" s="20">
        <v>0</v>
      </c>
      <c r="D86" s="20">
        <v>0</v>
      </c>
      <c r="E86" s="20">
        <v>0</v>
      </c>
      <c r="F86" s="24">
        <v>0</v>
      </c>
      <c r="G86" s="24">
        <v>0</v>
      </c>
      <c r="H86" s="20">
        <v>161865.45000000001</v>
      </c>
      <c r="I86" s="20">
        <v>-161865.45000000001</v>
      </c>
      <c r="J86" s="20">
        <v>0</v>
      </c>
      <c r="K86" s="20">
        <v>0</v>
      </c>
      <c r="L86" s="83">
        <v>0</v>
      </c>
      <c r="M86" s="83">
        <v>0</v>
      </c>
      <c r="N86" s="83">
        <v>0</v>
      </c>
      <c r="O86" s="83">
        <v>0</v>
      </c>
      <c r="P86" s="83">
        <v>0</v>
      </c>
      <c r="Q86" s="83">
        <v>0</v>
      </c>
      <c r="R86" s="83">
        <v>0</v>
      </c>
      <c r="S86" s="83">
        <v>0</v>
      </c>
      <c r="T86" s="83">
        <v>2711.76</v>
      </c>
      <c r="U86" s="83">
        <v>-2711.76</v>
      </c>
      <c r="V86" s="83">
        <v>0</v>
      </c>
      <c r="W86" s="83">
        <v>0</v>
      </c>
      <c r="X86" s="83">
        <v>2295.54</v>
      </c>
      <c r="Y86" s="83">
        <v>-2295.54</v>
      </c>
      <c r="Z86" s="83">
        <v>0</v>
      </c>
      <c r="AA86" s="31">
        <f>SUM(O86:Z86)</f>
        <v>0</v>
      </c>
      <c r="AB86" s="83">
        <v>0</v>
      </c>
      <c r="AC86" s="83">
        <v>0</v>
      </c>
      <c r="AD86" s="83">
        <v>0</v>
      </c>
      <c r="AE86" s="83">
        <v>0</v>
      </c>
      <c r="AF86" s="83">
        <v>0</v>
      </c>
      <c r="AG86" s="83">
        <v>0</v>
      </c>
      <c r="AH86" s="83">
        <v>0</v>
      </c>
      <c r="AI86" s="83">
        <v>0</v>
      </c>
      <c r="AJ86" s="83">
        <v>0</v>
      </c>
      <c r="AK86" s="83">
        <v>0</v>
      </c>
      <c r="AL86" s="83">
        <v>0</v>
      </c>
      <c r="AM86" s="83">
        <v>0</v>
      </c>
      <c r="AN86" s="31">
        <f t="shared" si="95"/>
        <v>0</v>
      </c>
      <c r="AO86" s="83">
        <v>0</v>
      </c>
      <c r="AP86" s="83">
        <v>0</v>
      </c>
      <c r="AQ86" s="83">
        <v>0</v>
      </c>
      <c r="AR86" s="83">
        <v>0</v>
      </c>
      <c r="AS86" s="83">
        <v>0</v>
      </c>
      <c r="AT86" s="83">
        <v>0</v>
      </c>
      <c r="AU86" s="83">
        <v>0</v>
      </c>
      <c r="BA86" s="31">
        <f t="shared" si="96"/>
        <v>0</v>
      </c>
    </row>
    <row r="87" spans="1:53" x14ac:dyDescent="0.2">
      <c r="B87" s="3" t="s">
        <v>61</v>
      </c>
      <c r="C87" s="20">
        <v>166.69</v>
      </c>
      <c r="D87" s="20">
        <v>1.17</v>
      </c>
      <c r="E87" s="20">
        <v>-118.79</v>
      </c>
      <c r="F87" s="24">
        <v>-22.16</v>
      </c>
      <c r="G87" s="24">
        <v>11.1</v>
      </c>
      <c r="H87" s="20">
        <v>38.86</v>
      </c>
      <c r="I87" s="20">
        <v>-4.08</v>
      </c>
      <c r="J87" s="20">
        <v>8.84</v>
      </c>
      <c r="K87" s="20">
        <v>-25.16</v>
      </c>
      <c r="L87" s="83">
        <v>-20.94</v>
      </c>
      <c r="M87" s="83">
        <v>23.88</v>
      </c>
      <c r="N87" s="83">
        <v>74.680000000000007</v>
      </c>
      <c r="O87" s="83">
        <v>69.11</v>
      </c>
      <c r="P87" s="83">
        <v>49.14</v>
      </c>
      <c r="Q87" s="83">
        <v>37.729999999999997</v>
      </c>
      <c r="R87" s="83">
        <v>-31.39</v>
      </c>
      <c r="S87" s="83">
        <v>-3.79</v>
      </c>
      <c r="T87" s="83">
        <v>-20.55</v>
      </c>
      <c r="U87" s="83">
        <v>-21.82</v>
      </c>
      <c r="V87" s="83">
        <v>-14.46</v>
      </c>
      <c r="W87" s="83">
        <v>26.69</v>
      </c>
      <c r="X87" s="83">
        <v>-10.029999999999999</v>
      </c>
      <c r="Y87" s="83">
        <v>9.65</v>
      </c>
      <c r="Z87" s="83">
        <v>-3.12</v>
      </c>
      <c r="AA87" s="31">
        <f>SUM(O87:Z87)</f>
        <v>87.159999999999982</v>
      </c>
      <c r="AB87" s="83">
        <v>29.08</v>
      </c>
      <c r="AC87" s="83">
        <v>-4.47</v>
      </c>
      <c r="AD87" s="83">
        <v>24.89</v>
      </c>
      <c r="AE87" s="83">
        <v>-33.89</v>
      </c>
      <c r="AF87" s="83">
        <v>2.06</v>
      </c>
      <c r="AG87" s="83">
        <v>25.27</v>
      </c>
      <c r="AH87" s="83">
        <v>-45.53</v>
      </c>
      <c r="AI87" s="83">
        <v>4.47</v>
      </c>
      <c r="AJ87" s="83">
        <v>40.14</v>
      </c>
      <c r="AK87" s="83">
        <v>-21.13</v>
      </c>
      <c r="AL87" s="83">
        <v>71.069999999999993</v>
      </c>
      <c r="AM87" s="83">
        <v>-123.63</v>
      </c>
      <c r="AN87" s="31">
        <f t="shared" si="95"/>
        <v>55.489999999999952</v>
      </c>
      <c r="AO87" s="83">
        <v>-18.13</v>
      </c>
      <c r="AP87" s="83">
        <v>-5.91</v>
      </c>
      <c r="AQ87" s="83">
        <v>91.91</v>
      </c>
      <c r="AR87" s="83">
        <v>21.79</v>
      </c>
      <c r="AS87" s="83">
        <v>-64.040000000000006</v>
      </c>
      <c r="AT87" s="83">
        <v>-40.950000000000003</v>
      </c>
      <c r="AU87" s="83">
        <v>3.52</v>
      </c>
      <c r="BA87" s="31">
        <f t="shared" si="96"/>
        <v>43.679999999999943</v>
      </c>
    </row>
    <row r="88" spans="1:53" x14ac:dyDescent="0.2">
      <c r="B88" s="3" t="s">
        <v>1886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>
        <v>0</v>
      </c>
      <c r="AG88" s="31">
        <v>0</v>
      </c>
      <c r="AH88" s="31">
        <v>0</v>
      </c>
      <c r="AI88" s="83">
        <v>965.39</v>
      </c>
      <c r="AJ88" s="83">
        <v>777.04</v>
      </c>
      <c r="AK88" s="83">
        <v>-1139.67</v>
      </c>
      <c r="AL88" s="83">
        <v>2187.1999999999998</v>
      </c>
      <c r="AM88" s="83">
        <v>-395.39</v>
      </c>
      <c r="AN88" s="31">
        <f t="shared" si="95"/>
        <v>2394.5699999999997</v>
      </c>
      <c r="AO88" s="83">
        <v>-1840.31</v>
      </c>
      <c r="AP88" s="83">
        <v>1129.17</v>
      </c>
      <c r="AQ88" s="83">
        <v>-1526.07</v>
      </c>
      <c r="AR88" s="83">
        <v>2451.1999999999998</v>
      </c>
      <c r="AS88" s="83">
        <v>1604.35</v>
      </c>
      <c r="AT88" s="83">
        <v>-1866.74</v>
      </c>
      <c r="AU88" s="83">
        <v>297.45</v>
      </c>
      <c r="BA88" s="31">
        <f t="shared" si="96"/>
        <v>2643.62</v>
      </c>
    </row>
    <row r="89" spans="1:53" x14ac:dyDescent="0.2">
      <c r="B89" s="3" t="s">
        <v>1631</v>
      </c>
      <c r="C89" s="20">
        <v>0</v>
      </c>
      <c r="D89" s="20">
        <v>0</v>
      </c>
      <c r="E89" s="20">
        <v>-22.97</v>
      </c>
      <c r="F89" s="24">
        <v>22.97</v>
      </c>
      <c r="G89" s="24">
        <v>0</v>
      </c>
      <c r="H89" s="20">
        <v>-0.02</v>
      </c>
      <c r="I89" s="20">
        <v>-429.17</v>
      </c>
      <c r="J89" s="20">
        <v>429.18</v>
      </c>
      <c r="K89" s="20">
        <v>0.01</v>
      </c>
      <c r="L89" s="83">
        <v>-578.54999999999995</v>
      </c>
      <c r="M89" s="83">
        <v>0</v>
      </c>
      <c r="N89" s="83">
        <v>578.54999999999995</v>
      </c>
      <c r="O89" s="83">
        <v>0</v>
      </c>
      <c r="P89" s="83">
        <v>0</v>
      </c>
      <c r="Q89" s="83">
        <v>0</v>
      </c>
      <c r="R89" s="83">
        <v>-198.33</v>
      </c>
      <c r="S89" s="83">
        <v>-788.23</v>
      </c>
      <c r="T89" s="83">
        <v>49.98</v>
      </c>
      <c r="U89" s="83">
        <v>0</v>
      </c>
      <c r="V89" s="83">
        <v>936.58</v>
      </c>
      <c r="W89" s="83">
        <v>0</v>
      </c>
      <c r="X89" s="83">
        <v>0</v>
      </c>
      <c r="Y89" s="83">
        <v>0</v>
      </c>
      <c r="Z89" s="83">
        <v>0</v>
      </c>
      <c r="AA89" s="31">
        <f>SUM(O89:Z89)</f>
        <v>0</v>
      </c>
      <c r="AB89" s="83">
        <v>0</v>
      </c>
      <c r="AC89" s="83">
        <v>-198.33</v>
      </c>
      <c r="AD89" s="83">
        <v>198.32</v>
      </c>
      <c r="AE89" s="83">
        <v>0.01</v>
      </c>
      <c r="AF89" s="83">
        <v>0</v>
      </c>
      <c r="AG89" s="83">
        <v>-81.77</v>
      </c>
      <c r="AH89" s="83">
        <v>-405.64</v>
      </c>
      <c r="AI89" s="83">
        <v>487.41</v>
      </c>
      <c r="AJ89" s="83">
        <v>0</v>
      </c>
      <c r="AK89" s="83">
        <v>0</v>
      </c>
      <c r="AL89" s="83">
        <v>0</v>
      </c>
      <c r="AM89" s="83">
        <v>0</v>
      </c>
      <c r="AN89" s="31">
        <f t="shared" si="95"/>
        <v>5.6843418860808015E-14</v>
      </c>
      <c r="AO89" s="83">
        <v>0</v>
      </c>
      <c r="AP89" s="83">
        <v>0</v>
      </c>
      <c r="AQ89" s="83">
        <v>0</v>
      </c>
      <c r="AR89" s="83">
        <v>0</v>
      </c>
      <c r="AS89" s="83">
        <v>0</v>
      </c>
      <c r="AT89" s="83">
        <v>0</v>
      </c>
      <c r="AU89" s="83">
        <v>0</v>
      </c>
      <c r="BA89" s="31">
        <f t="shared" si="96"/>
        <v>5.6843418860808015E-14</v>
      </c>
    </row>
    <row r="90" spans="1:53" x14ac:dyDescent="0.2">
      <c r="B90" s="22" t="s">
        <v>62</v>
      </c>
      <c r="C90" s="74">
        <v>260901.12</v>
      </c>
      <c r="D90" s="74">
        <v>564.17999999999995</v>
      </c>
      <c r="E90" s="74">
        <v>-34304.44</v>
      </c>
      <c r="F90" s="75">
        <v>12785.1</v>
      </c>
      <c r="G90" s="75">
        <v>44178.720000000001</v>
      </c>
      <c r="H90" s="74">
        <v>29758.52</v>
      </c>
      <c r="I90" s="74">
        <v>4286.7299999999996</v>
      </c>
      <c r="J90" s="74">
        <v>35831.839999999997</v>
      </c>
      <c r="K90" s="74">
        <v>-3763.54</v>
      </c>
      <c r="L90" s="83">
        <v>-56180.66</v>
      </c>
      <c r="M90" s="83">
        <v>60584.43</v>
      </c>
      <c r="N90" s="83">
        <v>112834.05</v>
      </c>
      <c r="O90" s="83">
        <v>453056.82</v>
      </c>
      <c r="P90" s="83">
        <v>39216.29</v>
      </c>
      <c r="Q90" s="83">
        <v>-93858.67</v>
      </c>
      <c r="R90" s="83">
        <v>10541.92</v>
      </c>
      <c r="S90" s="83">
        <v>11501.59</v>
      </c>
      <c r="T90" s="83">
        <v>57088.04</v>
      </c>
      <c r="U90" s="83">
        <v>-24620.880000000001</v>
      </c>
      <c r="V90" s="83">
        <v>-118113.92</v>
      </c>
      <c r="W90" s="83">
        <v>28981.96</v>
      </c>
      <c r="X90" s="83">
        <v>-5371.34</v>
      </c>
      <c r="Y90" s="83">
        <v>-37310.49</v>
      </c>
      <c r="Z90" s="83">
        <v>-99936.8</v>
      </c>
      <c r="AA90" s="31">
        <f>SUM(O90:Z90)</f>
        <v>221174.52000000002</v>
      </c>
      <c r="AB90" s="83">
        <v>26975.42</v>
      </c>
      <c r="AC90" s="83">
        <v>55205.440000000002</v>
      </c>
      <c r="AD90" s="83">
        <v>-30661.98</v>
      </c>
      <c r="AE90" s="83">
        <v>34815.22</v>
      </c>
      <c r="AF90" s="83">
        <v>-14371.74</v>
      </c>
      <c r="AG90" s="83">
        <v>-824.01</v>
      </c>
      <c r="AH90" s="83">
        <v>-52378.5</v>
      </c>
      <c r="AI90" s="83">
        <v>-54928.32</v>
      </c>
      <c r="AJ90" s="83">
        <v>67142.720000000001</v>
      </c>
      <c r="AK90" s="83">
        <v>-37512.03</v>
      </c>
      <c r="AL90" s="83">
        <v>46458.239999999998</v>
      </c>
      <c r="AM90" s="83">
        <v>-83829.119999999995</v>
      </c>
      <c r="AN90" s="31">
        <f t="shared" si="95"/>
        <v>177265.86</v>
      </c>
      <c r="AO90" s="83">
        <v>65219.58</v>
      </c>
      <c r="AP90" s="83">
        <v>-7956.64</v>
      </c>
      <c r="AQ90" s="83">
        <v>23120.39</v>
      </c>
      <c r="AR90" s="83">
        <v>14332.15</v>
      </c>
      <c r="AS90" s="83">
        <v>17278.419999999998</v>
      </c>
      <c r="AT90" s="83">
        <v>-39290.9</v>
      </c>
      <c r="AU90" s="83">
        <v>12119.15</v>
      </c>
      <c r="BA90" s="31">
        <f t="shared" si="96"/>
        <v>262088.01</v>
      </c>
    </row>
    <row r="91" spans="1:53" x14ac:dyDescent="0.2">
      <c r="B91" s="3" t="s">
        <v>63</v>
      </c>
      <c r="C91" s="20">
        <v>28129.23</v>
      </c>
      <c r="D91" s="20">
        <v>10304.790000000001</v>
      </c>
      <c r="E91" s="20">
        <v>-11103.93</v>
      </c>
      <c r="F91" s="24">
        <v>18627.66</v>
      </c>
      <c r="G91" s="24">
        <v>-113.27</v>
      </c>
      <c r="H91" s="20">
        <v>-4680.87</v>
      </c>
      <c r="I91" s="20">
        <v>8002.5</v>
      </c>
      <c r="J91" s="20">
        <v>2695.38</v>
      </c>
      <c r="K91" s="20">
        <v>-23742.19</v>
      </c>
      <c r="L91" s="83">
        <v>28623.21</v>
      </c>
      <c r="M91" s="83">
        <v>-17210.79</v>
      </c>
      <c r="N91" s="83">
        <v>8441.6200000000008</v>
      </c>
      <c r="O91" s="83">
        <v>45347.83</v>
      </c>
      <c r="P91" s="83">
        <v>23481.14</v>
      </c>
      <c r="Q91" s="83">
        <v>-2543.84</v>
      </c>
      <c r="R91" s="83">
        <v>-33546.97</v>
      </c>
      <c r="S91" s="83">
        <v>-19536.86</v>
      </c>
      <c r="T91" s="83">
        <v>14376.44</v>
      </c>
      <c r="U91" s="83">
        <v>30745.97</v>
      </c>
      <c r="V91" s="83">
        <v>-10804.52</v>
      </c>
      <c r="W91" s="83">
        <v>-387.5</v>
      </c>
      <c r="X91" s="83">
        <v>-10334.91</v>
      </c>
      <c r="Y91" s="83">
        <v>-18940.16</v>
      </c>
      <c r="Z91" s="83">
        <v>-13430.08</v>
      </c>
      <c r="AA91" s="31">
        <f>SUM(O91:Z91)</f>
        <v>4426.5399999999991</v>
      </c>
      <c r="AB91" s="83">
        <v>-3780.52</v>
      </c>
      <c r="AC91" s="83">
        <v>24628.3</v>
      </c>
      <c r="AD91" s="83">
        <v>-2002.89</v>
      </c>
      <c r="AE91" s="83">
        <v>333.75</v>
      </c>
      <c r="AF91" s="83">
        <v>9982.92</v>
      </c>
      <c r="AG91" s="83">
        <v>-14230.7</v>
      </c>
      <c r="AH91" s="83">
        <v>-2658.76</v>
      </c>
      <c r="AI91" s="83">
        <v>1450.98</v>
      </c>
      <c r="AJ91" s="83">
        <v>-7417.74</v>
      </c>
      <c r="AK91" s="83">
        <v>487.43</v>
      </c>
      <c r="AL91" s="83">
        <v>14526.78</v>
      </c>
      <c r="AM91" s="83">
        <v>-10382.56</v>
      </c>
      <c r="AN91" s="31">
        <f t="shared" si="95"/>
        <v>15363.53</v>
      </c>
      <c r="AO91" s="83">
        <v>10798.84</v>
      </c>
      <c r="AP91" s="83">
        <v>-20537.53</v>
      </c>
      <c r="AQ91" s="83">
        <v>14766.21</v>
      </c>
      <c r="AR91" s="83">
        <v>-1350.01</v>
      </c>
      <c r="AS91" s="83">
        <v>23692.87</v>
      </c>
      <c r="AT91" s="83">
        <v>-30873.5</v>
      </c>
      <c r="AU91" s="83">
        <v>53.2</v>
      </c>
      <c r="BA91" s="31">
        <f t="shared" si="96"/>
        <v>11913.610000000004</v>
      </c>
    </row>
    <row r="92" spans="1:53" x14ac:dyDescent="0.2">
      <c r="B92" s="3" t="s">
        <v>64</v>
      </c>
      <c r="C92" s="20">
        <v>148.82</v>
      </c>
      <c r="D92" s="20">
        <v>23.05</v>
      </c>
      <c r="E92" s="20">
        <v>-49.23</v>
      </c>
      <c r="F92" s="24">
        <v>6.76</v>
      </c>
      <c r="G92" s="24">
        <v>-6.76</v>
      </c>
      <c r="H92" s="20">
        <v>0</v>
      </c>
      <c r="I92" s="20">
        <v>36.46</v>
      </c>
      <c r="J92" s="20">
        <v>42.58</v>
      </c>
      <c r="K92" s="20">
        <v>-39.46</v>
      </c>
      <c r="L92" s="83">
        <v>17.32</v>
      </c>
      <c r="M92" s="83">
        <v>-122.01</v>
      </c>
      <c r="N92" s="83">
        <v>48.9</v>
      </c>
      <c r="O92" s="83">
        <v>234.57</v>
      </c>
      <c r="P92" s="83">
        <v>-111.93</v>
      </c>
      <c r="Q92" s="83">
        <v>25.08</v>
      </c>
      <c r="R92" s="83">
        <v>3.59</v>
      </c>
      <c r="S92" s="83">
        <v>3</v>
      </c>
      <c r="T92" s="83">
        <v>-11.99</v>
      </c>
      <c r="U92" s="83">
        <v>7.25</v>
      </c>
      <c r="V92" s="83">
        <v>0.9</v>
      </c>
      <c r="W92" s="83">
        <v>29.08</v>
      </c>
      <c r="X92" s="83">
        <v>-455.53</v>
      </c>
      <c r="Y92" s="83">
        <v>-29.98</v>
      </c>
      <c r="Z92" s="83">
        <v>15.01</v>
      </c>
      <c r="AA92" s="31">
        <f>SUM(O92:Z92)</f>
        <v>-290.95000000000005</v>
      </c>
      <c r="AB92" s="83">
        <v>-100.42</v>
      </c>
      <c r="AC92" s="83">
        <v>490.23</v>
      </c>
      <c r="AD92" s="83">
        <v>-42.84</v>
      </c>
      <c r="AE92" s="83">
        <v>5.62</v>
      </c>
      <c r="AF92" s="83">
        <v>27.4</v>
      </c>
      <c r="AG92" s="83">
        <v>-42.58</v>
      </c>
      <c r="AH92" s="83">
        <v>0</v>
      </c>
      <c r="AI92" s="83">
        <v>43.16</v>
      </c>
      <c r="AJ92" s="83">
        <v>-63.85</v>
      </c>
      <c r="AK92" s="83">
        <v>71.13</v>
      </c>
      <c r="AL92" s="83">
        <v>55.89</v>
      </c>
      <c r="AM92" s="83">
        <v>-258.68</v>
      </c>
      <c r="AN92" s="31">
        <f t="shared" si="95"/>
        <v>-105.89000000000004</v>
      </c>
      <c r="AO92" s="83">
        <v>15.57</v>
      </c>
      <c r="AP92" s="83">
        <v>-30.03</v>
      </c>
      <c r="AQ92" s="83">
        <v>0</v>
      </c>
      <c r="AR92" s="83">
        <v>17.18</v>
      </c>
      <c r="AS92" s="83">
        <v>22.8</v>
      </c>
      <c r="AT92" s="83">
        <v>-39.979999999999997</v>
      </c>
      <c r="AU92" s="83">
        <v>0</v>
      </c>
      <c r="BA92" s="31">
        <f t="shared" si="96"/>
        <v>-120.35000000000005</v>
      </c>
    </row>
    <row r="93" spans="1:53" s="34" customFormat="1" ht="12" x14ac:dyDescent="0.2">
      <c r="A93" s="116"/>
      <c r="B93" s="35" t="s">
        <v>1585</v>
      </c>
      <c r="C93" s="36">
        <f t="shared" ref="C93:AU93" si="97">SUM(C84:C92)</f>
        <v>989779.06999999983</v>
      </c>
      <c r="D93" s="36">
        <f t="shared" si="97"/>
        <v>77034.189999999988</v>
      </c>
      <c r="E93" s="36">
        <f t="shared" si="97"/>
        <v>71282.150000000009</v>
      </c>
      <c r="F93" s="36">
        <f t="shared" si="97"/>
        <v>-79869.03</v>
      </c>
      <c r="G93" s="36">
        <f t="shared" si="97"/>
        <v>-102497.50999999998</v>
      </c>
      <c r="H93" s="36">
        <f t="shared" si="97"/>
        <v>229653.28</v>
      </c>
      <c r="I93" s="36">
        <f t="shared" si="97"/>
        <v>177053.83999999997</v>
      </c>
      <c r="J93" s="36">
        <f t="shared" si="97"/>
        <v>-512888.87999999995</v>
      </c>
      <c r="K93" s="36">
        <f t="shared" si="97"/>
        <v>-221686.48</v>
      </c>
      <c r="L93" s="85">
        <f t="shared" si="97"/>
        <v>143272.13</v>
      </c>
      <c r="M93" s="85">
        <f t="shared" si="97"/>
        <v>144880.66999999998</v>
      </c>
      <c r="N93" s="85">
        <f t="shared" si="97"/>
        <v>-221495.84000000005</v>
      </c>
      <c r="O93" s="85">
        <f t="shared" si="97"/>
        <v>1120769.8500000001</v>
      </c>
      <c r="P93" s="85">
        <f t="shared" si="97"/>
        <v>114632.82</v>
      </c>
      <c r="Q93" s="85">
        <f t="shared" si="97"/>
        <v>444281.00999999995</v>
      </c>
      <c r="R93" s="85">
        <f t="shared" si="97"/>
        <v>13723.499999999996</v>
      </c>
      <c r="S93" s="85">
        <f t="shared" si="97"/>
        <v>-125490.89</v>
      </c>
      <c r="T93" s="85">
        <f t="shared" si="97"/>
        <v>220027.69000000006</v>
      </c>
      <c r="U93" s="85">
        <f t="shared" si="97"/>
        <v>-203793.31000000003</v>
      </c>
      <c r="V93" s="85">
        <f t="shared" si="97"/>
        <v>-102183.71</v>
      </c>
      <c r="W93" s="85">
        <f t="shared" si="97"/>
        <v>-350483.47</v>
      </c>
      <c r="X93" s="85">
        <f t="shared" si="97"/>
        <v>-133018.25</v>
      </c>
      <c r="Y93" s="85">
        <f t="shared" si="97"/>
        <v>209309.72000000003</v>
      </c>
      <c r="Z93" s="85">
        <f t="shared" si="97"/>
        <v>-607841.75</v>
      </c>
      <c r="AA93" s="85">
        <f t="shared" si="97"/>
        <v>599933.21</v>
      </c>
      <c r="AB93" s="85">
        <f t="shared" si="97"/>
        <v>241097.15999999997</v>
      </c>
      <c r="AC93" s="85">
        <f t="shared" si="97"/>
        <v>12973.349999999991</v>
      </c>
      <c r="AD93" s="85">
        <f t="shared" si="97"/>
        <v>-131760.10999999999</v>
      </c>
      <c r="AE93" s="85">
        <f t="shared" si="97"/>
        <v>35487.890000000007</v>
      </c>
      <c r="AF93" s="85">
        <f t="shared" si="97"/>
        <v>5784.32</v>
      </c>
      <c r="AG93" s="85">
        <f t="shared" si="97"/>
        <v>-261803.56</v>
      </c>
      <c r="AH93" s="85">
        <f t="shared" si="97"/>
        <v>-29832.07</v>
      </c>
      <c r="AI93" s="85">
        <f t="shared" si="97"/>
        <v>-137734.97999999998</v>
      </c>
      <c r="AJ93" s="85">
        <f t="shared" si="97"/>
        <v>99798.969999999987</v>
      </c>
      <c r="AK93" s="85">
        <f t="shared" si="97"/>
        <v>-64588.39</v>
      </c>
      <c r="AL93" s="85">
        <f t="shared" si="97"/>
        <v>346983.26000000007</v>
      </c>
      <c r="AM93" s="85">
        <f t="shared" si="97"/>
        <v>-428495.73</v>
      </c>
      <c r="AN93" s="129">
        <f t="shared" si="97"/>
        <v>287843.32</v>
      </c>
      <c r="AO93" s="85">
        <f t="shared" si="97"/>
        <v>221558.73</v>
      </c>
      <c r="AP93" s="85">
        <f t="shared" si="97"/>
        <v>-112175.1</v>
      </c>
      <c r="AQ93" s="85">
        <f t="shared" si="97"/>
        <v>116846.68</v>
      </c>
      <c r="AR93" s="85">
        <f t="shared" si="97"/>
        <v>316982.52</v>
      </c>
      <c r="AS93" s="85">
        <f t="shared" si="97"/>
        <v>89876.39</v>
      </c>
      <c r="AT93" s="85">
        <f t="shared" si="97"/>
        <v>-262909.03999999998</v>
      </c>
      <c r="AU93" s="85">
        <f t="shared" si="97"/>
        <v>-18499.329999999998</v>
      </c>
      <c r="AV93" s="85">
        <f t="shared" ref="AV93" si="98">SUM(AV84:AV92)</f>
        <v>0</v>
      </c>
      <c r="AW93" s="85">
        <f t="shared" ref="AW93" si="99">SUM(AW84:AW92)</f>
        <v>0</v>
      </c>
      <c r="AX93" s="85">
        <f t="shared" ref="AX93" si="100">SUM(AX84:AX92)</f>
        <v>0</v>
      </c>
      <c r="AY93" s="85">
        <f t="shared" ref="AY93" si="101">SUM(AY84:AY92)</f>
        <v>0</v>
      </c>
      <c r="AZ93" s="85">
        <f t="shared" ref="AZ93" si="102">SUM(AZ84:AZ92)</f>
        <v>0</v>
      </c>
      <c r="BA93" s="129">
        <f t="shared" ref="BA93" si="103">SUM(BA84:BA92)</f>
        <v>639524.16999999993</v>
      </c>
    </row>
    <row r="94" spans="1:53" s="9" customFormat="1" ht="12.75" x14ac:dyDescent="0.2">
      <c r="A94" s="115"/>
      <c r="B94" s="13" t="s">
        <v>1775</v>
      </c>
      <c r="C94" s="41">
        <f t="shared" ref="C94:AK94" si="104">C93+C83+C64</f>
        <v>24397711.300000001</v>
      </c>
      <c r="D94" s="41">
        <f t="shared" si="104"/>
        <v>6355567.8399999999</v>
      </c>
      <c r="E94" s="41">
        <f t="shared" si="104"/>
        <v>-2015154.6699999995</v>
      </c>
      <c r="F94" s="41">
        <f t="shared" si="104"/>
        <v>2677576.86</v>
      </c>
      <c r="G94" s="41">
        <f t="shared" si="104"/>
        <v>-636722.22</v>
      </c>
      <c r="H94" s="41">
        <f t="shared" si="104"/>
        <v>-1911082.6199999999</v>
      </c>
      <c r="I94" s="41">
        <f t="shared" si="104"/>
        <v>783304.66999999981</v>
      </c>
      <c r="J94" s="41">
        <f t="shared" si="104"/>
        <v>-2825272.7099999995</v>
      </c>
      <c r="K94" s="41">
        <f t="shared" si="104"/>
        <v>109404.85000000102</v>
      </c>
      <c r="L94" s="84">
        <f t="shared" si="104"/>
        <v>-3336819.9400000004</v>
      </c>
      <c r="M94" s="84">
        <f t="shared" si="104"/>
        <v>-1153016.17</v>
      </c>
      <c r="N94" s="84">
        <f t="shared" si="104"/>
        <v>-3132194.7800000003</v>
      </c>
      <c r="O94" s="84">
        <f t="shared" si="104"/>
        <v>19330496.260000005</v>
      </c>
      <c r="P94" s="84">
        <f t="shared" si="104"/>
        <v>-401214.70999999996</v>
      </c>
      <c r="Q94" s="84">
        <f t="shared" si="104"/>
        <v>1021693.19</v>
      </c>
      <c r="R94" s="84">
        <f t="shared" si="104"/>
        <v>1279923.4400000002</v>
      </c>
      <c r="S94" s="84">
        <f t="shared" si="104"/>
        <v>-711408.85</v>
      </c>
      <c r="T94" s="84">
        <f t="shared" si="104"/>
        <v>933881.77999999991</v>
      </c>
      <c r="U94" s="84">
        <f t="shared" si="104"/>
        <v>-390929.02999999991</v>
      </c>
      <c r="V94" s="84">
        <f t="shared" si="104"/>
        <v>1434986.9</v>
      </c>
      <c r="W94" s="84">
        <f t="shared" si="104"/>
        <v>-3258827.9300000006</v>
      </c>
      <c r="X94" s="84">
        <f t="shared" si="104"/>
        <v>-721431.09000000008</v>
      </c>
      <c r="Y94" s="84">
        <f t="shared" si="104"/>
        <v>-1326341.8199999998</v>
      </c>
      <c r="Z94" s="84">
        <f t="shared" si="104"/>
        <v>-2218038.13</v>
      </c>
      <c r="AA94" s="84">
        <f t="shared" si="104"/>
        <v>14972790.010000002</v>
      </c>
      <c r="AB94" s="84">
        <f t="shared" si="104"/>
        <v>94536.279999999664</v>
      </c>
      <c r="AC94" s="84">
        <f t="shared" si="104"/>
        <v>24078.369999999995</v>
      </c>
      <c r="AD94" s="84">
        <f t="shared" si="104"/>
        <v>862050.30999999994</v>
      </c>
      <c r="AE94" s="84">
        <f t="shared" si="104"/>
        <v>-1045351.21</v>
      </c>
      <c r="AF94" s="84">
        <f t="shared" si="104"/>
        <v>-948042.21999999974</v>
      </c>
      <c r="AG94" s="84">
        <f t="shared" si="104"/>
        <v>-1447991.79</v>
      </c>
      <c r="AH94" s="84">
        <f t="shared" si="104"/>
        <v>-856514.98</v>
      </c>
      <c r="AI94" s="84">
        <f t="shared" si="104"/>
        <v>-489196.43999999994</v>
      </c>
      <c r="AJ94" s="84">
        <f t="shared" si="104"/>
        <v>246432.31</v>
      </c>
      <c r="AK94" s="84">
        <f t="shared" si="104"/>
        <v>137975.82000000004</v>
      </c>
      <c r="AL94" s="84">
        <f t="shared" ref="AL94:AM94" si="105">AL93+AL83+AL64</f>
        <v>-251066.07999999981</v>
      </c>
      <c r="AM94" s="84">
        <f t="shared" si="105"/>
        <v>-887002.52</v>
      </c>
      <c r="AN94" s="127">
        <f>AN93+AN83+AN64</f>
        <v>10412697.860000007</v>
      </c>
      <c r="AO94" s="84">
        <f t="shared" ref="AO94:AU94" si="106">AO93+AO83+AO64</f>
        <v>660480.2300000001</v>
      </c>
      <c r="AP94" s="84">
        <f t="shared" si="106"/>
        <v>-1474021.1799999997</v>
      </c>
      <c r="AQ94" s="84">
        <f t="shared" si="106"/>
        <v>-551335.15000000014</v>
      </c>
      <c r="AR94" s="84">
        <f t="shared" si="106"/>
        <v>589052.42000000004</v>
      </c>
      <c r="AS94" s="84">
        <f t="shared" si="106"/>
        <v>-533317.87000000023</v>
      </c>
      <c r="AT94" s="84">
        <f t="shared" si="106"/>
        <v>256426.06999999998</v>
      </c>
      <c r="AU94" s="84">
        <f t="shared" si="106"/>
        <v>-391106.57999999996</v>
      </c>
      <c r="AV94" s="84">
        <f t="shared" ref="AV94" si="107">AV93+AV83+AV64</f>
        <v>0</v>
      </c>
      <c r="AW94" s="84">
        <f t="shared" ref="AW94" si="108">AW93+AW83+AW64</f>
        <v>0</v>
      </c>
      <c r="AX94" s="84">
        <f t="shared" ref="AX94:AZ94" si="109">AX93+AX83+AX64</f>
        <v>0</v>
      </c>
      <c r="AY94" s="84">
        <f t="shared" si="109"/>
        <v>0</v>
      </c>
      <c r="AZ94" s="84">
        <f t="shared" si="109"/>
        <v>0</v>
      </c>
      <c r="BA94" s="127">
        <f>BA93+BA83+BA64</f>
        <v>8968875.8000000045</v>
      </c>
    </row>
    <row r="95" spans="1:53" x14ac:dyDescent="0.2">
      <c r="B95" s="3" t="s">
        <v>1810</v>
      </c>
      <c r="O95" s="83">
        <v>112.88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31">
        <f>SUM(O95:Z95)</f>
        <v>112.88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83">
        <v>0</v>
      </c>
      <c r="AH95" s="83">
        <v>0</v>
      </c>
      <c r="AI95" s="83">
        <v>0</v>
      </c>
      <c r="AJ95" s="83">
        <v>0</v>
      </c>
      <c r="AK95" s="83">
        <v>0</v>
      </c>
      <c r="AL95" s="83">
        <v>0</v>
      </c>
      <c r="AM95" s="83">
        <v>0</v>
      </c>
      <c r="AN95" s="31">
        <f>SUM(AA95:AM95)</f>
        <v>112.88</v>
      </c>
      <c r="AO95" s="83">
        <v>0</v>
      </c>
      <c r="AP95" s="83">
        <v>0</v>
      </c>
      <c r="AQ95" s="83">
        <v>0</v>
      </c>
      <c r="AR95" s="83">
        <v>0</v>
      </c>
      <c r="AS95" s="83">
        <v>0</v>
      </c>
      <c r="AT95" s="83">
        <v>0</v>
      </c>
      <c r="AU95" s="83">
        <v>0</v>
      </c>
      <c r="BA95" s="31">
        <f>SUM(AN95:AZ95)</f>
        <v>112.88</v>
      </c>
    </row>
    <row r="96" spans="1:53" s="9" customFormat="1" ht="12.75" x14ac:dyDescent="0.2">
      <c r="A96" s="115"/>
      <c r="B96" s="13" t="s">
        <v>1718</v>
      </c>
      <c r="C96" s="41"/>
      <c r="D96" s="41"/>
      <c r="E96" s="41"/>
      <c r="F96" s="41"/>
      <c r="G96" s="41"/>
      <c r="H96" s="41"/>
      <c r="I96" s="41"/>
      <c r="J96" s="41"/>
      <c r="K96" s="41"/>
      <c r="L96" s="84"/>
      <c r="M96" s="84"/>
      <c r="N96" s="84">
        <f t="shared" ref="N96:AK96" si="110">SUM(N95)</f>
        <v>0</v>
      </c>
      <c r="O96" s="84">
        <f t="shared" si="110"/>
        <v>112.88</v>
      </c>
      <c r="P96" s="84">
        <f t="shared" si="110"/>
        <v>0</v>
      </c>
      <c r="Q96" s="84">
        <f t="shared" si="110"/>
        <v>0</v>
      </c>
      <c r="R96" s="84">
        <f t="shared" si="110"/>
        <v>0</v>
      </c>
      <c r="S96" s="84">
        <f t="shared" si="110"/>
        <v>0</v>
      </c>
      <c r="T96" s="84">
        <f t="shared" si="110"/>
        <v>0</v>
      </c>
      <c r="U96" s="84">
        <f t="shared" si="110"/>
        <v>0</v>
      </c>
      <c r="V96" s="84">
        <f t="shared" si="110"/>
        <v>0</v>
      </c>
      <c r="W96" s="84">
        <f t="shared" si="110"/>
        <v>0</v>
      </c>
      <c r="X96" s="84">
        <f t="shared" si="110"/>
        <v>0</v>
      </c>
      <c r="Y96" s="84">
        <f t="shared" si="110"/>
        <v>0</v>
      </c>
      <c r="Z96" s="84">
        <f t="shared" si="110"/>
        <v>0</v>
      </c>
      <c r="AA96" s="84">
        <f t="shared" si="110"/>
        <v>112.88</v>
      </c>
      <c r="AB96" s="84">
        <f t="shared" si="110"/>
        <v>0</v>
      </c>
      <c r="AC96" s="84">
        <f t="shared" si="110"/>
        <v>0</v>
      </c>
      <c r="AD96" s="84">
        <f t="shared" si="110"/>
        <v>0</v>
      </c>
      <c r="AE96" s="84">
        <f t="shared" si="110"/>
        <v>0</v>
      </c>
      <c r="AF96" s="84">
        <f t="shared" si="110"/>
        <v>0</v>
      </c>
      <c r="AG96" s="84">
        <f t="shared" si="110"/>
        <v>0</v>
      </c>
      <c r="AH96" s="84">
        <f t="shared" si="110"/>
        <v>0</v>
      </c>
      <c r="AI96" s="84">
        <f t="shared" si="110"/>
        <v>0</v>
      </c>
      <c r="AJ96" s="84">
        <f t="shared" si="110"/>
        <v>0</v>
      </c>
      <c r="AK96" s="84">
        <f t="shared" si="110"/>
        <v>0</v>
      </c>
      <c r="AL96" s="84">
        <f t="shared" ref="AL96:AM96" si="111">SUM(AL95)</f>
        <v>0</v>
      </c>
      <c r="AM96" s="84">
        <f t="shared" si="111"/>
        <v>0</v>
      </c>
      <c r="AN96" s="127">
        <f>SUM(AN95)</f>
        <v>112.88</v>
      </c>
      <c r="AO96" s="84">
        <f t="shared" ref="AO96:AZ96" si="112">SUM(AO95)</f>
        <v>0</v>
      </c>
      <c r="AP96" s="84">
        <f t="shared" si="112"/>
        <v>0</v>
      </c>
      <c r="AQ96" s="84">
        <f t="shared" si="112"/>
        <v>0</v>
      </c>
      <c r="AR96" s="84">
        <f t="shared" si="112"/>
        <v>0</v>
      </c>
      <c r="AS96" s="84">
        <f t="shared" si="112"/>
        <v>0</v>
      </c>
      <c r="AT96" s="84">
        <f t="shared" si="112"/>
        <v>0</v>
      </c>
      <c r="AU96" s="84">
        <f t="shared" si="112"/>
        <v>0</v>
      </c>
      <c r="AV96" s="84">
        <f t="shared" si="112"/>
        <v>0</v>
      </c>
      <c r="AW96" s="84">
        <f t="shared" si="112"/>
        <v>0</v>
      </c>
      <c r="AX96" s="84">
        <f t="shared" si="112"/>
        <v>0</v>
      </c>
      <c r="AY96" s="84">
        <f t="shared" si="112"/>
        <v>0</v>
      </c>
      <c r="AZ96" s="84">
        <f t="shared" si="112"/>
        <v>0</v>
      </c>
      <c r="BA96" s="127">
        <f>SUM(BA95)</f>
        <v>112.88</v>
      </c>
    </row>
    <row r="97" spans="1:53" x14ac:dyDescent="0.2">
      <c r="B97" s="3" t="s">
        <v>1841</v>
      </c>
      <c r="O97" s="83">
        <v>0</v>
      </c>
      <c r="P97" s="83">
        <v>0</v>
      </c>
      <c r="Q97" s="83">
        <v>0</v>
      </c>
      <c r="R97" s="83">
        <v>0</v>
      </c>
      <c r="S97" s="83">
        <v>0</v>
      </c>
      <c r="T97" s="83">
        <v>0</v>
      </c>
      <c r="U97" s="83">
        <v>0</v>
      </c>
      <c r="V97" s="83">
        <v>0</v>
      </c>
      <c r="W97" s="83">
        <v>0</v>
      </c>
      <c r="X97" s="83">
        <v>0</v>
      </c>
      <c r="Y97" s="83">
        <v>0</v>
      </c>
      <c r="Z97" s="83">
        <v>60927.38</v>
      </c>
      <c r="AA97" s="31">
        <f t="shared" ref="AA97:AA108" si="113">SUM(O97:Z97)</f>
        <v>60927.38</v>
      </c>
      <c r="AB97" s="83">
        <v>0</v>
      </c>
      <c r="AC97" s="83">
        <v>0</v>
      </c>
      <c r="AD97" s="83">
        <v>0</v>
      </c>
      <c r="AE97" s="83">
        <v>0</v>
      </c>
      <c r="AF97" s="83">
        <v>0</v>
      </c>
      <c r="AG97" s="83">
        <v>0</v>
      </c>
      <c r="AH97" s="83">
        <v>-60927.38</v>
      </c>
      <c r="AI97" s="83">
        <v>0</v>
      </c>
      <c r="AJ97" s="83">
        <v>0</v>
      </c>
      <c r="AK97" s="83">
        <v>0</v>
      </c>
      <c r="AL97" s="83">
        <v>0</v>
      </c>
      <c r="AM97" s="83">
        <v>165503.67000000001</v>
      </c>
      <c r="AN97" s="31">
        <f t="shared" ref="AN97:AN108" si="114">SUM(AA97:AM97)</f>
        <v>165503.67000000001</v>
      </c>
      <c r="AO97" s="83">
        <v>0</v>
      </c>
      <c r="AP97" s="83">
        <v>0</v>
      </c>
      <c r="AQ97" s="83">
        <v>-130822.34</v>
      </c>
      <c r="AR97" s="83">
        <v>0</v>
      </c>
      <c r="AS97" s="83">
        <v>-34266.47</v>
      </c>
      <c r="AT97" s="83">
        <v>-356.65</v>
      </c>
      <c r="AU97" s="83">
        <v>0</v>
      </c>
      <c r="BA97" s="31">
        <f t="shared" ref="BA97:BA108" si="115">SUM(AN97:AZ97)</f>
        <v>58.210000000015157</v>
      </c>
    </row>
    <row r="98" spans="1:53" x14ac:dyDescent="0.2">
      <c r="B98" s="3" t="s">
        <v>1842</v>
      </c>
      <c r="O98" s="83">
        <v>0</v>
      </c>
      <c r="P98" s="83">
        <v>0</v>
      </c>
      <c r="Q98" s="83">
        <v>0</v>
      </c>
      <c r="R98" s="83">
        <v>0</v>
      </c>
      <c r="S98" s="83">
        <v>0</v>
      </c>
      <c r="T98" s="83">
        <v>0</v>
      </c>
      <c r="U98" s="83">
        <v>0</v>
      </c>
      <c r="V98" s="83">
        <v>0</v>
      </c>
      <c r="W98" s="83">
        <v>0</v>
      </c>
      <c r="X98" s="83">
        <v>0</v>
      </c>
      <c r="Y98" s="83">
        <v>0</v>
      </c>
      <c r="Z98" s="83">
        <v>-756.8</v>
      </c>
      <c r="AA98" s="31">
        <f t="shared" si="113"/>
        <v>-756.8</v>
      </c>
      <c r="AB98" s="83">
        <v>-573.61</v>
      </c>
      <c r="AC98" s="83">
        <v>-943.05</v>
      </c>
      <c r="AD98" s="83">
        <v>29.17</v>
      </c>
      <c r="AE98" s="83">
        <v>-388.89</v>
      </c>
      <c r="AF98" s="83">
        <v>1351.38</v>
      </c>
      <c r="AG98" s="83">
        <v>252.78</v>
      </c>
      <c r="AH98" s="83">
        <v>1029.02</v>
      </c>
      <c r="AI98" s="83">
        <v>0</v>
      </c>
      <c r="AJ98" s="83">
        <v>0</v>
      </c>
      <c r="AK98" s="83">
        <v>0</v>
      </c>
      <c r="AL98" s="83">
        <v>0</v>
      </c>
      <c r="AM98" s="83">
        <v>469.08</v>
      </c>
      <c r="AN98" s="31">
        <f t="shared" si="114"/>
        <v>469.08000000000021</v>
      </c>
      <c r="AO98" s="83">
        <v>-749.25</v>
      </c>
      <c r="AP98" s="83">
        <v>166.5</v>
      </c>
      <c r="AQ98" s="83">
        <v>-153.87</v>
      </c>
      <c r="AR98" s="83">
        <v>-754.62</v>
      </c>
      <c r="AS98" s="83">
        <v>1018.31</v>
      </c>
      <c r="AT98" s="83">
        <v>4.3</v>
      </c>
      <c r="AU98" s="83">
        <v>-0.51</v>
      </c>
      <c r="BA98" s="31">
        <f t="shared" si="115"/>
        <v>-5.9999999999909237E-2</v>
      </c>
    </row>
    <row r="99" spans="1:53" x14ac:dyDescent="0.2">
      <c r="B99" s="3" t="s">
        <v>67</v>
      </c>
      <c r="C99" s="20">
        <v>-6135.39</v>
      </c>
      <c r="D99" s="20">
        <v>0</v>
      </c>
      <c r="E99" s="20">
        <v>0</v>
      </c>
      <c r="F99" s="24">
        <v>0</v>
      </c>
      <c r="G99" s="24">
        <v>0</v>
      </c>
      <c r="H99" s="20">
        <v>0</v>
      </c>
      <c r="I99" s="20">
        <v>0</v>
      </c>
      <c r="J99" s="20">
        <v>0</v>
      </c>
      <c r="K99" s="20">
        <v>0</v>
      </c>
      <c r="L99" s="83">
        <v>0</v>
      </c>
      <c r="M99" s="83">
        <v>0</v>
      </c>
      <c r="N99" s="83">
        <v>0</v>
      </c>
      <c r="O99" s="83">
        <v>-6135.39</v>
      </c>
      <c r="P99" s="83">
        <v>0</v>
      </c>
      <c r="Q99" s="83">
        <v>0</v>
      </c>
      <c r="R99" s="83">
        <v>0</v>
      </c>
      <c r="S99" s="83">
        <v>0</v>
      </c>
      <c r="T99" s="83">
        <v>0</v>
      </c>
      <c r="U99" s="83">
        <v>0</v>
      </c>
      <c r="V99" s="83">
        <v>0</v>
      </c>
      <c r="W99" s="83">
        <v>0</v>
      </c>
      <c r="X99" s="83">
        <v>0</v>
      </c>
      <c r="Y99" s="83">
        <v>0</v>
      </c>
      <c r="Z99" s="83">
        <v>0</v>
      </c>
      <c r="AA99" s="31">
        <f t="shared" si="113"/>
        <v>-6135.39</v>
      </c>
      <c r="AB99" s="83">
        <v>0</v>
      </c>
      <c r="AC99" s="83">
        <v>0</v>
      </c>
      <c r="AD99" s="83">
        <v>0</v>
      </c>
      <c r="AE99" s="83">
        <v>0</v>
      </c>
      <c r="AF99" s="83">
        <v>0</v>
      </c>
      <c r="AG99" s="83">
        <v>0</v>
      </c>
      <c r="AH99" s="83">
        <v>0</v>
      </c>
      <c r="AI99" s="83">
        <v>0</v>
      </c>
      <c r="AJ99" s="83">
        <v>0</v>
      </c>
      <c r="AK99" s="83">
        <v>0</v>
      </c>
      <c r="AL99" s="83">
        <v>0</v>
      </c>
      <c r="AM99" s="83">
        <v>0</v>
      </c>
      <c r="AN99" s="31">
        <f t="shared" si="114"/>
        <v>-6135.39</v>
      </c>
      <c r="AO99" s="83">
        <v>0</v>
      </c>
      <c r="AP99" s="83">
        <v>0</v>
      </c>
      <c r="AQ99" s="83">
        <v>0</v>
      </c>
      <c r="AR99" s="83">
        <v>0</v>
      </c>
      <c r="AS99" s="83">
        <v>0</v>
      </c>
      <c r="AT99" s="83">
        <v>0</v>
      </c>
      <c r="AU99" s="83">
        <v>0</v>
      </c>
      <c r="BA99" s="31">
        <f t="shared" si="115"/>
        <v>-6135.39</v>
      </c>
    </row>
    <row r="100" spans="1:53" x14ac:dyDescent="0.2">
      <c r="B100" s="3" t="s">
        <v>68</v>
      </c>
      <c r="C100" s="20">
        <v>4564.38</v>
      </c>
      <c r="D100" s="20">
        <v>-475.46</v>
      </c>
      <c r="E100" s="20">
        <v>-510.63</v>
      </c>
      <c r="F100" s="24">
        <v>-195.9</v>
      </c>
      <c r="G100" s="24">
        <v>-195.9</v>
      </c>
      <c r="H100" s="20">
        <v>-195.9</v>
      </c>
      <c r="I100" s="20">
        <v>-195.9</v>
      </c>
      <c r="J100" s="20">
        <v>-195.9</v>
      </c>
      <c r="K100" s="20">
        <v>-195.9</v>
      </c>
      <c r="L100" s="83">
        <v>-195.9</v>
      </c>
      <c r="M100" s="83">
        <v>-195.9</v>
      </c>
      <c r="N100" s="83">
        <v>-195.9</v>
      </c>
      <c r="O100" s="83">
        <v>1619.29</v>
      </c>
      <c r="P100" s="83">
        <v>-195.9</v>
      </c>
      <c r="Q100" s="83">
        <v>-195.9</v>
      </c>
      <c r="R100" s="83">
        <v>-195.9</v>
      </c>
      <c r="S100" s="83">
        <v>-195.9</v>
      </c>
      <c r="T100" s="83">
        <v>108066.62</v>
      </c>
      <c r="U100" s="83">
        <v>-2146.6999999999998</v>
      </c>
      <c r="V100" s="83">
        <v>31456.87</v>
      </c>
      <c r="W100" s="83">
        <v>-3106.8</v>
      </c>
      <c r="X100" s="83">
        <v>64968.68</v>
      </c>
      <c r="Y100" s="83">
        <v>-4851.6400000000003</v>
      </c>
      <c r="Z100" s="83">
        <v>-4851.6400000000003</v>
      </c>
      <c r="AA100" s="31">
        <f t="shared" si="113"/>
        <v>190371.08</v>
      </c>
      <c r="AB100" s="83">
        <v>-4851.6400000000003</v>
      </c>
      <c r="AC100" s="83">
        <v>-4851.6400000000003</v>
      </c>
      <c r="AD100" s="83">
        <v>-4851.6400000000003</v>
      </c>
      <c r="AE100" s="83">
        <v>-4851.6400000000003</v>
      </c>
      <c r="AF100" s="83">
        <v>66525.66</v>
      </c>
      <c r="AG100" s="83">
        <v>-6890.99</v>
      </c>
      <c r="AH100" s="83">
        <v>14553.4</v>
      </c>
      <c r="AI100" s="83">
        <v>32103.31</v>
      </c>
      <c r="AJ100" s="83">
        <v>-8617.81</v>
      </c>
      <c r="AK100" s="83">
        <v>-8617.81</v>
      </c>
      <c r="AL100" s="83">
        <v>-8617.81</v>
      </c>
      <c r="AM100" s="83">
        <v>-8617.81</v>
      </c>
      <c r="AN100" s="31">
        <f t="shared" si="114"/>
        <v>242784.65999999997</v>
      </c>
      <c r="AO100" s="83">
        <v>-8617.81</v>
      </c>
      <c r="AP100" s="83">
        <v>-8617.81</v>
      </c>
      <c r="AQ100" s="83">
        <v>-8617.81</v>
      </c>
      <c r="AR100" s="83">
        <v>-8617.81</v>
      </c>
      <c r="AS100" s="83">
        <v>38818.11</v>
      </c>
      <c r="AT100" s="83">
        <v>-9973.1200000000008</v>
      </c>
      <c r="AU100" s="83">
        <v>-9973.1200000000008</v>
      </c>
      <c r="BA100" s="31">
        <f t="shared" si="115"/>
        <v>227185.28999999998</v>
      </c>
    </row>
    <row r="101" spans="1:53" x14ac:dyDescent="0.2">
      <c r="B101" s="3" t="s">
        <v>979</v>
      </c>
      <c r="C101" s="20">
        <v>0</v>
      </c>
      <c r="D101" s="20">
        <v>0</v>
      </c>
      <c r="E101" s="20">
        <v>0</v>
      </c>
      <c r="F101" s="24">
        <v>0</v>
      </c>
      <c r="G101" s="24">
        <v>0</v>
      </c>
      <c r="H101" s="20">
        <v>0</v>
      </c>
      <c r="I101" s="20">
        <v>0</v>
      </c>
      <c r="J101" s="20">
        <v>0</v>
      </c>
      <c r="K101" s="20">
        <v>0</v>
      </c>
      <c r="L101" s="83">
        <v>0</v>
      </c>
      <c r="M101" s="83">
        <v>0</v>
      </c>
      <c r="N101" s="83">
        <v>0</v>
      </c>
      <c r="O101" s="83">
        <v>0</v>
      </c>
      <c r="P101" s="83">
        <v>0</v>
      </c>
      <c r="Q101" s="83">
        <v>0</v>
      </c>
      <c r="R101" s="83">
        <v>0</v>
      </c>
      <c r="S101" s="83">
        <v>0</v>
      </c>
      <c r="T101" s="83">
        <v>0</v>
      </c>
      <c r="U101" s="83">
        <v>0</v>
      </c>
      <c r="V101" s="83">
        <v>0</v>
      </c>
      <c r="W101" s="83">
        <v>0</v>
      </c>
      <c r="X101" s="83">
        <v>0</v>
      </c>
      <c r="Y101" s="83">
        <v>0</v>
      </c>
      <c r="Z101" s="83">
        <v>0</v>
      </c>
      <c r="AA101" s="31">
        <f t="shared" si="113"/>
        <v>0</v>
      </c>
      <c r="AB101" s="83">
        <v>0</v>
      </c>
      <c r="AC101" s="83">
        <v>0</v>
      </c>
      <c r="AD101" s="83">
        <v>0</v>
      </c>
      <c r="AE101" s="83">
        <v>0</v>
      </c>
      <c r="AF101" s="83">
        <v>0</v>
      </c>
      <c r="AG101" s="83">
        <v>0</v>
      </c>
      <c r="AH101" s="83">
        <v>0</v>
      </c>
      <c r="AI101" s="83">
        <v>0</v>
      </c>
      <c r="AJ101" s="83">
        <v>0</v>
      </c>
      <c r="AK101" s="83">
        <v>0</v>
      </c>
      <c r="AL101" s="83">
        <v>0</v>
      </c>
      <c r="AM101" s="83">
        <v>0</v>
      </c>
      <c r="AN101" s="31">
        <f t="shared" si="114"/>
        <v>0</v>
      </c>
      <c r="AO101" s="83">
        <v>0</v>
      </c>
      <c r="AP101" s="83">
        <v>0</v>
      </c>
      <c r="AQ101" s="83">
        <v>0</v>
      </c>
      <c r="AR101" s="83">
        <v>0</v>
      </c>
      <c r="AS101" s="83">
        <v>0</v>
      </c>
      <c r="AT101" s="83">
        <v>0</v>
      </c>
      <c r="AU101" s="83">
        <v>0</v>
      </c>
      <c r="BA101" s="31">
        <f t="shared" si="115"/>
        <v>0</v>
      </c>
    </row>
    <row r="102" spans="1:53" x14ac:dyDescent="0.2">
      <c r="B102" s="3" t="s">
        <v>1766</v>
      </c>
      <c r="C102" s="20">
        <v>0</v>
      </c>
      <c r="D102" s="20">
        <v>0</v>
      </c>
      <c r="E102" s="20">
        <v>0</v>
      </c>
      <c r="F102" s="24">
        <v>0</v>
      </c>
      <c r="G102" s="24">
        <v>0</v>
      </c>
      <c r="H102" s="20">
        <v>0</v>
      </c>
      <c r="I102" s="20">
        <v>0</v>
      </c>
      <c r="K102" s="20">
        <v>1286.17</v>
      </c>
      <c r="L102" s="83">
        <v>-834.05</v>
      </c>
      <c r="M102" s="83">
        <v>-834.05</v>
      </c>
      <c r="N102" s="83">
        <v>-833.99</v>
      </c>
      <c r="O102" s="83">
        <v>4069.87</v>
      </c>
      <c r="P102" s="83">
        <v>-821.46</v>
      </c>
      <c r="Q102" s="83">
        <v>-508.06</v>
      </c>
      <c r="R102" s="83">
        <v>-508.06</v>
      </c>
      <c r="S102" s="83">
        <v>-508.06</v>
      </c>
      <c r="T102" s="83">
        <v>-508.06</v>
      </c>
      <c r="U102" s="83">
        <v>-508.06</v>
      </c>
      <c r="V102" s="83">
        <v>-508.06</v>
      </c>
      <c r="W102" s="83">
        <v>-508.06</v>
      </c>
      <c r="X102" s="83">
        <v>-508.06</v>
      </c>
      <c r="Y102" s="83">
        <v>-508.06</v>
      </c>
      <c r="Z102" s="83">
        <v>-509.17</v>
      </c>
      <c r="AA102" s="31">
        <f t="shared" si="113"/>
        <v>-1833.3</v>
      </c>
      <c r="AB102" s="83">
        <v>5655.49</v>
      </c>
      <c r="AC102" s="83">
        <v>-514.13</v>
      </c>
      <c r="AD102" s="83">
        <v>-514.13</v>
      </c>
      <c r="AE102" s="83">
        <v>-514.13</v>
      </c>
      <c r="AF102" s="83">
        <v>-514.13</v>
      </c>
      <c r="AG102" s="83">
        <v>-514.13</v>
      </c>
      <c r="AH102" s="83">
        <v>-514.13</v>
      </c>
      <c r="AI102" s="83">
        <v>-514.13</v>
      </c>
      <c r="AJ102" s="83">
        <v>-514.13</v>
      </c>
      <c r="AK102" s="83">
        <v>-514.13</v>
      </c>
      <c r="AL102" s="83">
        <v>-514.13</v>
      </c>
      <c r="AM102" s="83">
        <v>-514.19000000000005</v>
      </c>
      <c r="AN102" s="31">
        <f t="shared" si="114"/>
        <v>-1833.3000000000011</v>
      </c>
      <c r="AO102" s="83">
        <v>0</v>
      </c>
      <c r="AP102" s="83">
        <v>5518.02</v>
      </c>
      <c r="AQ102" s="83">
        <v>-501.64</v>
      </c>
      <c r="AR102" s="83">
        <v>-501.64</v>
      </c>
      <c r="AS102" s="83">
        <v>-501.64</v>
      </c>
      <c r="AT102" s="83">
        <v>-501.64</v>
      </c>
      <c r="AU102" s="83">
        <v>-501.64</v>
      </c>
      <c r="BA102" s="31">
        <f t="shared" si="115"/>
        <v>1176.52</v>
      </c>
    </row>
    <row r="103" spans="1:53" x14ac:dyDescent="0.2">
      <c r="B103" s="3" t="s">
        <v>491</v>
      </c>
      <c r="C103" s="20">
        <v>0</v>
      </c>
      <c r="D103" s="20">
        <v>7157.08</v>
      </c>
      <c r="E103" s="20">
        <v>-6825.82</v>
      </c>
      <c r="F103" s="24">
        <v>1361.04</v>
      </c>
      <c r="G103" s="24">
        <v>-1692.3</v>
      </c>
      <c r="H103" s="20">
        <v>689.77</v>
      </c>
      <c r="I103" s="20">
        <v>1508.46</v>
      </c>
      <c r="J103" s="20">
        <v>21.49</v>
      </c>
      <c r="K103" s="20">
        <v>2783.15</v>
      </c>
      <c r="L103" s="83">
        <v>2446.44</v>
      </c>
      <c r="M103" s="83">
        <v>-4944.82</v>
      </c>
      <c r="N103" s="83">
        <v>-1858.87</v>
      </c>
      <c r="O103" s="83">
        <v>0</v>
      </c>
      <c r="P103" s="83">
        <v>0</v>
      </c>
      <c r="Q103" s="83">
        <v>0</v>
      </c>
      <c r="R103" s="83">
        <v>0</v>
      </c>
      <c r="S103" s="83">
        <v>0</v>
      </c>
      <c r="T103" s="83">
        <v>0</v>
      </c>
      <c r="U103" s="83">
        <v>0</v>
      </c>
      <c r="V103" s="83">
        <v>0</v>
      </c>
      <c r="W103" s="83">
        <v>0</v>
      </c>
      <c r="X103" s="83">
        <v>0</v>
      </c>
      <c r="Y103" s="83">
        <v>0</v>
      </c>
      <c r="Z103" s="83">
        <v>0</v>
      </c>
      <c r="AA103" s="31">
        <f t="shared" si="113"/>
        <v>0</v>
      </c>
      <c r="AB103" s="83">
        <v>0</v>
      </c>
      <c r="AC103" s="83">
        <v>0</v>
      </c>
      <c r="AD103" s="83">
        <v>0</v>
      </c>
      <c r="AE103" s="83">
        <v>0</v>
      </c>
      <c r="AF103" s="83">
        <v>0</v>
      </c>
      <c r="AG103" s="83">
        <v>0</v>
      </c>
      <c r="AH103" s="83">
        <v>0</v>
      </c>
      <c r="AI103" s="83">
        <v>0</v>
      </c>
      <c r="AJ103" s="83">
        <v>0</v>
      </c>
      <c r="AK103" s="83">
        <v>0</v>
      </c>
      <c r="AL103" s="83">
        <v>0</v>
      </c>
      <c r="AM103" s="83">
        <v>0</v>
      </c>
      <c r="AN103" s="31">
        <f t="shared" si="114"/>
        <v>0</v>
      </c>
      <c r="AO103" s="83">
        <v>0</v>
      </c>
      <c r="AP103" s="83">
        <v>0</v>
      </c>
      <c r="AQ103" s="83">
        <v>0</v>
      </c>
      <c r="AR103" s="83">
        <v>0</v>
      </c>
      <c r="AS103" s="83">
        <v>0</v>
      </c>
      <c r="AT103" s="83">
        <v>0</v>
      </c>
      <c r="AU103" s="83">
        <v>0</v>
      </c>
      <c r="BA103" s="31">
        <f t="shared" si="115"/>
        <v>0</v>
      </c>
    </row>
    <row r="104" spans="1:53" x14ac:dyDescent="0.2">
      <c r="B104" s="3" t="s">
        <v>492</v>
      </c>
      <c r="C104" s="20">
        <v>0</v>
      </c>
      <c r="D104" s="20">
        <v>-53.58</v>
      </c>
      <c r="E104" s="20">
        <v>54.27</v>
      </c>
      <c r="F104" s="24">
        <v>12.26</v>
      </c>
      <c r="G104" s="24">
        <v>-12.95</v>
      </c>
      <c r="H104" s="20">
        <v>-3.97</v>
      </c>
      <c r="I104" s="20">
        <v>-6.36</v>
      </c>
      <c r="J104" s="20">
        <v>21.69</v>
      </c>
      <c r="K104" s="20">
        <v>-54.66</v>
      </c>
      <c r="L104" s="83">
        <v>7.93</v>
      </c>
      <c r="M104" s="83">
        <v>49.5</v>
      </c>
      <c r="N104" s="83">
        <v>-12.05</v>
      </c>
      <c r="O104" s="83">
        <v>0</v>
      </c>
      <c r="P104" s="83">
        <v>0</v>
      </c>
      <c r="Q104" s="83">
        <v>0</v>
      </c>
      <c r="R104" s="83">
        <v>0</v>
      </c>
      <c r="S104" s="83">
        <v>0</v>
      </c>
      <c r="T104" s="83">
        <v>0</v>
      </c>
      <c r="U104" s="83">
        <v>0</v>
      </c>
      <c r="V104" s="83">
        <v>0</v>
      </c>
      <c r="W104" s="83">
        <v>0</v>
      </c>
      <c r="X104" s="83">
        <v>0</v>
      </c>
      <c r="Y104" s="83">
        <v>0</v>
      </c>
      <c r="Z104" s="83">
        <v>0</v>
      </c>
      <c r="AA104" s="31">
        <f t="shared" si="113"/>
        <v>0</v>
      </c>
      <c r="AB104" s="83">
        <v>0</v>
      </c>
      <c r="AC104" s="83">
        <v>0</v>
      </c>
      <c r="AD104" s="83">
        <v>0</v>
      </c>
      <c r="AE104" s="83">
        <v>0</v>
      </c>
      <c r="AF104" s="83">
        <v>0</v>
      </c>
      <c r="AG104" s="83">
        <v>0</v>
      </c>
      <c r="AH104" s="83">
        <v>0</v>
      </c>
      <c r="AI104" s="83">
        <v>0</v>
      </c>
      <c r="AJ104" s="83">
        <v>0</v>
      </c>
      <c r="AK104" s="83">
        <v>0</v>
      </c>
      <c r="AL104" s="83">
        <v>0</v>
      </c>
      <c r="AM104" s="83">
        <v>0</v>
      </c>
      <c r="AN104" s="31">
        <f t="shared" si="114"/>
        <v>0</v>
      </c>
      <c r="AO104" s="83">
        <v>0</v>
      </c>
      <c r="AP104" s="83">
        <v>0</v>
      </c>
      <c r="AQ104" s="83">
        <v>0</v>
      </c>
      <c r="AR104" s="83">
        <v>0</v>
      </c>
      <c r="AS104" s="83">
        <v>0</v>
      </c>
      <c r="AT104" s="83">
        <v>0</v>
      </c>
      <c r="AU104" s="83">
        <v>0</v>
      </c>
      <c r="BA104" s="31">
        <f t="shared" si="115"/>
        <v>0</v>
      </c>
    </row>
    <row r="105" spans="1:53" x14ac:dyDescent="0.2">
      <c r="B105" s="3" t="s">
        <v>493</v>
      </c>
      <c r="C105" s="20">
        <v>0</v>
      </c>
      <c r="D105" s="20">
        <v>-1807.92</v>
      </c>
      <c r="E105" s="20">
        <v>1675.42</v>
      </c>
      <c r="F105" s="24">
        <v>58.38</v>
      </c>
      <c r="G105" s="24">
        <v>25.85</v>
      </c>
      <c r="H105" s="20">
        <v>48.27</v>
      </c>
      <c r="I105" s="20">
        <v>-1178.46</v>
      </c>
      <c r="J105" s="20">
        <v>1197.1400000000001</v>
      </c>
      <c r="K105" s="20">
        <v>-436.8</v>
      </c>
      <c r="L105" s="83">
        <v>465.78</v>
      </c>
      <c r="M105" s="83">
        <v>-847.33</v>
      </c>
      <c r="N105" s="83">
        <v>798.35</v>
      </c>
      <c r="O105" s="83">
        <v>2457.4699999999998</v>
      </c>
      <c r="P105" s="83">
        <v>705.9</v>
      </c>
      <c r="Q105" s="83">
        <v>-3472.05</v>
      </c>
      <c r="R105" s="83">
        <v>3802.26</v>
      </c>
      <c r="S105" s="83">
        <v>-2512.0100000000002</v>
      </c>
      <c r="T105" s="83">
        <v>-493.25</v>
      </c>
      <c r="U105" s="83">
        <v>1994.54</v>
      </c>
      <c r="V105" s="83">
        <v>-2147.7199999999998</v>
      </c>
      <c r="W105" s="83">
        <v>-112.57</v>
      </c>
      <c r="X105" s="83">
        <v>512.71</v>
      </c>
      <c r="Y105" s="83">
        <v>4261.68</v>
      </c>
      <c r="Z105" s="83">
        <v>-2690.2</v>
      </c>
      <c r="AA105" s="31">
        <f t="shared" si="113"/>
        <v>2306.7600000000002</v>
      </c>
      <c r="AB105" s="83">
        <v>-1251.56</v>
      </c>
      <c r="AC105" s="83">
        <v>-1095.4100000000001</v>
      </c>
      <c r="AD105" s="83">
        <v>482.79</v>
      </c>
      <c r="AE105" s="83">
        <v>-86.88</v>
      </c>
      <c r="AF105" s="83">
        <v>731.73</v>
      </c>
      <c r="AG105" s="83">
        <v>1252.2</v>
      </c>
      <c r="AH105" s="83">
        <v>-2156.48</v>
      </c>
      <c r="AI105" s="83">
        <v>595.88</v>
      </c>
      <c r="AJ105" s="83">
        <v>460.24</v>
      </c>
      <c r="AK105" s="83">
        <v>6.1</v>
      </c>
      <c r="AL105" s="83">
        <v>-745.49</v>
      </c>
      <c r="AM105" s="83">
        <v>438.35</v>
      </c>
      <c r="AN105" s="31">
        <f t="shared" si="114"/>
        <v>938.2299999999999</v>
      </c>
      <c r="AO105" s="83">
        <v>-462.11</v>
      </c>
      <c r="AP105" s="83">
        <v>-72.02</v>
      </c>
      <c r="AQ105" s="83">
        <v>-489.56</v>
      </c>
      <c r="AR105" s="83">
        <v>896.68</v>
      </c>
      <c r="AS105" s="83">
        <v>113.6</v>
      </c>
      <c r="AT105" s="83">
        <v>-703.47</v>
      </c>
      <c r="AU105" s="83">
        <v>921.73</v>
      </c>
      <c r="BA105" s="31">
        <f t="shared" si="115"/>
        <v>1143.08</v>
      </c>
    </row>
    <row r="106" spans="1:53" x14ac:dyDescent="0.2">
      <c r="B106" s="3" t="s">
        <v>494</v>
      </c>
      <c r="C106" s="20">
        <v>0</v>
      </c>
      <c r="D106" s="20">
        <v>7.79</v>
      </c>
      <c r="E106" s="20">
        <v>-8.07</v>
      </c>
      <c r="F106" s="24">
        <v>-0.28999999999999998</v>
      </c>
      <c r="G106" s="24">
        <v>1.3</v>
      </c>
      <c r="H106" s="20">
        <v>-0.73</v>
      </c>
      <c r="I106" s="20">
        <v>5.79</v>
      </c>
      <c r="J106" s="20">
        <v>-5.77</v>
      </c>
      <c r="K106" s="20">
        <v>2.63</v>
      </c>
      <c r="L106" s="83">
        <v>-2.87</v>
      </c>
      <c r="M106" s="83">
        <v>3.57</v>
      </c>
      <c r="N106" s="83">
        <v>-3.33</v>
      </c>
      <c r="O106" s="83">
        <v>-1.2</v>
      </c>
      <c r="P106" s="83">
        <v>-8.9600000000000009</v>
      </c>
      <c r="Q106" s="83">
        <v>11.86</v>
      </c>
      <c r="R106" s="83">
        <v>-3.84</v>
      </c>
      <c r="S106" s="83">
        <v>-10.220000000000001</v>
      </c>
      <c r="T106" s="83">
        <v>12.24</v>
      </c>
      <c r="U106" s="83">
        <v>-2.2200000000000002</v>
      </c>
      <c r="V106" s="83">
        <v>8.26</v>
      </c>
      <c r="W106" s="83">
        <v>-3.23</v>
      </c>
      <c r="X106" s="83">
        <v>-10.34</v>
      </c>
      <c r="Y106" s="83">
        <v>16.36</v>
      </c>
      <c r="Z106" s="83">
        <v>-63.81</v>
      </c>
      <c r="AA106" s="31">
        <f t="shared" si="113"/>
        <v>-55.100000000000009</v>
      </c>
      <c r="AB106" s="83">
        <v>45</v>
      </c>
      <c r="AC106" s="83">
        <v>9.69</v>
      </c>
      <c r="AD106" s="83">
        <v>-4.32</v>
      </c>
      <c r="AE106" s="83">
        <v>8.7899999999999991</v>
      </c>
      <c r="AF106" s="83">
        <v>12.81</v>
      </c>
      <c r="AG106" s="83">
        <v>-15.32</v>
      </c>
      <c r="AH106" s="83">
        <v>-2.68</v>
      </c>
      <c r="AI106" s="83">
        <v>-6.43</v>
      </c>
      <c r="AJ106" s="83">
        <v>-9.86</v>
      </c>
      <c r="AK106" s="83">
        <v>17.54</v>
      </c>
      <c r="AL106" s="83">
        <v>0.84</v>
      </c>
      <c r="AM106" s="83">
        <v>1.21</v>
      </c>
      <c r="AN106" s="31">
        <f t="shared" si="114"/>
        <v>2.1699999999999902</v>
      </c>
      <c r="AO106" s="83">
        <v>-0.37</v>
      </c>
      <c r="AP106" s="83">
        <v>-0.57999999999999996</v>
      </c>
      <c r="AQ106" s="83">
        <v>-2.21</v>
      </c>
      <c r="AR106" s="83">
        <v>-9.27</v>
      </c>
      <c r="AS106" s="83">
        <v>-9.76</v>
      </c>
      <c r="AT106" s="83">
        <v>16.95</v>
      </c>
      <c r="AU106" s="83">
        <v>-4.72</v>
      </c>
      <c r="BA106" s="31">
        <f t="shared" si="115"/>
        <v>-7.7900000000000107</v>
      </c>
    </row>
    <row r="107" spans="1:53" x14ac:dyDescent="0.2">
      <c r="B107" s="3" t="s">
        <v>1813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83">
        <v>-319.31</v>
      </c>
      <c r="Q107" s="83">
        <v>319.31</v>
      </c>
      <c r="R107" s="83">
        <v>0</v>
      </c>
      <c r="S107" s="83">
        <v>0</v>
      </c>
      <c r="T107" s="83">
        <v>0</v>
      </c>
      <c r="U107" s="83">
        <v>0</v>
      </c>
      <c r="V107" s="83">
        <v>0</v>
      </c>
      <c r="W107" s="83">
        <v>0</v>
      </c>
      <c r="X107" s="83">
        <v>0</v>
      </c>
      <c r="Y107" s="83">
        <v>0</v>
      </c>
      <c r="Z107" s="83">
        <v>0</v>
      </c>
      <c r="AA107" s="31">
        <f t="shared" si="113"/>
        <v>0</v>
      </c>
      <c r="AB107" s="83">
        <v>0</v>
      </c>
      <c r="AC107" s="83">
        <v>0</v>
      </c>
      <c r="AD107" s="83">
        <v>0</v>
      </c>
      <c r="AE107" s="83">
        <v>0</v>
      </c>
      <c r="AF107" s="83">
        <v>0</v>
      </c>
      <c r="AG107" s="83">
        <v>0</v>
      </c>
      <c r="AH107" s="83">
        <v>0</v>
      </c>
      <c r="AI107" s="83">
        <v>0</v>
      </c>
      <c r="AJ107" s="83">
        <v>0</v>
      </c>
      <c r="AK107" s="83">
        <v>0</v>
      </c>
      <c r="AL107" s="83">
        <v>0</v>
      </c>
      <c r="AM107" s="83">
        <v>0</v>
      </c>
      <c r="AN107" s="31">
        <f t="shared" si="114"/>
        <v>0</v>
      </c>
      <c r="AO107" s="83">
        <v>0</v>
      </c>
      <c r="AP107" s="83">
        <v>0</v>
      </c>
      <c r="AQ107" s="83">
        <v>0</v>
      </c>
      <c r="AR107" s="83">
        <v>0</v>
      </c>
      <c r="AS107" s="83">
        <v>0</v>
      </c>
      <c r="AT107" s="83">
        <v>0</v>
      </c>
      <c r="AU107" s="83">
        <v>0</v>
      </c>
      <c r="BA107" s="31">
        <f t="shared" si="115"/>
        <v>0</v>
      </c>
    </row>
    <row r="108" spans="1:53" x14ac:dyDescent="0.2">
      <c r="B108" s="3" t="s">
        <v>1814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83">
        <v>1.1599999999999999</v>
      </c>
      <c r="Q108" s="83">
        <v>-1.1599999999999999</v>
      </c>
      <c r="R108" s="83">
        <v>0</v>
      </c>
      <c r="S108" s="83">
        <v>0</v>
      </c>
      <c r="T108" s="83">
        <v>0</v>
      </c>
      <c r="U108" s="83">
        <v>0</v>
      </c>
      <c r="V108" s="83">
        <v>0</v>
      </c>
      <c r="W108" s="83">
        <v>0</v>
      </c>
      <c r="X108" s="83">
        <v>0</v>
      </c>
      <c r="Y108" s="83">
        <v>0</v>
      </c>
      <c r="Z108" s="83">
        <v>0</v>
      </c>
      <c r="AA108" s="31">
        <f t="shared" si="113"/>
        <v>0</v>
      </c>
      <c r="AB108" s="83">
        <v>0</v>
      </c>
      <c r="AC108" s="83">
        <v>0</v>
      </c>
      <c r="AD108" s="83">
        <v>0</v>
      </c>
      <c r="AE108" s="83">
        <v>0</v>
      </c>
      <c r="AF108" s="83">
        <v>0</v>
      </c>
      <c r="AG108" s="83">
        <v>0</v>
      </c>
      <c r="AH108" s="83">
        <v>0</v>
      </c>
      <c r="AI108" s="83">
        <v>0</v>
      </c>
      <c r="AJ108" s="83">
        <v>0</v>
      </c>
      <c r="AK108" s="83">
        <v>0</v>
      </c>
      <c r="AL108" s="83">
        <v>0</v>
      </c>
      <c r="AM108" s="83">
        <v>0</v>
      </c>
      <c r="AN108" s="31">
        <f t="shared" si="114"/>
        <v>0</v>
      </c>
      <c r="AO108" s="83">
        <v>0</v>
      </c>
      <c r="AP108" s="83">
        <v>0</v>
      </c>
      <c r="AQ108" s="83">
        <v>0</v>
      </c>
      <c r="AR108" s="83">
        <v>0</v>
      </c>
      <c r="AS108" s="83">
        <v>0</v>
      </c>
      <c r="AT108" s="83">
        <v>0</v>
      </c>
      <c r="AU108" s="83">
        <v>0</v>
      </c>
      <c r="BA108" s="31">
        <f t="shared" si="115"/>
        <v>0</v>
      </c>
    </row>
    <row r="109" spans="1:53" s="9" customFormat="1" ht="12.75" x14ac:dyDescent="0.2">
      <c r="A109" s="115"/>
      <c r="B109" s="13" t="s">
        <v>1776</v>
      </c>
      <c r="C109" s="41">
        <f>SUM(C98:C107)</f>
        <v>-1571.0100000000002</v>
      </c>
      <c r="D109" s="41">
        <f t="shared" ref="D109:I109" si="116">SUM(D98:D106)</f>
        <v>4827.91</v>
      </c>
      <c r="E109" s="41">
        <f t="shared" si="116"/>
        <v>-5614.829999999999</v>
      </c>
      <c r="F109" s="41">
        <f t="shared" si="116"/>
        <v>1235.49</v>
      </c>
      <c r="G109" s="41">
        <f t="shared" si="116"/>
        <v>-1874.0000000000002</v>
      </c>
      <c r="H109" s="41">
        <f t="shared" si="116"/>
        <v>537.43999999999994</v>
      </c>
      <c r="I109" s="41">
        <f t="shared" si="116"/>
        <v>133.53</v>
      </c>
      <c r="J109" s="41">
        <f>SUM(J98:J108)</f>
        <v>1038.6500000000001</v>
      </c>
      <c r="K109" s="41">
        <f>SUM(K98:K108)</f>
        <v>3384.59</v>
      </c>
      <c r="L109" s="41">
        <f>SUM(L98:L108)</f>
        <v>1887.3300000000002</v>
      </c>
      <c r="M109" s="41">
        <f>SUM(M98:M108)</f>
        <v>-6769.03</v>
      </c>
      <c r="N109" s="41">
        <f>SUM(N98:N108)</f>
        <v>-2105.7900000000004</v>
      </c>
      <c r="O109" s="41">
        <f t="shared" ref="O109:AK109" si="117">SUM(O97:O108)</f>
        <v>2010.0399999999993</v>
      </c>
      <c r="P109" s="41">
        <f t="shared" si="117"/>
        <v>-638.57000000000005</v>
      </c>
      <c r="Q109" s="41">
        <f t="shared" si="117"/>
        <v>-3846.0000000000005</v>
      </c>
      <c r="R109" s="41">
        <f t="shared" si="117"/>
        <v>3094.46</v>
      </c>
      <c r="S109" s="41">
        <f t="shared" si="117"/>
        <v>-3226.19</v>
      </c>
      <c r="T109" s="41">
        <f t="shared" si="117"/>
        <v>107077.55</v>
      </c>
      <c r="U109" s="41">
        <f t="shared" si="117"/>
        <v>-662.43999999999983</v>
      </c>
      <c r="V109" s="41">
        <f t="shared" si="117"/>
        <v>28809.349999999995</v>
      </c>
      <c r="W109" s="41">
        <f t="shared" si="117"/>
        <v>-3730.6600000000003</v>
      </c>
      <c r="X109" s="41">
        <f t="shared" si="117"/>
        <v>64962.990000000005</v>
      </c>
      <c r="Y109" s="41">
        <f t="shared" si="117"/>
        <v>-1081.6600000000005</v>
      </c>
      <c r="Z109" s="41">
        <f t="shared" si="117"/>
        <v>52055.76</v>
      </c>
      <c r="AA109" s="41">
        <f t="shared" si="117"/>
        <v>244824.63</v>
      </c>
      <c r="AB109" s="41">
        <f t="shared" si="117"/>
        <v>-976.32000000000016</v>
      </c>
      <c r="AC109" s="41">
        <f t="shared" si="117"/>
        <v>-7394.5400000000009</v>
      </c>
      <c r="AD109" s="41">
        <f t="shared" si="117"/>
        <v>-4858.13</v>
      </c>
      <c r="AE109" s="41">
        <f t="shared" si="117"/>
        <v>-5832.7500000000009</v>
      </c>
      <c r="AF109" s="41">
        <f t="shared" si="117"/>
        <v>68107.45</v>
      </c>
      <c r="AG109" s="41">
        <f t="shared" si="117"/>
        <v>-5915.46</v>
      </c>
      <c r="AH109" s="41">
        <f t="shared" si="117"/>
        <v>-48018.25</v>
      </c>
      <c r="AI109" s="41">
        <f t="shared" si="117"/>
        <v>32178.63</v>
      </c>
      <c r="AJ109" s="41">
        <f t="shared" si="117"/>
        <v>-8681.56</v>
      </c>
      <c r="AK109" s="41">
        <f t="shared" si="117"/>
        <v>-9108.2999999999975</v>
      </c>
      <c r="AL109" s="41">
        <f t="shared" ref="AL109:AM109" si="118">SUM(AL97:AL108)</f>
        <v>-9876.5899999999983</v>
      </c>
      <c r="AM109" s="41">
        <f t="shared" si="118"/>
        <v>157280.31</v>
      </c>
      <c r="AN109" s="128">
        <f>SUM(AN97:AN108)</f>
        <v>401729.11999999994</v>
      </c>
      <c r="AO109" s="41">
        <f t="shared" ref="AO109:AU109" si="119">SUM(AO97:AO108)</f>
        <v>-9829.5400000000009</v>
      </c>
      <c r="AP109" s="41">
        <f t="shared" si="119"/>
        <v>-3005.889999999999</v>
      </c>
      <c r="AQ109" s="41">
        <f t="shared" si="119"/>
        <v>-140587.43</v>
      </c>
      <c r="AR109" s="41">
        <f t="shared" si="119"/>
        <v>-8986.66</v>
      </c>
      <c r="AS109" s="41">
        <f t="shared" si="119"/>
        <v>5172.1499999999969</v>
      </c>
      <c r="AT109" s="41">
        <f t="shared" si="119"/>
        <v>-11513.63</v>
      </c>
      <c r="AU109" s="41">
        <f t="shared" si="119"/>
        <v>-9558.26</v>
      </c>
      <c r="AV109" s="41">
        <f t="shared" ref="AV109" si="120">SUM(AV97:AV108)</f>
        <v>0</v>
      </c>
      <c r="AW109" s="41">
        <f t="shared" ref="AW109" si="121">SUM(AW97:AW108)</f>
        <v>0</v>
      </c>
      <c r="AX109" s="41">
        <f t="shared" ref="AX109:AZ109" si="122">SUM(AX97:AX108)</f>
        <v>0</v>
      </c>
      <c r="AY109" s="41">
        <f t="shared" si="122"/>
        <v>0</v>
      </c>
      <c r="AZ109" s="41">
        <f t="shared" si="122"/>
        <v>0</v>
      </c>
      <c r="BA109" s="128">
        <f>SUM(BA97:BA108)</f>
        <v>223419.85999999996</v>
      </c>
    </row>
    <row r="110" spans="1:53" x14ac:dyDescent="0.2">
      <c r="B110" s="3" t="s">
        <v>71</v>
      </c>
      <c r="C110" s="20">
        <v>359163.46</v>
      </c>
      <c r="D110" s="20">
        <v>0</v>
      </c>
      <c r="E110" s="20">
        <v>-2268.59</v>
      </c>
      <c r="F110" s="24">
        <v>0</v>
      </c>
      <c r="G110" s="24">
        <v>0</v>
      </c>
      <c r="H110" s="20">
        <v>0</v>
      </c>
      <c r="I110" s="20">
        <v>0</v>
      </c>
      <c r="J110" s="20">
        <v>0</v>
      </c>
      <c r="K110" s="20">
        <v>0</v>
      </c>
      <c r="L110" s="83">
        <v>0</v>
      </c>
      <c r="M110" s="83">
        <v>0</v>
      </c>
      <c r="N110" s="83">
        <v>-27806.76</v>
      </c>
      <c r="O110" s="83">
        <v>356894.87</v>
      </c>
      <c r="P110" s="83">
        <v>0</v>
      </c>
      <c r="Q110" s="83">
        <v>5290.26</v>
      </c>
      <c r="R110" s="83">
        <v>0</v>
      </c>
      <c r="S110" s="83">
        <v>0</v>
      </c>
      <c r="T110" s="83">
        <v>6340.13</v>
      </c>
      <c r="U110" s="83">
        <v>0</v>
      </c>
      <c r="V110" s="83">
        <v>0</v>
      </c>
      <c r="W110" s="83">
        <v>0</v>
      </c>
      <c r="X110" s="83">
        <v>0</v>
      </c>
      <c r="Y110" s="83">
        <v>0</v>
      </c>
      <c r="Z110" s="83">
        <v>0</v>
      </c>
      <c r="AA110" s="31">
        <f>SUM(O110:Z110)</f>
        <v>368525.26</v>
      </c>
      <c r="AB110" s="83">
        <v>0</v>
      </c>
      <c r="AC110" s="83">
        <v>0</v>
      </c>
      <c r="AD110" s="83">
        <v>0</v>
      </c>
      <c r="AE110" s="83">
        <v>0</v>
      </c>
      <c r="AF110" s="83">
        <v>0</v>
      </c>
      <c r="AG110" s="83">
        <v>-7473.67</v>
      </c>
      <c r="AH110" s="83">
        <v>0</v>
      </c>
      <c r="AI110" s="83">
        <v>0</v>
      </c>
      <c r="AJ110" s="83">
        <v>0</v>
      </c>
      <c r="AK110" s="83">
        <v>0</v>
      </c>
      <c r="AL110" s="83">
        <v>0</v>
      </c>
      <c r="AM110" s="83">
        <v>0</v>
      </c>
      <c r="AN110" s="31">
        <f>SUM(AA110:AM110)</f>
        <v>361051.59</v>
      </c>
      <c r="AO110" s="83">
        <v>0</v>
      </c>
      <c r="AP110" s="83">
        <v>0</v>
      </c>
      <c r="AQ110" s="83">
        <v>0</v>
      </c>
      <c r="AR110" s="83">
        <v>0</v>
      </c>
      <c r="AS110" s="83">
        <v>0</v>
      </c>
      <c r="AT110" s="83">
        <v>0</v>
      </c>
      <c r="AU110" s="83">
        <v>0</v>
      </c>
      <c r="BA110" s="31">
        <f t="shared" ref="BA110:BA111" si="123">SUM(AN110:AZ110)</f>
        <v>361051.59</v>
      </c>
    </row>
    <row r="111" spans="1:53" x14ac:dyDescent="0.2">
      <c r="B111" s="3" t="s">
        <v>72</v>
      </c>
      <c r="C111" s="20">
        <v>-270414.81</v>
      </c>
      <c r="D111" s="20">
        <v>-1114.76</v>
      </c>
      <c r="E111" s="20">
        <v>1153.81</v>
      </c>
      <c r="F111" s="24">
        <v>-1114.75</v>
      </c>
      <c r="G111" s="24">
        <v>-1114.8</v>
      </c>
      <c r="H111" s="20">
        <v>-1114.75</v>
      </c>
      <c r="I111" s="20">
        <v>-1114.79</v>
      </c>
      <c r="J111" s="20">
        <v>-1114.76</v>
      </c>
      <c r="K111" s="20">
        <v>-1114.78</v>
      </c>
      <c r="L111" s="83">
        <v>-1114.76</v>
      </c>
      <c r="M111" s="83">
        <v>-1114.78</v>
      </c>
      <c r="N111" s="83">
        <v>7381.75</v>
      </c>
      <c r="O111" s="83">
        <v>-281523.52</v>
      </c>
      <c r="P111" s="83">
        <v>-1114.76</v>
      </c>
      <c r="Q111" s="83">
        <v>-1173.56</v>
      </c>
      <c r="R111" s="83">
        <v>-1144.18</v>
      </c>
      <c r="S111" s="83">
        <v>-1144.1500000000001</v>
      </c>
      <c r="T111" s="83">
        <v>10406.83</v>
      </c>
      <c r="U111" s="83">
        <v>-1179.4100000000001</v>
      </c>
      <c r="V111" s="83">
        <v>-1179.3800000000001</v>
      </c>
      <c r="W111" s="83">
        <v>-1179.3800000000001</v>
      </c>
      <c r="X111" s="83">
        <v>-1179.3800000000001</v>
      </c>
      <c r="Y111" s="83">
        <v>-1179.4000000000001</v>
      </c>
      <c r="Z111" s="83">
        <v>-1179.42</v>
      </c>
      <c r="AA111" s="31">
        <f>SUM(O111:Z111)</f>
        <v>-282769.71000000002</v>
      </c>
      <c r="AB111" s="83">
        <v>-1179.4000000000001</v>
      </c>
      <c r="AC111" s="83">
        <v>-1179.3800000000001</v>
      </c>
      <c r="AD111" s="83">
        <v>-1179.4000000000001</v>
      </c>
      <c r="AE111" s="83">
        <v>-1179.3499999999999</v>
      </c>
      <c r="AF111" s="83">
        <v>-1179.42</v>
      </c>
      <c r="AG111" s="83">
        <v>6294.3</v>
      </c>
      <c r="AH111" s="83">
        <v>-1179.4100000000001</v>
      </c>
      <c r="AI111" s="83">
        <v>-1179.3599999999999</v>
      </c>
      <c r="AJ111" s="83">
        <v>-1179.4000000000001</v>
      </c>
      <c r="AK111" s="83">
        <v>-1179.3800000000001</v>
      </c>
      <c r="AL111" s="83">
        <v>-1179.3900000000001</v>
      </c>
      <c r="AM111" s="83">
        <v>-1179.3599999999999</v>
      </c>
      <c r="AN111" s="31">
        <f>SUM(AA111:AM111)</f>
        <v>-289448.66000000003</v>
      </c>
      <c r="AO111" s="83">
        <v>-1179.4000000000001</v>
      </c>
      <c r="AP111" s="83">
        <v>-1179.3800000000001</v>
      </c>
      <c r="AQ111" s="83">
        <v>-1179.4000000000001</v>
      </c>
      <c r="AR111" s="83">
        <v>-1179.3800000000001</v>
      </c>
      <c r="AS111" s="83">
        <v>-1179.3900000000001</v>
      </c>
      <c r="AT111" s="83">
        <v>-1179.3699999999999</v>
      </c>
      <c r="AU111" s="83">
        <v>-1179.42</v>
      </c>
      <c r="BA111" s="31">
        <f t="shared" si="123"/>
        <v>-297704.40000000008</v>
      </c>
    </row>
    <row r="112" spans="1:53" s="34" customFormat="1" ht="12" x14ac:dyDescent="0.2">
      <c r="A112" s="116"/>
      <c r="B112" s="35" t="s">
        <v>1777</v>
      </c>
      <c r="C112" s="36">
        <f t="shared" ref="C112:AU112" si="124">SUM(C110:C111)</f>
        <v>88748.650000000023</v>
      </c>
      <c r="D112" s="36">
        <f t="shared" si="124"/>
        <v>-1114.76</v>
      </c>
      <c r="E112" s="36">
        <f t="shared" si="124"/>
        <v>-1114.7800000000002</v>
      </c>
      <c r="F112" s="36">
        <f t="shared" si="124"/>
        <v>-1114.75</v>
      </c>
      <c r="G112" s="36">
        <f t="shared" si="124"/>
        <v>-1114.8</v>
      </c>
      <c r="H112" s="36">
        <f t="shared" si="124"/>
        <v>-1114.75</v>
      </c>
      <c r="I112" s="36">
        <f t="shared" si="124"/>
        <v>-1114.79</v>
      </c>
      <c r="J112" s="36">
        <f t="shared" si="124"/>
        <v>-1114.76</v>
      </c>
      <c r="K112" s="36">
        <f t="shared" si="124"/>
        <v>-1114.78</v>
      </c>
      <c r="L112" s="85">
        <f t="shared" si="124"/>
        <v>-1114.76</v>
      </c>
      <c r="M112" s="85">
        <f t="shared" si="124"/>
        <v>-1114.78</v>
      </c>
      <c r="N112" s="85">
        <f t="shared" si="124"/>
        <v>-20425.009999999998</v>
      </c>
      <c r="O112" s="85">
        <f t="shared" si="124"/>
        <v>75371.349999999977</v>
      </c>
      <c r="P112" s="85">
        <f t="shared" si="124"/>
        <v>-1114.76</v>
      </c>
      <c r="Q112" s="85">
        <f t="shared" si="124"/>
        <v>4116.7000000000007</v>
      </c>
      <c r="R112" s="85">
        <f t="shared" si="124"/>
        <v>-1144.18</v>
      </c>
      <c r="S112" s="85">
        <f t="shared" si="124"/>
        <v>-1144.1500000000001</v>
      </c>
      <c r="T112" s="85">
        <f t="shared" si="124"/>
        <v>16746.96</v>
      </c>
      <c r="U112" s="85">
        <f t="shared" si="124"/>
        <v>-1179.4100000000001</v>
      </c>
      <c r="V112" s="85">
        <f t="shared" si="124"/>
        <v>-1179.3800000000001</v>
      </c>
      <c r="W112" s="85">
        <f t="shared" si="124"/>
        <v>-1179.3800000000001</v>
      </c>
      <c r="X112" s="85">
        <f t="shared" si="124"/>
        <v>-1179.3800000000001</v>
      </c>
      <c r="Y112" s="85">
        <f t="shared" si="124"/>
        <v>-1179.4000000000001</v>
      </c>
      <c r="Z112" s="85">
        <f t="shared" si="124"/>
        <v>-1179.42</v>
      </c>
      <c r="AA112" s="85">
        <f t="shared" si="124"/>
        <v>85755.549999999988</v>
      </c>
      <c r="AB112" s="85">
        <f t="shared" si="124"/>
        <v>-1179.4000000000001</v>
      </c>
      <c r="AC112" s="85">
        <f t="shared" si="124"/>
        <v>-1179.3800000000001</v>
      </c>
      <c r="AD112" s="85">
        <f t="shared" si="124"/>
        <v>-1179.4000000000001</v>
      </c>
      <c r="AE112" s="85">
        <f t="shared" si="124"/>
        <v>-1179.3499999999999</v>
      </c>
      <c r="AF112" s="85">
        <f t="shared" si="124"/>
        <v>-1179.42</v>
      </c>
      <c r="AG112" s="85">
        <f t="shared" si="124"/>
        <v>-1179.3699999999999</v>
      </c>
      <c r="AH112" s="85">
        <f t="shared" si="124"/>
        <v>-1179.4100000000001</v>
      </c>
      <c r="AI112" s="85">
        <f t="shared" si="124"/>
        <v>-1179.3599999999999</v>
      </c>
      <c r="AJ112" s="85">
        <f t="shared" si="124"/>
        <v>-1179.4000000000001</v>
      </c>
      <c r="AK112" s="85">
        <f t="shared" si="124"/>
        <v>-1179.3800000000001</v>
      </c>
      <c r="AL112" s="85">
        <f t="shared" si="124"/>
        <v>-1179.3900000000001</v>
      </c>
      <c r="AM112" s="85">
        <f t="shared" si="124"/>
        <v>-1179.3599999999999</v>
      </c>
      <c r="AN112" s="129">
        <f t="shared" si="124"/>
        <v>71602.929999999993</v>
      </c>
      <c r="AO112" s="85">
        <f t="shared" si="124"/>
        <v>-1179.4000000000001</v>
      </c>
      <c r="AP112" s="85">
        <f t="shared" si="124"/>
        <v>-1179.3800000000001</v>
      </c>
      <c r="AQ112" s="85">
        <f t="shared" si="124"/>
        <v>-1179.4000000000001</v>
      </c>
      <c r="AR112" s="85">
        <f t="shared" si="124"/>
        <v>-1179.3800000000001</v>
      </c>
      <c r="AS112" s="85">
        <f t="shared" si="124"/>
        <v>-1179.3900000000001</v>
      </c>
      <c r="AT112" s="85">
        <f t="shared" si="124"/>
        <v>-1179.3699999999999</v>
      </c>
      <c r="AU112" s="85">
        <f t="shared" si="124"/>
        <v>-1179.42</v>
      </c>
      <c r="AV112" s="85">
        <f t="shared" ref="AV112" si="125">SUM(AV110:AV111)</f>
        <v>0</v>
      </c>
      <c r="AW112" s="85">
        <f t="shared" ref="AW112" si="126">SUM(AW110:AW111)</f>
        <v>0</v>
      </c>
      <c r="AX112" s="85">
        <f t="shared" ref="AX112" si="127">SUM(AX110:AX111)</f>
        <v>0</v>
      </c>
      <c r="AY112" s="85">
        <f t="shared" ref="AY112" si="128">SUM(AY110:AY111)</f>
        <v>0</v>
      </c>
      <c r="AZ112" s="85">
        <f t="shared" ref="AZ112" si="129">SUM(AZ110:AZ111)</f>
        <v>0</v>
      </c>
      <c r="BA112" s="129">
        <f t="shared" ref="BA112" si="130">SUM(BA110:BA111)</f>
        <v>63347.189999999944</v>
      </c>
    </row>
    <row r="113" spans="1:53" x14ac:dyDescent="0.2">
      <c r="B113" s="3" t="s">
        <v>74</v>
      </c>
      <c r="C113" s="20">
        <v>136435.63</v>
      </c>
      <c r="D113" s="20">
        <v>0</v>
      </c>
      <c r="E113" s="20">
        <v>0</v>
      </c>
      <c r="F113" s="24">
        <v>0</v>
      </c>
      <c r="G113" s="24">
        <v>0</v>
      </c>
      <c r="H113" s="20">
        <v>0</v>
      </c>
      <c r="I113" s="20">
        <v>0</v>
      </c>
      <c r="J113" s="20">
        <v>0</v>
      </c>
      <c r="K113" s="20">
        <v>1431.64</v>
      </c>
      <c r="L113" s="83">
        <v>-250.86</v>
      </c>
      <c r="M113" s="83">
        <v>-12961.16</v>
      </c>
      <c r="N113" s="83">
        <v>0</v>
      </c>
      <c r="O113" s="83">
        <v>124655.25</v>
      </c>
      <c r="P113" s="83">
        <v>0</v>
      </c>
      <c r="Q113" s="83">
        <v>27729.040000000001</v>
      </c>
      <c r="R113" s="83">
        <v>10523.82</v>
      </c>
      <c r="S113" s="83">
        <v>0</v>
      </c>
      <c r="T113" s="83">
        <v>0</v>
      </c>
      <c r="U113" s="83">
        <v>0</v>
      </c>
      <c r="V113" s="83">
        <v>-491.62</v>
      </c>
      <c r="W113" s="83">
        <v>1144.68</v>
      </c>
      <c r="X113" s="83">
        <v>-1814.75</v>
      </c>
      <c r="Y113" s="83">
        <v>919.28</v>
      </c>
      <c r="Z113" s="83">
        <v>4323.92</v>
      </c>
      <c r="AA113" s="31">
        <f t="shared" ref="AA113:AA122" si="131">SUM(O113:Z113)</f>
        <v>166989.62000000002</v>
      </c>
      <c r="AB113" s="83">
        <v>11930.58</v>
      </c>
      <c r="AC113" s="83">
        <v>0</v>
      </c>
      <c r="AD113" s="83">
        <v>34162.15</v>
      </c>
      <c r="AE113" s="83">
        <v>0</v>
      </c>
      <c r="AF113" s="83">
        <v>-5390.62</v>
      </c>
      <c r="AG113" s="83">
        <v>0</v>
      </c>
      <c r="AH113" s="83">
        <v>0</v>
      </c>
      <c r="AI113" s="83">
        <v>0</v>
      </c>
      <c r="AJ113" s="83">
        <v>0</v>
      </c>
      <c r="AK113" s="83">
        <v>-189.46</v>
      </c>
      <c r="AL113" s="83">
        <v>5623.79</v>
      </c>
      <c r="AM113" s="83">
        <v>0</v>
      </c>
      <c r="AN113" s="31">
        <f t="shared" ref="AN113:AN122" si="132">SUM(AA113:AM113)</f>
        <v>213126.06000000003</v>
      </c>
      <c r="AO113" s="83">
        <v>0</v>
      </c>
      <c r="AP113" s="83">
        <v>0</v>
      </c>
      <c r="AQ113" s="83">
        <v>743.29</v>
      </c>
      <c r="AR113" s="83">
        <v>0</v>
      </c>
      <c r="AS113" s="83">
        <v>0</v>
      </c>
      <c r="AT113" s="83">
        <v>-4073.92</v>
      </c>
      <c r="AU113" s="83">
        <v>0</v>
      </c>
      <c r="BA113" s="31">
        <f t="shared" ref="BA113:BA122" si="133">SUM(AN113:AZ113)</f>
        <v>209795.43000000002</v>
      </c>
    </row>
    <row r="114" spans="1:53" x14ac:dyDescent="0.2">
      <c r="B114" s="3" t="s">
        <v>75</v>
      </c>
      <c r="C114" s="20">
        <v>792872.27</v>
      </c>
      <c r="D114" s="20">
        <v>2340.54</v>
      </c>
      <c r="E114" s="20">
        <v>41789.699999999997</v>
      </c>
      <c r="F114" s="24">
        <v>0</v>
      </c>
      <c r="G114" s="24">
        <v>-230431.04</v>
      </c>
      <c r="H114" s="20">
        <v>-4528.68</v>
      </c>
      <c r="I114" s="20">
        <v>4501.8</v>
      </c>
      <c r="J114" s="20">
        <v>4599.43</v>
      </c>
      <c r="K114" s="20">
        <v>6649.45</v>
      </c>
      <c r="L114" s="83">
        <v>4494.92</v>
      </c>
      <c r="M114" s="83">
        <v>-6442.36</v>
      </c>
      <c r="N114" s="83">
        <v>4767.79</v>
      </c>
      <c r="O114" s="83">
        <v>624588.85</v>
      </c>
      <c r="P114" s="83">
        <v>-1552.69</v>
      </c>
      <c r="Q114" s="83">
        <v>15228.44</v>
      </c>
      <c r="R114" s="83">
        <v>29469.94</v>
      </c>
      <c r="S114" s="83">
        <v>30537.82</v>
      </c>
      <c r="T114" s="83">
        <v>9491.31</v>
      </c>
      <c r="U114" s="83">
        <v>15970.58</v>
      </c>
      <c r="V114" s="83">
        <v>19063.009999999998</v>
      </c>
      <c r="W114" s="83">
        <v>-4304.6000000000004</v>
      </c>
      <c r="X114" s="83">
        <v>6065.51</v>
      </c>
      <c r="Y114" s="83">
        <v>58776.57</v>
      </c>
      <c r="Z114" s="83">
        <v>29826.14</v>
      </c>
      <c r="AA114" s="31">
        <f t="shared" si="131"/>
        <v>833160.87999999989</v>
      </c>
      <c r="AB114" s="83">
        <v>10462.82</v>
      </c>
      <c r="AC114" s="83">
        <v>2958.18</v>
      </c>
      <c r="AD114" s="83">
        <v>5313.97</v>
      </c>
      <c r="AE114" s="83">
        <v>22714.560000000001</v>
      </c>
      <c r="AF114" s="83">
        <v>10135.06</v>
      </c>
      <c r="AG114" s="83">
        <v>169572.62</v>
      </c>
      <c r="AH114" s="83">
        <v>456.28</v>
      </c>
      <c r="AI114" s="83">
        <v>971.68</v>
      </c>
      <c r="AJ114" s="83">
        <v>0</v>
      </c>
      <c r="AK114" s="83">
        <v>-16525.259999999998</v>
      </c>
      <c r="AL114" s="83">
        <v>83603.19</v>
      </c>
      <c r="AM114" s="83">
        <v>44864.59</v>
      </c>
      <c r="AN114" s="31">
        <f t="shared" si="132"/>
        <v>1167688.5699999998</v>
      </c>
      <c r="AO114" s="83">
        <v>4886.59</v>
      </c>
      <c r="AP114" s="83">
        <v>159262.35999999999</v>
      </c>
      <c r="AQ114" s="83">
        <v>2004224.31</v>
      </c>
      <c r="AR114" s="83">
        <v>-1987300.98</v>
      </c>
      <c r="AS114" s="83">
        <v>0</v>
      </c>
      <c r="AT114" s="83">
        <v>-6287.21</v>
      </c>
      <c r="AU114" s="83">
        <v>629.19000000000005</v>
      </c>
      <c r="BA114" s="31">
        <f t="shared" si="133"/>
        <v>1343102.83</v>
      </c>
    </row>
    <row r="115" spans="1:53" x14ac:dyDescent="0.2">
      <c r="B115" s="3" t="s">
        <v>76</v>
      </c>
      <c r="C115" s="20">
        <v>409841.02</v>
      </c>
      <c r="D115" s="20">
        <v>0</v>
      </c>
      <c r="E115" s="20">
        <v>15558.8</v>
      </c>
      <c r="F115" s="24">
        <v>891.55</v>
      </c>
      <c r="G115" s="24">
        <v>15937.58</v>
      </c>
      <c r="H115" s="20">
        <v>16112.7</v>
      </c>
      <c r="I115" s="20">
        <v>8025.27</v>
      </c>
      <c r="J115" s="20">
        <v>13283.27</v>
      </c>
      <c r="K115" s="20">
        <v>16902.509999999998</v>
      </c>
      <c r="L115" s="83">
        <v>0</v>
      </c>
      <c r="M115" s="83">
        <v>-1976.42</v>
      </c>
      <c r="N115" s="83">
        <v>639.41999999999996</v>
      </c>
      <c r="O115" s="83">
        <v>502081.66</v>
      </c>
      <c r="P115" s="83">
        <v>16470.150000000001</v>
      </c>
      <c r="Q115" s="83">
        <v>533.89</v>
      </c>
      <c r="R115" s="83">
        <v>21540.23</v>
      </c>
      <c r="S115" s="83">
        <v>9741.8799999999992</v>
      </c>
      <c r="T115" s="83">
        <v>21716.98</v>
      </c>
      <c r="U115" s="83">
        <v>14462.94</v>
      </c>
      <c r="V115" s="83">
        <v>1044.9000000000001</v>
      </c>
      <c r="W115" s="83">
        <v>-1237.01</v>
      </c>
      <c r="X115" s="83">
        <v>-12057.97</v>
      </c>
      <c r="Y115" s="83">
        <v>-1072.05</v>
      </c>
      <c r="Z115" s="83">
        <v>0</v>
      </c>
      <c r="AA115" s="31">
        <f t="shared" si="131"/>
        <v>573225.6</v>
      </c>
      <c r="AB115" s="83">
        <v>7868.78</v>
      </c>
      <c r="AC115" s="83">
        <v>0</v>
      </c>
      <c r="AD115" s="83">
        <v>-16496.04</v>
      </c>
      <c r="AE115" s="83">
        <v>0</v>
      </c>
      <c r="AF115" s="83">
        <v>0</v>
      </c>
      <c r="AG115" s="83">
        <v>-14204.24</v>
      </c>
      <c r="AH115" s="83">
        <v>-181.57</v>
      </c>
      <c r="AI115" s="83">
        <v>0</v>
      </c>
      <c r="AJ115" s="83">
        <v>1691</v>
      </c>
      <c r="AK115" s="83">
        <v>-7324.49</v>
      </c>
      <c r="AL115" s="83">
        <v>9252.8799999999992</v>
      </c>
      <c r="AM115" s="83">
        <v>30451.59</v>
      </c>
      <c r="AN115" s="31">
        <f t="shared" si="132"/>
        <v>584283.51</v>
      </c>
      <c r="AO115" s="83">
        <v>7152.96</v>
      </c>
      <c r="AP115" s="83">
        <v>13850.58</v>
      </c>
      <c r="AQ115" s="83">
        <v>0</v>
      </c>
      <c r="AR115" s="83">
        <v>0</v>
      </c>
      <c r="AS115" s="83">
        <v>0</v>
      </c>
      <c r="AT115" s="83">
        <v>-1917.34</v>
      </c>
      <c r="AU115" s="83">
        <v>0</v>
      </c>
      <c r="BA115" s="31">
        <f t="shared" si="133"/>
        <v>603369.71</v>
      </c>
    </row>
    <row r="116" spans="1:53" x14ac:dyDescent="0.2">
      <c r="B116" s="3" t="s">
        <v>77</v>
      </c>
      <c r="C116" s="20">
        <v>495.24</v>
      </c>
      <c r="D116" s="20">
        <v>0</v>
      </c>
      <c r="E116" s="20">
        <v>0</v>
      </c>
      <c r="F116" s="24">
        <v>0</v>
      </c>
      <c r="G116" s="24">
        <v>0</v>
      </c>
      <c r="H116" s="20">
        <v>0</v>
      </c>
      <c r="I116" s="20">
        <v>0</v>
      </c>
      <c r="J116" s="20">
        <v>0</v>
      </c>
      <c r="K116" s="20">
        <v>0</v>
      </c>
      <c r="L116" s="83">
        <v>0</v>
      </c>
      <c r="M116" s="83">
        <v>0</v>
      </c>
      <c r="N116" s="83">
        <v>0</v>
      </c>
      <c r="O116" s="83">
        <v>495.24</v>
      </c>
      <c r="P116" s="83">
        <v>0</v>
      </c>
      <c r="Q116" s="83">
        <v>0</v>
      </c>
      <c r="R116" s="83">
        <v>0</v>
      </c>
      <c r="S116" s="83">
        <v>0</v>
      </c>
      <c r="T116" s="83">
        <v>0</v>
      </c>
      <c r="U116" s="83">
        <v>0</v>
      </c>
      <c r="V116" s="83">
        <v>0</v>
      </c>
      <c r="W116" s="83">
        <v>0</v>
      </c>
      <c r="X116" s="83">
        <v>0</v>
      </c>
      <c r="Y116" s="83">
        <v>0</v>
      </c>
      <c r="Z116" s="83">
        <v>0</v>
      </c>
      <c r="AA116" s="31">
        <f t="shared" si="131"/>
        <v>495.24</v>
      </c>
      <c r="AB116" s="83">
        <v>0</v>
      </c>
      <c r="AC116" s="83">
        <v>0</v>
      </c>
      <c r="AD116" s="83">
        <v>0</v>
      </c>
      <c r="AE116" s="83">
        <v>0</v>
      </c>
      <c r="AF116" s="83">
        <v>0</v>
      </c>
      <c r="AG116" s="83">
        <v>0</v>
      </c>
      <c r="AH116" s="83">
        <v>0</v>
      </c>
      <c r="AI116" s="83">
        <v>0</v>
      </c>
      <c r="AJ116" s="83">
        <v>0</v>
      </c>
      <c r="AK116" s="83">
        <v>0</v>
      </c>
      <c r="AL116" s="83">
        <v>-495.24</v>
      </c>
      <c r="AM116" s="83">
        <v>0</v>
      </c>
      <c r="AN116" s="31">
        <f t="shared" si="132"/>
        <v>0</v>
      </c>
      <c r="AO116" s="83">
        <v>0</v>
      </c>
      <c r="AP116" s="83">
        <v>0</v>
      </c>
      <c r="AQ116" s="83">
        <v>0</v>
      </c>
      <c r="AR116" s="83">
        <v>0</v>
      </c>
      <c r="AS116" s="83">
        <v>0</v>
      </c>
      <c r="AT116" s="83">
        <v>0</v>
      </c>
      <c r="AU116" s="83">
        <v>0</v>
      </c>
      <c r="BA116" s="31">
        <f t="shared" si="133"/>
        <v>0</v>
      </c>
    </row>
    <row r="117" spans="1:53" x14ac:dyDescent="0.2">
      <c r="B117" s="3" t="s">
        <v>78</v>
      </c>
      <c r="C117" s="20">
        <v>410018.01</v>
      </c>
      <c r="D117" s="20">
        <v>1900.72</v>
      </c>
      <c r="E117" s="20">
        <v>1661.57</v>
      </c>
      <c r="F117" s="24">
        <v>28493.83</v>
      </c>
      <c r="G117" s="24">
        <v>11787.32</v>
      </c>
      <c r="H117" s="20">
        <v>3104.95</v>
      </c>
      <c r="I117" s="20">
        <v>-951.79</v>
      </c>
      <c r="J117" s="20">
        <v>3073.14</v>
      </c>
      <c r="K117" s="20">
        <v>1832.86</v>
      </c>
      <c r="L117" s="83">
        <v>3753.88</v>
      </c>
      <c r="M117" s="83">
        <v>-133.81</v>
      </c>
      <c r="N117" s="83">
        <v>12841.07</v>
      </c>
      <c r="O117" s="83">
        <v>482192.69</v>
      </c>
      <c r="P117" s="83">
        <v>-7503.36</v>
      </c>
      <c r="Q117" s="83">
        <v>12884.83</v>
      </c>
      <c r="R117" s="83">
        <v>9703.43</v>
      </c>
      <c r="S117" s="83">
        <v>7099.04</v>
      </c>
      <c r="T117" s="83">
        <v>862.8</v>
      </c>
      <c r="U117" s="83">
        <v>11675.11</v>
      </c>
      <c r="V117" s="83">
        <v>-1655.87</v>
      </c>
      <c r="W117" s="83">
        <v>-642.99</v>
      </c>
      <c r="X117" s="83">
        <v>-2274.4699999999998</v>
      </c>
      <c r="Y117" s="83">
        <v>-5761.43</v>
      </c>
      <c r="Z117" s="83">
        <v>0</v>
      </c>
      <c r="AA117" s="31">
        <f t="shared" si="131"/>
        <v>506579.78</v>
      </c>
      <c r="AB117" s="83">
        <v>9034.1200000000008</v>
      </c>
      <c r="AC117" s="83">
        <v>6750.53</v>
      </c>
      <c r="AD117" s="83">
        <v>6672.16</v>
      </c>
      <c r="AE117" s="83">
        <v>2383.1</v>
      </c>
      <c r="AF117" s="83">
        <v>0</v>
      </c>
      <c r="AG117" s="83">
        <v>1213.45</v>
      </c>
      <c r="AH117" s="83">
        <v>-1459.72</v>
      </c>
      <c r="AI117" s="83">
        <v>9963.81</v>
      </c>
      <c r="AJ117" s="83">
        <v>0</v>
      </c>
      <c r="AK117" s="83">
        <v>-4312.83</v>
      </c>
      <c r="AL117" s="83">
        <v>1642.11</v>
      </c>
      <c r="AM117" s="83">
        <v>1148.75</v>
      </c>
      <c r="AN117" s="31">
        <f t="shared" si="132"/>
        <v>539615.26000000013</v>
      </c>
      <c r="AO117" s="83">
        <v>0</v>
      </c>
      <c r="AP117" s="83">
        <v>0</v>
      </c>
      <c r="AQ117" s="83">
        <v>1351.12</v>
      </c>
      <c r="AR117" s="83">
        <v>6178.4</v>
      </c>
      <c r="AS117" s="83">
        <v>843.14</v>
      </c>
      <c r="AT117" s="83">
        <v>2590.9</v>
      </c>
      <c r="AU117" s="83">
        <v>2775.69</v>
      </c>
      <c r="BA117" s="31">
        <f t="shared" si="133"/>
        <v>553354.51000000013</v>
      </c>
    </row>
    <row r="118" spans="1:53" x14ac:dyDescent="0.2">
      <c r="B118" s="3" t="s">
        <v>79</v>
      </c>
      <c r="C118" s="20">
        <v>-132008.15</v>
      </c>
      <c r="D118" s="20">
        <v>-278.54000000000002</v>
      </c>
      <c r="E118" s="20">
        <v>-278.5</v>
      </c>
      <c r="F118" s="24">
        <v>-277.49</v>
      </c>
      <c r="G118" s="24">
        <v>-251.45</v>
      </c>
      <c r="H118" s="20">
        <v>-251.41</v>
      </c>
      <c r="I118" s="20">
        <v>-251.44</v>
      </c>
      <c r="J118" s="20">
        <v>-176.36</v>
      </c>
      <c r="K118" s="20">
        <v>-247.95</v>
      </c>
      <c r="L118" s="83">
        <v>50.64</v>
      </c>
      <c r="M118" s="83">
        <v>12764.09</v>
      </c>
      <c r="N118" s="83">
        <v>-197.07</v>
      </c>
      <c r="O118" s="83">
        <v>-121600.7</v>
      </c>
      <c r="P118" s="83">
        <v>-197.05</v>
      </c>
      <c r="Q118" s="83">
        <v>17040.36</v>
      </c>
      <c r="R118" s="83">
        <v>-1512.14</v>
      </c>
      <c r="S118" s="83">
        <v>-1161.3399999999999</v>
      </c>
      <c r="T118" s="83">
        <v>-1161.3399999999999</v>
      </c>
      <c r="U118" s="83">
        <v>-1161.3599999999999</v>
      </c>
      <c r="V118" s="83">
        <v>-669.72</v>
      </c>
      <c r="W118" s="83">
        <v>-1180.43</v>
      </c>
      <c r="X118" s="83">
        <v>636.04</v>
      </c>
      <c r="Y118" s="83">
        <v>-565.71</v>
      </c>
      <c r="Z118" s="83">
        <v>-1125.72</v>
      </c>
      <c r="AA118" s="31">
        <f t="shared" si="131"/>
        <v>-112659.11</v>
      </c>
      <c r="AB118" s="83">
        <v>-1324.55</v>
      </c>
      <c r="AC118" s="83">
        <v>-1324.53</v>
      </c>
      <c r="AD118" s="83">
        <v>-3869.61</v>
      </c>
      <c r="AE118" s="83">
        <v>-1873.52</v>
      </c>
      <c r="AF118" s="83">
        <v>3517.19</v>
      </c>
      <c r="AG118" s="83">
        <v>-1873.5</v>
      </c>
      <c r="AH118" s="83">
        <v>-1873.45</v>
      </c>
      <c r="AI118" s="83">
        <v>-1873.52</v>
      </c>
      <c r="AJ118" s="83">
        <v>-1873.41</v>
      </c>
      <c r="AK118" s="83">
        <v>-1684.07</v>
      </c>
      <c r="AL118" s="83">
        <v>-1967.17</v>
      </c>
      <c r="AM118" s="83">
        <v>-1967.2</v>
      </c>
      <c r="AN118" s="31">
        <f t="shared" si="132"/>
        <v>-130646.45000000001</v>
      </c>
      <c r="AO118" s="83">
        <v>-1967.18</v>
      </c>
      <c r="AP118" s="83">
        <v>-1967.21</v>
      </c>
      <c r="AQ118" s="83">
        <v>-1979.56</v>
      </c>
      <c r="AR118" s="83">
        <v>-1979.65</v>
      </c>
      <c r="AS118" s="83">
        <v>-1979.54</v>
      </c>
      <c r="AT118" s="83">
        <v>2094.31</v>
      </c>
      <c r="AU118" s="83">
        <v>-1979.56</v>
      </c>
      <c r="BA118" s="31">
        <f t="shared" si="133"/>
        <v>-140404.84</v>
      </c>
    </row>
    <row r="119" spans="1:53" x14ac:dyDescent="0.2">
      <c r="B119" s="3" t="s">
        <v>80</v>
      </c>
      <c r="C119" s="20">
        <v>-486994.46</v>
      </c>
      <c r="D119" s="20">
        <v>-5974.94</v>
      </c>
      <c r="E119" s="20">
        <v>-6472.44</v>
      </c>
      <c r="F119" s="24">
        <v>-6472.51</v>
      </c>
      <c r="G119" s="24">
        <v>147936.59</v>
      </c>
      <c r="H119" s="20">
        <v>-4517.91</v>
      </c>
      <c r="I119" s="20">
        <v>-4993.6099999999997</v>
      </c>
      <c r="J119" s="20">
        <v>-4804.33</v>
      </c>
      <c r="K119" s="20">
        <v>-4907.41</v>
      </c>
      <c r="L119" s="83">
        <v>-3738.06</v>
      </c>
      <c r="M119" s="83">
        <v>-259.39999999999998</v>
      </c>
      <c r="N119" s="83">
        <v>-5072.53</v>
      </c>
      <c r="O119" s="83">
        <v>-390744.52</v>
      </c>
      <c r="P119" s="83">
        <v>-2641.25</v>
      </c>
      <c r="Q119" s="83">
        <v>-4601.5200000000004</v>
      </c>
      <c r="R119" s="83">
        <v>-5215.74</v>
      </c>
      <c r="S119" s="83">
        <v>-6291.91</v>
      </c>
      <c r="T119" s="83">
        <v>-5234.96</v>
      </c>
      <c r="U119" s="83">
        <v>-5390.53</v>
      </c>
      <c r="V119" s="83">
        <v>-5286.19</v>
      </c>
      <c r="W119" s="83">
        <v>3532.94</v>
      </c>
      <c r="X119" s="83">
        <v>-5634.48</v>
      </c>
      <c r="Y119" s="83">
        <v>-5772.03</v>
      </c>
      <c r="Z119" s="83">
        <v>-6242.57</v>
      </c>
      <c r="AA119" s="31">
        <f t="shared" si="131"/>
        <v>-439522.76000000007</v>
      </c>
      <c r="AB119" s="83">
        <v>-6732.16</v>
      </c>
      <c r="AC119" s="83">
        <v>-6651.06</v>
      </c>
      <c r="AD119" s="83">
        <v>-6683.52</v>
      </c>
      <c r="AE119" s="83">
        <v>-6920.14</v>
      </c>
      <c r="AF119" s="83">
        <v>-7023.73</v>
      </c>
      <c r="AG119" s="83">
        <v>-8776.77</v>
      </c>
      <c r="AH119" s="83">
        <v>-8595.99</v>
      </c>
      <c r="AI119" s="83">
        <v>-8821.7000000000007</v>
      </c>
      <c r="AJ119" s="83">
        <v>-8802.23</v>
      </c>
      <c r="AK119" s="83">
        <v>8196.08</v>
      </c>
      <c r="AL119" s="83">
        <v>-618.55999999999995</v>
      </c>
      <c r="AM119" s="83">
        <v>-10033.98</v>
      </c>
      <c r="AN119" s="31">
        <f t="shared" si="132"/>
        <v>-510986.52</v>
      </c>
      <c r="AO119" s="83">
        <v>-10068.370000000001</v>
      </c>
      <c r="AP119" s="83">
        <v>-11702.11</v>
      </c>
      <c r="AQ119" s="83">
        <v>-280944.77</v>
      </c>
      <c r="AR119" s="83">
        <v>257449.12</v>
      </c>
      <c r="AS119" s="83">
        <v>-11808.96</v>
      </c>
      <c r="AT119" s="83">
        <v>-5453.48</v>
      </c>
      <c r="AU119" s="83">
        <v>-10998.19</v>
      </c>
      <c r="BA119" s="31">
        <f t="shared" si="133"/>
        <v>-584513.27999999991</v>
      </c>
    </row>
    <row r="120" spans="1:53" x14ac:dyDescent="0.2">
      <c r="B120" s="3" t="s">
        <v>81</v>
      </c>
      <c r="C120" s="20">
        <v>-304759.42</v>
      </c>
      <c r="D120" s="20">
        <v>-2749.79</v>
      </c>
      <c r="E120" s="20">
        <v>-3117.36</v>
      </c>
      <c r="F120" s="24">
        <v>-3025.98</v>
      </c>
      <c r="G120" s="24">
        <v>15392.17</v>
      </c>
      <c r="H120" s="20">
        <v>-4121.67</v>
      </c>
      <c r="I120" s="20">
        <v>-4245.75</v>
      </c>
      <c r="J120" s="20">
        <v>-4496</v>
      </c>
      <c r="K120" s="20">
        <v>-4885.32</v>
      </c>
      <c r="L120" s="83">
        <v>-4577.13</v>
      </c>
      <c r="M120" s="83">
        <v>-2236.75</v>
      </c>
      <c r="N120" s="83">
        <v>-4586.3</v>
      </c>
      <c r="O120" s="83">
        <v>-332118.3</v>
      </c>
      <c r="P120" s="83">
        <v>2875.33</v>
      </c>
      <c r="Q120" s="83">
        <v>-5072.03</v>
      </c>
      <c r="R120" s="83">
        <v>-6140.58</v>
      </c>
      <c r="S120" s="83">
        <v>-6012.79</v>
      </c>
      <c r="T120" s="83">
        <v>-5866.03</v>
      </c>
      <c r="U120" s="83">
        <v>-6107.15</v>
      </c>
      <c r="V120" s="83">
        <v>-6007.35</v>
      </c>
      <c r="W120" s="83">
        <v>-3582.57</v>
      </c>
      <c r="X120" s="83">
        <v>14286.06</v>
      </c>
      <c r="Y120" s="83">
        <v>-4794.53</v>
      </c>
      <c r="Z120" s="83">
        <v>-5753.74</v>
      </c>
      <c r="AA120" s="31">
        <f t="shared" si="131"/>
        <v>-364293.68000000005</v>
      </c>
      <c r="AB120" s="83">
        <v>-5853.66</v>
      </c>
      <c r="AC120" s="83">
        <v>-5689.57</v>
      </c>
      <c r="AD120" s="83">
        <v>-3284.54</v>
      </c>
      <c r="AE120" s="83">
        <v>-5281.05</v>
      </c>
      <c r="AF120" s="83">
        <v>-5280.92</v>
      </c>
      <c r="AG120" s="83">
        <v>11387.55</v>
      </c>
      <c r="AH120" s="83">
        <v>-5530.17</v>
      </c>
      <c r="AI120" s="83">
        <v>-5714.78</v>
      </c>
      <c r="AJ120" s="83">
        <v>-5680.97</v>
      </c>
      <c r="AK120" s="83">
        <v>5123.71</v>
      </c>
      <c r="AL120" s="83">
        <v>-5296.87</v>
      </c>
      <c r="AM120" s="83">
        <v>-5804.25</v>
      </c>
      <c r="AN120" s="31">
        <f t="shared" si="132"/>
        <v>-401199.19999999995</v>
      </c>
      <c r="AO120" s="83">
        <v>-5923.49</v>
      </c>
      <c r="AP120" s="83">
        <v>-6154.33</v>
      </c>
      <c r="AQ120" s="83">
        <v>-6154.24</v>
      </c>
      <c r="AR120" s="83">
        <v>-6066.78</v>
      </c>
      <c r="AS120" s="83">
        <v>-6066.52</v>
      </c>
      <c r="AT120" s="83">
        <v>-4550.49</v>
      </c>
      <c r="AU120" s="83">
        <v>-6034.6</v>
      </c>
      <c r="BA120" s="31">
        <f t="shared" si="133"/>
        <v>-442149.64999999997</v>
      </c>
    </row>
    <row r="121" spans="1:53" x14ac:dyDescent="0.2">
      <c r="B121" s="3" t="s">
        <v>82</v>
      </c>
      <c r="C121" s="20">
        <v>-495.24</v>
      </c>
      <c r="D121" s="20">
        <v>0</v>
      </c>
      <c r="E121" s="20">
        <v>0</v>
      </c>
      <c r="F121" s="24">
        <v>0</v>
      </c>
      <c r="G121" s="24">
        <v>0</v>
      </c>
      <c r="H121" s="20">
        <v>0</v>
      </c>
      <c r="I121" s="20">
        <v>0</v>
      </c>
      <c r="J121" s="20">
        <v>0</v>
      </c>
      <c r="K121" s="20">
        <v>0</v>
      </c>
      <c r="L121" s="83">
        <v>0</v>
      </c>
      <c r="M121" s="83">
        <v>0</v>
      </c>
      <c r="N121" s="83">
        <v>0</v>
      </c>
      <c r="O121" s="83">
        <v>-495.24</v>
      </c>
      <c r="P121" s="83">
        <v>0</v>
      </c>
      <c r="Q121" s="83">
        <v>0</v>
      </c>
      <c r="R121" s="83">
        <v>0</v>
      </c>
      <c r="S121" s="83">
        <v>0</v>
      </c>
      <c r="T121" s="83">
        <v>0</v>
      </c>
      <c r="U121" s="83">
        <v>0</v>
      </c>
      <c r="V121" s="83">
        <v>0</v>
      </c>
      <c r="W121" s="83">
        <v>0</v>
      </c>
      <c r="X121" s="83">
        <v>0</v>
      </c>
      <c r="Y121" s="83">
        <v>0</v>
      </c>
      <c r="Z121" s="83">
        <v>0</v>
      </c>
      <c r="AA121" s="31">
        <f t="shared" si="131"/>
        <v>-495.24</v>
      </c>
      <c r="AB121" s="83">
        <v>0</v>
      </c>
      <c r="AC121" s="83">
        <v>0</v>
      </c>
      <c r="AD121" s="83">
        <v>0</v>
      </c>
      <c r="AE121" s="83">
        <v>0</v>
      </c>
      <c r="AF121" s="83">
        <v>0</v>
      </c>
      <c r="AG121" s="83">
        <v>0</v>
      </c>
      <c r="AH121" s="83">
        <v>0</v>
      </c>
      <c r="AI121" s="83">
        <v>0</v>
      </c>
      <c r="AJ121" s="83">
        <v>0</v>
      </c>
      <c r="AK121" s="83">
        <v>0</v>
      </c>
      <c r="AL121" s="83">
        <v>495.24</v>
      </c>
      <c r="AM121" s="83">
        <v>0</v>
      </c>
      <c r="AN121" s="31">
        <f t="shared" si="132"/>
        <v>0</v>
      </c>
      <c r="AO121" s="83">
        <v>0</v>
      </c>
      <c r="AP121" s="83">
        <v>0</v>
      </c>
      <c r="AQ121" s="83">
        <v>0</v>
      </c>
      <c r="AR121" s="83">
        <v>0</v>
      </c>
      <c r="AS121" s="83">
        <v>0</v>
      </c>
      <c r="AT121" s="83">
        <v>0</v>
      </c>
      <c r="AU121" s="83">
        <v>0</v>
      </c>
      <c r="BA121" s="31">
        <f t="shared" si="133"/>
        <v>0</v>
      </c>
    </row>
    <row r="122" spans="1:53" x14ac:dyDescent="0.2">
      <c r="B122" s="3" t="s">
        <v>83</v>
      </c>
      <c r="C122" s="20">
        <v>-263021.82</v>
      </c>
      <c r="D122" s="20">
        <v>-3434.54</v>
      </c>
      <c r="E122" s="20">
        <v>-3482.68</v>
      </c>
      <c r="F122" s="24">
        <v>-4026.69</v>
      </c>
      <c r="G122" s="24">
        <v>-5997.3</v>
      </c>
      <c r="H122" s="20">
        <v>-4361.6400000000003</v>
      </c>
      <c r="I122" s="20">
        <v>-1954.46</v>
      </c>
      <c r="J122" s="20">
        <v>-4421.41</v>
      </c>
      <c r="K122" s="20">
        <v>-4233.41</v>
      </c>
      <c r="L122" s="83">
        <v>1514.66</v>
      </c>
      <c r="M122" s="83">
        <v>4226.13</v>
      </c>
      <c r="N122" s="83">
        <v>-5492.12</v>
      </c>
      <c r="O122" s="83">
        <v>-299501.93</v>
      </c>
      <c r="P122" s="83">
        <v>2686.82</v>
      </c>
      <c r="Q122" s="83">
        <v>-5227.74</v>
      </c>
      <c r="R122" s="83">
        <v>-5269.26</v>
      </c>
      <c r="S122" s="83">
        <v>-5169.4399999999996</v>
      </c>
      <c r="T122" s="83">
        <v>-5228.68</v>
      </c>
      <c r="U122" s="83">
        <v>-5458.82</v>
      </c>
      <c r="V122" s="83">
        <v>-3655.53</v>
      </c>
      <c r="W122" s="83">
        <v>-1677.07</v>
      </c>
      <c r="X122" s="83">
        <v>6874</v>
      </c>
      <c r="Y122" s="83">
        <v>219.28</v>
      </c>
      <c r="Z122" s="83">
        <v>-5485.1</v>
      </c>
      <c r="AA122" s="31">
        <f t="shared" si="131"/>
        <v>-326893.46999999997</v>
      </c>
      <c r="AB122" s="83">
        <v>-5599.17</v>
      </c>
      <c r="AC122" s="83">
        <v>-5585.11</v>
      </c>
      <c r="AD122" s="83">
        <v>-5606.83</v>
      </c>
      <c r="AE122" s="83">
        <v>-5567.78</v>
      </c>
      <c r="AF122" s="83">
        <v>-5647.84</v>
      </c>
      <c r="AG122" s="83">
        <v>-5667.95</v>
      </c>
      <c r="AH122" s="83">
        <v>-3548.85</v>
      </c>
      <c r="AI122" s="83">
        <v>-5836.03</v>
      </c>
      <c r="AJ122" s="83">
        <v>-5728.93</v>
      </c>
      <c r="AK122" s="83">
        <v>3903.12</v>
      </c>
      <c r="AL122" s="83">
        <v>-5819.57</v>
      </c>
      <c r="AM122" s="83">
        <v>-5289.08</v>
      </c>
      <c r="AN122" s="31">
        <f t="shared" si="132"/>
        <v>-382887.49000000005</v>
      </c>
      <c r="AO122" s="83">
        <v>-5871</v>
      </c>
      <c r="AP122" s="83">
        <v>-5871.11</v>
      </c>
      <c r="AQ122" s="83">
        <v>-5893.61</v>
      </c>
      <c r="AR122" s="83">
        <v>-5631.3</v>
      </c>
      <c r="AS122" s="83">
        <v>-5975.13</v>
      </c>
      <c r="AT122" s="83">
        <v>-2227.04</v>
      </c>
      <c r="AU122" s="83">
        <v>-6119.94</v>
      </c>
      <c r="BA122" s="31">
        <f t="shared" si="133"/>
        <v>-420476.62</v>
      </c>
    </row>
    <row r="123" spans="1:53" s="34" customFormat="1" ht="12" x14ac:dyDescent="0.2">
      <c r="A123" s="116"/>
      <c r="B123" s="35" t="s">
        <v>1778</v>
      </c>
      <c r="C123" s="36">
        <f t="shared" ref="C123:AU123" si="134">SUM(C113:C122)</f>
        <v>562383.08000000007</v>
      </c>
      <c r="D123" s="36">
        <f t="shared" si="134"/>
        <v>-8196.5499999999993</v>
      </c>
      <c r="E123" s="36">
        <f t="shared" si="134"/>
        <v>45659.09</v>
      </c>
      <c r="F123" s="36">
        <f t="shared" si="134"/>
        <v>15582.709999999997</v>
      </c>
      <c r="G123" s="36">
        <f t="shared" si="134"/>
        <v>-45626.130000000034</v>
      </c>
      <c r="H123" s="36">
        <f t="shared" si="134"/>
        <v>1436.3400000000011</v>
      </c>
      <c r="I123" s="36">
        <f t="shared" si="134"/>
        <v>130.01999999999862</v>
      </c>
      <c r="J123" s="36">
        <f t="shared" si="134"/>
        <v>7057.74</v>
      </c>
      <c r="K123" s="36">
        <f t="shared" si="134"/>
        <v>12542.369999999999</v>
      </c>
      <c r="L123" s="85">
        <f t="shared" si="134"/>
        <v>1248.0500000000004</v>
      </c>
      <c r="M123" s="85">
        <f t="shared" si="134"/>
        <v>-7019.680000000003</v>
      </c>
      <c r="N123" s="85">
        <f t="shared" si="134"/>
        <v>2900.2600000000011</v>
      </c>
      <c r="O123" s="85">
        <f t="shared" si="134"/>
        <v>589553</v>
      </c>
      <c r="P123" s="85">
        <f t="shared" si="134"/>
        <v>10137.950000000001</v>
      </c>
      <c r="Q123" s="85">
        <f t="shared" si="134"/>
        <v>58515.27</v>
      </c>
      <c r="R123" s="85">
        <f t="shared" si="134"/>
        <v>53099.699999999983</v>
      </c>
      <c r="S123" s="85">
        <f t="shared" si="134"/>
        <v>28743.260000000006</v>
      </c>
      <c r="T123" s="85">
        <f t="shared" si="134"/>
        <v>14580.080000000002</v>
      </c>
      <c r="U123" s="85">
        <f t="shared" si="134"/>
        <v>23990.770000000004</v>
      </c>
      <c r="V123" s="85">
        <f t="shared" si="134"/>
        <v>2341.6300000000015</v>
      </c>
      <c r="W123" s="85">
        <f t="shared" si="134"/>
        <v>-7947.05</v>
      </c>
      <c r="X123" s="85">
        <f t="shared" si="134"/>
        <v>6079.9400000000005</v>
      </c>
      <c r="Y123" s="85">
        <f t="shared" si="134"/>
        <v>41949.38</v>
      </c>
      <c r="Z123" s="85">
        <f t="shared" si="134"/>
        <v>15542.929999999998</v>
      </c>
      <c r="AA123" s="85">
        <f t="shared" si="134"/>
        <v>836586.85999999987</v>
      </c>
      <c r="AB123" s="85">
        <f t="shared" si="134"/>
        <v>19786.760000000002</v>
      </c>
      <c r="AC123" s="85">
        <f t="shared" si="134"/>
        <v>-9541.5600000000013</v>
      </c>
      <c r="AD123" s="85">
        <f t="shared" si="134"/>
        <v>10207.74</v>
      </c>
      <c r="AE123" s="85">
        <f t="shared" si="134"/>
        <v>5455.170000000001</v>
      </c>
      <c r="AF123" s="85">
        <f t="shared" si="134"/>
        <v>-9690.86</v>
      </c>
      <c r="AG123" s="85">
        <f t="shared" si="134"/>
        <v>151651.16</v>
      </c>
      <c r="AH123" s="85">
        <f t="shared" si="134"/>
        <v>-20733.47</v>
      </c>
      <c r="AI123" s="85">
        <f t="shared" si="134"/>
        <v>-11310.54</v>
      </c>
      <c r="AJ123" s="85">
        <f t="shared" si="134"/>
        <v>-20394.54</v>
      </c>
      <c r="AK123" s="85">
        <f t="shared" si="134"/>
        <v>-12813.2</v>
      </c>
      <c r="AL123" s="85">
        <f t="shared" si="134"/>
        <v>86419.800000000017</v>
      </c>
      <c r="AM123" s="85">
        <f t="shared" si="134"/>
        <v>53370.42</v>
      </c>
      <c r="AN123" s="129">
        <f t="shared" si="134"/>
        <v>1078993.7399999998</v>
      </c>
      <c r="AO123" s="85">
        <f t="shared" si="134"/>
        <v>-11790.490000000002</v>
      </c>
      <c r="AP123" s="85">
        <f t="shared" si="134"/>
        <v>147418.18000000002</v>
      </c>
      <c r="AQ123" s="85">
        <f t="shared" si="134"/>
        <v>1711346.54</v>
      </c>
      <c r="AR123" s="85">
        <f t="shared" si="134"/>
        <v>-1737351.19</v>
      </c>
      <c r="AS123" s="85">
        <f t="shared" si="134"/>
        <v>-24987.01</v>
      </c>
      <c r="AT123" s="85">
        <f t="shared" si="134"/>
        <v>-19824.270000000004</v>
      </c>
      <c r="AU123" s="85">
        <f t="shared" si="134"/>
        <v>-21727.41</v>
      </c>
      <c r="AV123" s="85">
        <f t="shared" ref="AV123" si="135">SUM(AV113:AV122)</f>
        <v>0</v>
      </c>
      <c r="AW123" s="85">
        <f t="shared" ref="AW123" si="136">SUM(AW113:AW122)</f>
        <v>0</v>
      </c>
      <c r="AX123" s="85">
        <f t="shared" ref="AX123" si="137">SUM(AX113:AX122)</f>
        <v>0</v>
      </c>
      <c r="AY123" s="85">
        <f t="shared" ref="AY123" si="138">SUM(AY113:AY122)</f>
        <v>0</v>
      </c>
      <c r="AZ123" s="85">
        <f t="shared" ref="AZ123" si="139">SUM(AZ113:AZ122)</f>
        <v>0</v>
      </c>
      <c r="BA123" s="129">
        <f t="shared" ref="BA123" si="140">SUM(BA113:BA122)</f>
        <v>1122078.0900000003</v>
      </c>
    </row>
    <row r="124" spans="1:53" x14ac:dyDescent="0.2">
      <c r="B124" s="3" t="s">
        <v>85</v>
      </c>
      <c r="C124" s="20">
        <v>19836670.899999999</v>
      </c>
      <c r="D124" s="20">
        <v>-239660.17</v>
      </c>
      <c r="E124" s="20">
        <v>4142299.04</v>
      </c>
      <c r="F124" s="24">
        <v>20106.77</v>
      </c>
      <c r="G124" s="24">
        <v>-839562.63</v>
      </c>
      <c r="H124" s="20">
        <v>1077338.8700000001</v>
      </c>
      <c r="I124" s="20">
        <v>795480.48</v>
      </c>
      <c r="J124" s="20">
        <v>161531.89000000001</v>
      </c>
      <c r="K124" s="20">
        <v>174444.46</v>
      </c>
      <c r="L124" s="83">
        <v>89213.3</v>
      </c>
      <c r="M124" s="83">
        <v>-756471.57</v>
      </c>
      <c r="N124" s="83">
        <v>-3135987.83</v>
      </c>
      <c r="O124" s="83">
        <v>21353319.489999998</v>
      </c>
      <c r="P124" s="83">
        <v>221248.07</v>
      </c>
      <c r="Q124" s="83">
        <v>386545.3</v>
      </c>
      <c r="R124" s="83">
        <v>217718.26</v>
      </c>
      <c r="S124" s="83">
        <v>-354229.73</v>
      </c>
      <c r="T124" s="83">
        <v>376657.32</v>
      </c>
      <c r="U124" s="83">
        <v>65844.53</v>
      </c>
      <c r="V124" s="83">
        <v>1889180.04</v>
      </c>
      <c r="W124" s="83">
        <v>1033291.76</v>
      </c>
      <c r="X124" s="83">
        <v>-12538.42</v>
      </c>
      <c r="Y124" s="83">
        <v>-257183.18</v>
      </c>
      <c r="Z124" s="83">
        <v>-57644.480000000003</v>
      </c>
      <c r="AA124" s="31">
        <f>SUM(O124:Z124)</f>
        <v>24862208.960000001</v>
      </c>
      <c r="AB124" s="83">
        <v>413093.77</v>
      </c>
      <c r="AC124" s="83">
        <v>106800.8</v>
      </c>
      <c r="AD124" s="83">
        <v>60688.63</v>
      </c>
      <c r="AE124" s="83">
        <v>-737671.34</v>
      </c>
      <c r="AF124" s="83">
        <v>158830.47</v>
      </c>
      <c r="AG124" s="83">
        <v>-1228271.53</v>
      </c>
      <c r="AH124" s="83">
        <v>349376.48</v>
      </c>
      <c r="AI124" s="83">
        <v>-21740.37</v>
      </c>
      <c r="AJ124" s="83">
        <v>75720.759999999995</v>
      </c>
      <c r="AK124" s="83">
        <v>196990.73</v>
      </c>
      <c r="AL124" s="83">
        <v>-161466.42000000001</v>
      </c>
      <c r="AM124" s="83">
        <v>-147972.44</v>
      </c>
      <c r="AN124" s="31">
        <f>SUM(AA124:AM124)</f>
        <v>23926588.499999996</v>
      </c>
      <c r="AO124" s="83">
        <v>-205074.2</v>
      </c>
      <c r="AP124" s="83">
        <v>68068.429999999993</v>
      </c>
      <c r="AQ124" s="83">
        <v>730376.58</v>
      </c>
      <c r="AR124" s="83">
        <v>2104680.7000000002</v>
      </c>
      <c r="AS124" s="83">
        <v>378953.17</v>
      </c>
      <c r="AT124" s="83">
        <v>-220138.48</v>
      </c>
      <c r="AU124" s="83">
        <v>138312.93</v>
      </c>
      <c r="BA124" s="31">
        <f t="shared" ref="BA124:BA125" si="141">SUM(AN124:AZ124)</f>
        <v>26921767.629999995</v>
      </c>
    </row>
    <row r="125" spans="1:53" x14ac:dyDescent="0.2">
      <c r="B125" s="3" t="s">
        <v>86</v>
      </c>
      <c r="C125" s="20">
        <v>-7997130.0800000001</v>
      </c>
      <c r="D125" s="20">
        <v>-34467.199999999997</v>
      </c>
      <c r="E125" s="20">
        <v>-319201.74</v>
      </c>
      <c r="F125" s="24">
        <v>-313116.51</v>
      </c>
      <c r="G125" s="24">
        <v>476633.5</v>
      </c>
      <c r="H125" s="20">
        <v>-73967.44</v>
      </c>
      <c r="I125" s="20">
        <v>-224501.55</v>
      </c>
      <c r="J125" s="20">
        <v>-341599.38</v>
      </c>
      <c r="K125" s="20">
        <v>-333359.24</v>
      </c>
      <c r="L125" s="83">
        <v>-292142.21000000002</v>
      </c>
      <c r="M125" s="83">
        <v>-18188.759999999998</v>
      </c>
      <c r="N125" s="83">
        <v>2341251.73</v>
      </c>
      <c r="O125" s="83">
        <v>-7365921.4900000002</v>
      </c>
      <c r="P125" s="83">
        <v>-215203.68</v>
      </c>
      <c r="Q125" s="83">
        <v>-214738.43</v>
      </c>
      <c r="R125" s="83">
        <v>-311026.71000000002</v>
      </c>
      <c r="S125" s="83">
        <v>-4908.26</v>
      </c>
      <c r="T125" s="83">
        <v>-287919.09999999998</v>
      </c>
      <c r="U125" s="83">
        <v>-208040.85</v>
      </c>
      <c r="V125" s="83">
        <v>-856452.02</v>
      </c>
      <c r="W125" s="83">
        <v>-367191.9</v>
      </c>
      <c r="X125" s="83">
        <v>-307759.14</v>
      </c>
      <c r="Y125" s="83">
        <v>12989.15</v>
      </c>
      <c r="Z125" s="83">
        <v>-199948.62</v>
      </c>
      <c r="AA125" s="31">
        <f>SUM(O125:Z125)</f>
        <v>-10326121.049999999</v>
      </c>
      <c r="AB125" s="83">
        <v>-374170.86</v>
      </c>
      <c r="AC125" s="83">
        <v>-377061.65</v>
      </c>
      <c r="AD125" s="83">
        <v>-378644.46</v>
      </c>
      <c r="AE125" s="83">
        <v>-2429.25</v>
      </c>
      <c r="AF125" s="83">
        <v>-371523.63</v>
      </c>
      <c r="AG125" s="83">
        <v>774517.25</v>
      </c>
      <c r="AH125" s="83">
        <v>-441772.45</v>
      </c>
      <c r="AI125" s="83">
        <v>-238637.42</v>
      </c>
      <c r="AJ125" s="83">
        <v>-361848.67</v>
      </c>
      <c r="AK125" s="83">
        <v>-369142.02</v>
      </c>
      <c r="AL125" s="83">
        <v>-209844.43</v>
      </c>
      <c r="AM125" s="83">
        <v>-116759.8</v>
      </c>
      <c r="AN125" s="31">
        <f>SUM(AA125:AM125)</f>
        <v>-12793438.439999999</v>
      </c>
      <c r="AO125" s="83">
        <v>-178266.64</v>
      </c>
      <c r="AP125" s="83">
        <v>-365980.44</v>
      </c>
      <c r="AQ125" s="83">
        <v>-457971.65</v>
      </c>
      <c r="AR125" s="83">
        <v>-503958.16</v>
      </c>
      <c r="AS125" s="83">
        <v>-422876.41</v>
      </c>
      <c r="AT125" s="83">
        <v>-129801.42</v>
      </c>
      <c r="AU125" s="83">
        <v>-426922.22</v>
      </c>
      <c r="BA125" s="31">
        <f t="shared" si="141"/>
        <v>-15279215.380000001</v>
      </c>
    </row>
    <row r="126" spans="1:53" s="34" customFormat="1" ht="12" x14ac:dyDescent="0.2">
      <c r="A126" s="116"/>
      <c r="B126" s="35" t="s">
        <v>1779</v>
      </c>
      <c r="C126" s="36">
        <f t="shared" ref="C126:AU126" si="142">SUM(C124:C125)</f>
        <v>11839540.819999998</v>
      </c>
      <c r="D126" s="36">
        <f t="shared" si="142"/>
        <v>-274127.37</v>
      </c>
      <c r="E126" s="36">
        <f t="shared" si="142"/>
        <v>3823097.3</v>
      </c>
      <c r="F126" s="36">
        <f t="shared" si="142"/>
        <v>-293009.74</v>
      </c>
      <c r="G126" s="36">
        <f t="shared" si="142"/>
        <v>-362929.13</v>
      </c>
      <c r="H126" s="36">
        <f t="shared" si="142"/>
        <v>1003371.4300000002</v>
      </c>
      <c r="I126" s="36">
        <f t="shared" si="142"/>
        <v>570978.92999999993</v>
      </c>
      <c r="J126" s="36">
        <f t="shared" si="142"/>
        <v>-180067.49</v>
      </c>
      <c r="K126" s="36">
        <f t="shared" si="142"/>
        <v>-158914.78</v>
      </c>
      <c r="L126" s="85">
        <f t="shared" si="142"/>
        <v>-202928.91000000003</v>
      </c>
      <c r="M126" s="85">
        <f t="shared" si="142"/>
        <v>-774660.33</v>
      </c>
      <c r="N126" s="85">
        <f t="shared" si="142"/>
        <v>-794736.10000000009</v>
      </c>
      <c r="O126" s="85">
        <f t="shared" si="142"/>
        <v>13987397.999999998</v>
      </c>
      <c r="P126" s="85">
        <f t="shared" si="142"/>
        <v>6044.390000000014</v>
      </c>
      <c r="Q126" s="85">
        <f t="shared" si="142"/>
        <v>171806.87</v>
      </c>
      <c r="R126" s="85">
        <f t="shared" si="142"/>
        <v>-93308.450000000012</v>
      </c>
      <c r="S126" s="85">
        <f t="shared" si="142"/>
        <v>-359137.99</v>
      </c>
      <c r="T126" s="85">
        <f t="shared" si="142"/>
        <v>88738.22000000003</v>
      </c>
      <c r="U126" s="85">
        <f t="shared" si="142"/>
        <v>-142196.32</v>
      </c>
      <c r="V126" s="85">
        <f t="shared" si="142"/>
        <v>1032728.02</v>
      </c>
      <c r="W126" s="85">
        <f t="shared" si="142"/>
        <v>666099.86</v>
      </c>
      <c r="X126" s="85">
        <f t="shared" si="142"/>
        <v>-320297.56</v>
      </c>
      <c r="Y126" s="85">
        <f t="shared" si="142"/>
        <v>-244194.03</v>
      </c>
      <c r="Z126" s="85">
        <f t="shared" si="142"/>
        <v>-257593.1</v>
      </c>
      <c r="AA126" s="85">
        <f t="shared" si="142"/>
        <v>14536087.910000002</v>
      </c>
      <c r="AB126" s="85">
        <f t="shared" si="142"/>
        <v>38922.910000000033</v>
      </c>
      <c r="AC126" s="85">
        <f t="shared" si="142"/>
        <v>-270260.85000000003</v>
      </c>
      <c r="AD126" s="85">
        <f t="shared" si="142"/>
        <v>-317955.83</v>
      </c>
      <c r="AE126" s="85">
        <f t="shared" si="142"/>
        <v>-740100.59</v>
      </c>
      <c r="AF126" s="85">
        <f t="shared" si="142"/>
        <v>-212693.16</v>
      </c>
      <c r="AG126" s="85">
        <f t="shared" si="142"/>
        <v>-453754.28</v>
      </c>
      <c r="AH126" s="85">
        <f t="shared" si="142"/>
        <v>-92395.97000000003</v>
      </c>
      <c r="AI126" s="85">
        <f t="shared" si="142"/>
        <v>-260377.79</v>
      </c>
      <c r="AJ126" s="85">
        <f t="shared" si="142"/>
        <v>-286127.90999999997</v>
      </c>
      <c r="AK126" s="85">
        <f t="shared" si="142"/>
        <v>-172151.29</v>
      </c>
      <c r="AL126" s="85">
        <f t="shared" si="142"/>
        <v>-371310.85</v>
      </c>
      <c r="AM126" s="85">
        <f t="shared" si="142"/>
        <v>-264732.24</v>
      </c>
      <c r="AN126" s="129">
        <f t="shared" si="142"/>
        <v>11133150.059999997</v>
      </c>
      <c r="AO126" s="85">
        <f t="shared" si="142"/>
        <v>-383340.84</v>
      </c>
      <c r="AP126" s="85">
        <f t="shared" si="142"/>
        <v>-297912.01</v>
      </c>
      <c r="AQ126" s="85">
        <f t="shared" si="142"/>
        <v>272404.92999999993</v>
      </c>
      <c r="AR126" s="85">
        <f t="shared" si="142"/>
        <v>1600722.5400000003</v>
      </c>
      <c r="AS126" s="85">
        <f t="shared" si="142"/>
        <v>-43923.239999999991</v>
      </c>
      <c r="AT126" s="85">
        <f t="shared" si="142"/>
        <v>-349939.9</v>
      </c>
      <c r="AU126" s="85">
        <f t="shared" si="142"/>
        <v>-288609.28999999998</v>
      </c>
      <c r="AV126" s="85">
        <f t="shared" ref="AV126" si="143">SUM(AV124:AV125)</f>
        <v>0</v>
      </c>
      <c r="AW126" s="85">
        <f t="shared" ref="AW126" si="144">SUM(AW124:AW125)</f>
        <v>0</v>
      </c>
      <c r="AX126" s="85">
        <f t="shared" ref="AX126" si="145">SUM(AX124:AX125)</f>
        <v>0</v>
      </c>
      <c r="AY126" s="85">
        <f t="shared" ref="AY126" si="146">SUM(AY124:AY125)</f>
        <v>0</v>
      </c>
      <c r="AZ126" s="85">
        <f t="shared" ref="AZ126" si="147">SUM(AZ124:AZ125)</f>
        <v>0</v>
      </c>
      <c r="BA126" s="129">
        <f t="shared" ref="BA126" si="148">SUM(BA124:BA125)</f>
        <v>11642552.249999994</v>
      </c>
    </row>
    <row r="127" spans="1:53" x14ac:dyDescent="0.2">
      <c r="B127" s="3" t="s">
        <v>88</v>
      </c>
      <c r="C127" s="20">
        <v>138174.15</v>
      </c>
      <c r="D127" s="20">
        <v>0</v>
      </c>
      <c r="E127" s="20">
        <v>0</v>
      </c>
      <c r="F127" s="24">
        <v>0</v>
      </c>
      <c r="G127" s="24">
        <v>0</v>
      </c>
      <c r="H127" s="20">
        <v>16410.86</v>
      </c>
      <c r="I127" s="20">
        <v>0</v>
      </c>
      <c r="J127" s="20">
        <v>0</v>
      </c>
      <c r="K127" s="20">
        <v>0</v>
      </c>
      <c r="L127" s="83">
        <v>-16977.45</v>
      </c>
      <c r="M127" s="83">
        <v>-34794.370000000003</v>
      </c>
      <c r="N127" s="83">
        <v>18831.099999999999</v>
      </c>
      <c r="O127" s="83">
        <v>121644.29</v>
      </c>
      <c r="P127" s="83">
        <v>35338.94</v>
      </c>
      <c r="Q127" s="83">
        <v>-35113.43</v>
      </c>
      <c r="R127" s="83">
        <v>0</v>
      </c>
      <c r="S127" s="83">
        <v>0</v>
      </c>
      <c r="T127" s="83">
        <v>0</v>
      </c>
      <c r="U127" s="83">
        <v>0</v>
      </c>
      <c r="V127" s="83">
        <v>0</v>
      </c>
      <c r="W127" s="83">
        <v>0</v>
      </c>
      <c r="X127" s="83">
        <v>17964.990000000002</v>
      </c>
      <c r="Y127" s="83">
        <v>0</v>
      </c>
      <c r="Z127" s="83">
        <v>0</v>
      </c>
      <c r="AA127" s="31">
        <f>SUM(O127:Z127)</f>
        <v>139834.78999999998</v>
      </c>
      <c r="AB127" s="83">
        <v>0</v>
      </c>
      <c r="AC127" s="83">
        <v>0</v>
      </c>
      <c r="AD127" s="83">
        <v>0</v>
      </c>
      <c r="AE127" s="83">
        <v>0</v>
      </c>
      <c r="AF127" s="83">
        <v>0</v>
      </c>
      <c r="AG127" s="83">
        <v>0</v>
      </c>
      <c r="AH127" s="83">
        <v>0</v>
      </c>
      <c r="AI127" s="83">
        <v>0</v>
      </c>
      <c r="AJ127" s="83">
        <v>0</v>
      </c>
      <c r="AK127" s="83">
        <v>0</v>
      </c>
      <c r="AL127" s="83">
        <v>0</v>
      </c>
      <c r="AM127" s="83">
        <v>0</v>
      </c>
      <c r="AN127" s="31">
        <f>SUM(AA127:AM127)</f>
        <v>139834.78999999998</v>
      </c>
      <c r="AO127" s="83">
        <v>0</v>
      </c>
      <c r="AP127" s="83">
        <v>0</v>
      </c>
      <c r="AQ127" s="83">
        <v>0</v>
      </c>
      <c r="AR127" s="83">
        <v>0</v>
      </c>
      <c r="AS127" s="83">
        <v>0</v>
      </c>
      <c r="AT127" s="83">
        <v>36578.89</v>
      </c>
      <c r="AU127" s="83">
        <v>0</v>
      </c>
      <c r="BA127" s="31">
        <f t="shared" ref="BA127:BA130" si="149">SUM(AN127:AZ127)</f>
        <v>176413.68</v>
      </c>
    </row>
    <row r="128" spans="1:53" x14ac:dyDescent="0.2">
      <c r="B128" s="3" t="s">
        <v>89</v>
      </c>
      <c r="C128" s="20">
        <v>698073.71</v>
      </c>
      <c r="D128" s="20">
        <v>0</v>
      </c>
      <c r="E128" s="20">
        <v>0</v>
      </c>
      <c r="F128" s="24">
        <v>-26406.5</v>
      </c>
      <c r="G128" s="24">
        <v>-24505.56</v>
      </c>
      <c r="H128" s="20">
        <v>27831.34</v>
      </c>
      <c r="I128" s="20">
        <v>0</v>
      </c>
      <c r="J128" s="20">
        <v>0</v>
      </c>
      <c r="K128" s="20">
        <v>0</v>
      </c>
      <c r="L128" s="83">
        <v>24351.06</v>
      </c>
      <c r="M128" s="83">
        <v>-34029.19</v>
      </c>
      <c r="N128" s="83">
        <v>9785.6200000000008</v>
      </c>
      <c r="O128" s="83">
        <v>658233.35</v>
      </c>
      <c r="P128" s="83">
        <v>-31059.08</v>
      </c>
      <c r="Q128" s="83">
        <v>0</v>
      </c>
      <c r="R128" s="83">
        <v>-16977.45</v>
      </c>
      <c r="S128" s="83">
        <v>0</v>
      </c>
      <c r="T128" s="83">
        <v>-381.6</v>
      </c>
      <c r="U128" s="83">
        <v>292122.69</v>
      </c>
      <c r="V128" s="83">
        <v>0</v>
      </c>
      <c r="W128" s="83">
        <v>0</v>
      </c>
      <c r="X128" s="83">
        <v>158787.07999999999</v>
      </c>
      <c r="Y128" s="83">
        <v>0</v>
      </c>
      <c r="Z128" s="83">
        <v>19869.97</v>
      </c>
      <c r="AA128" s="31">
        <f>SUM(O128:Z128)</f>
        <v>1080594.9600000002</v>
      </c>
      <c r="AB128" s="83">
        <v>3395.06</v>
      </c>
      <c r="AC128" s="83">
        <v>2774.56</v>
      </c>
      <c r="AD128" s="83">
        <v>248251.48</v>
      </c>
      <c r="AE128" s="83">
        <v>0</v>
      </c>
      <c r="AF128" s="83">
        <v>-15173.56</v>
      </c>
      <c r="AG128" s="83">
        <v>0</v>
      </c>
      <c r="AH128" s="83">
        <v>0</v>
      </c>
      <c r="AI128" s="83">
        <v>13853.83</v>
      </c>
      <c r="AJ128" s="83">
        <v>-112447.06</v>
      </c>
      <c r="AK128" s="83">
        <v>2351.52</v>
      </c>
      <c r="AL128" s="83">
        <v>3597.89</v>
      </c>
      <c r="AM128" s="83">
        <v>-31048.05</v>
      </c>
      <c r="AN128" s="31">
        <f>SUM(AA128:AM128)</f>
        <v>1196150.6300000001</v>
      </c>
      <c r="AO128" s="83">
        <v>0</v>
      </c>
      <c r="AP128" s="83">
        <v>15744.87</v>
      </c>
      <c r="AQ128" s="83">
        <v>94554.48</v>
      </c>
      <c r="AR128" s="83">
        <v>0</v>
      </c>
      <c r="AS128" s="83">
        <v>-168215.44</v>
      </c>
      <c r="AT128" s="83">
        <v>-18009.18</v>
      </c>
      <c r="AU128" s="83">
        <v>30476.2</v>
      </c>
      <c r="BA128" s="31">
        <f t="shared" si="149"/>
        <v>1150701.5600000003</v>
      </c>
    </row>
    <row r="129" spans="1:53" x14ac:dyDescent="0.2">
      <c r="B129" s="3" t="s">
        <v>90</v>
      </c>
      <c r="C129" s="20">
        <v>-137562.73000000001</v>
      </c>
      <c r="D129" s="20">
        <v>-55.59</v>
      </c>
      <c r="E129" s="20">
        <v>-55.58</v>
      </c>
      <c r="F129" s="24">
        <v>-55.58</v>
      </c>
      <c r="G129" s="24">
        <v>-55.59</v>
      </c>
      <c r="H129" s="20">
        <v>-511.43</v>
      </c>
      <c r="I129" s="20">
        <v>-511.45</v>
      </c>
      <c r="J129" s="20">
        <v>-511.44</v>
      </c>
      <c r="K129" s="20">
        <v>-511.44</v>
      </c>
      <c r="L129" s="83">
        <v>16466.02</v>
      </c>
      <c r="M129" s="83">
        <v>52511.03</v>
      </c>
      <c r="N129" s="83">
        <v>-1555.33</v>
      </c>
      <c r="O129" s="83">
        <v>-73908.850000000006</v>
      </c>
      <c r="P129" s="83">
        <v>-2481.5</v>
      </c>
      <c r="Q129" s="83">
        <v>32631.96</v>
      </c>
      <c r="R129" s="83">
        <v>-2481.4899999999998</v>
      </c>
      <c r="S129" s="83">
        <v>-2481.48</v>
      </c>
      <c r="T129" s="83">
        <v>-2481.4899999999998</v>
      </c>
      <c r="U129" s="83">
        <v>-2481.4699999999998</v>
      </c>
      <c r="V129" s="83">
        <v>-2481.4899999999998</v>
      </c>
      <c r="W129" s="83">
        <v>-2481.48</v>
      </c>
      <c r="X129" s="83">
        <v>-20446.47</v>
      </c>
      <c r="Y129" s="83">
        <v>-2481.4899999999998</v>
      </c>
      <c r="Z129" s="83">
        <v>-2481.4699999999998</v>
      </c>
      <c r="AA129" s="31">
        <f>SUM(O129:Z129)</f>
        <v>-84056.720000000016</v>
      </c>
      <c r="AB129" s="83">
        <v>-2481.4699999999998</v>
      </c>
      <c r="AC129" s="83">
        <v>89.58</v>
      </c>
      <c r="AD129" s="83">
        <v>-1195.95</v>
      </c>
      <c r="AE129" s="83">
        <v>-6338.09</v>
      </c>
      <c r="AF129" s="83">
        <v>-2481.48</v>
      </c>
      <c r="AG129" s="83">
        <v>-2481.4899999999998</v>
      </c>
      <c r="AH129" s="83">
        <v>-2481.4699999999998</v>
      </c>
      <c r="AI129" s="83">
        <v>-2481.5</v>
      </c>
      <c r="AJ129" s="83">
        <v>-2481.48</v>
      </c>
      <c r="AK129" s="83">
        <v>-2481.48</v>
      </c>
      <c r="AL129" s="83">
        <v>-2481.48</v>
      </c>
      <c r="AM129" s="83">
        <v>-2481.5</v>
      </c>
      <c r="AN129" s="31">
        <f>SUM(AA129:AM129)</f>
        <v>-113834.53</v>
      </c>
      <c r="AO129" s="83">
        <v>-2481.4699999999998</v>
      </c>
      <c r="AP129" s="83">
        <v>-2481.4899999999998</v>
      </c>
      <c r="AQ129" s="83">
        <v>-2481.4899999999998</v>
      </c>
      <c r="AR129" s="83">
        <v>-2481.48</v>
      </c>
      <c r="AS129" s="83">
        <v>-2481.48</v>
      </c>
      <c r="AT129" s="83">
        <v>-29938.639999999999</v>
      </c>
      <c r="AU129" s="83">
        <v>-2335.13</v>
      </c>
      <c r="BA129" s="31">
        <f t="shared" si="149"/>
        <v>-158515.71000000002</v>
      </c>
    </row>
    <row r="130" spans="1:53" x14ac:dyDescent="0.2">
      <c r="B130" s="3" t="s">
        <v>91</v>
      </c>
      <c r="C130" s="20">
        <v>-676639.4</v>
      </c>
      <c r="D130" s="20">
        <v>-2388.52</v>
      </c>
      <c r="E130" s="20">
        <v>-2388.4699999999998</v>
      </c>
      <c r="F130" s="24">
        <v>24017.98</v>
      </c>
      <c r="G130" s="24">
        <v>22117.08</v>
      </c>
      <c r="H130" s="20">
        <v>-3161.6</v>
      </c>
      <c r="I130" s="20">
        <v>-3161.59</v>
      </c>
      <c r="J130" s="20">
        <v>-3161.58</v>
      </c>
      <c r="K130" s="20">
        <v>-3161.6</v>
      </c>
      <c r="L130" s="83">
        <v>23176.45</v>
      </c>
      <c r="M130" s="83">
        <v>21859.7</v>
      </c>
      <c r="N130" s="83">
        <v>-5202.97</v>
      </c>
      <c r="O130" s="83">
        <v>-595886.72</v>
      </c>
      <c r="P130" s="83">
        <v>26399.74</v>
      </c>
      <c r="Q130" s="83">
        <v>-4659.3100000000004</v>
      </c>
      <c r="R130" s="83">
        <v>12318.1</v>
      </c>
      <c r="S130" s="83">
        <v>-4659.32</v>
      </c>
      <c r="T130" s="83">
        <v>-4277.74</v>
      </c>
      <c r="U130" s="83">
        <v>-12773.84</v>
      </c>
      <c r="V130" s="83">
        <v>-12773.85</v>
      </c>
      <c r="W130" s="83">
        <v>-12773.85</v>
      </c>
      <c r="X130" s="83">
        <v>-30072.95</v>
      </c>
      <c r="Y130" s="83">
        <v>-17195.36</v>
      </c>
      <c r="Z130" s="83">
        <v>-20506.990000000002</v>
      </c>
      <c r="AA130" s="31">
        <f>SUM(O130:Z130)</f>
        <v>-676862.08999999985</v>
      </c>
      <c r="AB130" s="83">
        <v>-17860.47</v>
      </c>
      <c r="AC130" s="83">
        <v>-2886.44</v>
      </c>
      <c r="AD130" s="83">
        <v>-17039.259999999998</v>
      </c>
      <c r="AE130" s="83">
        <v>-45999.65</v>
      </c>
      <c r="AF130" s="83">
        <v>20502.099999999999</v>
      </c>
      <c r="AG130" s="83">
        <v>-18062.63</v>
      </c>
      <c r="AH130" s="83">
        <v>-18062.68</v>
      </c>
      <c r="AI130" s="83">
        <v>-18357.349999999999</v>
      </c>
      <c r="AJ130" s="83">
        <v>94089.61</v>
      </c>
      <c r="AK130" s="83">
        <v>-20708.900000000001</v>
      </c>
      <c r="AL130" s="83">
        <v>-16972.45</v>
      </c>
      <c r="AM130" s="83">
        <v>37409.51</v>
      </c>
      <c r="AN130" s="31">
        <f>SUM(AA130:AM130)</f>
        <v>-700810.69999999984</v>
      </c>
      <c r="AO130" s="83">
        <v>-17655.05</v>
      </c>
      <c r="AP130" s="83">
        <v>-17917.45</v>
      </c>
      <c r="AQ130" s="83">
        <v>-20543.98</v>
      </c>
      <c r="AR130" s="83">
        <v>-20543.96</v>
      </c>
      <c r="AS130" s="83">
        <v>147671.44</v>
      </c>
      <c r="AT130" s="83">
        <v>-1761.7</v>
      </c>
      <c r="AU130" s="83">
        <v>-24150.92</v>
      </c>
      <c r="BA130" s="31">
        <f t="shared" si="149"/>
        <v>-655712.31999999972</v>
      </c>
    </row>
    <row r="131" spans="1:53" s="34" customFormat="1" ht="12" x14ac:dyDescent="0.2">
      <c r="A131" s="116"/>
      <c r="B131" s="35" t="s">
        <v>1780</v>
      </c>
      <c r="C131" s="36">
        <f t="shared" ref="C131:AU131" si="150">SUM(C127:C130)</f>
        <v>22045.729999999981</v>
      </c>
      <c r="D131" s="36">
        <f t="shared" si="150"/>
        <v>-2444.11</v>
      </c>
      <c r="E131" s="36">
        <f t="shared" si="150"/>
        <v>-2444.0499999999997</v>
      </c>
      <c r="F131" s="36">
        <f t="shared" si="150"/>
        <v>-2444.1000000000022</v>
      </c>
      <c r="G131" s="36">
        <f t="shared" si="150"/>
        <v>-2444.0699999999997</v>
      </c>
      <c r="H131" s="36">
        <f t="shared" si="150"/>
        <v>40569.17</v>
      </c>
      <c r="I131" s="36">
        <f t="shared" si="150"/>
        <v>-3673.04</v>
      </c>
      <c r="J131" s="36">
        <f t="shared" si="150"/>
        <v>-3673.02</v>
      </c>
      <c r="K131" s="36">
        <f t="shared" si="150"/>
        <v>-3673.04</v>
      </c>
      <c r="L131" s="85">
        <f t="shared" si="150"/>
        <v>47016.08</v>
      </c>
      <c r="M131" s="85">
        <f t="shared" si="150"/>
        <v>5547.1700000000019</v>
      </c>
      <c r="N131" s="85">
        <f t="shared" si="150"/>
        <v>21858.42</v>
      </c>
      <c r="O131" s="85">
        <f t="shared" si="150"/>
        <v>110082.07000000007</v>
      </c>
      <c r="P131" s="85">
        <f t="shared" si="150"/>
        <v>28198.100000000002</v>
      </c>
      <c r="Q131" s="85">
        <f t="shared" si="150"/>
        <v>-7140.7800000000016</v>
      </c>
      <c r="R131" s="85">
        <f t="shared" si="150"/>
        <v>-7140.840000000002</v>
      </c>
      <c r="S131" s="85">
        <f t="shared" si="150"/>
        <v>-7140.7999999999993</v>
      </c>
      <c r="T131" s="85">
        <f t="shared" si="150"/>
        <v>-7140.83</v>
      </c>
      <c r="U131" s="85">
        <f t="shared" si="150"/>
        <v>276867.38</v>
      </c>
      <c r="V131" s="85">
        <f t="shared" si="150"/>
        <v>-15255.34</v>
      </c>
      <c r="W131" s="85">
        <f t="shared" si="150"/>
        <v>-15255.33</v>
      </c>
      <c r="X131" s="85">
        <f t="shared" si="150"/>
        <v>126232.64999999998</v>
      </c>
      <c r="Y131" s="85">
        <f t="shared" si="150"/>
        <v>-19676.849999999999</v>
      </c>
      <c r="Z131" s="85">
        <f t="shared" si="150"/>
        <v>-3118.4900000000016</v>
      </c>
      <c r="AA131" s="85">
        <f t="shared" si="150"/>
        <v>459510.94000000041</v>
      </c>
      <c r="AB131" s="85">
        <f t="shared" si="150"/>
        <v>-16946.88</v>
      </c>
      <c r="AC131" s="85">
        <f t="shared" si="150"/>
        <v>-22.300000000000182</v>
      </c>
      <c r="AD131" s="85">
        <f t="shared" si="150"/>
        <v>230016.27</v>
      </c>
      <c r="AE131" s="85">
        <f t="shared" si="150"/>
        <v>-52337.740000000005</v>
      </c>
      <c r="AF131" s="85">
        <f t="shared" si="150"/>
        <v>2847.0599999999977</v>
      </c>
      <c r="AG131" s="85">
        <f t="shared" si="150"/>
        <v>-20544.120000000003</v>
      </c>
      <c r="AH131" s="85">
        <f t="shared" si="150"/>
        <v>-20544.150000000001</v>
      </c>
      <c r="AI131" s="85">
        <f t="shared" si="150"/>
        <v>-6985.0199999999986</v>
      </c>
      <c r="AJ131" s="85">
        <f t="shared" si="150"/>
        <v>-20838.929999999993</v>
      </c>
      <c r="AK131" s="85">
        <f t="shared" si="150"/>
        <v>-20838.86</v>
      </c>
      <c r="AL131" s="85">
        <f t="shared" si="150"/>
        <v>-15856.04</v>
      </c>
      <c r="AM131" s="85">
        <f t="shared" si="150"/>
        <v>3879.9599999999991</v>
      </c>
      <c r="AN131" s="129">
        <f t="shared" si="150"/>
        <v>521340.19000000029</v>
      </c>
      <c r="AO131" s="85">
        <f t="shared" si="150"/>
        <v>-20136.52</v>
      </c>
      <c r="AP131" s="85">
        <f t="shared" si="150"/>
        <v>-4654.07</v>
      </c>
      <c r="AQ131" s="85">
        <f t="shared" si="150"/>
        <v>71529.009999999995</v>
      </c>
      <c r="AR131" s="85">
        <f t="shared" si="150"/>
        <v>-23025.439999999999</v>
      </c>
      <c r="AS131" s="85">
        <f t="shared" si="150"/>
        <v>-23025.48000000001</v>
      </c>
      <c r="AT131" s="85">
        <f t="shared" si="150"/>
        <v>-13130.630000000001</v>
      </c>
      <c r="AU131" s="85">
        <f t="shared" si="150"/>
        <v>3990.1500000000015</v>
      </c>
      <c r="AV131" s="85">
        <f t="shared" ref="AV131" si="151">SUM(AV127:AV130)</f>
        <v>0</v>
      </c>
      <c r="AW131" s="85">
        <f t="shared" ref="AW131" si="152">SUM(AW127:AW130)</f>
        <v>0</v>
      </c>
      <c r="AX131" s="85">
        <f t="shared" ref="AX131" si="153">SUM(AX127:AX130)</f>
        <v>0</v>
      </c>
      <c r="AY131" s="85">
        <f t="shared" ref="AY131" si="154">SUM(AY127:AY130)</f>
        <v>0</v>
      </c>
      <c r="AZ131" s="85">
        <f t="shared" ref="AZ131" si="155">SUM(AZ127:AZ130)</f>
        <v>0</v>
      </c>
      <c r="BA131" s="129">
        <f t="shared" ref="BA131" si="156">SUM(BA127:BA130)</f>
        <v>512887.21000000054</v>
      </c>
    </row>
    <row r="132" spans="1:53" x14ac:dyDescent="0.2">
      <c r="B132" s="3" t="s">
        <v>93</v>
      </c>
      <c r="C132" s="20">
        <v>12597.18</v>
      </c>
      <c r="D132" s="20">
        <v>817.08</v>
      </c>
      <c r="E132" s="20">
        <v>0</v>
      </c>
      <c r="F132" s="24">
        <v>-234.41</v>
      </c>
      <c r="G132" s="24">
        <v>0</v>
      </c>
      <c r="H132" s="20">
        <v>0</v>
      </c>
      <c r="I132" s="20">
        <v>0</v>
      </c>
      <c r="J132" s="20">
        <v>0</v>
      </c>
      <c r="K132" s="20">
        <v>0</v>
      </c>
      <c r="L132" s="83">
        <v>0</v>
      </c>
      <c r="M132" s="83">
        <v>0</v>
      </c>
      <c r="N132" s="83">
        <v>0</v>
      </c>
      <c r="O132" s="83">
        <v>13179.85</v>
      </c>
      <c r="P132" s="83">
        <v>0</v>
      </c>
      <c r="Q132" s="83">
        <v>0</v>
      </c>
      <c r="R132" s="83">
        <v>0</v>
      </c>
      <c r="S132" s="83">
        <v>0</v>
      </c>
      <c r="T132" s="83">
        <v>0</v>
      </c>
      <c r="U132" s="83">
        <v>0</v>
      </c>
      <c r="V132" s="83">
        <v>0</v>
      </c>
      <c r="W132" s="83">
        <v>0</v>
      </c>
      <c r="X132" s="83">
        <v>-1905.45</v>
      </c>
      <c r="Y132" s="83">
        <v>-1288.72</v>
      </c>
      <c r="Z132" s="83">
        <v>0</v>
      </c>
      <c r="AA132" s="31">
        <f>SUM(O132:Z132)</f>
        <v>9985.68</v>
      </c>
      <c r="AB132" s="83">
        <v>0</v>
      </c>
      <c r="AC132" s="83">
        <v>0</v>
      </c>
      <c r="AD132" s="83">
        <v>0</v>
      </c>
      <c r="AE132" s="83">
        <v>0</v>
      </c>
      <c r="AF132" s="83">
        <v>0</v>
      </c>
      <c r="AG132" s="83">
        <v>0</v>
      </c>
      <c r="AH132" s="83">
        <v>0</v>
      </c>
      <c r="AI132" s="83">
        <v>0</v>
      </c>
      <c r="AJ132" s="83">
        <v>0</v>
      </c>
      <c r="AK132" s="83">
        <v>-537.57000000000005</v>
      </c>
      <c r="AL132" s="83">
        <v>0</v>
      </c>
      <c r="AM132" s="83">
        <v>0</v>
      </c>
      <c r="AN132" s="31">
        <f>SUM(AA132:AM132)</f>
        <v>9448.11</v>
      </c>
      <c r="AO132" s="83">
        <v>0</v>
      </c>
      <c r="AP132" s="83">
        <v>0</v>
      </c>
      <c r="AQ132" s="83">
        <v>0</v>
      </c>
      <c r="AR132" s="83">
        <v>0</v>
      </c>
      <c r="AS132" s="83">
        <v>0</v>
      </c>
      <c r="AT132" s="83">
        <v>0</v>
      </c>
      <c r="AU132" s="83">
        <v>0</v>
      </c>
      <c r="BA132" s="31">
        <f t="shared" ref="BA132:BA133" si="157">SUM(AN132:AZ132)</f>
        <v>9448.11</v>
      </c>
    </row>
    <row r="133" spans="1:53" x14ac:dyDescent="0.2">
      <c r="B133" s="3" t="s">
        <v>95</v>
      </c>
      <c r="C133" s="20">
        <v>-7729.14</v>
      </c>
      <c r="D133" s="20">
        <v>-202</v>
      </c>
      <c r="E133" s="20">
        <v>-202.03</v>
      </c>
      <c r="F133" s="24">
        <v>-98.61</v>
      </c>
      <c r="G133" s="24">
        <v>-195.11</v>
      </c>
      <c r="H133" s="20">
        <v>-195.12</v>
      </c>
      <c r="I133" s="20">
        <v>-195.14</v>
      </c>
      <c r="J133" s="20">
        <v>-195.14</v>
      </c>
      <c r="K133" s="20">
        <v>-195.12</v>
      </c>
      <c r="L133" s="83">
        <v>-195.11</v>
      </c>
      <c r="M133" s="83">
        <v>-195.14</v>
      </c>
      <c r="N133" s="83">
        <v>-195.11</v>
      </c>
      <c r="O133" s="83">
        <v>-9987.89</v>
      </c>
      <c r="P133" s="83">
        <v>-195.1</v>
      </c>
      <c r="Q133" s="83">
        <v>-195.14</v>
      </c>
      <c r="R133" s="83">
        <v>-195.14</v>
      </c>
      <c r="S133" s="83">
        <v>-195.12</v>
      </c>
      <c r="T133" s="83">
        <v>-195.1</v>
      </c>
      <c r="U133" s="83">
        <v>-195.14</v>
      </c>
      <c r="V133" s="83">
        <v>-195.13</v>
      </c>
      <c r="W133" s="83">
        <v>-195.11</v>
      </c>
      <c r="X133" s="83">
        <v>1710.31</v>
      </c>
      <c r="Y133" s="83">
        <v>1070.17</v>
      </c>
      <c r="Z133" s="83">
        <v>-176.5</v>
      </c>
      <c r="AA133" s="31">
        <f>SUM(O133:Z133)</f>
        <v>-8944.89</v>
      </c>
      <c r="AB133" s="83">
        <v>-176.53</v>
      </c>
      <c r="AC133" s="83">
        <v>-164.83</v>
      </c>
      <c r="AD133" s="83">
        <v>-124.31</v>
      </c>
      <c r="AE133" s="83">
        <v>-124.35</v>
      </c>
      <c r="AF133" s="83">
        <v>-124.35</v>
      </c>
      <c r="AG133" s="83">
        <v>-82.64</v>
      </c>
      <c r="AH133" s="83">
        <v>-82.64</v>
      </c>
      <c r="AI133" s="83">
        <v>-82.66</v>
      </c>
      <c r="AJ133" s="83">
        <v>-30.42</v>
      </c>
      <c r="AK133" s="83">
        <v>513.54</v>
      </c>
      <c r="AL133" s="83">
        <v>-24.03</v>
      </c>
      <c r="AM133" s="83">
        <v>0</v>
      </c>
      <c r="AN133" s="31">
        <f>SUM(AA133:AM133)</f>
        <v>-9448.1099999999988</v>
      </c>
      <c r="AO133" s="83">
        <v>0</v>
      </c>
      <c r="AP133" s="83">
        <v>0</v>
      </c>
      <c r="AQ133" s="83">
        <v>0</v>
      </c>
      <c r="AR133" s="83">
        <v>0</v>
      </c>
      <c r="AS133" s="83">
        <v>0</v>
      </c>
      <c r="AT133" s="83">
        <v>0</v>
      </c>
      <c r="AU133" s="83">
        <v>0</v>
      </c>
      <c r="BA133" s="31">
        <f t="shared" si="157"/>
        <v>-9448.1099999999988</v>
      </c>
    </row>
    <row r="134" spans="1:53" s="34" customFormat="1" ht="12" x14ac:dyDescent="0.2">
      <c r="B134" s="35" t="s">
        <v>1781</v>
      </c>
      <c r="C134" s="36">
        <f t="shared" ref="C134:AU134" si="158">SUM(C132:C133)</f>
        <v>4868.04</v>
      </c>
      <c r="D134" s="36">
        <f t="shared" si="158"/>
        <v>615.08000000000004</v>
      </c>
      <c r="E134" s="36">
        <f t="shared" si="158"/>
        <v>-202.03</v>
      </c>
      <c r="F134" s="36">
        <f t="shared" si="158"/>
        <v>-333.02</v>
      </c>
      <c r="G134" s="36">
        <f t="shared" si="158"/>
        <v>-195.11</v>
      </c>
      <c r="H134" s="36">
        <f t="shared" si="158"/>
        <v>-195.12</v>
      </c>
      <c r="I134" s="36">
        <f t="shared" si="158"/>
        <v>-195.14</v>
      </c>
      <c r="J134" s="36">
        <f t="shared" si="158"/>
        <v>-195.14</v>
      </c>
      <c r="K134" s="36">
        <f t="shared" si="158"/>
        <v>-195.12</v>
      </c>
      <c r="L134" s="85">
        <f t="shared" si="158"/>
        <v>-195.11</v>
      </c>
      <c r="M134" s="85">
        <f t="shared" si="158"/>
        <v>-195.14</v>
      </c>
      <c r="N134" s="85">
        <f t="shared" si="158"/>
        <v>-195.11</v>
      </c>
      <c r="O134" s="85">
        <f t="shared" si="158"/>
        <v>3191.9600000000009</v>
      </c>
      <c r="P134" s="85">
        <f t="shared" si="158"/>
        <v>-195.1</v>
      </c>
      <c r="Q134" s="85">
        <f t="shared" si="158"/>
        <v>-195.14</v>
      </c>
      <c r="R134" s="85">
        <f t="shared" si="158"/>
        <v>-195.14</v>
      </c>
      <c r="S134" s="85">
        <f t="shared" si="158"/>
        <v>-195.12</v>
      </c>
      <c r="T134" s="85">
        <f t="shared" si="158"/>
        <v>-195.1</v>
      </c>
      <c r="U134" s="85">
        <f t="shared" si="158"/>
        <v>-195.14</v>
      </c>
      <c r="V134" s="85">
        <f t="shared" si="158"/>
        <v>-195.13</v>
      </c>
      <c r="W134" s="85">
        <f t="shared" si="158"/>
        <v>-195.11</v>
      </c>
      <c r="X134" s="85">
        <f t="shared" si="158"/>
        <v>-195.1400000000001</v>
      </c>
      <c r="Y134" s="85">
        <f t="shared" si="158"/>
        <v>-218.54999999999995</v>
      </c>
      <c r="Z134" s="85">
        <f t="shared" si="158"/>
        <v>-176.5</v>
      </c>
      <c r="AA134" s="85">
        <f t="shared" si="158"/>
        <v>1040.7900000000009</v>
      </c>
      <c r="AB134" s="85">
        <f t="shared" si="158"/>
        <v>-176.53</v>
      </c>
      <c r="AC134" s="85">
        <f t="shared" si="158"/>
        <v>-164.83</v>
      </c>
      <c r="AD134" s="85">
        <f t="shared" si="158"/>
        <v>-124.31</v>
      </c>
      <c r="AE134" s="85">
        <f t="shared" si="158"/>
        <v>-124.35</v>
      </c>
      <c r="AF134" s="85">
        <f t="shared" si="158"/>
        <v>-124.35</v>
      </c>
      <c r="AG134" s="85">
        <f t="shared" si="158"/>
        <v>-82.64</v>
      </c>
      <c r="AH134" s="85">
        <f t="shared" si="158"/>
        <v>-82.64</v>
      </c>
      <c r="AI134" s="85">
        <f t="shared" si="158"/>
        <v>-82.66</v>
      </c>
      <c r="AJ134" s="85">
        <f t="shared" si="158"/>
        <v>-30.42</v>
      </c>
      <c r="AK134" s="85">
        <f t="shared" si="158"/>
        <v>-24.030000000000086</v>
      </c>
      <c r="AL134" s="85">
        <f t="shared" si="158"/>
        <v>-24.03</v>
      </c>
      <c r="AM134" s="85">
        <f t="shared" si="158"/>
        <v>0</v>
      </c>
      <c r="AN134" s="129">
        <f t="shared" si="158"/>
        <v>0</v>
      </c>
      <c r="AO134" s="85">
        <f t="shared" si="158"/>
        <v>0</v>
      </c>
      <c r="AP134" s="85">
        <f t="shared" si="158"/>
        <v>0</v>
      </c>
      <c r="AQ134" s="85">
        <f t="shared" si="158"/>
        <v>0</v>
      </c>
      <c r="AR134" s="85">
        <f t="shared" si="158"/>
        <v>0</v>
      </c>
      <c r="AS134" s="85">
        <f t="shared" si="158"/>
        <v>0</v>
      </c>
      <c r="AT134" s="85">
        <f t="shared" si="158"/>
        <v>0</v>
      </c>
      <c r="AU134" s="85">
        <f t="shared" si="158"/>
        <v>0</v>
      </c>
      <c r="AV134" s="85">
        <f t="shared" ref="AV134" si="159">SUM(AV132:AV133)</f>
        <v>0</v>
      </c>
      <c r="AW134" s="85">
        <f t="shared" ref="AW134" si="160">SUM(AW132:AW133)</f>
        <v>0</v>
      </c>
      <c r="AX134" s="85">
        <f t="shared" ref="AX134" si="161">SUM(AX132:AX133)</f>
        <v>0</v>
      </c>
      <c r="AY134" s="85">
        <f t="shared" ref="AY134" si="162">SUM(AY132:AY133)</f>
        <v>0</v>
      </c>
      <c r="AZ134" s="85">
        <f t="shared" ref="AZ134" si="163">SUM(AZ132:AZ133)</f>
        <v>0</v>
      </c>
      <c r="BA134" s="129">
        <f t="shared" ref="BA134" si="164">SUM(BA132:BA133)</f>
        <v>0</v>
      </c>
    </row>
    <row r="135" spans="1:53" x14ac:dyDescent="0.2">
      <c r="B135" s="3" t="s">
        <v>98</v>
      </c>
      <c r="C135" s="20">
        <v>189218.51</v>
      </c>
      <c r="D135" s="20">
        <v>0</v>
      </c>
      <c r="E135" s="20">
        <v>0</v>
      </c>
      <c r="F135" s="24">
        <v>0</v>
      </c>
      <c r="G135" s="24">
        <v>0</v>
      </c>
      <c r="H135" s="20">
        <v>0</v>
      </c>
      <c r="I135" s="20">
        <v>35752.44</v>
      </c>
      <c r="J135" s="20">
        <v>105326.3</v>
      </c>
      <c r="K135" s="20">
        <v>18575.240000000002</v>
      </c>
      <c r="L135" s="83">
        <v>163750.71</v>
      </c>
      <c r="M135" s="83">
        <v>149813.96</v>
      </c>
      <c r="N135" s="83">
        <v>67081.38</v>
      </c>
      <c r="O135" s="83">
        <v>851511.89</v>
      </c>
      <c r="P135" s="83">
        <v>25007.42</v>
      </c>
      <c r="Q135" s="83">
        <v>22984.68</v>
      </c>
      <c r="R135" s="83">
        <v>0</v>
      </c>
      <c r="S135" s="83">
        <v>0</v>
      </c>
      <c r="T135" s="83">
        <v>-121993.35</v>
      </c>
      <c r="U135" s="83">
        <v>164499.29</v>
      </c>
      <c r="V135" s="83">
        <v>-93004.62</v>
      </c>
      <c r="W135" s="83">
        <v>192260.43</v>
      </c>
      <c r="X135" s="83">
        <v>5218.54</v>
      </c>
      <c r="Y135" s="83">
        <v>-78721.149999999994</v>
      </c>
      <c r="Z135" s="83">
        <v>-67081.38</v>
      </c>
      <c r="AA135" s="31">
        <f>SUM(O135:Z135)</f>
        <v>900681.75000000023</v>
      </c>
      <c r="AB135" s="83">
        <v>2686.13</v>
      </c>
      <c r="AC135" s="83">
        <v>-34712.959999999999</v>
      </c>
      <c r="AD135" s="83">
        <v>61459.11</v>
      </c>
      <c r="AE135" s="83">
        <v>-126428.48</v>
      </c>
      <c r="AF135" s="83">
        <v>-172749.21</v>
      </c>
      <c r="AG135" s="83">
        <v>0</v>
      </c>
      <c r="AH135" s="83">
        <v>37601.83</v>
      </c>
      <c r="AI135" s="83">
        <v>-112220.48</v>
      </c>
      <c r="AJ135" s="83">
        <v>0</v>
      </c>
      <c r="AK135" s="83">
        <v>94204.73</v>
      </c>
      <c r="AL135" s="83">
        <v>-62413.3</v>
      </c>
      <c r="AM135" s="83">
        <v>111648.94</v>
      </c>
      <c r="AN135" s="31">
        <f>SUM(AA135:AM135)</f>
        <v>699758.06000000029</v>
      </c>
      <c r="AO135" s="83">
        <v>0</v>
      </c>
      <c r="AP135" s="83">
        <v>0</v>
      </c>
      <c r="AQ135" s="83">
        <v>0</v>
      </c>
      <c r="AR135" s="83">
        <v>0</v>
      </c>
      <c r="AS135" s="83">
        <v>0</v>
      </c>
      <c r="AT135" s="83">
        <v>-131806.56</v>
      </c>
      <c r="AU135" s="83">
        <v>-12382.14</v>
      </c>
      <c r="BA135" s="31">
        <f t="shared" ref="BA135:BA136" si="165">SUM(AN135:AZ135)</f>
        <v>555569.36000000022</v>
      </c>
    </row>
    <row r="136" spans="1:53" x14ac:dyDescent="0.2">
      <c r="B136" s="3" t="s">
        <v>99</v>
      </c>
      <c r="C136" s="20">
        <v>-138445.53</v>
      </c>
      <c r="D136" s="20">
        <v>-2983.44</v>
      </c>
      <c r="E136" s="20">
        <v>-2983.45</v>
      </c>
      <c r="F136" s="24">
        <v>-2983.45</v>
      </c>
      <c r="G136" s="24">
        <v>-2983.44</v>
      </c>
      <c r="H136" s="20">
        <v>-2983.44</v>
      </c>
      <c r="I136" s="20">
        <v>-10718.31</v>
      </c>
      <c r="J136" s="20">
        <v>52010.23</v>
      </c>
      <c r="K136" s="20">
        <v>-21192.93</v>
      </c>
      <c r="L136" s="83">
        <v>-44822.89</v>
      </c>
      <c r="M136" s="83">
        <v>-157314.60999999999</v>
      </c>
      <c r="N136" s="83">
        <v>-56693.66</v>
      </c>
      <c r="O136" s="83">
        <v>-402746.81</v>
      </c>
      <c r="P136" s="83">
        <v>14175.88</v>
      </c>
      <c r="Q136" s="83">
        <v>-33713.75</v>
      </c>
      <c r="R136" s="83">
        <v>-11495.26</v>
      </c>
      <c r="S136" s="83">
        <v>-11024.06</v>
      </c>
      <c r="T136" s="83">
        <v>1346.09</v>
      </c>
      <c r="U136" s="83">
        <v>-59983.16</v>
      </c>
      <c r="V136" s="83">
        <v>81442.91</v>
      </c>
      <c r="W136" s="83">
        <v>-84249.31</v>
      </c>
      <c r="X136" s="83">
        <v>-19984.57</v>
      </c>
      <c r="Y136" s="83">
        <v>65267.1</v>
      </c>
      <c r="Z136" s="83">
        <v>49155.28</v>
      </c>
      <c r="AA136" s="31">
        <f>SUM(O136:Z136)</f>
        <v>-411809.65999999992</v>
      </c>
      <c r="AB136" s="83">
        <v>-14313.68</v>
      </c>
      <c r="AC136" s="83">
        <v>23085.38</v>
      </c>
      <c r="AD136" s="83">
        <v>-56976.480000000003</v>
      </c>
      <c r="AE136" s="83">
        <v>28547.360000000001</v>
      </c>
      <c r="AF136" s="83">
        <v>53960.160000000003</v>
      </c>
      <c r="AG136" s="83">
        <v>-6502.04</v>
      </c>
      <c r="AH136" s="83">
        <v>-44103.86</v>
      </c>
      <c r="AI136" s="83">
        <v>32881.120000000003</v>
      </c>
      <c r="AJ136" s="83">
        <v>-4675.18</v>
      </c>
      <c r="AK136" s="83">
        <v>8762.1</v>
      </c>
      <c r="AL136" s="83">
        <v>27418.29</v>
      </c>
      <c r="AM136" s="83">
        <v>-25279.95</v>
      </c>
      <c r="AN136" s="31">
        <f>SUM(AA136:AM136)</f>
        <v>-389006.43999999994</v>
      </c>
      <c r="AO136" s="83">
        <v>-7692.56</v>
      </c>
      <c r="AP136" s="83">
        <v>-7692.56</v>
      </c>
      <c r="AQ136" s="83">
        <v>-7692.55</v>
      </c>
      <c r="AR136" s="83">
        <v>-7692.57</v>
      </c>
      <c r="AS136" s="83">
        <v>-7692.56</v>
      </c>
      <c r="AT136" s="83">
        <v>34046.17</v>
      </c>
      <c r="AU136" s="83">
        <v>-1368.39</v>
      </c>
      <c r="BA136" s="31">
        <f t="shared" si="165"/>
        <v>-394791.45999999996</v>
      </c>
    </row>
    <row r="137" spans="1:53" s="34" customFormat="1" ht="12" x14ac:dyDescent="0.2">
      <c r="A137" s="116"/>
      <c r="B137" s="35" t="s">
        <v>1782</v>
      </c>
      <c r="C137" s="36">
        <f t="shared" ref="C137:AU137" si="166">SUM(C135:C136)</f>
        <v>50772.98000000001</v>
      </c>
      <c r="D137" s="36">
        <f t="shared" si="166"/>
        <v>-2983.44</v>
      </c>
      <c r="E137" s="36">
        <f t="shared" si="166"/>
        <v>-2983.45</v>
      </c>
      <c r="F137" s="36">
        <f t="shared" si="166"/>
        <v>-2983.45</v>
      </c>
      <c r="G137" s="36">
        <f t="shared" si="166"/>
        <v>-2983.44</v>
      </c>
      <c r="H137" s="36">
        <f t="shared" si="166"/>
        <v>-2983.44</v>
      </c>
      <c r="I137" s="36">
        <f t="shared" si="166"/>
        <v>25034.130000000005</v>
      </c>
      <c r="J137" s="36">
        <f t="shared" si="166"/>
        <v>157336.53</v>
      </c>
      <c r="K137" s="36">
        <f t="shared" si="166"/>
        <v>-2617.6899999999987</v>
      </c>
      <c r="L137" s="85">
        <f t="shared" si="166"/>
        <v>118927.81999999999</v>
      </c>
      <c r="M137" s="85">
        <f t="shared" si="166"/>
        <v>-7500.6499999999942</v>
      </c>
      <c r="N137" s="85">
        <f t="shared" si="166"/>
        <v>10387.720000000001</v>
      </c>
      <c r="O137" s="85">
        <f t="shared" si="166"/>
        <v>448765.08</v>
      </c>
      <c r="P137" s="85">
        <f t="shared" si="166"/>
        <v>39183.299999999996</v>
      </c>
      <c r="Q137" s="85">
        <f t="shared" si="166"/>
        <v>-10729.07</v>
      </c>
      <c r="R137" s="85">
        <f t="shared" si="166"/>
        <v>-11495.26</v>
      </c>
      <c r="S137" s="85">
        <f t="shared" si="166"/>
        <v>-11024.06</v>
      </c>
      <c r="T137" s="85">
        <f t="shared" si="166"/>
        <v>-120647.26000000001</v>
      </c>
      <c r="U137" s="85">
        <f t="shared" si="166"/>
        <v>104516.13</v>
      </c>
      <c r="V137" s="85">
        <f t="shared" si="166"/>
        <v>-11561.709999999992</v>
      </c>
      <c r="W137" s="85">
        <f t="shared" si="166"/>
        <v>108011.12</v>
      </c>
      <c r="X137" s="85">
        <f t="shared" si="166"/>
        <v>-14766.029999999999</v>
      </c>
      <c r="Y137" s="85">
        <f t="shared" si="166"/>
        <v>-13454.049999999996</v>
      </c>
      <c r="Z137" s="85">
        <f t="shared" si="166"/>
        <v>-17926.100000000006</v>
      </c>
      <c r="AA137" s="85">
        <f t="shared" si="166"/>
        <v>488872.09000000032</v>
      </c>
      <c r="AB137" s="85">
        <f t="shared" si="166"/>
        <v>-11627.55</v>
      </c>
      <c r="AC137" s="85">
        <f t="shared" si="166"/>
        <v>-11627.579999999998</v>
      </c>
      <c r="AD137" s="85">
        <f t="shared" si="166"/>
        <v>4482.6299999999974</v>
      </c>
      <c r="AE137" s="85">
        <f t="shared" si="166"/>
        <v>-97881.12</v>
      </c>
      <c r="AF137" s="85">
        <f t="shared" si="166"/>
        <v>-118789.04999999999</v>
      </c>
      <c r="AG137" s="85">
        <f t="shared" si="166"/>
        <v>-6502.04</v>
      </c>
      <c r="AH137" s="85">
        <f t="shared" si="166"/>
        <v>-6502.0299999999988</v>
      </c>
      <c r="AI137" s="85">
        <f t="shared" si="166"/>
        <v>-79339.359999999986</v>
      </c>
      <c r="AJ137" s="85">
        <f t="shared" si="166"/>
        <v>-4675.18</v>
      </c>
      <c r="AK137" s="85">
        <f t="shared" si="166"/>
        <v>102966.83</v>
      </c>
      <c r="AL137" s="85">
        <f t="shared" si="166"/>
        <v>-34995.01</v>
      </c>
      <c r="AM137" s="85">
        <f t="shared" si="166"/>
        <v>86368.99</v>
      </c>
      <c r="AN137" s="129">
        <f t="shared" si="166"/>
        <v>310751.62000000034</v>
      </c>
      <c r="AO137" s="85">
        <f t="shared" si="166"/>
        <v>-7692.56</v>
      </c>
      <c r="AP137" s="85">
        <f t="shared" si="166"/>
        <v>-7692.56</v>
      </c>
      <c r="AQ137" s="85">
        <f t="shared" si="166"/>
        <v>-7692.55</v>
      </c>
      <c r="AR137" s="85">
        <f t="shared" si="166"/>
        <v>-7692.57</v>
      </c>
      <c r="AS137" s="85">
        <f t="shared" si="166"/>
        <v>-7692.56</v>
      </c>
      <c r="AT137" s="85">
        <f t="shared" si="166"/>
        <v>-97760.39</v>
      </c>
      <c r="AU137" s="85">
        <f t="shared" si="166"/>
        <v>-13750.529999999999</v>
      </c>
      <c r="AV137" s="85">
        <f t="shared" ref="AV137" si="167">SUM(AV135:AV136)</f>
        <v>0</v>
      </c>
      <c r="AW137" s="85">
        <f t="shared" ref="AW137" si="168">SUM(AW135:AW136)</f>
        <v>0</v>
      </c>
      <c r="AX137" s="85">
        <f t="shared" ref="AX137" si="169">SUM(AX135:AX136)</f>
        <v>0</v>
      </c>
      <c r="AY137" s="85">
        <f t="shared" ref="AY137" si="170">SUM(AY135:AY136)</f>
        <v>0</v>
      </c>
      <c r="AZ137" s="85">
        <f t="shared" ref="AZ137" si="171">SUM(AZ135:AZ136)</f>
        <v>0</v>
      </c>
      <c r="BA137" s="129">
        <f t="shared" ref="BA137" si="172">SUM(BA135:BA136)</f>
        <v>160777.90000000026</v>
      </c>
    </row>
    <row r="138" spans="1:53" x14ac:dyDescent="0.2">
      <c r="B138" s="3" t="s">
        <v>101</v>
      </c>
      <c r="C138" s="20">
        <v>143821.99</v>
      </c>
      <c r="D138" s="20">
        <v>1655.17</v>
      </c>
      <c r="E138" s="20">
        <v>5117.78</v>
      </c>
      <c r="F138" s="24">
        <v>0</v>
      </c>
      <c r="G138" s="24">
        <v>658.26</v>
      </c>
      <c r="H138" s="20">
        <v>2422.4</v>
      </c>
      <c r="I138" s="20">
        <v>251.05</v>
      </c>
      <c r="J138" s="20">
        <v>0</v>
      </c>
      <c r="K138" s="20">
        <v>0</v>
      </c>
      <c r="L138" s="83">
        <v>-822.14</v>
      </c>
      <c r="M138" s="83">
        <v>-1562.19</v>
      </c>
      <c r="N138" s="83">
        <v>0</v>
      </c>
      <c r="O138" s="83">
        <v>151542.32</v>
      </c>
      <c r="P138" s="83">
        <v>3391.34</v>
      </c>
      <c r="Q138" s="83">
        <v>187.03</v>
      </c>
      <c r="R138" s="83">
        <v>2907.58</v>
      </c>
      <c r="S138" s="83">
        <v>17651.349999999999</v>
      </c>
      <c r="T138" s="83">
        <v>0</v>
      </c>
      <c r="U138" s="83">
        <v>5999.05</v>
      </c>
      <c r="V138" s="83">
        <v>7566.35</v>
      </c>
      <c r="W138" s="83">
        <v>8666.6299999999992</v>
      </c>
      <c r="X138" s="83">
        <v>-1073.44</v>
      </c>
      <c r="Y138" s="83">
        <v>4496.74</v>
      </c>
      <c r="Z138" s="83">
        <v>13932.07</v>
      </c>
      <c r="AA138" s="31">
        <f>SUM(O138:Z138)</f>
        <v>215267.02</v>
      </c>
      <c r="AB138" s="83">
        <v>9335.07</v>
      </c>
      <c r="AC138" s="83">
        <v>178.1</v>
      </c>
      <c r="AD138" s="83">
        <v>5858.5</v>
      </c>
      <c r="AE138" s="83">
        <v>2062.9299999999998</v>
      </c>
      <c r="AF138" s="83">
        <v>0</v>
      </c>
      <c r="AG138" s="83">
        <v>337.92</v>
      </c>
      <c r="AH138" s="83">
        <v>873.88</v>
      </c>
      <c r="AI138" s="83">
        <v>-294.52</v>
      </c>
      <c r="AJ138" s="83">
        <v>0</v>
      </c>
      <c r="AK138" s="83">
        <v>2059.9499999999998</v>
      </c>
      <c r="AL138" s="83">
        <v>392.58</v>
      </c>
      <c r="AM138" s="83">
        <v>9843.7900000000009</v>
      </c>
      <c r="AN138" s="31">
        <f>SUM(AA138:AM138)</f>
        <v>245915.22000000003</v>
      </c>
      <c r="AO138" s="83">
        <v>10146.16</v>
      </c>
      <c r="AP138" s="83">
        <v>8072.66</v>
      </c>
      <c r="AQ138" s="83">
        <v>5688.83</v>
      </c>
      <c r="AR138" s="83">
        <v>5015.63</v>
      </c>
      <c r="AS138" s="83">
        <v>0</v>
      </c>
      <c r="AT138" s="83">
        <v>-872.21</v>
      </c>
      <c r="AU138" s="83">
        <v>1831.11</v>
      </c>
      <c r="BA138" s="31">
        <f t="shared" ref="BA138:BA141" si="173">SUM(AN138:AZ138)</f>
        <v>275797.40000000002</v>
      </c>
    </row>
    <row r="139" spans="1:53" x14ac:dyDescent="0.2">
      <c r="B139" s="3" t="s">
        <v>980</v>
      </c>
      <c r="C139" s="20">
        <v>0</v>
      </c>
      <c r="D139" s="20">
        <v>0</v>
      </c>
      <c r="E139" s="20">
        <v>0</v>
      </c>
      <c r="F139" s="24">
        <v>0</v>
      </c>
      <c r="G139" s="24">
        <v>0</v>
      </c>
      <c r="H139" s="20">
        <v>0</v>
      </c>
      <c r="I139" s="20">
        <v>0</v>
      </c>
      <c r="J139" s="20">
        <v>0</v>
      </c>
      <c r="K139" s="20">
        <v>0</v>
      </c>
      <c r="L139" s="83">
        <v>0</v>
      </c>
      <c r="M139" s="83">
        <v>0</v>
      </c>
      <c r="N139" s="83">
        <v>0</v>
      </c>
      <c r="O139" s="83">
        <v>0</v>
      </c>
      <c r="P139" s="83">
        <v>0</v>
      </c>
      <c r="Q139" s="83">
        <v>0</v>
      </c>
      <c r="R139" s="83">
        <v>0</v>
      </c>
      <c r="S139" s="83">
        <v>0</v>
      </c>
      <c r="T139" s="83">
        <v>0</v>
      </c>
      <c r="U139" s="83">
        <v>0</v>
      </c>
      <c r="V139" s="83">
        <v>0</v>
      </c>
      <c r="W139" s="83">
        <v>0</v>
      </c>
      <c r="X139" s="83">
        <v>0</v>
      </c>
      <c r="Y139" s="83">
        <v>0</v>
      </c>
      <c r="Z139" s="83">
        <v>0</v>
      </c>
      <c r="AA139" s="31">
        <f>SUM(O139:Z139)</f>
        <v>0</v>
      </c>
      <c r="AB139" s="83">
        <v>0</v>
      </c>
      <c r="AC139" s="83">
        <v>0</v>
      </c>
      <c r="AD139" s="83">
        <v>0</v>
      </c>
      <c r="AE139" s="83">
        <v>0</v>
      </c>
      <c r="AF139" s="83">
        <v>0</v>
      </c>
      <c r="AG139" s="83">
        <v>0</v>
      </c>
      <c r="AH139" s="83">
        <v>0</v>
      </c>
      <c r="AI139" s="83">
        <v>0</v>
      </c>
      <c r="AJ139" s="83">
        <v>0</v>
      </c>
      <c r="AK139" s="83">
        <v>0</v>
      </c>
      <c r="AL139" s="83">
        <v>0</v>
      </c>
      <c r="AM139" s="83">
        <v>0</v>
      </c>
      <c r="AN139" s="31">
        <f>SUM(AA139:AM139)</f>
        <v>0</v>
      </c>
      <c r="AO139" s="83">
        <v>0</v>
      </c>
      <c r="AP139" s="83">
        <v>0</v>
      </c>
      <c r="AQ139" s="83">
        <v>0</v>
      </c>
      <c r="AR139" s="83">
        <v>0</v>
      </c>
      <c r="AS139" s="83">
        <v>0</v>
      </c>
      <c r="AT139" s="83">
        <v>0</v>
      </c>
      <c r="AU139" s="83">
        <v>0</v>
      </c>
      <c r="BA139" s="31">
        <f t="shared" si="173"/>
        <v>0</v>
      </c>
    </row>
    <row r="140" spans="1:53" x14ac:dyDescent="0.2">
      <c r="B140" s="3" t="s">
        <v>102</v>
      </c>
      <c r="C140" s="20">
        <v>-118773.3</v>
      </c>
      <c r="D140" s="20">
        <v>-834.36</v>
      </c>
      <c r="E140" s="20">
        <v>-924.24</v>
      </c>
      <c r="F140" s="24">
        <v>-924.12</v>
      </c>
      <c r="G140" s="24">
        <v>-531.38</v>
      </c>
      <c r="H140" s="20">
        <v>-1023.65</v>
      </c>
      <c r="I140" s="20">
        <v>-988.58</v>
      </c>
      <c r="J140" s="20">
        <v>-983.47</v>
      </c>
      <c r="K140" s="20">
        <v>-983.57</v>
      </c>
      <c r="L140" s="83">
        <v>-172.76</v>
      </c>
      <c r="M140" s="83">
        <v>773.23</v>
      </c>
      <c r="N140" s="83">
        <v>-943.16</v>
      </c>
      <c r="O140" s="83">
        <v>-127252.62</v>
      </c>
      <c r="P140" s="83">
        <v>32.54</v>
      </c>
      <c r="Q140" s="83">
        <v>-949.77</v>
      </c>
      <c r="R140" s="83">
        <v>-1108.79</v>
      </c>
      <c r="S140" s="83">
        <v>-2401.34</v>
      </c>
      <c r="T140" s="83">
        <v>-1284.01</v>
      </c>
      <c r="U140" s="83">
        <v>-1736.68</v>
      </c>
      <c r="V140" s="83">
        <v>-1294.6400000000001</v>
      </c>
      <c r="W140" s="83">
        <v>-1165.94</v>
      </c>
      <c r="X140" s="83">
        <v>-505.71</v>
      </c>
      <c r="Y140" s="83">
        <v>-1488.2</v>
      </c>
      <c r="Z140" s="83">
        <v>-2109.13</v>
      </c>
      <c r="AA140" s="31">
        <f>SUM(O140:Z140)</f>
        <v>-141264.29000000004</v>
      </c>
      <c r="AB140" s="83">
        <v>-1907.85</v>
      </c>
      <c r="AC140" s="83">
        <v>-1900.4</v>
      </c>
      <c r="AD140" s="83">
        <v>-1902.88</v>
      </c>
      <c r="AE140" s="83">
        <v>-1868</v>
      </c>
      <c r="AF140" s="83">
        <v>-1867.85</v>
      </c>
      <c r="AG140" s="83">
        <v>-1873.6</v>
      </c>
      <c r="AH140" s="83">
        <v>-706.79</v>
      </c>
      <c r="AI140" s="83">
        <v>-1611.88</v>
      </c>
      <c r="AJ140" s="83">
        <v>-1906.31</v>
      </c>
      <c r="AK140" s="83">
        <v>-1645.93</v>
      </c>
      <c r="AL140" s="83">
        <v>-1808.62</v>
      </c>
      <c r="AM140" s="83">
        <v>-2115.98</v>
      </c>
      <c r="AN140" s="31">
        <f>SUM(AA140:AM140)</f>
        <v>-162380.38000000006</v>
      </c>
      <c r="AO140" s="83">
        <v>-2285.2800000000002</v>
      </c>
      <c r="AP140" s="83">
        <v>-2419.44</v>
      </c>
      <c r="AQ140" s="83">
        <v>-2584.69</v>
      </c>
      <c r="AR140" s="83">
        <v>-4130.1499999999996</v>
      </c>
      <c r="AS140" s="83">
        <v>-2574.89</v>
      </c>
      <c r="AT140" s="83">
        <v>-1702.59</v>
      </c>
      <c r="AU140" s="83">
        <v>-2605.41</v>
      </c>
      <c r="BA140" s="31">
        <f t="shared" si="173"/>
        <v>-180682.83000000007</v>
      </c>
    </row>
    <row r="141" spans="1:53" x14ac:dyDescent="0.2">
      <c r="B141" s="3" t="s">
        <v>981</v>
      </c>
      <c r="C141" s="20">
        <v>0</v>
      </c>
      <c r="D141" s="20">
        <v>0</v>
      </c>
      <c r="E141" s="20">
        <v>0</v>
      </c>
      <c r="F141" s="24">
        <v>0</v>
      </c>
      <c r="G141" s="24">
        <v>0</v>
      </c>
      <c r="H141" s="20">
        <v>0</v>
      </c>
      <c r="I141" s="20">
        <v>0</v>
      </c>
      <c r="J141" s="20">
        <v>0</v>
      </c>
      <c r="K141" s="20">
        <v>0</v>
      </c>
      <c r="L141" s="83">
        <v>0</v>
      </c>
      <c r="M141" s="83">
        <v>0</v>
      </c>
      <c r="N141" s="83">
        <v>0</v>
      </c>
      <c r="O141" s="83">
        <v>0</v>
      </c>
      <c r="P141" s="83">
        <v>0</v>
      </c>
      <c r="Q141" s="83">
        <v>0</v>
      </c>
      <c r="R141" s="83">
        <v>0</v>
      </c>
      <c r="S141" s="83">
        <v>0</v>
      </c>
      <c r="T141" s="83">
        <v>0</v>
      </c>
      <c r="U141" s="83">
        <v>0</v>
      </c>
      <c r="V141" s="83">
        <v>0</v>
      </c>
      <c r="W141" s="83">
        <v>0</v>
      </c>
      <c r="X141" s="83">
        <v>0</v>
      </c>
      <c r="Y141" s="83">
        <v>0</v>
      </c>
      <c r="Z141" s="83">
        <v>0</v>
      </c>
      <c r="AA141" s="31">
        <f>SUM(O141:Z141)</f>
        <v>0</v>
      </c>
      <c r="AB141" s="83">
        <v>0</v>
      </c>
      <c r="AC141" s="83">
        <v>0</v>
      </c>
      <c r="AD141" s="83">
        <v>0</v>
      </c>
      <c r="AE141" s="83">
        <v>0</v>
      </c>
      <c r="AF141" s="83">
        <v>0</v>
      </c>
      <c r="AG141" s="83">
        <v>0</v>
      </c>
      <c r="AH141" s="83">
        <v>0</v>
      </c>
      <c r="AI141" s="83">
        <v>0</v>
      </c>
      <c r="AJ141" s="83">
        <v>0</v>
      </c>
      <c r="AK141" s="83">
        <v>0</v>
      </c>
      <c r="AL141" s="83">
        <v>0</v>
      </c>
      <c r="AM141" s="83">
        <v>0</v>
      </c>
      <c r="AN141" s="31">
        <f>SUM(AA141:AM141)</f>
        <v>0</v>
      </c>
      <c r="AO141" s="83">
        <v>0</v>
      </c>
      <c r="AP141" s="83">
        <v>0</v>
      </c>
      <c r="AQ141" s="83">
        <v>0</v>
      </c>
      <c r="AR141" s="83">
        <v>0</v>
      </c>
      <c r="AS141" s="83">
        <v>0</v>
      </c>
      <c r="AT141" s="83">
        <v>0</v>
      </c>
      <c r="AU141" s="83">
        <v>0</v>
      </c>
      <c r="BA141" s="31">
        <f t="shared" si="173"/>
        <v>0</v>
      </c>
    </row>
    <row r="142" spans="1:53" s="34" customFormat="1" ht="12" x14ac:dyDescent="0.2">
      <c r="A142" s="116"/>
      <c r="B142" s="35" t="s">
        <v>1562</v>
      </c>
      <c r="C142" s="36">
        <f t="shared" ref="C142:AU142" si="174">SUM(C138:C141)</f>
        <v>25048.689999999988</v>
      </c>
      <c r="D142" s="36">
        <f t="shared" si="174"/>
        <v>820.81000000000006</v>
      </c>
      <c r="E142" s="36">
        <f t="shared" si="174"/>
        <v>4193.54</v>
      </c>
      <c r="F142" s="36">
        <f t="shared" si="174"/>
        <v>-924.12</v>
      </c>
      <c r="G142" s="36">
        <f t="shared" si="174"/>
        <v>126.88</v>
      </c>
      <c r="H142" s="36">
        <f t="shared" si="174"/>
        <v>1398.75</v>
      </c>
      <c r="I142" s="36">
        <f t="shared" si="174"/>
        <v>-737.53</v>
      </c>
      <c r="J142" s="36">
        <f t="shared" si="174"/>
        <v>-983.47</v>
      </c>
      <c r="K142" s="36">
        <f t="shared" si="174"/>
        <v>-983.57</v>
      </c>
      <c r="L142" s="85">
        <f t="shared" si="174"/>
        <v>-994.9</v>
      </c>
      <c r="M142" s="85">
        <f t="shared" si="174"/>
        <v>-788.96</v>
      </c>
      <c r="N142" s="85">
        <f t="shared" si="174"/>
        <v>-943.16</v>
      </c>
      <c r="O142" s="85">
        <f t="shared" si="174"/>
        <v>24289.700000000012</v>
      </c>
      <c r="P142" s="85">
        <f t="shared" si="174"/>
        <v>3423.88</v>
      </c>
      <c r="Q142" s="85">
        <f t="shared" si="174"/>
        <v>-762.74</v>
      </c>
      <c r="R142" s="85">
        <f t="shared" si="174"/>
        <v>1798.79</v>
      </c>
      <c r="S142" s="85">
        <f t="shared" si="174"/>
        <v>15250.009999999998</v>
      </c>
      <c r="T142" s="85">
        <f t="shared" si="174"/>
        <v>-1284.01</v>
      </c>
      <c r="U142" s="85">
        <f t="shared" si="174"/>
        <v>4262.37</v>
      </c>
      <c r="V142" s="85">
        <f t="shared" si="174"/>
        <v>6271.71</v>
      </c>
      <c r="W142" s="85">
        <f t="shared" si="174"/>
        <v>7500.6899999999987</v>
      </c>
      <c r="X142" s="85">
        <f t="shared" si="174"/>
        <v>-1579.15</v>
      </c>
      <c r="Y142" s="85">
        <f t="shared" si="174"/>
        <v>3008.54</v>
      </c>
      <c r="Z142" s="85">
        <f t="shared" si="174"/>
        <v>11822.939999999999</v>
      </c>
      <c r="AA142" s="85">
        <f t="shared" si="174"/>
        <v>74002.729999999952</v>
      </c>
      <c r="AB142" s="85">
        <f t="shared" si="174"/>
        <v>7427.2199999999993</v>
      </c>
      <c r="AC142" s="85">
        <f t="shared" si="174"/>
        <v>-1722.3000000000002</v>
      </c>
      <c r="AD142" s="85">
        <f t="shared" si="174"/>
        <v>3955.62</v>
      </c>
      <c r="AE142" s="85">
        <f t="shared" si="174"/>
        <v>194.92999999999984</v>
      </c>
      <c r="AF142" s="85">
        <f t="shared" si="174"/>
        <v>-1867.85</v>
      </c>
      <c r="AG142" s="85">
        <f t="shared" si="174"/>
        <v>-1535.6799999999998</v>
      </c>
      <c r="AH142" s="85">
        <f t="shared" si="174"/>
        <v>167.09000000000003</v>
      </c>
      <c r="AI142" s="85">
        <f t="shared" si="174"/>
        <v>-1906.4</v>
      </c>
      <c r="AJ142" s="85">
        <f t="shared" si="174"/>
        <v>-1906.31</v>
      </c>
      <c r="AK142" s="85">
        <f t="shared" si="174"/>
        <v>414.01999999999975</v>
      </c>
      <c r="AL142" s="85">
        <f t="shared" si="174"/>
        <v>-1416.04</v>
      </c>
      <c r="AM142" s="85">
        <f t="shared" si="174"/>
        <v>7727.8100000000013</v>
      </c>
      <c r="AN142" s="129">
        <f t="shared" si="174"/>
        <v>83534.839999999967</v>
      </c>
      <c r="AO142" s="85">
        <f t="shared" si="174"/>
        <v>7860.8799999999992</v>
      </c>
      <c r="AP142" s="85">
        <f t="shared" si="174"/>
        <v>5653.2199999999993</v>
      </c>
      <c r="AQ142" s="85">
        <f t="shared" si="174"/>
        <v>3104.14</v>
      </c>
      <c r="AR142" s="85">
        <f t="shared" si="174"/>
        <v>885.48000000000047</v>
      </c>
      <c r="AS142" s="85">
        <f t="shared" si="174"/>
        <v>-2574.89</v>
      </c>
      <c r="AT142" s="85">
        <f t="shared" si="174"/>
        <v>-2574.8000000000002</v>
      </c>
      <c r="AU142" s="85">
        <f t="shared" si="174"/>
        <v>-774.3</v>
      </c>
      <c r="AV142" s="85">
        <f t="shared" ref="AV142" si="175">SUM(AV138:AV141)</f>
        <v>0</v>
      </c>
      <c r="AW142" s="85">
        <f t="shared" ref="AW142" si="176">SUM(AW138:AW141)</f>
        <v>0</v>
      </c>
      <c r="AX142" s="85">
        <f t="shared" ref="AX142" si="177">SUM(AX138:AX141)</f>
        <v>0</v>
      </c>
      <c r="AY142" s="85">
        <f t="shared" ref="AY142" si="178">SUM(AY138:AY141)</f>
        <v>0</v>
      </c>
      <c r="AZ142" s="85">
        <f t="shared" ref="AZ142" si="179">SUM(AZ138:AZ141)</f>
        <v>0</v>
      </c>
      <c r="BA142" s="129">
        <f t="shared" ref="BA142" si="180">SUM(BA138:BA141)</f>
        <v>95114.569999999949</v>
      </c>
    </row>
    <row r="143" spans="1:53" s="9" customFormat="1" ht="12.75" x14ac:dyDescent="0.2">
      <c r="A143" s="115"/>
      <c r="B143" s="13" t="s">
        <v>1587</v>
      </c>
      <c r="C143" s="41">
        <f t="shared" ref="C143:AK143" si="181">C112+C123+C126+C131+C134+C137+C142</f>
        <v>12593407.989999998</v>
      </c>
      <c r="D143" s="41">
        <f t="shared" si="181"/>
        <v>-287430.33999999997</v>
      </c>
      <c r="E143" s="41">
        <f t="shared" si="181"/>
        <v>3866205.62</v>
      </c>
      <c r="F143" s="41">
        <f t="shared" si="181"/>
        <v>-285226.46999999997</v>
      </c>
      <c r="G143" s="41">
        <f t="shared" si="181"/>
        <v>-415165.80000000005</v>
      </c>
      <c r="H143" s="41">
        <f t="shared" si="181"/>
        <v>1042482.3800000002</v>
      </c>
      <c r="I143" s="41">
        <f t="shared" si="181"/>
        <v>590422.57999999984</v>
      </c>
      <c r="J143" s="41">
        <f t="shared" si="181"/>
        <v>-21639.609999999986</v>
      </c>
      <c r="K143" s="41">
        <f t="shared" si="181"/>
        <v>-154956.61000000002</v>
      </c>
      <c r="L143" s="84">
        <f t="shared" si="181"/>
        <v>-38041.730000000032</v>
      </c>
      <c r="M143" s="84">
        <f t="shared" si="181"/>
        <v>-785732.36999999988</v>
      </c>
      <c r="N143" s="84">
        <f t="shared" si="181"/>
        <v>-781152.9800000001</v>
      </c>
      <c r="O143" s="84">
        <f t="shared" si="181"/>
        <v>15238651.159999998</v>
      </c>
      <c r="P143" s="84">
        <f t="shared" si="181"/>
        <v>85677.760000000009</v>
      </c>
      <c r="Q143" s="84">
        <f t="shared" si="181"/>
        <v>215611.11</v>
      </c>
      <c r="R143" s="84">
        <f t="shared" si="181"/>
        <v>-58385.380000000034</v>
      </c>
      <c r="S143" s="84">
        <f t="shared" si="181"/>
        <v>-334648.84999999998</v>
      </c>
      <c r="T143" s="84">
        <f t="shared" si="181"/>
        <v>-9201.9399999999787</v>
      </c>
      <c r="U143" s="84">
        <f t="shared" si="181"/>
        <v>266065.77999999997</v>
      </c>
      <c r="V143" s="84">
        <f t="shared" si="181"/>
        <v>1013149.8</v>
      </c>
      <c r="W143" s="84">
        <f t="shared" si="181"/>
        <v>757034.79999999993</v>
      </c>
      <c r="X143" s="84">
        <f t="shared" si="181"/>
        <v>-205704.67000000004</v>
      </c>
      <c r="Y143" s="84">
        <f t="shared" si="181"/>
        <v>-233764.95999999996</v>
      </c>
      <c r="Z143" s="84">
        <f t="shared" si="181"/>
        <v>-252627.74</v>
      </c>
      <c r="AA143" s="84">
        <f t="shared" si="181"/>
        <v>16481856.870000001</v>
      </c>
      <c r="AB143" s="84">
        <f t="shared" si="181"/>
        <v>36206.530000000028</v>
      </c>
      <c r="AC143" s="84">
        <f t="shared" si="181"/>
        <v>-294518.80000000005</v>
      </c>
      <c r="AD143" s="84">
        <f t="shared" si="181"/>
        <v>-70597.279999999999</v>
      </c>
      <c r="AE143" s="84">
        <f t="shared" si="181"/>
        <v>-885973.04999999993</v>
      </c>
      <c r="AF143" s="84">
        <f t="shared" si="181"/>
        <v>-341497.63</v>
      </c>
      <c r="AG143" s="84">
        <f t="shared" si="181"/>
        <v>-331946.96999999997</v>
      </c>
      <c r="AH143" s="84">
        <f t="shared" si="181"/>
        <v>-141270.58000000005</v>
      </c>
      <c r="AI143" s="84">
        <f t="shared" si="181"/>
        <v>-361181.13</v>
      </c>
      <c r="AJ143" s="84">
        <f t="shared" si="181"/>
        <v>-335152.68999999994</v>
      </c>
      <c r="AK143" s="84">
        <f t="shared" si="181"/>
        <v>-103625.90999999997</v>
      </c>
      <c r="AL143" s="84">
        <f t="shared" ref="AL143:AM143" si="182">AL112+AL123+AL126+AL131+AL134+AL137+AL142</f>
        <v>-338361.55999999994</v>
      </c>
      <c r="AM143" s="84">
        <f t="shared" si="182"/>
        <v>-114564.42</v>
      </c>
      <c r="AN143" s="127">
        <f>AN112+AN123+AN126+AN131+AN134+AN137+AN142</f>
        <v>13199373.379999997</v>
      </c>
      <c r="AO143" s="84">
        <f t="shared" ref="AO143:AU143" si="183">AO112+AO123+AO126+AO131+AO134+AO137+AO142</f>
        <v>-416278.93000000005</v>
      </c>
      <c r="AP143" s="84">
        <f t="shared" si="183"/>
        <v>-158366.62</v>
      </c>
      <c r="AQ143" s="84">
        <f t="shared" si="183"/>
        <v>2049512.67</v>
      </c>
      <c r="AR143" s="84">
        <f t="shared" si="183"/>
        <v>-167640.55999999956</v>
      </c>
      <c r="AS143" s="84">
        <f t="shared" si="183"/>
        <v>-103382.56999999999</v>
      </c>
      <c r="AT143" s="84">
        <f t="shared" si="183"/>
        <v>-484409.36000000004</v>
      </c>
      <c r="AU143" s="84">
        <f t="shared" si="183"/>
        <v>-322050.8</v>
      </c>
      <c r="AV143" s="84">
        <f t="shared" ref="AV143" si="184">AV112+AV123+AV126+AV131+AV134+AV137+AV142</f>
        <v>0</v>
      </c>
      <c r="AW143" s="84">
        <f t="shared" ref="AW143" si="185">AW112+AW123+AW126+AW131+AW134+AW137+AW142</f>
        <v>0</v>
      </c>
      <c r="AX143" s="84">
        <f t="shared" ref="AX143:AZ143" si="186">AX112+AX123+AX126+AX131+AX134+AX137+AX142</f>
        <v>0</v>
      </c>
      <c r="AY143" s="84">
        <f t="shared" si="186"/>
        <v>0</v>
      </c>
      <c r="AZ143" s="84">
        <f t="shared" si="186"/>
        <v>0</v>
      </c>
      <c r="BA143" s="127">
        <f>BA112+BA123+BA126+BA131+BA134+BA137+BA142</f>
        <v>13596757.209999995</v>
      </c>
    </row>
    <row r="144" spans="1:53" x14ac:dyDescent="0.2">
      <c r="B144" s="3" t="s">
        <v>109</v>
      </c>
      <c r="C144" s="20">
        <v>-80257.42</v>
      </c>
      <c r="D144" s="20">
        <v>0</v>
      </c>
      <c r="E144" s="20">
        <v>0</v>
      </c>
      <c r="F144" s="24">
        <v>0</v>
      </c>
      <c r="G144" s="24">
        <v>0</v>
      </c>
      <c r="H144" s="20">
        <v>0</v>
      </c>
      <c r="I144" s="20">
        <v>0</v>
      </c>
      <c r="J144" s="20">
        <v>0</v>
      </c>
      <c r="K144" s="20">
        <v>0</v>
      </c>
      <c r="L144" s="83">
        <v>0</v>
      </c>
      <c r="M144" s="83">
        <v>0</v>
      </c>
      <c r="N144" s="83">
        <v>0</v>
      </c>
      <c r="O144" s="83">
        <v>-80257.42</v>
      </c>
      <c r="P144" s="83">
        <v>0</v>
      </c>
      <c r="Q144" s="83">
        <v>0</v>
      </c>
      <c r="R144" s="83">
        <v>0</v>
      </c>
      <c r="S144" s="83">
        <v>0</v>
      </c>
      <c r="T144" s="83">
        <v>0</v>
      </c>
      <c r="U144" s="83">
        <v>0</v>
      </c>
      <c r="V144" s="83">
        <v>0</v>
      </c>
      <c r="W144" s="83">
        <v>0</v>
      </c>
      <c r="X144" s="83">
        <v>0</v>
      </c>
      <c r="Y144" s="83">
        <v>0</v>
      </c>
      <c r="Z144" s="83">
        <v>0</v>
      </c>
      <c r="AA144" s="31">
        <f>SUM(O144:Z144)</f>
        <v>-80257.42</v>
      </c>
      <c r="AB144" s="83">
        <v>0</v>
      </c>
      <c r="AC144" s="83">
        <v>0</v>
      </c>
      <c r="AD144" s="83">
        <v>0</v>
      </c>
      <c r="AE144" s="83">
        <v>0</v>
      </c>
      <c r="AF144" s="83">
        <v>0</v>
      </c>
      <c r="AG144" s="83">
        <v>0</v>
      </c>
      <c r="AH144" s="83">
        <v>0</v>
      </c>
      <c r="AI144" s="83">
        <v>0</v>
      </c>
      <c r="AJ144" s="83">
        <v>0</v>
      </c>
      <c r="AK144" s="83">
        <v>0</v>
      </c>
      <c r="AL144" s="83">
        <v>0</v>
      </c>
      <c r="AM144" s="83">
        <v>0</v>
      </c>
      <c r="AN144" s="31">
        <f>SUM(AA144:AM144)</f>
        <v>-80257.42</v>
      </c>
      <c r="AO144" s="83">
        <v>0</v>
      </c>
      <c r="AP144" s="83">
        <v>0</v>
      </c>
      <c r="AQ144" s="83">
        <v>0</v>
      </c>
      <c r="AR144" s="83">
        <v>0</v>
      </c>
      <c r="AS144" s="83">
        <v>0</v>
      </c>
      <c r="AT144" s="83">
        <v>0</v>
      </c>
      <c r="AU144" s="83">
        <v>0</v>
      </c>
      <c r="BA144" s="31">
        <f t="shared" ref="BA144:BA145" si="187">SUM(AN144:AZ144)</f>
        <v>-80257.42</v>
      </c>
    </row>
    <row r="145" spans="1:53" s="9" customFormat="1" ht="12.75" x14ac:dyDescent="0.2">
      <c r="A145" s="115"/>
      <c r="B145" s="3" t="s">
        <v>110</v>
      </c>
      <c r="C145" s="20">
        <v>11976.55</v>
      </c>
      <c r="D145" s="20">
        <v>0</v>
      </c>
      <c r="E145" s="20">
        <v>0</v>
      </c>
      <c r="F145" s="24">
        <v>0</v>
      </c>
      <c r="G145" s="24">
        <v>0</v>
      </c>
      <c r="H145" s="20">
        <v>0</v>
      </c>
      <c r="I145" s="20">
        <v>0</v>
      </c>
      <c r="J145" s="20">
        <v>0</v>
      </c>
      <c r="K145" s="20">
        <v>0</v>
      </c>
      <c r="L145" s="83">
        <v>0</v>
      </c>
      <c r="M145" s="83">
        <v>0</v>
      </c>
      <c r="N145" s="83">
        <v>0</v>
      </c>
      <c r="O145" s="83">
        <v>11976.55</v>
      </c>
      <c r="P145" s="83">
        <v>0</v>
      </c>
      <c r="Q145" s="83">
        <v>0</v>
      </c>
      <c r="R145" s="83">
        <v>0</v>
      </c>
      <c r="S145" s="83">
        <v>0</v>
      </c>
      <c r="T145" s="83">
        <v>0</v>
      </c>
      <c r="U145" s="83">
        <v>0</v>
      </c>
      <c r="V145" s="83">
        <v>0</v>
      </c>
      <c r="W145" s="83">
        <v>0</v>
      </c>
      <c r="X145" s="83">
        <v>0</v>
      </c>
      <c r="Y145" s="83">
        <v>0</v>
      </c>
      <c r="Z145" s="83">
        <v>0</v>
      </c>
      <c r="AA145" s="31">
        <f>SUM(O145:Z145)</f>
        <v>11976.55</v>
      </c>
      <c r="AB145" s="83">
        <v>0</v>
      </c>
      <c r="AC145" s="83">
        <v>0</v>
      </c>
      <c r="AD145" s="83">
        <v>0</v>
      </c>
      <c r="AE145" s="83">
        <v>0</v>
      </c>
      <c r="AF145" s="83">
        <v>0</v>
      </c>
      <c r="AG145" s="83">
        <v>0</v>
      </c>
      <c r="AH145" s="83">
        <v>0</v>
      </c>
      <c r="AI145" s="83">
        <v>0</v>
      </c>
      <c r="AJ145" s="83">
        <v>0</v>
      </c>
      <c r="AK145" s="83">
        <v>0</v>
      </c>
      <c r="AL145" s="83">
        <v>-1401.75</v>
      </c>
      <c r="AM145" s="83">
        <v>0</v>
      </c>
      <c r="AN145" s="31">
        <f>SUM(AA145:AM145)</f>
        <v>10574.8</v>
      </c>
      <c r="AO145" s="83">
        <v>0</v>
      </c>
      <c r="AP145" s="83">
        <v>0</v>
      </c>
      <c r="AQ145" s="83">
        <v>0</v>
      </c>
      <c r="AR145" s="83">
        <v>0</v>
      </c>
      <c r="AS145" s="83">
        <v>0</v>
      </c>
      <c r="AT145" s="83">
        <v>0</v>
      </c>
      <c r="AU145" s="83">
        <v>0</v>
      </c>
      <c r="AV145" s="83"/>
      <c r="AW145" s="83"/>
      <c r="AX145" s="83"/>
      <c r="AY145" s="83"/>
      <c r="AZ145" s="83"/>
      <c r="BA145" s="31">
        <f t="shared" si="187"/>
        <v>10574.8</v>
      </c>
    </row>
    <row r="146" spans="1:53" s="9" customFormat="1" ht="12.75" x14ac:dyDescent="0.2">
      <c r="A146" s="115"/>
      <c r="B146" s="13" t="s">
        <v>1591</v>
      </c>
      <c r="C146" s="41">
        <f t="shared" ref="C146:AK146" si="188">SUM(C144:C145)</f>
        <v>-68280.87</v>
      </c>
      <c r="D146" s="41">
        <f t="shared" si="188"/>
        <v>0</v>
      </c>
      <c r="E146" s="41">
        <f t="shared" si="188"/>
        <v>0</v>
      </c>
      <c r="F146" s="41">
        <f t="shared" si="188"/>
        <v>0</v>
      </c>
      <c r="G146" s="41">
        <f t="shared" si="188"/>
        <v>0</v>
      </c>
      <c r="H146" s="41">
        <f t="shared" si="188"/>
        <v>0</v>
      </c>
      <c r="I146" s="41">
        <f t="shared" si="188"/>
        <v>0</v>
      </c>
      <c r="J146" s="41">
        <f t="shared" si="188"/>
        <v>0</v>
      </c>
      <c r="K146" s="41">
        <f t="shared" si="188"/>
        <v>0</v>
      </c>
      <c r="L146" s="84">
        <f t="shared" si="188"/>
        <v>0</v>
      </c>
      <c r="M146" s="84">
        <f t="shared" si="188"/>
        <v>0</v>
      </c>
      <c r="N146" s="84">
        <f t="shared" si="188"/>
        <v>0</v>
      </c>
      <c r="O146" s="41">
        <f t="shared" si="188"/>
        <v>-68280.87</v>
      </c>
      <c r="P146" s="41">
        <f t="shared" si="188"/>
        <v>0</v>
      </c>
      <c r="Q146" s="41">
        <f t="shared" si="188"/>
        <v>0</v>
      </c>
      <c r="R146" s="41">
        <f t="shared" si="188"/>
        <v>0</v>
      </c>
      <c r="S146" s="41">
        <f t="shared" si="188"/>
        <v>0</v>
      </c>
      <c r="T146" s="41">
        <f t="shared" si="188"/>
        <v>0</v>
      </c>
      <c r="U146" s="41">
        <f t="shared" si="188"/>
        <v>0</v>
      </c>
      <c r="V146" s="41">
        <f t="shared" si="188"/>
        <v>0</v>
      </c>
      <c r="W146" s="41">
        <f t="shared" si="188"/>
        <v>0</v>
      </c>
      <c r="X146" s="41">
        <f t="shared" si="188"/>
        <v>0</v>
      </c>
      <c r="Y146" s="41">
        <f t="shared" si="188"/>
        <v>0</v>
      </c>
      <c r="Z146" s="41">
        <f t="shared" si="188"/>
        <v>0</v>
      </c>
      <c r="AA146" s="41">
        <f t="shared" si="188"/>
        <v>-68280.87</v>
      </c>
      <c r="AB146" s="41">
        <f t="shared" si="188"/>
        <v>0</v>
      </c>
      <c r="AC146" s="41">
        <f t="shared" si="188"/>
        <v>0</v>
      </c>
      <c r="AD146" s="41">
        <f t="shared" si="188"/>
        <v>0</v>
      </c>
      <c r="AE146" s="41">
        <f t="shared" si="188"/>
        <v>0</v>
      </c>
      <c r="AF146" s="41">
        <f t="shared" si="188"/>
        <v>0</v>
      </c>
      <c r="AG146" s="41">
        <f t="shared" si="188"/>
        <v>0</v>
      </c>
      <c r="AH146" s="41">
        <f t="shared" si="188"/>
        <v>0</v>
      </c>
      <c r="AI146" s="41">
        <f t="shared" si="188"/>
        <v>0</v>
      </c>
      <c r="AJ146" s="41">
        <f t="shared" si="188"/>
        <v>0</v>
      </c>
      <c r="AK146" s="41">
        <f t="shared" si="188"/>
        <v>0</v>
      </c>
      <c r="AL146" s="41">
        <f t="shared" ref="AL146:AM146" si="189">SUM(AL144:AL145)</f>
        <v>-1401.75</v>
      </c>
      <c r="AM146" s="41">
        <f t="shared" si="189"/>
        <v>0</v>
      </c>
      <c r="AN146" s="128">
        <f>SUM(AN144:AN145)</f>
        <v>-69682.62</v>
      </c>
      <c r="AO146" s="41">
        <f t="shared" ref="AO146:AU146" si="190">SUM(AO144:AO145)</f>
        <v>0</v>
      </c>
      <c r="AP146" s="41">
        <f t="shared" si="190"/>
        <v>0</v>
      </c>
      <c r="AQ146" s="41">
        <f t="shared" si="190"/>
        <v>0</v>
      </c>
      <c r="AR146" s="41">
        <f t="shared" si="190"/>
        <v>0</v>
      </c>
      <c r="AS146" s="41">
        <f t="shared" si="190"/>
        <v>0</v>
      </c>
      <c r="AT146" s="41">
        <f t="shared" si="190"/>
        <v>0</v>
      </c>
      <c r="AU146" s="41">
        <f t="shared" si="190"/>
        <v>0</v>
      </c>
      <c r="AV146" s="41">
        <f t="shared" ref="AV146" si="191">SUM(AV144:AV145)</f>
        <v>0</v>
      </c>
      <c r="AW146" s="41">
        <f t="shared" ref="AW146" si="192">SUM(AW144:AW145)</f>
        <v>0</v>
      </c>
      <c r="AX146" s="41">
        <f t="shared" ref="AX146:AZ146" si="193">SUM(AX144:AX145)</f>
        <v>0</v>
      </c>
      <c r="AY146" s="41">
        <f t="shared" si="193"/>
        <v>0</v>
      </c>
      <c r="AZ146" s="41">
        <f t="shared" si="193"/>
        <v>0</v>
      </c>
      <c r="BA146" s="128">
        <f>SUM(BA144:BA145)</f>
        <v>-69682.62</v>
      </c>
    </row>
    <row r="147" spans="1:53" x14ac:dyDescent="0.2">
      <c r="B147" s="3" t="s">
        <v>105</v>
      </c>
      <c r="C147" s="20">
        <v>2811368.31</v>
      </c>
      <c r="D147" s="20">
        <v>0</v>
      </c>
      <c r="E147" s="20">
        <v>816698.63</v>
      </c>
      <c r="F147" s="24">
        <v>13654.83</v>
      </c>
      <c r="G147" s="24">
        <v>3188.98</v>
      </c>
      <c r="H147" s="20">
        <v>0</v>
      </c>
      <c r="I147" s="20">
        <v>-1325075.56</v>
      </c>
      <c r="J147" s="20">
        <v>0</v>
      </c>
      <c r="K147" s="20">
        <v>0</v>
      </c>
      <c r="L147" s="83">
        <v>0</v>
      </c>
      <c r="M147" s="83">
        <v>0</v>
      </c>
      <c r="N147" s="83">
        <v>-2319835.19</v>
      </c>
      <c r="O147" s="83">
        <v>0</v>
      </c>
      <c r="P147" s="83">
        <v>0</v>
      </c>
      <c r="Q147" s="83">
        <v>719812.48</v>
      </c>
      <c r="R147" s="83">
        <v>17102.32</v>
      </c>
      <c r="S147" s="83">
        <v>0</v>
      </c>
      <c r="T147" s="83">
        <v>0</v>
      </c>
      <c r="U147" s="83">
        <v>0</v>
      </c>
      <c r="V147" s="83">
        <v>0</v>
      </c>
      <c r="W147" s="83">
        <v>0</v>
      </c>
      <c r="X147" s="83">
        <v>0</v>
      </c>
      <c r="Y147" s="83">
        <v>0</v>
      </c>
      <c r="Z147" s="83">
        <v>-736914.8</v>
      </c>
      <c r="AA147" s="31">
        <f t="shared" ref="AA147:AA159" si="194">SUM(O147:Z147)</f>
        <v>0</v>
      </c>
      <c r="AB147" s="83">
        <v>0</v>
      </c>
      <c r="AC147" s="83">
        <v>0</v>
      </c>
      <c r="AD147" s="83">
        <v>0</v>
      </c>
      <c r="AE147" s="83">
        <v>0</v>
      </c>
      <c r="AF147" s="83">
        <v>0</v>
      </c>
      <c r="AG147" s="83">
        <v>0</v>
      </c>
      <c r="AH147" s="83">
        <v>0</v>
      </c>
      <c r="AI147" s="83">
        <v>0</v>
      </c>
      <c r="AJ147" s="83">
        <v>0</v>
      </c>
      <c r="AK147" s="83">
        <v>0</v>
      </c>
      <c r="AL147" s="83">
        <v>0</v>
      </c>
      <c r="AM147" s="83">
        <v>0</v>
      </c>
      <c r="AN147" s="31">
        <f t="shared" ref="AN147:AN159" si="195">SUM(AA147:AM147)</f>
        <v>0</v>
      </c>
      <c r="AO147" s="83">
        <v>0</v>
      </c>
      <c r="AP147" s="83">
        <v>0</v>
      </c>
      <c r="AQ147" s="83">
        <v>0</v>
      </c>
      <c r="AR147" s="83">
        <v>0</v>
      </c>
      <c r="AS147" s="83">
        <v>0</v>
      </c>
      <c r="AT147" s="83">
        <v>0</v>
      </c>
      <c r="AU147" s="83">
        <v>0</v>
      </c>
      <c r="BA147" s="31">
        <f t="shared" ref="BA147:BA159" si="196">SUM(AN147:AZ147)</f>
        <v>0</v>
      </c>
    </row>
    <row r="148" spans="1:53" x14ac:dyDescent="0.2">
      <c r="B148" s="3" t="s">
        <v>1863</v>
      </c>
      <c r="AA148" s="31">
        <f t="shared" si="194"/>
        <v>0</v>
      </c>
      <c r="AC148" s="83">
        <v>778970.85</v>
      </c>
      <c r="AD148" s="83">
        <v>0</v>
      </c>
      <c r="AE148" s="83">
        <v>0</v>
      </c>
      <c r="AF148" s="83">
        <v>0</v>
      </c>
      <c r="AG148" s="83">
        <v>0</v>
      </c>
      <c r="AH148" s="83">
        <v>0</v>
      </c>
      <c r="AI148" s="83">
        <v>0</v>
      </c>
      <c r="AJ148" s="83">
        <v>0</v>
      </c>
      <c r="AK148" s="83">
        <v>0</v>
      </c>
      <c r="AL148" s="83">
        <v>0</v>
      </c>
      <c r="AM148" s="83">
        <v>-778970.85</v>
      </c>
      <c r="AN148" s="31">
        <f t="shared" si="195"/>
        <v>0</v>
      </c>
      <c r="AO148" s="83">
        <v>0</v>
      </c>
      <c r="AP148" s="83">
        <v>801929.65</v>
      </c>
      <c r="AQ148" s="83">
        <v>0</v>
      </c>
      <c r="AR148" s="83">
        <v>0</v>
      </c>
      <c r="AS148" s="83">
        <v>0</v>
      </c>
      <c r="AT148" s="83">
        <v>0</v>
      </c>
      <c r="AU148" s="83">
        <v>0</v>
      </c>
      <c r="BA148" s="31">
        <f t="shared" si="196"/>
        <v>801929.65</v>
      </c>
    </row>
    <row r="149" spans="1:53" x14ac:dyDescent="0.2">
      <c r="B149" s="3" t="s">
        <v>106</v>
      </c>
      <c r="C149" s="20">
        <v>1049391.33</v>
      </c>
      <c r="D149" s="20">
        <v>0</v>
      </c>
      <c r="E149" s="20">
        <v>0</v>
      </c>
      <c r="F149" s="24">
        <v>0</v>
      </c>
      <c r="G149" s="24">
        <v>0</v>
      </c>
      <c r="H149" s="20">
        <v>-32947.410000000003</v>
      </c>
      <c r="I149" s="20">
        <v>38464.42</v>
      </c>
      <c r="J149" s="20">
        <v>0</v>
      </c>
      <c r="K149" s="20">
        <v>176867.43</v>
      </c>
      <c r="L149" s="83">
        <v>0</v>
      </c>
      <c r="M149" s="83">
        <v>-493734.71</v>
      </c>
      <c r="N149" s="83">
        <v>-103294.55</v>
      </c>
      <c r="O149" s="83">
        <v>634746.51</v>
      </c>
      <c r="P149" s="83">
        <v>143789.88</v>
      </c>
      <c r="Q149" s="83">
        <v>0</v>
      </c>
      <c r="R149" s="83">
        <v>0</v>
      </c>
      <c r="S149" s="83">
        <v>-118204.96</v>
      </c>
      <c r="T149" s="83">
        <v>-41303.230000000003</v>
      </c>
      <c r="U149" s="83">
        <v>164885.28</v>
      </c>
      <c r="V149" s="83">
        <v>0</v>
      </c>
      <c r="W149" s="83">
        <v>-83479.98</v>
      </c>
      <c r="X149" s="83">
        <v>-24130.26</v>
      </c>
      <c r="Y149" s="83">
        <v>80293.649999999994</v>
      </c>
      <c r="Z149" s="83">
        <v>0</v>
      </c>
      <c r="AA149" s="31">
        <f t="shared" si="194"/>
        <v>756596.89000000013</v>
      </c>
      <c r="AB149" s="83">
        <v>-756596.89</v>
      </c>
      <c r="AC149" s="83">
        <v>0</v>
      </c>
      <c r="AD149" s="83">
        <v>0</v>
      </c>
      <c r="AE149" s="83">
        <v>0</v>
      </c>
      <c r="AF149" s="83">
        <v>0</v>
      </c>
      <c r="AG149" s="83">
        <v>0</v>
      </c>
      <c r="AH149" s="83">
        <v>0</v>
      </c>
      <c r="AI149" s="83">
        <v>0</v>
      </c>
      <c r="AJ149" s="83">
        <v>0</v>
      </c>
      <c r="AK149" s="83">
        <v>0</v>
      </c>
      <c r="AL149" s="83">
        <v>0</v>
      </c>
      <c r="AM149" s="83">
        <v>0</v>
      </c>
      <c r="AN149" s="31">
        <f t="shared" si="195"/>
        <v>1.1641532182693481E-10</v>
      </c>
      <c r="AO149" s="83">
        <v>0</v>
      </c>
      <c r="AP149" s="83">
        <v>0</v>
      </c>
      <c r="AQ149" s="83">
        <v>0</v>
      </c>
      <c r="AR149" s="83">
        <v>0</v>
      </c>
      <c r="AS149" s="83">
        <v>0</v>
      </c>
      <c r="AT149" s="83">
        <v>0</v>
      </c>
      <c r="AU149" s="83">
        <v>0</v>
      </c>
      <c r="BA149" s="31">
        <f t="shared" si="196"/>
        <v>1.1641532182693481E-10</v>
      </c>
    </row>
    <row r="150" spans="1:53" x14ac:dyDescent="0.2">
      <c r="B150" s="3" t="s">
        <v>1856</v>
      </c>
      <c r="AA150" s="31">
        <f t="shared" si="194"/>
        <v>0</v>
      </c>
      <c r="AB150" s="83">
        <v>776161.59</v>
      </c>
      <c r="AC150" s="83">
        <v>0</v>
      </c>
      <c r="AD150" s="83">
        <v>-168197.97</v>
      </c>
      <c r="AE150" s="83">
        <v>90349.96</v>
      </c>
      <c r="AF150" s="83">
        <v>0</v>
      </c>
      <c r="AG150" s="83">
        <v>0</v>
      </c>
      <c r="AH150" s="83">
        <v>0</v>
      </c>
      <c r="AI150" s="83">
        <v>0</v>
      </c>
      <c r="AJ150" s="83">
        <v>0</v>
      </c>
      <c r="AK150" s="83">
        <v>0</v>
      </c>
      <c r="AL150" s="83">
        <v>0</v>
      </c>
      <c r="AM150" s="83">
        <v>0</v>
      </c>
      <c r="AN150" s="31">
        <f t="shared" si="195"/>
        <v>698313.58</v>
      </c>
      <c r="AO150" s="83">
        <v>-172660.44</v>
      </c>
      <c r="AP150" s="83">
        <v>0</v>
      </c>
      <c r="AQ150" s="83">
        <v>0</v>
      </c>
      <c r="AR150" s="83">
        <v>-28881.67</v>
      </c>
      <c r="AS150" s="83">
        <v>0</v>
      </c>
      <c r="AT150" s="83">
        <v>0</v>
      </c>
      <c r="AU150" s="83">
        <v>0</v>
      </c>
      <c r="BA150" s="31">
        <f t="shared" si="196"/>
        <v>496771.46999999991</v>
      </c>
    </row>
    <row r="151" spans="1:53" x14ac:dyDescent="0.2">
      <c r="B151" s="3" t="s">
        <v>1857</v>
      </c>
      <c r="AA151" s="31">
        <f t="shared" si="194"/>
        <v>0</v>
      </c>
      <c r="AB151" s="83">
        <v>331278.13</v>
      </c>
      <c r="AC151" s="83">
        <v>8459.34</v>
      </c>
      <c r="AD151" s="83">
        <v>5014.6099999999997</v>
      </c>
      <c r="AE151" s="83">
        <v>278.64999999999998</v>
      </c>
      <c r="AF151" s="83">
        <v>1705.74</v>
      </c>
      <c r="AG151" s="83">
        <v>-64.59</v>
      </c>
      <c r="AH151" s="83">
        <v>-2028.01</v>
      </c>
      <c r="AI151" s="83">
        <v>4456.47</v>
      </c>
      <c r="AJ151" s="83">
        <v>-3168.53</v>
      </c>
      <c r="AK151" s="83">
        <v>-3277.47</v>
      </c>
      <c r="AL151" s="83">
        <v>2297.79</v>
      </c>
      <c r="AM151" s="83">
        <v>-4613.8599999999997</v>
      </c>
      <c r="AN151" s="31">
        <f t="shared" si="195"/>
        <v>340338.26999999996</v>
      </c>
      <c r="AO151" s="83">
        <v>7340.64</v>
      </c>
      <c r="AP151" s="83">
        <v>-7046.12</v>
      </c>
      <c r="AQ151" s="83">
        <v>5453.72</v>
      </c>
      <c r="AR151" s="83">
        <v>3948.73</v>
      </c>
      <c r="AS151" s="83">
        <v>-408.93</v>
      </c>
      <c r="AT151" s="83">
        <v>747.68</v>
      </c>
      <c r="AU151" s="83">
        <v>-880.13</v>
      </c>
      <c r="BA151" s="31">
        <f t="shared" si="196"/>
        <v>349493.85999999993</v>
      </c>
    </row>
    <row r="152" spans="1:53" x14ac:dyDescent="0.2">
      <c r="B152" s="3" t="s">
        <v>107</v>
      </c>
      <c r="C152" s="20">
        <v>-2811368.21</v>
      </c>
      <c r="D152" s="20">
        <v>0</v>
      </c>
      <c r="E152" s="20">
        <v>-204174.63</v>
      </c>
      <c r="F152" s="24">
        <v>-71218.61</v>
      </c>
      <c r="G152" s="24">
        <v>-71916.009999999995</v>
      </c>
      <c r="H152" s="20">
        <v>-69461.850000000006</v>
      </c>
      <c r="I152" s="20">
        <v>1255613.71</v>
      </c>
      <c r="J152" s="20">
        <v>-69461.850000000006</v>
      </c>
      <c r="K152" s="20">
        <v>-69461.850000000006</v>
      </c>
      <c r="L152" s="83">
        <v>-69461.850000000006</v>
      </c>
      <c r="M152" s="83">
        <v>-69461.850000000006</v>
      </c>
      <c r="N152" s="83">
        <v>2250373</v>
      </c>
      <c r="O152" s="83">
        <v>0</v>
      </c>
      <c r="P152" s="83">
        <v>0</v>
      </c>
      <c r="Q152" s="83">
        <v>-184228.68</v>
      </c>
      <c r="R152" s="83">
        <v>-61409.56</v>
      </c>
      <c r="S152" s="83">
        <v>-61409.56</v>
      </c>
      <c r="T152" s="83">
        <v>-61409.56</v>
      </c>
      <c r="U152" s="83">
        <v>-61409.56</v>
      </c>
      <c r="V152" s="83">
        <v>-61409.56</v>
      </c>
      <c r="W152" s="83">
        <v>-61409.56</v>
      </c>
      <c r="X152" s="83">
        <v>-61409.56</v>
      </c>
      <c r="Y152" s="83">
        <v>-61409.56</v>
      </c>
      <c r="Z152" s="83">
        <v>675505.16</v>
      </c>
      <c r="AA152" s="31">
        <f t="shared" si="194"/>
        <v>0</v>
      </c>
      <c r="AB152" s="83">
        <v>0</v>
      </c>
      <c r="AC152" s="83">
        <v>0</v>
      </c>
      <c r="AD152" s="83">
        <v>0</v>
      </c>
      <c r="AE152" s="83">
        <v>0</v>
      </c>
      <c r="AF152" s="83">
        <v>0</v>
      </c>
      <c r="AG152" s="83">
        <v>0</v>
      </c>
      <c r="AH152" s="83">
        <v>0</v>
      </c>
      <c r="AI152" s="83">
        <v>0</v>
      </c>
      <c r="AJ152" s="83">
        <v>0</v>
      </c>
      <c r="AK152" s="83">
        <v>0</v>
      </c>
      <c r="AL152" s="83">
        <v>0</v>
      </c>
      <c r="AM152" s="83">
        <v>0</v>
      </c>
      <c r="AN152" s="31">
        <f t="shared" si="195"/>
        <v>0</v>
      </c>
      <c r="AO152" s="83">
        <v>0</v>
      </c>
      <c r="AP152" s="83">
        <v>0</v>
      </c>
      <c r="AQ152" s="83">
        <v>0</v>
      </c>
      <c r="AR152" s="83">
        <v>0</v>
      </c>
      <c r="AS152" s="83">
        <v>0</v>
      </c>
      <c r="AT152" s="83">
        <v>0</v>
      </c>
      <c r="AU152" s="83">
        <v>0</v>
      </c>
      <c r="BA152" s="31">
        <f t="shared" si="196"/>
        <v>0</v>
      </c>
    </row>
    <row r="153" spans="1:53" x14ac:dyDescent="0.2">
      <c r="B153" s="3" t="s">
        <v>1864</v>
      </c>
      <c r="AA153" s="31">
        <f t="shared" si="194"/>
        <v>0</v>
      </c>
      <c r="AC153" s="83">
        <v>-129828.48</v>
      </c>
      <c r="AD153" s="83">
        <v>-64914.22</v>
      </c>
      <c r="AE153" s="83">
        <v>-64914.26</v>
      </c>
      <c r="AF153" s="83">
        <v>-64914.22</v>
      </c>
      <c r="AG153" s="83">
        <v>-64914.26</v>
      </c>
      <c r="AH153" s="83">
        <v>-64914.21</v>
      </c>
      <c r="AI153" s="83">
        <v>-64914.26</v>
      </c>
      <c r="AJ153" s="83">
        <v>-64914.21</v>
      </c>
      <c r="AK153" s="83">
        <v>-64914.26</v>
      </c>
      <c r="AL153" s="83">
        <v>-64914.21</v>
      </c>
      <c r="AM153" s="83">
        <v>714056.59</v>
      </c>
      <c r="AN153" s="31">
        <f t="shared" si="195"/>
        <v>0</v>
      </c>
      <c r="AO153" s="83">
        <v>0</v>
      </c>
      <c r="AP153" s="83">
        <v>-133654.93</v>
      </c>
      <c r="AQ153" s="83">
        <v>-66827.460000000006</v>
      </c>
      <c r="AR153" s="83">
        <v>-66827.490000000005</v>
      </c>
      <c r="AS153" s="83">
        <v>-66827.45</v>
      </c>
      <c r="AT153" s="83">
        <v>-66827.490000000005</v>
      </c>
      <c r="AU153" s="83">
        <v>-66827.45</v>
      </c>
      <c r="BA153" s="31">
        <f t="shared" si="196"/>
        <v>-467792.27</v>
      </c>
    </row>
    <row r="154" spans="1:53" x14ac:dyDescent="0.2">
      <c r="B154" s="3" t="s">
        <v>108</v>
      </c>
      <c r="C154" s="20">
        <v>-704193.77</v>
      </c>
      <c r="D154" s="20">
        <v>-18519.04</v>
      </c>
      <c r="E154" s="20">
        <v>-16715.16</v>
      </c>
      <c r="F154" s="24">
        <v>-15632.77</v>
      </c>
      <c r="G154" s="24">
        <v>-15416.29</v>
      </c>
      <c r="H154" s="20">
        <v>17531.75</v>
      </c>
      <c r="I154" s="20">
        <v>-22108.99</v>
      </c>
      <c r="J154" s="20">
        <v>-18593.46</v>
      </c>
      <c r="K154" s="20">
        <v>-62810.28</v>
      </c>
      <c r="L154" s="83">
        <v>-25962.93</v>
      </c>
      <c r="M154" s="83">
        <v>472513.82</v>
      </c>
      <c r="N154" s="83">
        <v>82073.59</v>
      </c>
      <c r="O154" s="83">
        <v>-349054.42</v>
      </c>
      <c r="P154" s="83">
        <v>-26198.05</v>
      </c>
      <c r="Q154" s="83">
        <v>-22203.89</v>
      </c>
      <c r="R154" s="83">
        <v>-22203.89</v>
      </c>
      <c r="S154" s="83">
        <v>96000.65</v>
      </c>
      <c r="T154" s="83">
        <v>22276.49</v>
      </c>
      <c r="U154" s="83">
        <v>-60248.160000000003</v>
      </c>
      <c r="V154" s="83">
        <v>-22418.639999999999</v>
      </c>
      <c r="W154" s="83">
        <v>61061.04</v>
      </c>
      <c r="X154" s="83">
        <v>1711.68</v>
      </c>
      <c r="Y154" s="83">
        <v>-31449.919999999998</v>
      </c>
      <c r="Z154" s="83">
        <v>-24758.78</v>
      </c>
      <c r="AA154" s="31">
        <f t="shared" si="194"/>
        <v>-377485.89</v>
      </c>
      <c r="AB154" s="83">
        <v>377485.89</v>
      </c>
      <c r="AC154" s="83">
        <v>0</v>
      </c>
      <c r="AD154" s="83">
        <v>0</v>
      </c>
      <c r="AE154" s="83">
        <v>0</v>
      </c>
      <c r="AF154" s="83">
        <v>0</v>
      </c>
      <c r="AG154" s="83">
        <v>0</v>
      </c>
      <c r="AH154" s="83">
        <v>0</v>
      </c>
      <c r="AI154" s="83">
        <v>0</v>
      </c>
      <c r="AJ154" s="83">
        <v>0</v>
      </c>
      <c r="AK154" s="83">
        <v>0</v>
      </c>
      <c r="AL154" s="83">
        <v>0</v>
      </c>
      <c r="AM154" s="83">
        <v>0</v>
      </c>
      <c r="AN154" s="31">
        <f t="shared" si="195"/>
        <v>0</v>
      </c>
      <c r="AO154" s="83">
        <v>0</v>
      </c>
      <c r="AP154" s="83">
        <v>0</v>
      </c>
      <c r="AQ154" s="83">
        <v>0</v>
      </c>
      <c r="AR154" s="83">
        <v>0</v>
      </c>
      <c r="AS154" s="83">
        <v>0</v>
      </c>
      <c r="AT154" s="83">
        <v>0</v>
      </c>
      <c r="AU154" s="83">
        <v>0</v>
      </c>
      <c r="BA154" s="31">
        <f t="shared" si="196"/>
        <v>0</v>
      </c>
    </row>
    <row r="155" spans="1:53" x14ac:dyDescent="0.2">
      <c r="B155" s="3" t="s">
        <v>1858</v>
      </c>
      <c r="AA155" s="31">
        <f t="shared" si="194"/>
        <v>0</v>
      </c>
      <c r="AB155" s="83">
        <v>-408238.89</v>
      </c>
      <c r="AC155" s="83">
        <v>-25170.05</v>
      </c>
      <c r="AD155" s="83">
        <v>143027.85999999999</v>
      </c>
      <c r="AE155" s="83">
        <v>-21926.43</v>
      </c>
      <c r="AF155" s="83">
        <v>-21926.46</v>
      </c>
      <c r="AG155" s="83">
        <v>-21926.43</v>
      </c>
      <c r="AH155" s="83">
        <v>-21926.560000000001</v>
      </c>
      <c r="AI155" s="83">
        <v>-21926.44</v>
      </c>
      <c r="AJ155" s="83">
        <v>-21926.51</v>
      </c>
      <c r="AK155" s="83">
        <v>-21926.48</v>
      </c>
      <c r="AL155" s="83">
        <v>-21926.52</v>
      </c>
      <c r="AM155" s="83">
        <v>-21926.43</v>
      </c>
      <c r="AN155" s="31">
        <f t="shared" si="195"/>
        <v>-487719.34</v>
      </c>
      <c r="AO155" s="83">
        <v>150733.85</v>
      </c>
      <c r="AP155" s="83">
        <v>-14794.9</v>
      </c>
      <c r="AQ155" s="83">
        <v>-14794.88</v>
      </c>
      <c r="AR155" s="83">
        <v>39182.449999999997</v>
      </c>
      <c r="AS155" s="83">
        <v>-15605.99</v>
      </c>
      <c r="AT155" s="83">
        <v>-15606.07</v>
      </c>
      <c r="AU155" s="83">
        <v>-15606.06</v>
      </c>
      <c r="BA155" s="31">
        <f t="shared" si="196"/>
        <v>-374210.94</v>
      </c>
    </row>
    <row r="156" spans="1:53" x14ac:dyDescent="0.2">
      <c r="B156" s="3" t="s">
        <v>1859</v>
      </c>
      <c r="AA156" s="31">
        <f t="shared" si="194"/>
        <v>0</v>
      </c>
      <c r="AB156" s="83">
        <v>-132380.54999999999</v>
      </c>
      <c r="AC156" s="83">
        <v>-2995.58</v>
      </c>
      <c r="AD156" s="83">
        <v>-6574.08</v>
      </c>
      <c r="AE156" s="83">
        <v>-6723.86</v>
      </c>
      <c r="AF156" s="83">
        <v>-6292.35</v>
      </c>
      <c r="AG156" s="83">
        <v>-5793.37</v>
      </c>
      <c r="AH156" s="83">
        <v>6867.22</v>
      </c>
      <c r="AI156" s="83">
        <v>-2215.7399999999998</v>
      </c>
      <c r="AJ156" s="83">
        <v>10746.36</v>
      </c>
      <c r="AK156" s="83">
        <v>2222.2399999999998</v>
      </c>
      <c r="AL156" s="83">
        <v>-2237.16</v>
      </c>
      <c r="AM156" s="83">
        <v>-2578.2399999999998</v>
      </c>
      <c r="AN156" s="31">
        <f t="shared" si="195"/>
        <v>-147955.10999999996</v>
      </c>
      <c r="AO156" s="83">
        <v>-1324.7</v>
      </c>
      <c r="AP156" s="83">
        <v>-1182.8499999999999</v>
      </c>
      <c r="AQ156" s="83">
        <v>-8845.5499999999993</v>
      </c>
      <c r="AR156" s="83">
        <v>-6835.72</v>
      </c>
      <c r="AS156" s="83">
        <v>-3175.86</v>
      </c>
      <c r="AT156" s="83">
        <v>-4412.71</v>
      </c>
      <c r="AU156" s="83">
        <v>-6144.7</v>
      </c>
      <c r="BA156" s="31">
        <f t="shared" si="196"/>
        <v>-179877.19999999995</v>
      </c>
    </row>
    <row r="157" spans="1:53" ht="12" customHeight="1" x14ac:dyDescent="0.2">
      <c r="B157" s="3" t="s">
        <v>111</v>
      </c>
      <c r="C157" s="4">
        <v>10624.89</v>
      </c>
      <c r="D157" s="20">
        <v>0</v>
      </c>
      <c r="E157" s="20">
        <v>0</v>
      </c>
      <c r="F157" s="24">
        <v>0</v>
      </c>
      <c r="G157" s="24">
        <v>0</v>
      </c>
      <c r="H157" s="20">
        <v>0</v>
      </c>
      <c r="I157" s="20">
        <v>0</v>
      </c>
      <c r="J157" s="20">
        <v>0</v>
      </c>
      <c r="K157" s="20">
        <v>-725.74</v>
      </c>
      <c r="L157" s="83">
        <v>-899.93</v>
      </c>
      <c r="M157" s="83">
        <v>-870.89</v>
      </c>
      <c r="N157" s="83">
        <v>-899.92</v>
      </c>
      <c r="O157" s="83">
        <v>6328.49</v>
      </c>
      <c r="P157" s="83">
        <v>-841.87</v>
      </c>
      <c r="Q157" s="83">
        <v>-899.92</v>
      </c>
      <c r="R157" s="83">
        <v>-870.89</v>
      </c>
      <c r="S157" s="83">
        <v>-899.92</v>
      </c>
      <c r="T157" s="83">
        <v>-870.9</v>
      </c>
      <c r="U157" s="83">
        <v>-899.92</v>
      </c>
      <c r="V157" s="83">
        <v>-899.92</v>
      </c>
      <c r="W157" s="83">
        <v>-145.15</v>
      </c>
      <c r="X157" s="83">
        <v>0</v>
      </c>
      <c r="Y157" s="83">
        <v>0</v>
      </c>
      <c r="Z157" s="83">
        <v>0</v>
      </c>
      <c r="AA157" s="31">
        <f t="shared" si="194"/>
        <v>-2.5579538487363607E-13</v>
      </c>
      <c r="AB157" s="83">
        <v>0</v>
      </c>
      <c r="AC157" s="83">
        <v>0</v>
      </c>
      <c r="AD157" s="83">
        <v>0</v>
      </c>
      <c r="AE157" s="83">
        <v>0</v>
      </c>
      <c r="AF157" s="83">
        <v>0</v>
      </c>
      <c r="AG157" s="83">
        <v>0</v>
      </c>
      <c r="AH157" s="83">
        <v>0</v>
      </c>
      <c r="AI157" s="83">
        <v>0</v>
      </c>
      <c r="AJ157" s="83">
        <v>0</v>
      </c>
      <c r="AK157" s="83">
        <v>0</v>
      </c>
      <c r="AL157" s="83">
        <v>0</v>
      </c>
      <c r="AM157" s="83">
        <v>0</v>
      </c>
      <c r="AN157" s="31">
        <f t="shared" si="195"/>
        <v>-2.5579538487363607E-13</v>
      </c>
      <c r="AO157" s="83">
        <v>0</v>
      </c>
      <c r="AP157" s="83">
        <v>0</v>
      </c>
      <c r="AQ157" s="83">
        <v>0</v>
      </c>
      <c r="AR157" s="83">
        <v>0</v>
      </c>
      <c r="AS157" s="83">
        <v>0</v>
      </c>
      <c r="AT157" s="83">
        <v>0</v>
      </c>
      <c r="AU157" s="83">
        <v>0</v>
      </c>
      <c r="BA157" s="31">
        <f t="shared" si="196"/>
        <v>-2.5579538487363607E-13</v>
      </c>
    </row>
    <row r="158" spans="1:53" x14ac:dyDescent="0.2">
      <c r="A158" s="3"/>
      <c r="B158" s="3" t="s">
        <v>94</v>
      </c>
      <c r="C158" s="20">
        <v>281808.56</v>
      </c>
      <c r="D158" s="20">
        <v>-2893.62</v>
      </c>
      <c r="E158" s="20">
        <v>-454.42</v>
      </c>
      <c r="F158" s="24">
        <v>8392.2999999999993</v>
      </c>
      <c r="G158" s="24">
        <v>-6778.67</v>
      </c>
      <c r="H158" s="20">
        <v>7627.36</v>
      </c>
      <c r="I158" s="20">
        <v>-2574.0100000000002</v>
      </c>
      <c r="J158" s="20">
        <v>0</v>
      </c>
      <c r="K158" s="20">
        <v>33371.18</v>
      </c>
      <c r="L158" s="83">
        <v>2732.66</v>
      </c>
      <c r="M158" s="83">
        <v>-42432.75</v>
      </c>
      <c r="N158" s="83">
        <v>31226.5</v>
      </c>
      <c r="O158" s="83">
        <v>295884.63</v>
      </c>
      <c r="P158" s="83">
        <v>-18114.810000000001</v>
      </c>
      <c r="Q158" s="83">
        <v>20929.240000000002</v>
      </c>
      <c r="R158" s="83">
        <v>20095.080000000002</v>
      </c>
      <c r="S158" s="83">
        <v>-3903.23</v>
      </c>
      <c r="T158" s="83">
        <v>-10730.07</v>
      </c>
      <c r="U158" s="83">
        <v>17342.97</v>
      </c>
      <c r="V158" s="83">
        <v>-16068.69</v>
      </c>
      <c r="W158" s="83">
        <v>15041.07</v>
      </c>
      <c r="X158" s="83">
        <v>-9949.31</v>
      </c>
      <c r="Y158" s="83">
        <v>24134.83</v>
      </c>
      <c r="Z158" s="83">
        <v>-30299.35</v>
      </c>
      <c r="AA158" s="31">
        <f t="shared" si="194"/>
        <v>304362.3600000001</v>
      </c>
      <c r="AB158" s="83">
        <v>-304353.78000000003</v>
      </c>
      <c r="AC158" s="83">
        <v>0</v>
      </c>
      <c r="AD158" s="83">
        <v>0</v>
      </c>
      <c r="AE158" s="83">
        <v>0</v>
      </c>
      <c r="AF158" s="83">
        <v>0</v>
      </c>
      <c r="AG158" s="83">
        <v>0</v>
      </c>
      <c r="AH158" s="83">
        <v>0</v>
      </c>
      <c r="AI158" s="83">
        <v>0</v>
      </c>
      <c r="AJ158" s="83">
        <v>0</v>
      </c>
      <c r="AK158" s="83">
        <v>0</v>
      </c>
      <c r="AL158" s="83">
        <v>0</v>
      </c>
      <c r="AM158" s="83">
        <v>0</v>
      </c>
      <c r="AN158" s="31">
        <f t="shared" si="195"/>
        <v>8.5800000000745058</v>
      </c>
      <c r="AO158" s="83">
        <v>0</v>
      </c>
      <c r="AP158" s="83">
        <v>0</v>
      </c>
      <c r="AQ158" s="83">
        <v>0</v>
      </c>
      <c r="AR158" s="83">
        <v>0</v>
      </c>
      <c r="AS158" s="83">
        <v>0</v>
      </c>
      <c r="AT158" s="83">
        <v>0</v>
      </c>
      <c r="AU158" s="83">
        <v>0</v>
      </c>
      <c r="BA158" s="31">
        <f t="shared" si="196"/>
        <v>8.5800000000745058</v>
      </c>
    </row>
    <row r="159" spans="1:53" x14ac:dyDescent="0.2">
      <c r="A159" s="3"/>
      <c r="B159" s="3" t="s">
        <v>96</v>
      </c>
      <c r="C159" s="20">
        <v>-155029.79</v>
      </c>
      <c r="D159" s="20">
        <v>-1432.45</v>
      </c>
      <c r="E159" s="20">
        <v>-3531.36</v>
      </c>
      <c r="F159" s="24">
        <v>-11705.98</v>
      </c>
      <c r="G159" s="24">
        <v>-8539.9699999999993</v>
      </c>
      <c r="H159" s="20">
        <v>-9475.52</v>
      </c>
      <c r="I159" s="20">
        <v>-4592.3999999999996</v>
      </c>
      <c r="J159" s="20">
        <v>-6921.16</v>
      </c>
      <c r="K159" s="20">
        <v>-9241.48</v>
      </c>
      <c r="L159" s="83">
        <v>-5214.1400000000003</v>
      </c>
      <c r="M159" s="83">
        <v>39847.24</v>
      </c>
      <c r="N159" s="83">
        <v>18512.66</v>
      </c>
      <c r="O159" s="83">
        <v>-151468.59</v>
      </c>
      <c r="P159" s="83">
        <v>8720.48</v>
      </c>
      <c r="Q159" s="83">
        <v>-10627.04</v>
      </c>
      <c r="R159" s="83">
        <v>-10287.11</v>
      </c>
      <c r="S159" s="83">
        <v>-5571.81</v>
      </c>
      <c r="T159" s="83">
        <v>1375.52</v>
      </c>
      <c r="U159" s="83">
        <v>-10139.33</v>
      </c>
      <c r="V159" s="83">
        <v>7399.38</v>
      </c>
      <c r="W159" s="83">
        <v>1273.04</v>
      </c>
      <c r="X159" s="83">
        <v>3558.16</v>
      </c>
      <c r="Y159" s="83">
        <v>12232.52</v>
      </c>
      <c r="Z159" s="83">
        <v>28834.6</v>
      </c>
      <c r="AA159" s="31">
        <f t="shared" si="194"/>
        <v>-124700.18</v>
      </c>
      <c r="AB159" s="83">
        <v>124590.11</v>
      </c>
      <c r="AC159" s="83">
        <v>0</v>
      </c>
      <c r="AD159" s="83">
        <v>0</v>
      </c>
      <c r="AE159" s="83">
        <v>0</v>
      </c>
      <c r="AF159" s="83">
        <v>0</v>
      </c>
      <c r="AG159" s="83">
        <v>0</v>
      </c>
      <c r="AH159" s="83">
        <v>0</v>
      </c>
      <c r="AI159" s="83">
        <v>0</v>
      </c>
      <c r="AJ159" s="83">
        <v>0</v>
      </c>
      <c r="AK159" s="83">
        <v>0</v>
      </c>
      <c r="AL159" s="83">
        <v>0</v>
      </c>
      <c r="AM159" s="83">
        <v>0</v>
      </c>
      <c r="AN159" s="31">
        <f t="shared" si="195"/>
        <v>-110.06999999999243</v>
      </c>
      <c r="AO159" s="83">
        <v>0</v>
      </c>
      <c r="AP159" s="83">
        <v>0</v>
      </c>
      <c r="AQ159" s="83">
        <v>0</v>
      </c>
      <c r="AR159" s="83">
        <v>0</v>
      </c>
      <c r="AS159" s="83">
        <v>0</v>
      </c>
      <c r="AT159" s="83">
        <v>0</v>
      </c>
      <c r="AU159" s="83">
        <v>0</v>
      </c>
      <c r="BA159" s="31">
        <f t="shared" si="196"/>
        <v>-110.06999999999243</v>
      </c>
    </row>
    <row r="160" spans="1:53" s="9" customFormat="1" ht="12.75" x14ac:dyDescent="0.2">
      <c r="A160" s="115"/>
      <c r="B160" s="13" t="s">
        <v>1783</v>
      </c>
      <c r="C160" s="41">
        <f t="shared" ref="C160:Z160" si="197">SUM(C147:C157)</f>
        <v>355822.55000000016</v>
      </c>
      <c r="D160" s="41">
        <f t="shared" si="197"/>
        <v>-18519.04</v>
      </c>
      <c r="E160" s="41">
        <f t="shared" si="197"/>
        <v>595808.84</v>
      </c>
      <c r="F160" s="41">
        <f t="shared" si="197"/>
        <v>-73196.55</v>
      </c>
      <c r="G160" s="41">
        <f t="shared" si="197"/>
        <v>-84143.32</v>
      </c>
      <c r="H160" s="41">
        <f t="shared" si="197"/>
        <v>-84877.510000000009</v>
      </c>
      <c r="I160" s="41">
        <f t="shared" si="197"/>
        <v>-53106.420000000173</v>
      </c>
      <c r="J160" s="41">
        <f t="shared" si="197"/>
        <v>-88055.31</v>
      </c>
      <c r="K160" s="41">
        <f t="shared" si="197"/>
        <v>43869.55999999999</v>
      </c>
      <c r="L160" s="84">
        <f t="shared" si="197"/>
        <v>-96324.709999999992</v>
      </c>
      <c r="M160" s="84">
        <f t="shared" si="197"/>
        <v>-91553.630000000048</v>
      </c>
      <c r="N160" s="84">
        <f t="shared" si="197"/>
        <v>-91583.06999999976</v>
      </c>
      <c r="O160" s="41">
        <f t="shared" si="197"/>
        <v>292020.58</v>
      </c>
      <c r="P160" s="41">
        <f t="shared" si="197"/>
        <v>116749.96</v>
      </c>
      <c r="Q160" s="41">
        <f t="shared" si="197"/>
        <v>512479.99000000005</v>
      </c>
      <c r="R160" s="41">
        <f t="shared" si="197"/>
        <v>-67382.02</v>
      </c>
      <c r="S160" s="41">
        <f t="shared" si="197"/>
        <v>-84513.790000000023</v>
      </c>
      <c r="T160" s="41">
        <f t="shared" si="197"/>
        <v>-81307.199999999997</v>
      </c>
      <c r="U160" s="41">
        <f t="shared" si="197"/>
        <v>42327.64</v>
      </c>
      <c r="V160" s="41">
        <f t="shared" si="197"/>
        <v>-84728.12</v>
      </c>
      <c r="W160" s="41">
        <f t="shared" si="197"/>
        <v>-83973.649999999965</v>
      </c>
      <c r="X160" s="41">
        <f t="shared" si="197"/>
        <v>-83828.14</v>
      </c>
      <c r="Y160" s="41">
        <f t="shared" si="197"/>
        <v>-12565.830000000002</v>
      </c>
      <c r="Z160" s="41">
        <f t="shared" si="197"/>
        <v>-86168.420000000013</v>
      </c>
      <c r="AA160" s="41">
        <f t="shared" ref="AA160:AK160" si="198">SUM(AA147:AA159)</f>
        <v>558773.18000000017</v>
      </c>
      <c r="AB160" s="41">
        <f t="shared" si="198"/>
        <v>7945.6099999999424</v>
      </c>
      <c r="AC160" s="41">
        <f t="shared" si="198"/>
        <v>629436.07999999996</v>
      </c>
      <c r="AD160" s="41">
        <f t="shared" si="198"/>
        <v>-91643.800000000032</v>
      </c>
      <c r="AE160" s="41">
        <f t="shared" si="198"/>
        <v>-2935.9400000000014</v>
      </c>
      <c r="AF160" s="41">
        <f t="shared" si="198"/>
        <v>-91427.290000000008</v>
      </c>
      <c r="AG160" s="41">
        <f t="shared" si="198"/>
        <v>-92698.65</v>
      </c>
      <c r="AH160" s="41">
        <f t="shared" si="198"/>
        <v>-82001.56</v>
      </c>
      <c r="AI160" s="41">
        <f t="shared" si="198"/>
        <v>-84599.97</v>
      </c>
      <c r="AJ160" s="41">
        <f t="shared" si="198"/>
        <v>-79262.89</v>
      </c>
      <c r="AK160" s="41">
        <f t="shared" si="198"/>
        <v>-87895.969999999987</v>
      </c>
      <c r="AL160" s="41">
        <f t="shared" ref="AL160:AM160" si="199">SUM(AL147:AL159)</f>
        <v>-86780.1</v>
      </c>
      <c r="AM160" s="41">
        <f t="shared" si="199"/>
        <v>-94032.79</v>
      </c>
      <c r="AN160" s="128">
        <f>SUM(AN147:AN159)</f>
        <v>402875.91000000009</v>
      </c>
      <c r="AO160" s="41">
        <f t="shared" ref="AO160:AU160" si="200">SUM(AO147:AO159)</f>
        <v>-15910.649999999983</v>
      </c>
      <c r="AP160" s="41">
        <f t="shared" si="200"/>
        <v>645250.85000000009</v>
      </c>
      <c r="AQ160" s="41">
        <f t="shared" si="200"/>
        <v>-85014.170000000013</v>
      </c>
      <c r="AR160" s="41">
        <f t="shared" si="200"/>
        <v>-59413.700000000012</v>
      </c>
      <c r="AS160" s="41">
        <f t="shared" si="200"/>
        <v>-86018.23</v>
      </c>
      <c r="AT160" s="41">
        <f t="shared" si="200"/>
        <v>-86098.590000000011</v>
      </c>
      <c r="AU160" s="41">
        <f t="shared" si="200"/>
        <v>-89458.34</v>
      </c>
      <c r="AV160" s="41">
        <f t="shared" ref="AV160" si="201">SUM(AV147:AV159)</f>
        <v>0</v>
      </c>
      <c r="AW160" s="41">
        <f t="shared" ref="AW160" si="202">SUM(AW147:AW159)</f>
        <v>0</v>
      </c>
      <c r="AX160" s="41">
        <f t="shared" ref="AX160:AZ160" si="203">SUM(AX147:AX159)</f>
        <v>0</v>
      </c>
      <c r="AY160" s="41">
        <f t="shared" si="203"/>
        <v>0</v>
      </c>
      <c r="AZ160" s="41">
        <f t="shared" si="203"/>
        <v>0</v>
      </c>
      <c r="BA160" s="128">
        <f>SUM(BA147:BA159)</f>
        <v>626213.08000000019</v>
      </c>
    </row>
    <row r="161" spans="1:53" s="52" customFormat="1" ht="15" x14ac:dyDescent="0.2">
      <c r="A161" s="118"/>
      <c r="B161" s="33" t="s">
        <v>113</v>
      </c>
      <c r="C161" s="42">
        <f t="shared" ref="C161:N161" si="204">C11+C19+C54+C94+C109+C146+C143+C160</f>
        <v>66158248.039999992</v>
      </c>
      <c r="D161" s="42">
        <f t="shared" si="204"/>
        <v>671314.42999999854</v>
      </c>
      <c r="E161" s="42">
        <f t="shared" si="204"/>
        <v>9012832.6999999993</v>
      </c>
      <c r="F161" s="42">
        <f t="shared" si="204"/>
        <v>5869241.790000001</v>
      </c>
      <c r="G161" s="42">
        <f t="shared" si="204"/>
        <v>-10616151.010000004</v>
      </c>
      <c r="H161" s="42">
        <f t="shared" si="204"/>
        <v>-2451671.1499999994</v>
      </c>
      <c r="I161" s="42">
        <f t="shared" si="204"/>
        <v>2948837.9999999995</v>
      </c>
      <c r="J161" s="42">
        <f t="shared" si="204"/>
        <v>-3903696.5799999991</v>
      </c>
      <c r="K161" s="42">
        <f t="shared" si="204"/>
        <v>1043949.9100000011</v>
      </c>
      <c r="L161" s="86">
        <f t="shared" si="204"/>
        <v>1480778.9599999995</v>
      </c>
      <c r="M161" s="86">
        <f t="shared" si="204"/>
        <v>-2431383.17</v>
      </c>
      <c r="N161" s="86">
        <f t="shared" si="204"/>
        <v>-1136310.9400000004</v>
      </c>
      <c r="O161" s="86">
        <f t="shared" ref="O161:AA161" si="205">O11+O19+O54+O94+O109+O146+O143+O160+O96</f>
        <v>64061143.490000002</v>
      </c>
      <c r="P161" s="86">
        <f t="shared" si="205"/>
        <v>-73948.559999999954</v>
      </c>
      <c r="Q161" s="86">
        <f t="shared" si="205"/>
        <v>718027.89000000013</v>
      </c>
      <c r="R161" s="86">
        <f t="shared" si="205"/>
        <v>1311576.67</v>
      </c>
      <c r="S161" s="86">
        <f t="shared" si="205"/>
        <v>1629821.88</v>
      </c>
      <c r="T161" s="86">
        <f t="shared" si="205"/>
        <v>-146329.87999999989</v>
      </c>
      <c r="U161" s="86">
        <f t="shared" si="205"/>
        <v>996899.97999999986</v>
      </c>
      <c r="V161" s="86">
        <f t="shared" si="205"/>
        <v>1736432.4300000002</v>
      </c>
      <c r="W161" s="86">
        <f t="shared" si="205"/>
        <v>2776342.5000000005</v>
      </c>
      <c r="X161" s="86">
        <f t="shared" si="205"/>
        <v>-400758.26000000013</v>
      </c>
      <c r="Y161" s="86">
        <f t="shared" si="205"/>
        <v>-1270493.6200000001</v>
      </c>
      <c r="Z161" s="86">
        <f t="shared" si="205"/>
        <v>-529854.38</v>
      </c>
      <c r="AA161" s="86">
        <f t="shared" si="205"/>
        <v>70988522.320000008</v>
      </c>
      <c r="AB161" s="86">
        <f t="shared" ref="AB161:BA161" si="206">AB11+AB19+AB54+AB94+AB109+AB146+AB143+AB160+AB96</f>
        <v>-2618757.35</v>
      </c>
      <c r="AC161" s="86">
        <f t="shared" si="206"/>
        <v>-532752.4500000003</v>
      </c>
      <c r="AD161" s="86">
        <f t="shared" si="206"/>
        <v>-673794.92000000016</v>
      </c>
      <c r="AE161" s="86">
        <f t="shared" si="206"/>
        <v>-4962016.3100000005</v>
      </c>
      <c r="AF161" s="86">
        <f t="shared" si="206"/>
        <v>-3082038.0699999994</v>
      </c>
      <c r="AG161" s="86">
        <f t="shared" si="206"/>
        <v>-2884813.8399999994</v>
      </c>
      <c r="AH161" s="86">
        <f t="shared" si="206"/>
        <v>-3102723.6500000004</v>
      </c>
      <c r="AI161" s="86">
        <f t="shared" si="206"/>
        <v>-2750340.1100000003</v>
      </c>
      <c r="AJ161" s="86">
        <f t="shared" si="206"/>
        <v>-1928425.4499999997</v>
      </c>
      <c r="AK161" s="86">
        <f t="shared" si="206"/>
        <v>-158358.77999999997</v>
      </c>
      <c r="AL161" s="86">
        <f t="shared" si="206"/>
        <v>340300.08000000031</v>
      </c>
      <c r="AM161" s="86">
        <f t="shared" si="206"/>
        <v>292708.14000000007</v>
      </c>
      <c r="AN161" s="86">
        <f t="shared" si="206"/>
        <v>48927509.609999992</v>
      </c>
      <c r="AO161" s="86">
        <f t="shared" si="206"/>
        <v>-739477.87</v>
      </c>
      <c r="AP161" s="86">
        <f t="shared" si="206"/>
        <v>-824014.3599999994</v>
      </c>
      <c r="AQ161" s="86">
        <f t="shared" si="206"/>
        <v>792702.78999999969</v>
      </c>
      <c r="AR161" s="86">
        <f t="shared" si="206"/>
        <v>323533.6200000004</v>
      </c>
      <c r="AS161" s="86">
        <f t="shared" si="206"/>
        <v>-1853492.8500000003</v>
      </c>
      <c r="AT161" s="86">
        <f t="shared" si="206"/>
        <v>-800947.83000000007</v>
      </c>
      <c r="AU161" s="86">
        <f t="shared" si="206"/>
        <v>-717600.27999999991</v>
      </c>
      <c r="AV161" s="86">
        <f t="shared" si="206"/>
        <v>0</v>
      </c>
      <c r="AW161" s="86">
        <f t="shared" si="206"/>
        <v>0</v>
      </c>
      <c r="AX161" s="86">
        <f t="shared" si="206"/>
        <v>0</v>
      </c>
      <c r="AY161" s="86">
        <f t="shared" si="206"/>
        <v>0</v>
      </c>
      <c r="AZ161" s="86">
        <f t="shared" si="206"/>
        <v>0</v>
      </c>
      <c r="BA161" s="86">
        <f t="shared" si="206"/>
        <v>45108212.829999983</v>
      </c>
    </row>
    <row r="162" spans="1:53" s="52" customFormat="1" ht="15" x14ac:dyDescent="0.2">
      <c r="A162" s="118"/>
      <c r="B162" s="33" t="s">
        <v>116</v>
      </c>
      <c r="C162" s="44"/>
      <c r="D162" s="43"/>
      <c r="E162" s="43"/>
      <c r="F162" s="44"/>
      <c r="G162" s="44"/>
      <c r="H162" s="43"/>
      <c r="I162" s="43"/>
      <c r="J162" s="43"/>
      <c r="K162" s="43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44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44"/>
      <c r="AO162" s="87"/>
      <c r="AP162" s="87"/>
      <c r="AQ162" s="87"/>
      <c r="AR162" s="87"/>
      <c r="AS162" s="87"/>
      <c r="AT162" s="87"/>
      <c r="AU162" s="87"/>
      <c r="AV162" s="87"/>
      <c r="AW162" s="87"/>
      <c r="AX162" s="87"/>
      <c r="AY162" s="87"/>
      <c r="AZ162" s="87"/>
      <c r="BA162" s="44"/>
    </row>
    <row r="163" spans="1:53" x14ac:dyDescent="0.2">
      <c r="B163" s="3" t="s">
        <v>119</v>
      </c>
      <c r="C163" s="20">
        <v>-117850.67</v>
      </c>
      <c r="D163" s="20">
        <v>37076.15</v>
      </c>
      <c r="E163" s="20">
        <v>28356.959999999999</v>
      </c>
      <c r="F163" s="24">
        <v>-10547.69</v>
      </c>
      <c r="G163" s="24">
        <v>-39174.71</v>
      </c>
      <c r="H163" s="20">
        <v>17074.34</v>
      </c>
      <c r="I163" s="20">
        <v>-133058.34</v>
      </c>
      <c r="J163" s="20">
        <v>-30104.080000000002</v>
      </c>
      <c r="K163" s="20">
        <v>138112.47</v>
      </c>
      <c r="L163" s="83">
        <v>76715.600000000006</v>
      </c>
      <c r="M163" s="83">
        <v>-148239.93</v>
      </c>
      <c r="N163" s="83">
        <v>-24849.91</v>
      </c>
      <c r="O163" s="83">
        <v>-291101.14</v>
      </c>
      <c r="P163" s="83">
        <v>148376.62</v>
      </c>
      <c r="Q163" s="83">
        <v>7940.1</v>
      </c>
      <c r="R163" s="83">
        <v>-10658.08</v>
      </c>
      <c r="S163" s="83">
        <v>-292.42</v>
      </c>
      <c r="T163" s="83">
        <v>33550.93</v>
      </c>
      <c r="U163" s="83">
        <v>-91269.51</v>
      </c>
      <c r="V163" s="83">
        <v>-10619.64</v>
      </c>
      <c r="W163" s="83">
        <v>61134.71</v>
      </c>
      <c r="X163" s="83">
        <v>7504.48</v>
      </c>
      <c r="Y163" s="83">
        <v>-87952.43</v>
      </c>
      <c r="Z163" s="83">
        <v>-49092.65</v>
      </c>
      <c r="AA163" s="31">
        <f>SUM(O163:Z163)</f>
        <v>-282479.03000000003</v>
      </c>
      <c r="AB163" s="83">
        <v>156552.38</v>
      </c>
      <c r="AC163" s="83">
        <v>-93538.06</v>
      </c>
      <c r="AD163" s="83">
        <v>-10129.629999999999</v>
      </c>
      <c r="AE163" s="83">
        <v>100465.23</v>
      </c>
      <c r="AF163" s="83">
        <v>-133968.43</v>
      </c>
      <c r="AG163" s="83">
        <v>-63767.27</v>
      </c>
      <c r="AH163" s="83">
        <v>65574.880000000005</v>
      </c>
      <c r="AI163" s="83">
        <v>158896.95999999999</v>
      </c>
      <c r="AJ163" s="83">
        <v>-42860.18</v>
      </c>
      <c r="AK163" s="83">
        <v>-26218.75</v>
      </c>
      <c r="AL163" s="83">
        <v>22045.73</v>
      </c>
      <c r="AM163" s="83">
        <v>-366065.95</v>
      </c>
      <c r="AN163" s="31">
        <f>SUM(AA163:AM163)</f>
        <v>-515492.12000000005</v>
      </c>
      <c r="AO163" s="83">
        <v>328758.62</v>
      </c>
      <c r="AP163" s="83">
        <v>-111746.2</v>
      </c>
      <c r="AQ163" s="83">
        <v>196464.72</v>
      </c>
      <c r="AR163" s="83">
        <v>-34655.99</v>
      </c>
      <c r="AS163" s="83">
        <v>46619.08</v>
      </c>
      <c r="AT163" s="83">
        <v>32410.16</v>
      </c>
      <c r="AU163" s="83">
        <v>35312.32</v>
      </c>
      <c r="BA163" s="31">
        <f t="shared" ref="BA163:BA167" si="207">SUM(AN163:AZ163)</f>
        <v>-22329.410000000054</v>
      </c>
    </row>
    <row r="164" spans="1:53" x14ac:dyDescent="0.2">
      <c r="B164" s="3" t="s">
        <v>120</v>
      </c>
      <c r="C164" s="20">
        <v>-696.58</v>
      </c>
      <c r="D164" s="20">
        <v>1324.6</v>
      </c>
      <c r="E164" s="20">
        <v>-1766.23</v>
      </c>
      <c r="F164" s="24">
        <v>74.64</v>
      </c>
      <c r="G164" s="24">
        <v>2520.1999999999998</v>
      </c>
      <c r="H164" s="20">
        <v>-1002.43</v>
      </c>
      <c r="I164" s="20">
        <v>730.12</v>
      </c>
      <c r="J164" s="20">
        <v>-1117.21</v>
      </c>
      <c r="K164" s="20">
        <v>1007.99</v>
      </c>
      <c r="L164" s="83">
        <v>-654.65</v>
      </c>
      <c r="M164" s="83">
        <v>-915.08</v>
      </c>
      <c r="N164" s="83">
        <v>-547.28</v>
      </c>
      <c r="O164" s="83">
        <v>3471.34</v>
      </c>
      <c r="P164" s="83">
        <v>-2560.59</v>
      </c>
      <c r="Q164" s="83">
        <v>149.58000000000001</v>
      </c>
      <c r="R164" s="83">
        <v>-366.37</v>
      </c>
      <c r="S164" s="83">
        <v>625.65</v>
      </c>
      <c r="T164" s="83">
        <v>-1308.02</v>
      </c>
      <c r="U164" s="83">
        <v>-407.72</v>
      </c>
      <c r="V164" s="83">
        <v>-5859.57</v>
      </c>
      <c r="W164" s="83">
        <v>3555.13</v>
      </c>
      <c r="X164" s="83">
        <v>5069.63</v>
      </c>
      <c r="Y164" s="83">
        <v>-30.26</v>
      </c>
      <c r="Z164" s="83">
        <v>1638.16</v>
      </c>
      <c r="AA164" s="31">
        <f>SUM(O164:Z164)</f>
        <v>3976.96</v>
      </c>
      <c r="AB164" s="83">
        <v>-2537.39</v>
      </c>
      <c r="AC164" s="83">
        <v>1802.66</v>
      </c>
      <c r="AD164" s="83">
        <v>-1127.55</v>
      </c>
      <c r="AE164" s="83">
        <v>-1477.02</v>
      </c>
      <c r="AF164" s="83">
        <v>-2616.9499999999998</v>
      </c>
      <c r="AG164" s="83">
        <v>-1714.86</v>
      </c>
      <c r="AH164" s="83">
        <v>4599.22</v>
      </c>
      <c r="AI164" s="83">
        <v>-28.25</v>
      </c>
      <c r="AJ164" s="83">
        <v>-14.61</v>
      </c>
      <c r="AK164" s="83">
        <v>-471.95</v>
      </c>
      <c r="AL164" s="83">
        <v>257.73</v>
      </c>
      <c r="AM164" s="83">
        <v>-2046.2</v>
      </c>
      <c r="AN164" s="31">
        <f>SUM(AA164:AM164)</f>
        <v>-1398.2099999999994</v>
      </c>
      <c r="AO164" s="83">
        <v>1253.6600000000001</v>
      </c>
      <c r="AP164" s="83">
        <v>-1070.67</v>
      </c>
      <c r="AQ164" s="83">
        <v>1493.61</v>
      </c>
      <c r="AR164" s="83">
        <v>1371.9</v>
      </c>
      <c r="AS164" s="83">
        <v>-713.87</v>
      </c>
      <c r="AT164" s="83">
        <v>-882.34</v>
      </c>
      <c r="AU164" s="83">
        <v>35.94</v>
      </c>
      <c r="BA164" s="31">
        <f t="shared" si="207"/>
        <v>90.020000000000607</v>
      </c>
    </row>
    <row r="165" spans="1:53" x14ac:dyDescent="0.2">
      <c r="B165" s="3" t="s">
        <v>982</v>
      </c>
      <c r="C165" s="20">
        <v>0</v>
      </c>
      <c r="D165" s="20">
        <v>0</v>
      </c>
      <c r="E165" s="20">
        <v>0</v>
      </c>
      <c r="F165" s="24">
        <v>0</v>
      </c>
      <c r="G165" s="24">
        <v>0</v>
      </c>
      <c r="H165" s="20">
        <v>0</v>
      </c>
      <c r="I165" s="20">
        <v>0</v>
      </c>
      <c r="J165" s="20">
        <v>0</v>
      </c>
      <c r="K165" s="20">
        <v>-988.01</v>
      </c>
      <c r="L165" s="83">
        <v>-3829.17</v>
      </c>
      <c r="M165" s="83">
        <v>4324.46</v>
      </c>
      <c r="N165" s="83">
        <v>492.72</v>
      </c>
      <c r="O165" s="83">
        <v>0</v>
      </c>
      <c r="P165" s="83">
        <v>0</v>
      </c>
      <c r="Q165" s="83">
        <v>0</v>
      </c>
      <c r="R165" s="83">
        <v>0</v>
      </c>
      <c r="S165" s="83">
        <v>0</v>
      </c>
      <c r="T165" s="83">
        <v>0</v>
      </c>
      <c r="U165" s="83">
        <v>-18.059999999999999</v>
      </c>
      <c r="V165" s="83">
        <v>18.059999999999999</v>
      </c>
      <c r="W165" s="83">
        <v>0</v>
      </c>
      <c r="X165" s="83">
        <v>0</v>
      </c>
      <c r="Y165" s="83">
        <v>0</v>
      </c>
      <c r="Z165" s="83">
        <v>0</v>
      </c>
      <c r="AA165" s="31">
        <f>SUM(O165:Z165)</f>
        <v>0</v>
      </c>
      <c r="AB165" s="83">
        <v>0</v>
      </c>
      <c r="AC165" s="83">
        <v>0</v>
      </c>
      <c r="AD165" s="83">
        <v>0</v>
      </c>
      <c r="AE165" s="83">
        <v>0</v>
      </c>
      <c r="AF165" s="83">
        <v>0</v>
      </c>
      <c r="AG165" s="83">
        <v>0</v>
      </c>
      <c r="AH165" s="83">
        <v>0</v>
      </c>
      <c r="AI165" s="83">
        <v>0</v>
      </c>
      <c r="AJ165" s="83">
        <v>0</v>
      </c>
      <c r="AK165" s="83">
        <v>0</v>
      </c>
      <c r="AL165" s="83">
        <v>0</v>
      </c>
      <c r="AM165" s="83">
        <v>0</v>
      </c>
      <c r="AN165" s="31">
        <f>SUM(AA165:AM165)</f>
        <v>0</v>
      </c>
      <c r="AO165" s="83">
        <v>0</v>
      </c>
      <c r="AP165" s="83">
        <v>-606.27</v>
      </c>
      <c r="AQ165" s="83">
        <v>606.27</v>
      </c>
      <c r="AR165" s="83">
        <v>0</v>
      </c>
      <c r="AS165" s="83">
        <v>0</v>
      </c>
      <c r="AT165" s="83">
        <v>0</v>
      </c>
      <c r="AU165" s="83">
        <v>0</v>
      </c>
      <c r="BA165" s="31">
        <f t="shared" si="207"/>
        <v>0</v>
      </c>
    </row>
    <row r="166" spans="1:53" x14ac:dyDescent="0.2">
      <c r="B166" s="3" t="s">
        <v>983</v>
      </c>
      <c r="C166" s="20">
        <v>0</v>
      </c>
      <c r="D166" s="20">
        <v>0</v>
      </c>
      <c r="E166" s="20">
        <v>0</v>
      </c>
      <c r="F166" s="24">
        <v>0</v>
      </c>
      <c r="G166" s="24">
        <v>0</v>
      </c>
      <c r="H166" s="20">
        <v>0</v>
      </c>
      <c r="I166" s="20">
        <v>0</v>
      </c>
      <c r="J166" s="20">
        <v>0</v>
      </c>
      <c r="K166" s="20">
        <v>9.17</v>
      </c>
      <c r="L166" s="83">
        <v>63.32</v>
      </c>
      <c r="M166" s="83">
        <v>-74.48</v>
      </c>
      <c r="N166" s="83">
        <v>1.99</v>
      </c>
      <c r="O166" s="83">
        <v>0</v>
      </c>
      <c r="P166" s="83">
        <v>0</v>
      </c>
      <c r="Q166" s="83">
        <v>0</v>
      </c>
      <c r="R166" s="83">
        <v>0</v>
      </c>
      <c r="S166" s="83">
        <v>0</v>
      </c>
      <c r="T166" s="83">
        <v>0</v>
      </c>
      <c r="U166" s="83">
        <v>-0.05</v>
      </c>
      <c r="V166" s="83">
        <v>0.05</v>
      </c>
      <c r="W166" s="83">
        <v>0</v>
      </c>
      <c r="X166" s="83">
        <v>0</v>
      </c>
      <c r="Y166" s="83">
        <v>0</v>
      </c>
      <c r="Z166" s="83">
        <v>0</v>
      </c>
      <c r="AA166" s="31">
        <f>SUM(O166:Z166)</f>
        <v>0</v>
      </c>
      <c r="AB166" s="83">
        <v>0</v>
      </c>
      <c r="AC166" s="83">
        <v>0</v>
      </c>
      <c r="AD166" s="83">
        <v>0</v>
      </c>
      <c r="AE166" s="83">
        <v>0</v>
      </c>
      <c r="AF166" s="83">
        <v>0</v>
      </c>
      <c r="AG166" s="83">
        <v>0</v>
      </c>
      <c r="AH166" s="83">
        <v>0</v>
      </c>
      <c r="AI166" s="83">
        <v>0</v>
      </c>
      <c r="AJ166" s="83">
        <v>0</v>
      </c>
      <c r="AK166" s="83">
        <v>0</v>
      </c>
      <c r="AL166" s="83">
        <v>0</v>
      </c>
      <c r="AM166" s="83">
        <v>0</v>
      </c>
      <c r="AN166" s="31">
        <f>SUM(AA166:AM166)</f>
        <v>0</v>
      </c>
      <c r="AO166" s="83">
        <v>0</v>
      </c>
      <c r="AP166" s="83">
        <v>-2.23</v>
      </c>
      <c r="AQ166" s="83">
        <v>2.23</v>
      </c>
      <c r="AR166" s="83">
        <v>0</v>
      </c>
      <c r="AS166" s="83">
        <v>0</v>
      </c>
      <c r="AT166" s="83">
        <v>0</v>
      </c>
      <c r="AU166" s="83">
        <v>0</v>
      </c>
      <c r="BA166" s="31">
        <f t="shared" si="207"/>
        <v>0</v>
      </c>
    </row>
    <row r="167" spans="1:53" x14ac:dyDescent="0.2">
      <c r="B167" s="3" t="s">
        <v>984</v>
      </c>
      <c r="C167" s="20">
        <v>0</v>
      </c>
      <c r="D167" s="20">
        <v>0</v>
      </c>
      <c r="E167" s="20">
        <v>0</v>
      </c>
      <c r="F167" s="24">
        <v>0</v>
      </c>
      <c r="G167" s="24">
        <v>0</v>
      </c>
      <c r="H167" s="20">
        <v>0</v>
      </c>
      <c r="I167" s="20">
        <v>0</v>
      </c>
      <c r="J167" s="20">
        <v>0</v>
      </c>
      <c r="K167" s="20">
        <v>0</v>
      </c>
      <c r="L167" s="83">
        <v>0</v>
      </c>
      <c r="M167" s="83">
        <v>0</v>
      </c>
      <c r="N167" s="83">
        <v>0</v>
      </c>
      <c r="O167" s="83">
        <v>0</v>
      </c>
      <c r="P167" s="83">
        <v>0</v>
      </c>
      <c r="Q167" s="83">
        <v>0</v>
      </c>
      <c r="R167" s="83">
        <v>0</v>
      </c>
      <c r="S167" s="83">
        <v>0</v>
      </c>
      <c r="T167" s="83">
        <v>0</v>
      </c>
      <c r="U167" s="83">
        <v>0</v>
      </c>
      <c r="V167" s="83">
        <v>0</v>
      </c>
      <c r="W167" s="83">
        <v>0</v>
      </c>
      <c r="X167" s="83">
        <v>0</v>
      </c>
      <c r="Y167" s="83">
        <v>0</v>
      </c>
      <c r="Z167" s="83">
        <v>0</v>
      </c>
      <c r="AA167" s="31">
        <f>SUM(O167:Z167)</f>
        <v>0</v>
      </c>
      <c r="AB167" s="83">
        <v>0</v>
      </c>
      <c r="AC167" s="83">
        <v>0</v>
      </c>
      <c r="AD167" s="83">
        <v>0</v>
      </c>
      <c r="AE167" s="83">
        <v>0</v>
      </c>
      <c r="AF167" s="83">
        <v>0</v>
      </c>
      <c r="AG167" s="83">
        <v>0</v>
      </c>
      <c r="AH167" s="83">
        <v>0</v>
      </c>
      <c r="AI167" s="83">
        <v>0</v>
      </c>
      <c r="AJ167" s="83">
        <v>0</v>
      </c>
      <c r="AK167" s="83">
        <v>0</v>
      </c>
      <c r="AL167" s="83">
        <v>0</v>
      </c>
      <c r="AM167" s="83">
        <v>0</v>
      </c>
      <c r="AN167" s="31">
        <f>SUM(AA167:AM167)</f>
        <v>0</v>
      </c>
      <c r="AO167" s="83">
        <v>0</v>
      </c>
      <c r="AP167" s="83">
        <v>0</v>
      </c>
      <c r="AQ167" s="83">
        <v>0</v>
      </c>
      <c r="AR167" s="83">
        <v>0</v>
      </c>
      <c r="AS167" s="83">
        <v>0</v>
      </c>
      <c r="AT167" s="83">
        <v>0</v>
      </c>
      <c r="AU167" s="83">
        <v>0</v>
      </c>
      <c r="BA167" s="31">
        <f t="shared" si="207"/>
        <v>0</v>
      </c>
    </row>
    <row r="168" spans="1:53" s="9" customFormat="1" ht="12.75" x14ac:dyDescent="0.2">
      <c r="A168" s="115"/>
      <c r="B168" s="13" t="s">
        <v>1592</v>
      </c>
      <c r="C168" s="41">
        <f t="shared" ref="C168:AK168" si="208">SUM(C163:C167)</f>
        <v>-118547.25</v>
      </c>
      <c r="D168" s="41">
        <f t="shared" si="208"/>
        <v>38400.75</v>
      </c>
      <c r="E168" s="41">
        <f t="shared" si="208"/>
        <v>26590.73</v>
      </c>
      <c r="F168" s="41">
        <f t="shared" si="208"/>
        <v>-10473.050000000001</v>
      </c>
      <c r="G168" s="41">
        <f t="shared" si="208"/>
        <v>-36654.51</v>
      </c>
      <c r="H168" s="41">
        <f t="shared" si="208"/>
        <v>16071.91</v>
      </c>
      <c r="I168" s="41">
        <f t="shared" si="208"/>
        <v>-132328.22</v>
      </c>
      <c r="J168" s="41">
        <f t="shared" si="208"/>
        <v>-31221.29</v>
      </c>
      <c r="K168" s="41">
        <f t="shared" si="208"/>
        <v>138141.62</v>
      </c>
      <c r="L168" s="84">
        <f t="shared" si="208"/>
        <v>72295.10000000002</v>
      </c>
      <c r="M168" s="84">
        <f t="shared" si="208"/>
        <v>-144905.03</v>
      </c>
      <c r="N168" s="84">
        <f t="shared" si="208"/>
        <v>-24902.479999999996</v>
      </c>
      <c r="O168" s="84">
        <f t="shared" si="208"/>
        <v>-287629.8</v>
      </c>
      <c r="P168" s="84">
        <f t="shared" si="208"/>
        <v>145816.03</v>
      </c>
      <c r="Q168" s="84">
        <f t="shared" si="208"/>
        <v>8089.68</v>
      </c>
      <c r="R168" s="84">
        <f t="shared" si="208"/>
        <v>-11024.45</v>
      </c>
      <c r="S168" s="84">
        <f t="shared" si="208"/>
        <v>333.22999999999996</v>
      </c>
      <c r="T168" s="84">
        <f t="shared" si="208"/>
        <v>32242.91</v>
      </c>
      <c r="U168" s="84">
        <f t="shared" si="208"/>
        <v>-91695.34</v>
      </c>
      <c r="V168" s="84">
        <f t="shared" si="208"/>
        <v>-16461.099999999999</v>
      </c>
      <c r="W168" s="84">
        <f t="shared" si="208"/>
        <v>64689.84</v>
      </c>
      <c r="X168" s="84">
        <f t="shared" si="208"/>
        <v>12574.11</v>
      </c>
      <c r="Y168" s="84">
        <f t="shared" si="208"/>
        <v>-87982.689999999988</v>
      </c>
      <c r="Z168" s="84">
        <f t="shared" si="208"/>
        <v>-47454.49</v>
      </c>
      <c r="AA168" s="84">
        <f t="shared" si="208"/>
        <v>-278502.07</v>
      </c>
      <c r="AB168" s="84">
        <f t="shared" si="208"/>
        <v>154014.99</v>
      </c>
      <c r="AC168" s="84">
        <f t="shared" si="208"/>
        <v>-91735.4</v>
      </c>
      <c r="AD168" s="84">
        <f t="shared" si="208"/>
        <v>-11257.179999999998</v>
      </c>
      <c r="AE168" s="84">
        <f t="shared" si="208"/>
        <v>98988.209999999992</v>
      </c>
      <c r="AF168" s="84">
        <f t="shared" si="208"/>
        <v>-136585.38</v>
      </c>
      <c r="AG168" s="84">
        <f t="shared" si="208"/>
        <v>-65482.13</v>
      </c>
      <c r="AH168" s="84">
        <f t="shared" si="208"/>
        <v>70174.100000000006</v>
      </c>
      <c r="AI168" s="84">
        <f t="shared" si="208"/>
        <v>158868.71</v>
      </c>
      <c r="AJ168" s="84">
        <f t="shared" si="208"/>
        <v>-42874.79</v>
      </c>
      <c r="AK168" s="84">
        <f t="shared" si="208"/>
        <v>-26690.7</v>
      </c>
      <c r="AL168" s="84">
        <f t="shared" ref="AL168:AM168" si="209">SUM(AL163:AL167)</f>
        <v>22303.46</v>
      </c>
      <c r="AM168" s="84">
        <f t="shared" si="209"/>
        <v>-368112.15</v>
      </c>
      <c r="AN168" s="127">
        <f>SUM(AN163:AN167)</f>
        <v>-516890.33000000007</v>
      </c>
      <c r="AO168" s="84">
        <f t="shared" ref="AO168:AU168" si="210">SUM(AO163:AO167)</f>
        <v>330012.27999999997</v>
      </c>
      <c r="AP168" s="84">
        <f t="shared" si="210"/>
        <v>-113425.37</v>
      </c>
      <c r="AQ168" s="84">
        <f t="shared" si="210"/>
        <v>198566.83</v>
      </c>
      <c r="AR168" s="84">
        <f t="shared" si="210"/>
        <v>-33284.089999999997</v>
      </c>
      <c r="AS168" s="84">
        <f t="shared" si="210"/>
        <v>45905.21</v>
      </c>
      <c r="AT168" s="84">
        <f t="shared" si="210"/>
        <v>31527.82</v>
      </c>
      <c r="AU168" s="84">
        <f t="shared" si="210"/>
        <v>35348.26</v>
      </c>
      <c r="AV168" s="84">
        <f t="shared" ref="AV168" si="211">SUM(AV163:AV167)</f>
        <v>0</v>
      </c>
      <c r="AW168" s="84">
        <f t="shared" ref="AW168" si="212">SUM(AW163:AW167)</f>
        <v>0</v>
      </c>
      <c r="AX168" s="84">
        <f t="shared" ref="AX168:AZ168" si="213">SUM(AX163:AX167)</f>
        <v>0</v>
      </c>
      <c r="AY168" s="84">
        <f t="shared" si="213"/>
        <v>0</v>
      </c>
      <c r="AZ168" s="84">
        <f t="shared" si="213"/>
        <v>0</v>
      </c>
      <c r="BA168" s="127">
        <f>SUM(BA163:BA167)</f>
        <v>-22239.390000000054</v>
      </c>
    </row>
    <row r="169" spans="1:53" x14ac:dyDescent="0.2">
      <c r="B169" s="3" t="s">
        <v>123</v>
      </c>
      <c r="C169" s="20">
        <v>-249466.1</v>
      </c>
      <c r="D169" s="20">
        <v>-43026.67</v>
      </c>
      <c r="E169" s="20">
        <v>50717.120000000003</v>
      </c>
      <c r="F169" s="24">
        <v>-30585.49</v>
      </c>
      <c r="G169" s="24">
        <v>-237945.43</v>
      </c>
      <c r="H169" s="20">
        <v>192224.87</v>
      </c>
      <c r="I169" s="20">
        <v>-51127.7</v>
      </c>
      <c r="J169" s="20">
        <v>75630.11</v>
      </c>
      <c r="K169" s="20">
        <v>-59407.35</v>
      </c>
      <c r="L169" s="83">
        <v>49352.32</v>
      </c>
      <c r="M169" s="83">
        <v>-13385.95</v>
      </c>
      <c r="N169" s="83">
        <v>29448.7</v>
      </c>
      <c r="O169" s="83">
        <v>-321480.71000000002</v>
      </c>
      <c r="P169" s="83">
        <v>8104.71</v>
      </c>
      <c r="Q169" s="83">
        <v>-43449.95</v>
      </c>
      <c r="R169" s="83">
        <v>-15801.96</v>
      </c>
      <c r="S169" s="83">
        <v>-9596.4699999999993</v>
      </c>
      <c r="T169" s="83">
        <v>82606.66</v>
      </c>
      <c r="U169" s="83">
        <v>-25179.66</v>
      </c>
      <c r="V169" s="83">
        <v>3082.78</v>
      </c>
      <c r="W169" s="83">
        <v>-16539.599999999999</v>
      </c>
      <c r="X169" s="83">
        <v>-96970.65</v>
      </c>
      <c r="Y169" s="83">
        <v>169982.15</v>
      </c>
      <c r="Z169" s="83">
        <v>-17026.05</v>
      </c>
      <c r="AA169" s="31">
        <f t="shared" ref="AA169:AA192" si="214">SUM(O169:Z169)</f>
        <v>-282268.74999999983</v>
      </c>
      <c r="AB169" s="83">
        <v>78917.39</v>
      </c>
      <c r="AC169" s="83">
        <v>-172805.26</v>
      </c>
      <c r="AD169" s="83">
        <v>-2268.38</v>
      </c>
      <c r="AE169" s="83">
        <v>83283.8</v>
      </c>
      <c r="AF169" s="83">
        <v>80464.800000000003</v>
      </c>
      <c r="AG169" s="83">
        <v>69758.399999999994</v>
      </c>
      <c r="AH169" s="83">
        <v>-106396.39</v>
      </c>
      <c r="AI169" s="83">
        <v>66856.639999999999</v>
      </c>
      <c r="AJ169" s="83">
        <v>-139728.82999999999</v>
      </c>
      <c r="AK169" s="83">
        <v>170665.08</v>
      </c>
      <c r="AL169" s="83">
        <v>-73996.73</v>
      </c>
      <c r="AM169" s="83">
        <v>-23582.51</v>
      </c>
      <c r="AN169" s="31">
        <f t="shared" ref="AN169:AN200" si="215">SUM(AA169:AM169)</f>
        <v>-251100.73999999987</v>
      </c>
      <c r="AO169" s="83">
        <v>102386.71</v>
      </c>
      <c r="AP169" s="83">
        <v>-126845.2</v>
      </c>
      <c r="AQ169" s="83">
        <v>-97670.48</v>
      </c>
      <c r="AR169" s="83">
        <v>82472.11</v>
      </c>
      <c r="AS169" s="83">
        <v>104969.42</v>
      </c>
      <c r="AT169" s="83">
        <v>-73469.350000000006</v>
      </c>
      <c r="AU169" s="83">
        <v>64262.94</v>
      </c>
      <c r="BA169" s="31">
        <f t="shared" ref="BA169:BA200" si="216">SUM(AN169:AZ169)</f>
        <v>-194994.58999999988</v>
      </c>
    </row>
    <row r="170" spans="1:53" x14ac:dyDescent="0.2">
      <c r="B170" s="3" t="s">
        <v>124</v>
      </c>
      <c r="C170" s="20">
        <v>-4319.66</v>
      </c>
      <c r="D170" s="20">
        <v>6164.24</v>
      </c>
      <c r="E170" s="20">
        <v>-6934.04</v>
      </c>
      <c r="F170" s="24">
        <v>2262.31</v>
      </c>
      <c r="G170" s="24">
        <v>10228.950000000001</v>
      </c>
      <c r="H170" s="20">
        <v>-5749.58</v>
      </c>
      <c r="I170" s="20">
        <v>-698.75</v>
      </c>
      <c r="J170" s="20">
        <v>-1569.87</v>
      </c>
      <c r="K170" s="20">
        <v>6786.08</v>
      </c>
      <c r="L170" s="83">
        <v>-3573.08</v>
      </c>
      <c r="M170" s="83">
        <v>-3399.91</v>
      </c>
      <c r="N170" s="83">
        <v>-437.88</v>
      </c>
      <c r="O170" s="83">
        <v>3592.44</v>
      </c>
      <c r="P170" s="83">
        <v>-1905.56</v>
      </c>
      <c r="Q170" s="83">
        <v>-2589.7800000000002</v>
      </c>
      <c r="R170" s="83">
        <v>2729.47</v>
      </c>
      <c r="S170" s="83">
        <v>3164.75</v>
      </c>
      <c r="T170" s="83">
        <v>-5196.17</v>
      </c>
      <c r="U170" s="83">
        <v>1056.1500000000001</v>
      </c>
      <c r="V170" s="83">
        <v>-2824.1</v>
      </c>
      <c r="W170" s="83">
        <v>-1944.79</v>
      </c>
      <c r="X170" s="83">
        <v>6742.53</v>
      </c>
      <c r="Y170" s="83">
        <v>-3146.47</v>
      </c>
      <c r="Z170" s="83">
        <v>3278.35</v>
      </c>
      <c r="AA170" s="31">
        <f t="shared" si="214"/>
        <v>2956.8199999999997</v>
      </c>
      <c r="AB170" s="83">
        <v>-2332.3000000000002</v>
      </c>
      <c r="AC170" s="83">
        <v>4696.6499999999996</v>
      </c>
      <c r="AD170" s="83">
        <v>-2345.34</v>
      </c>
      <c r="AE170" s="83">
        <v>-5893.77</v>
      </c>
      <c r="AF170" s="83">
        <v>2872.09</v>
      </c>
      <c r="AG170" s="83">
        <v>-1152.26</v>
      </c>
      <c r="AH170" s="83">
        <v>3638.37</v>
      </c>
      <c r="AI170" s="83">
        <v>-632.11</v>
      </c>
      <c r="AJ170" s="83">
        <v>-749.11</v>
      </c>
      <c r="AK170" s="83">
        <v>-956.44</v>
      </c>
      <c r="AL170" s="83">
        <v>-556.04999999999995</v>
      </c>
      <c r="AM170" s="83">
        <v>371.44</v>
      </c>
      <c r="AN170" s="31">
        <f t="shared" si="215"/>
        <v>-82.010000000001867</v>
      </c>
      <c r="AO170" s="83">
        <v>-200.87</v>
      </c>
      <c r="AP170" s="83">
        <v>-841.92</v>
      </c>
      <c r="AQ170" s="83">
        <v>2058</v>
      </c>
      <c r="AR170" s="83">
        <v>2089.69</v>
      </c>
      <c r="AS170" s="83">
        <v>-372.71</v>
      </c>
      <c r="AT170" s="83">
        <v>-2460.9699999999998</v>
      </c>
      <c r="AU170" s="83">
        <v>697.1</v>
      </c>
      <c r="BA170" s="31">
        <f t="shared" si="216"/>
        <v>886.30999999999869</v>
      </c>
    </row>
    <row r="171" spans="1:53" x14ac:dyDescent="0.2">
      <c r="B171" s="3" t="s">
        <v>1635</v>
      </c>
      <c r="C171" s="20">
        <v>0</v>
      </c>
      <c r="D171" s="20">
        <v>0</v>
      </c>
      <c r="E171" s="20">
        <v>0</v>
      </c>
      <c r="F171" s="20">
        <v>0</v>
      </c>
      <c r="G171" s="24">
        <v>-5.45</v>
      </c>
      <c r="H171" s="20">
        <v>19.14</v>
      </c>
      <c r="I171" s="20">
        <v>-13.5</v>
      </c>
      <c r="J171" s="20">
        <v>2.7</v>
      </c>
      <c r="K171" s="20">
        <v>-2.96</v>
      </c>
      <c r="L171" s="83">
        <v>7.0000000000000007E-2</v>
      </c>
      <c r="M171" s="83">
        <v>-1.0900000000000001</v>
      </c>
      <c r="N171" s="83">
        <v>1.0900000000000001</v>
      </c>
      <c r="O171" s="83">
        <v>0</v>
      </c>
      <c r="P171" s="83">
        <v>-6.5</v>
      </c>
      <c r="Q171" s="83">
        <v>6.5</v>
      </c>
      <c r="R171" s="83">
        <v>0</v>
      </c>
      <c r="S171" s="83">
        <v>0</v>
      </c>
      <c r="T171" s="83">
        <v>0</v>
      </c>
      <c r="U171" s="83">
        <v>0</v>
      </c>
      <c r="V171" s="83">
        <v>0</v>
      </c>
      <c r="W171" s="83">
        <v>0</v>
      </c>
      <c r="X171" s="83">
        <v>0</v>
      </c>
      <c r="Y171" s="83">
        <v>0</v>
      </c>
      <c r="Z171" s="83">
        <v>0</v>
      </c>
      <c r="AA171" s="31">
        <f t="shared" si="214"/>
        <v>0</v>
      </c>
      <c r="AB171" s="83">
        <v>6.52</v>
      </c>
      <c r="AC171" s="83">
        <v>-6.52</v>
      </c>
      <c r="AD171" s="83">
        <v>0</v>
      </c>
      <c r="AE171" s="83">
        <v>0</v>
      </c>
      <c r="AF171" s="83">
        <v>0</v>
      </c>
      <c r="AG171" s="83">
        <v>0</v>
      </c>
      <c r="AH171" s="83">
        <v>0</v>
      </c>
      <c r="AI171" s="83">
        <v>0</v>
      </c>
      <c r="AJ171" s="83">
        <v>0</v>
      </c>
      <c r="AK171" s="83">
        <v>0</v>
      </c>
      <c r="AL171" s="83">
        <v>0</v>
      </c>
      <c r="AM171" s="83">
        <v>0</v>
      </c>
      <c r="AN171" s="31">
        <f t="shared" si="215"/>
        <v>0</v>
      </c>
      <c r="AO171" s="83">
        <v>0</v>
      </c>
      <c r="AP171" s="83">
        <v>0</v>
      </c>
      <c r="AQ171" s="83">
        <v>0</v>
      </c>
      <c r="AR171" s="83">
        <v>0</v>
      </c>
      <c r="AS171" s="83">
        <v>0</v>
      </c>
      <c r="AT171" s="83">
        <v>0</v>
      </c>
      <c r="AU171" s="83">
        <v>0</v>
      </c>
      <c r="BA171" s="31">
        <f t="shared" si="216"/>
        <v>0</v>
      </c>
    </row>
    <row r="172" spans="1:53" x14ac:dyDescent="0.2">
      <c r="B172" s="3" t="s">
        <v>1636</v>
      </c>
      <c r="C172" s="20">
        <v>0</v>
      </c>
      <c r="D172" s="20">
        <v>0</v>
      </c>
      <c r="E172" s="20">
        <v>0</v>
      </c>
      <c r="F172" s="20">
        <v>0</v>
      </c>
      <c r="G172" s="24">
        <v>28.84</v>
      </c>
      <c r="H172" s="20">
        <v>-42.53</v>
      </c>
      <c r="I172" s="20">
        <v>13.5</v>
      </c>
      <c r="J172" s="20">
        <v>-2.7</v>
      </c>
      <c r="K172" s="20">
        <v>3.34</v>
      </c>
      <c r="L172" s="83">
        <v>-0.45</v>
      </c>
      <c r="M172" s="83">
        <v>1.0900000000000001</v>
      </c>
      <c r="N172" s="83">
        <v>-1.0900000000000001</v>
      </c>
      <c r="O172" s="83">
        <v>0</v>
      </c>
      <c r="P172" s="83">
        <v>33.03</v>
      </c>
      <c r="Q172" s="83">
        <v>-33.03</v>
      </c>
      <c r="R172" s="83">
        <v>0</v>
      </c>
      <c r="S172" s="83">
        <v>0</v>
      </c>
      <c r="T172" s="83">
        <v>0</v>
      </c>
      <c r="U172" s="83">
        <v>0</v>
      </c>
      <c r="V172" s="83">
        <v>0</v>
      </c>
      <c r="W172" s="83">
        <v>0</v>
      </c>
      <c r="X172" s="83">
        <v>0</v>
      </c>
      <c r="Y172" s="83">
        <v>0</v>
      </c>
      <c r="Z172" s="83">
        <v>0</v>
      </c>
      <c r="AA172" s="31">
        <f t="shared" si="214"/>
        <v>0</v>
      </c>
      <c r="AB172" s="83">
        <v>-52.56</v>
      </c>
      <c r="AC172" s="83">
        <v>52.56</v>
      </c>
      <c r="AD172" s="83">
        <v>0</v>
      </c>
      <c r="AE172" s="83">
        <v>0</v>
      </c>
      <c r="AF172" s="83">
        <v>0</v>
      </c>
      <c r="AG172" s="83">
        <v>0</v>
      </c>
      <c r="AH172" s="83">
        <v>0</v>
      </c>
      <c r="AI172" s="83">
        <v>-17.82</v>
      </c>
      <c r="AJ172" s="83">
        <v>17.82</v>
      </c>
      <c r="AK172" s="83">
        <v>0</v>
      </c>
      <c r="AL172" s="83">
        <v>0</v>
      </c>
      <c r="AM172" s="83">
        <v>0</v>
      </c>
      <c r="AN172" s="31">
        <f t="shared" si="215"/>
        <v>0</v>
      </c>
      <c r="AO172" s="83">
        <v>0</v>
      </c>
      <c r="AP172" s="83">
        <v>0</v>
      </c>
      <c r="AQ172" s="83">
        <v>0</v>
      </c>
      <c r="AR172" s="83">
        <v>0</v>
      </c>
      <c r="AS172" s="83">
        <v>0</v>
      </c>
      <c r="AT172" s="83">
        <v>0</v>
      </c>
      <c r="AU172" s="83">
        <v>0</v>
      </c>
      <c r="BA172" s="31">
        <f t="shared" si="216"/>
        <v>0</v>
      </c>
    </row>
    <row r="173" spans="1:53" x14ac:dyDescent="0.2">
      <c r="B173" s="3" t="s">
        <v>125</v>
      </c>
      <c r="C173" s="4">
        <v>269.45</v>
      </c>
      <c r="D173" s="20">
        <v>0</v>
      </c>
      <c r="E173" s="20">
        <v>0</v>
      </c>
      <c r="F173" s="24">
        <v>0</v>
      </c>
      <c r="G173" s="24">
        <v>0</v>
      </c>
      <c r="H173" s="20">
        <v>0</v>
      </c>
      <c r="I173" s="20">
        <v>0</v>
      </c>
      <c r="J173" s="20">
        <v>0</v>
      </c>
      <c r="K173" s="20">
        <v>0</v>
      </c>
      <c r="L173" s="83">
        <v>0</v>
      </c>
      <c r="M173" s="83">
        <v>0</v>
      </c>
      <c r="N173" s="83">
        <v>0</v>
      </c>
      <c r="O173" s="83">
        <v>269.45</v>
      </c>
      <c r="P173" s="83">
        <v>0</v>
      </c>
      <c r="Q173" s="83">
        <v>0</v>
      </c>
      <c r="R173" s="83">
        <v>0</v>
      </c>
      <c r="S173" s="83">
        <v>0</v>
      </c>
      <c r="T173" s="83">
        <v>0</v>
      </c>
      <c r="U173" s="83">
        <v>0</v>
      </c>
      <c r="V173" s="83">
        <v>0</v>
      </c>
      <c r="W173" s="83">
        <v>0</v>
      </c>
      <c r="X173" s="83">
        <v>0</v>
      </c>
      <c r="Y173" s="83">
        <v>0</v>
      </c>
      <c r="Z173" s="83">
        <v>0</v>
      </c>
      <c r="AA173" s="31">
        <f t="shared" si="214"/>
        <v>269.45</v>
      </c>
      <c r="AB173" s="83">
        <v>0</v>
      </c>
      <c r="AC173" s="83">
        <v>0</v>
      </c>
      <c r="AD173" s="83">
        <v>0</v>
      </c>
      <c r="AE173" s="83">
        <v>0</v>
      </c>
      <c r="AF173" s="83">
        <v>0</v>
      </c>
      <c r="AG173" s="83">
        <v>0</v>
      </c>
      <c r="AH173" s="83">
        <v>0</v>
      </c>
      <c r="AI173" s="83">
        <v>0</v>
      </c>
      <c r="AJ173" s="83">
        <v>0</v>
      </c>
      <c r="AK173" s="83">
        <v>0</v>
      </c>
      <c r="AL173" s="83">
        <v>0</v>
      </c>
      <c r="AM173" s="83">
        <v>0</v>
      </c>
      <c r="AN173" s="31">
        <f t="shared" si="215"/>
        <v>269.45</v>
      </c>
      <c r="AO173" s="83">
        <v>0</v>
      </c>
      <c r="AP173" s="83">
        <v>0</v>
      </c>
      <c r="AQ173" s="83">
        <v>0</v>
      </c>
      <c r="AR173" s="83">
        <v>0</v>
      </c>
      <c r="AS173" s="83">
        <v>0</v>
      </c>
      <c r="AT173" s="83">
        <v>0</v>
      </c>
      <c r="AU173" s="83">
        <v>0</v>
      </c>
      <c r="BA173" s="31">
        <f t="shared" si="216"/>
        <v>269.45</v>
      </c>
    </row>
    <row r="174" spans="1:53" s="56" customFormat="1" x14ac:dyDescent="0.2">
      <c r="B174" s="56" t="s">
        <v>126</v>
      </c>
      <c r="C174" s="57">
        <v>3599526.81</v>
      </c>
      <c r="D174" s="57">
        <v>4130229.05</v>
      </c>
      <c r="E174" s="58">
        <v>-4747872.05</v>
      </c>
      <c r="F174" s="60">
        <v>2370738.83</v>
      </c>
      <c r="G174" s="60">
        <v>-2219534.02</v>
      </c>
      <c r="H174" s="58">
        <v>-1075814.18</v>
      </c>
      <c r="I174" s="58">
        <v>1445749.49</v>
      </c>
      <c r="J174" s="58">
        <v>-1122517.67</v>
      </c>
      <c r="K174" s="58">
        <v>-82374.490000000005</v>
      </c>
      <c r="L174" s="139">
        <v>-809636.07</v>
      </c>
      <c r="M174" s="139">
        <v>311595.73</v>
      </c>
      <c r="N174" s="139">
        <v>-398043.36</v>
      </c>
      <c r="O174" s="139">
        <v>2071274.33</v>
      </c>
      <c r="P174" s="139">
        <v>273342.71000000002</v>
      </c>
      <c r="Q174" s="139">
        <v>399555.1</v>
      </c>
      <c r="R174" s="139">
        <v>1851536.64</v>
      </c>
      <c r="S174" s="139">
        <v>-1711937.36</v>
      </c>
      <c r="T174" s="139">
        <v>394343.15</v>
      </c>
      <c r="U174" s="139">
        <v>-1223256.48</v>
      </c>
      <c r="V174" s="139">
        <v>306059.58</v>
      </c>
      <c r="W174" s="139">
        <v>446925.21</v>
      </c>
      <c r="X174" s="139">
        <v>-545469.47</v>
      </c>
      <c r="Y174" s="139">
        <v>-912846.79</v>
      </c>
      <c r="Z174" s="139">
        <v>-471572.41</v>
      </c>
      <c r="AA174" s="140">
        <f t="shared" si="214"/>
        <v>877954.2100000002</v>
      </c>
      <c r="AB174" s="139">
        <v>1266648.26</v>
      </c>
      <c r="AC174" s="83">
        <v>-23273.66</v>
      </c>
      <c r="AD174" s="83">
        <v>-808738.51</v>
      </c>
      <c r="AE174" s="83">
        <v>-312307.17</v>
      </c>
      <c r="AF174" s="83">
        <v>313863.96000000002</v>
      </c>
      <c r="AG174" s="83">
        <v>-425467.74</v>
      </c>
      <c r="AH174" s="83">
        <v>156193.99</v>
      </c>
      <c r="AI174" s="83">
        <v>289665.17</v>
      </c>
      <c r="AJ174" s="83">
        <v>-87963.79</v>
      </c>
      <c r="AK174" s="83">
        <v>311060.78000000003</v>
      </c>
      <c r="AL174" s="83">
        <v>221757.34</v>
      </c>
      <c r="AM174" s="83">
        <v>-300985.64</v>
      </c>
      <c r="AN174" s="140">
        <f t="shared" si="215"/>
        <v>1478407.2000000002</v>
      </c>
      <c r="AO174" s="83">
        <v>603396.13</v>
      </c>
      <c r="AP174" s="83">
        <v>-694333.93</v>
      </c>
      <c r="AQ174" s="83">
        <v>509591</v>
      </c>
      <c r="AR174" s="83">
        <v>-329935.09999999998</v>
      </c>
      <c r="AS174" s="83">
        <v>234862</v>
      </c>
      <c r="AT174" s="83">
        <v>194987.29</v>
      </c>
      <c r="AU174" s="83">
        <v>-484903.92</v>
      </c>
      <c r="AV174" s="83"/>
      <c r="AW174" s="83"/>
      <c r="AX174" s="83"/>
      <c r="AY174" s="83"/>
      <c r="AZ174" s="83"/>
      <c r="BA174" s="31">
        <f t="shared" si="216"/>
        <v>1512070.67</v>
      </c>
    </row>
    <row r="175" spans="1:53" s="56" customFormat="1" x14ac:dyDescent="0.2">
      <c r="B175" s="56" t="s">
        <v>127</v>
      </c>
      <c r="C175" s="58">
        <v>5274.65</v>
      </c>
      <c r="D175" s="58">
        <v>-2376.7199999999998</v>
      </c>
      <c r="E175" s="58">
        <v>-381.85</v>
      </c>
      <c r="F175" s="60">
        <v>-1238.3800000000001</v>
      </c>
      <c r="G175" s="60">
        <v>-82.96</v>
      </c>
      <c r="H175" s="58">
        <v>-522.70000000000005</v>
      </c>
      <c r="I175" s="58">
        <v>1033.45</v>
      </c>
      <c r="J175" s="58">
        <v>-1572.96</v>
      </c>
      <c r="K175" s="58">
        <v>2150.13</v>
      </c>
      <c r="L175" s="139">
        <v>1529.25</v>
      </c>
      <c r="M175" s="139">
        <v>1591.26</v>
      </c>
      <c r="N175" s="139">
        <v>-2957.83</v>
      </c>
      <c r="O175" s="139">
        <v>2626.69</v>
      </c>
      <c r="P175" s="139">
        <v>3212.26</v>
      </c>
      <c r="Q175" s="139">
        <v>-5186.59</v>
      </c>
      <c r="R175" s="139">
        <v>159.82</v>
      </c>
      <c r="S175" s="139">
        <v>-763.42</v>
      </c>
      <c r="T175" s="139">
        <v>-948.68</v>
      </c>
      <c r="U175" s="139">
        <v>-62.54</v>
      </c>
      <c r="V175" s="139">
        <v>786.56</v>
      </c>
      <c r="W175" s="139">
        <v>33.51</v>
      </c>
      <c r="X175" s="139">
        <v>79.55</v>
      </c>
      <c r="Y175" s="139">
        <v>-43.95</v>
      </c>
      <c r="Z175" s="139">
        <v>28.99</v>
      </c>
      <c r="AA175" s="140">
        <f t="shared" si="214"/>
        <v>-77.799999999999429</v>
      </c>
      <c r="AB175" s="139">
        <v>-34.729999999999997</v>
      </c>
      <c r="AC175" s="83">
        <v>397.2</v>
      </c>
      <c r="AD175" s="83">
        <v>-311.5</v>
      </c>
      <c r="AE175" s="83">
        <v>39.880000000000003</v>
      </c>
      <c r="AF175" s="83">
        <v>-21.78</v>
      </c>
      <c r="AG175" s="83">
        <v>75.819999999999993</v>
      </c>
      <c r="AH175" s="83">
        <v>181.53</v>
      </c>
      <c r="AI175" s="83">
        <v>-196.73</v>
      </c>
      <c r="AJ175" s="83">
        <v>62.96</v>
      </c>
      <c r="AK175" s="83">
        <v>-40.57</v>
      </c>
      <c r="AL175" s="83">
        <v>-66.14</v>
      </c>
      <c r="AM175" s="83">
        <v>116.99</v>
      </c>
      <c r="AN175" s="140">
        <f t="shared" si="215"/>
        <v>125.13000000000054</v>
      </c>
      <c r="AO175" s="83">
        <v>249.24</v>
      </c>
      <c r="AP175" s="83">
        <v>27.86</v>
      </c>
      <c r="AQ175" s="83">
        <v>-414.92</v>
      </c>
      <c r="AR175" s="83">
        <v>-5.88</v>
      </c>
      <c r="AS175" s="83">
        <v>80.86</v>
      </c>
      <c r="AT175" s="83">
        <v>-49.01</v>
      </c>
      <c r="AU175" s="83">
        <v>5.66</v>
      </c>
      <c r="AV175" s="83"/>
      <c r="AW175" s="83"/>
      <c r="AX175" s="83"/>
      <c r="AY175" s="83"/>
      <c r="AZ175" s="83"/>
      <c r="BA175" s="31">
        <f t="shared" si="216"/>
        <v>18.940000000000577</v>
      </c>
    </row>
    <row r="176" spans="1:53" s="56" customFormat="1" x14ac:dyDescent="0.2">
      <c r="B176" s="56" t="s">
        <v>128</v>
      </c>
      <c r="C176" s="58">
        <v>48799.62</v>
      </c>
      <c r="D176" s="58">
        <v>62776.32</v>
      </c>
      <c r="E176" s="58">
        <v>-73570.720000000001</v>
      </c>
      <c r="F176" s="60">
        <v>27572.99</v>
      </c>
      <c r="G176" s="60">
        <v>-37081.870000000003</v>
      </c>
      <c r="H176" s="58">
        <v>-6094.57</v>
      </c>
      <c r="I176" s="58">
        <v>22792.27</v>
      </c>
      <c r="J176" s="58">
        <v>-27264.54</v>
      </c>
      <c r="K176" s="58">
        <v>1911.62</v>
      </c>
      <c r="L176" s="139">
        <v>-15134.8</v>
      </c>
      <c r="M176" s="139">
        <v>9242.49</v>
      </c>
      <c r="N176" s="139">
        <v>-7877.1</v>
      </c>
      <c r="O176" s="139">
        <v>14190.6</v>
      </c>
      <c r="P176" s="139">
        <v>3095.07</v>
      </c>
      <c r="Q176" s="139">
        <v>4331.92</v>
      </c>
      <c r="R176" s="139">
        <v>22407.21</v>
      </c>
      <c r="S176" s="139">
        <v>-19905.650000000001</v>
      </c>
      <c r="T176" s="139">
        <v>-188.07</v>
      </c>
      <c r="U176" s="139">
        <v>-17997.490000000002</v>
      </c>
      <c r="V176" s="139">
        <v>11823.79</v>
      </c>
      <c r="W176" s="139">
        <v>4814.99</v>
      </c>
      <c r="X176" s="139">
        <v>-8370.6</v>
      </c>
      <c r="Y176" s="139">
        <v>-11047.19</v>
      </c>
      <c r="Z176" s="139">
        <v>-1364.79</v>
      </c>
      <c r="AA176" s="140">
        <f t="shared" si="214"/>
        <v>1789.7900000000018</v>
      </c>
      <c r="AB176" s="139">
        <v>17126.89</v>
      </c>
      <c r="AC176" s="83">
        <v>1600.88</v>
      </c>
      <c r="AD176" s="83">
        <v>-9849.7099999999991</v>
      </c>
      <c r="AE176" s="83">
        <v>-4286.1000000000004</v>
      </c>
      <c r="AF176" s="83">
        <v>8522.48</v>
      </c>
      <c r="AG176" s="83">
        <v>-6292.84</v>
      </c>
      <c r="AH176" s="83">
        <v>3754.6</v>
      </c>
      <c r="AI176" s="83">
        <v>3315.8</v>
      </c>
      <c r="AJ176" s="83">
        <v>-1274.1600000000001</v>
      </c>
      <c r="AK176" s="83">
        <v>2447.85</v>
      </c>
      <c r="AL176" s="83">
        <v>3003.4</v>
      </c>
      <c r="AM176" s="83">
        <v>-2619</v>
      </c>
      <c r="AN176" s="140">
        <f t="shared" si="215"/>
        <v>17239.88</v>
      </c>
      <c r="AO176" s="83">
        <v>8882</v>
      </c>
      <c r="AP176" s="83">
        <v>-10626.55</v>
      </c>
      <c r="AQ176" s="83">
        <v>7807.7</v>
      </c>
      <c r="AR176" s="83">
        <v>-6510.82</v>
      </c>
      <c r="AS176" s="83">
        <v>1656.14</v>
      </c>
      <c r="AT176" s="83">
        <v>4713.28</v>
      </c>
      <c r="AU176" s="83">
        <v>-7523.47</v>
      </c>
      <c r="AV176" s="83"/>
      <c r="AW176" s="83"/>
      <c r="AX176" s="83"/>
      <c r="AY176" s="83"/>
      <c r="AZ176" s="83"/>
      <c r="BA176" s="31">
        <f t="shared" si="216"/>
        <v>15638.16</v>
      </c>
    </row>
    <row r="177" spans="1:53" s="56" customFormat="1" x14ac:dyDescent="0.2">
      <c r="B177" s="56" t="s">
        <v>129</v>
      </c>
      <c r="C177" s="57">
        <v>-3599526.81</v>
      </c>
      <c r="D177" s="57">
        <v>-4130229.05</v>
      </c>
      <c r="E177" s="58">
        <v>4747872.05</v>
      </c>
      <c r="F177" s="60">
        <v>-2370738.83</v>
      </c>
      <c r="G177" s="60">
        <v>2219534.02</v>
      </c>
      <c r="H177" s="58">
        <v>1075814.18</v>
      </c>
      <c r="I177" s="58">
        <v>-1445749.49</v>
      </c>
      <c r="J177" s="58">
        <v>1122517.67</v>
      </c>
      <c r="K177" s="58">
        <v>82374.490000000005</v>
      </c>
      <c r="L177" s="139">
        <v>809636.07</v>
      </c>
      <c r="M177" s="139">
        <v>-311595.73</v>
      </c>
      <c r="N177" s="139">
        <v>398043.36</v>
      </c>
      <c r="O177" s="139">
        <v>-2071274.33</v>
      </c>
      <c r="P177" s="139">
        <v>-273342.71000000002</v>
      </c>
      <c r="Q177" s="139">
        <v>-399555.1</v>
      </c>
      <c r="R177" s="139">
        <v>-1851536.64</v>
      </c>
      <c r="S177" s="139">
        <v>1711937.36</v>
      </c>
      <c r="T177" s="139">
        <v>-394343.15</v>
      </c>
      <c r="U177" s="139">
        <v>1223256.48</v>
      </c>
      <c r="V177" s="139">
        <v>-306059.58</v>
      </c>
      <c r="W177" s="139">
        <v>-446925.21</v>
      </c>
      <c r="X177" s="139">
        <v>545469.47</v>
      </c>
      <c r="Y177" s="139">
        <v>912846.79</v>
      </c>
      <c r="Z177" s="139">
        <v>471572.41</v>
      </c>
      <c r="AA177" s="140">
        <f t="shared" si="214"/>
        <v>-877954.2100000002</v>
      </c>
      <c r="AB177" s="139">
        <v>-1266648.26</v>
      </c>
      <c r="AC177" s="83">
        <v>23273.66</v>
      </c>
      <c r="AD177" s="83">
        <v>808738.51</v>
      </c>
      <c r="AE177" s="83">
        <v>312307.17</v>
      </c>
      <c r="AF177" s="83">
        <v>-313863.96000000002</v>
      </c>
      <c r="AG177" s="83">
        <v>425467.74</v>
      </c>
      <c r="AH177" s="83">
        <v>-156193.99</v>
      </c>
      <c r="AI177" s="83">
        <v>-289665.17</v>
      </c>
      <c r="AJ177" s="83">
        <v>87963.79</v>
      </c>
      <c r="AK177" s="83">
        <v>-311060.78000000003</v>
      </c>
      <c r="AL177" s="83">
        <v>-221757.34</v>
      </c>
      <c r="AM177" s="83">
        <v>300985.64</v>
      </c>
      <c r="AN177" s="140">
        <f t="shared" si="215"/>
        <v>-1478407.2000000002</v>
      </c>
      <c r="AO177" s="83">
        <v>-603396.13</v>
      </c>
      <c r="AP177" s="83">
        <v>694333.93</v>
      </c>
      <c r="AQ177" s="83">
        <v>-509591</v>
      </c>
      <c r="AR177" s="83">
        <v>329935.09999999998</v>
      </c>
      <c r="AS177" s="83">
        <v>-234862</v>
      </c>
      <c r="AT177" s="83">
        <v>-194987.29</v>
      </c>
      <c r="AU177" s="83">
        <v>484903.92</v>
      </c>
      <c r="AV177" s="83"/>
      <c r="AW177" s="83"/>
      <c r="AX177" s="83"/>
      <c r="AY177" s="83"/>
      <c r="AZ177" s="83"/>
      <c r="BA177" s="31">
        <f t="shared" si="216"/>
        <v>-1512070.67</v>
      </c>
    </row>
    <row r="178" spans="1:53" s="56" customFormat="1" x14ac:dyDescent="0.2">
      <c r="B178" s="56" t="s">
        <v>130</v>
      </c>
      <c r="C178" s="58">
        <v>-5274.65</v>
      </c>
      <c r="D178" s="58">
        <v>2376.7199999999998</v>
      </c>
      <c r="E178" s="58">
        <v>381.85</v>
      </c>
      <c r="F178" s="60">
        <v>1238.3800000000001</v>
      </c>
      <c r="G178" s="60">
        <v>82.96</v>
      </c>
      <c r="H178" s="58">
        <v>522.70000000000005</v>
      </c>
      <c r="I178" s="58">
        <v>-1033.45</v>
      </c>
      <c r="J178" s="58">
        <v>1572.96</v>
      </c>
      <c r="K178" s="58">
        <v>-2150.13</v>
      </c>
      <c r="L178" s="139">
        <v>-1529.25</v>
      </c>
      <c r="M178" s="139">
        <v>-1591.26</v>
      </c>
      <c r="N178" s="139">
        <v>2957.83</v>
      </c>
      <c r="O178" s="139">
        <v>-2626.69</v>
      </c>
      <c r="P178" s="139">
        <v>-3212.26</v>
      </c>
      <c r="Q178" s="139">
        <v>5186.59</v>
      </c>
      <c r="R178" s="139">
        <v>-159.82</v>
      </c>
      <c r="S178" s="139">
        <v>763.42</v>
      </c>
      <c r="T178" s="139">
        <v>948.68</v>
      </c>
      <c r="U178" s="139">
        <v>62.54</v>
      </c>
      <c r="V178" s="139">
        <v>-786.56</v>
      </c>
      <c r="W178" s="139">
        <v>-33.51</v>
      </c>
      <c r="X178" s="139">
        <v>-79.55</v>
      </c>
      <c r="Y178" s="139">
        <v>43.95</v>
      </c>
      <c r="Z178" s="139">
        <v>-28.99</v>
      </c>
      <c r="AA178" s="140">
        <f t="shared" si="214"/>
        <v>77.799999999999429</v>
      </c>
      <c r="AB178" s="139">
        <v>34.729999999999997</v>
      </c>
      <c r="AC178" s="83">
        <v>-397.2</v>
      </c>
      <c r="AD178" s="83">
        <v>311.5</v>
      </c>
      <c r="AE178" s="83">
        <v>-39.880000000000003</v>
      </c>
      <c r="AF178" s="83">
        <v>21.78</v>
      </c>
      <c r="AG178" s="83">
        <v>-75.819999999999993</v>
      </c>
      <c r="AH178" s="83">
        <v>-181.53</v>
      </c>
      <c r="AI178" s="83">
        <v>196.73</v>
      </c>
      <c r="AJ178" s="83">
        <v>-62.96</v>
      </c>
      <c r="AK178" s="83">
        <v>40.57</v>
      </c>
      <c r="AL178" s="83">
        <v>66.14</v>
      </c>
      <c r="AM178" s="83">
        <v>-116.99</v>
      </c>
      <c r="AN178" s="140">
        <f t="shared" si="215"/>
        <v>-125.13000000000054</v>
      </c>
      <c r="AO178" s="83">
        <v>-249.24</v>
      </c>
      <c r="AP178" s="83">
        <v>-27.86</v>
      </c>
      <c r="AQ178" s="83">
        <v>414.92</v>
      </c>
      <c r="AR178" s="83">
        <v>5.88</v>
      </c>
      <c r="AS178" s="83">
        <v>-80.86</v>
      </c>
      <c r="AT178" s="83">
        <v>49.01</v>
      </c>
      <c r="AU178" s="83">
        <v>-5.66</v>
      </c>
      <c r="AV178" s="83"/>
      <c r="AW178" s="83"/>
      <c r="AX178" s="83"/>
      <c r="AY178" s="83"/>
      <c r="AZ178" s="83"/>
      <c r="BA178" s="31">
        <f t="shared" si="216"/>
        <v>-18.940000000000577</v>
      </c>
    </row>
    <row r="179" spans="1:53" s="56" customFormat="1" x14ac:dyDescent="0.2">
      <c r="B179" s="56" t="s">
        <v>131</v>
      </c>
      <c r="C179" s="58">
        <v>-48799.62</v>
      </c>
      <c r="D179" s="58">
        <v>-62776.32</v>
      </c>
      <c r="E179" s="58">
        <v>73570.720000000001</v>
      </c>
      <c r="F179" s="60">
        <v>-27572.99</v>
      </c>
      <c r="G179" s="60">
        <v>37081.870000000003</v>
      </c>
      <c r="H179" s="58">
        <v>6094.57</v>
      </c>
      <c r="I179" s="58">
        <v>-22792.27</v>
      </c>
      <c r="J179" s="58">
        <v>27264.54</v>
      </c>
      <c r="K179" s="58">
        <v>-1911.62</v>
      </c>
      <c r="L179" s="139">
        <v>15134.8</v>
      </c>
      <c r="M179" s="139">
        <v>-9242.49</v>
      </c>
      <c r="N179" s="139">
        <v>7877.1</v>
      </c>
      <c r="O179" s="139">
        <v>-14190.6</v>
      </c>
      <c r="P179" s="139">
        <v>-3095.07</v>
      </c>
      <c r="Q179" s="139">
        <v>-4331.92</v>
      </c>
      <c r="R179" s="139">
        <v>-22407.21</v>
      </c>
      <c r="S179" s="139">
        <v>19905.650000000001</v>
      </c>
      <c r="T179" s="139">
        <v>188.07</v>
      </c>
      <c r="U179" s="139">
        <v>17997.490000000002</v>
      </c>
      <c r="V179" s="139">
        <v>-11823.79</v>
      </c>
      <c r="W179" s="139">
        <v>-4814.99</v>
      </c>
      <c r="X179" s="139">
        <v>8370.6</v>
      </c>
      <c r="Y179" s="139">
        <v>11047.19</v>
      </c>
      <c r="Z179" s="139">
        <v>1364.79</v>
      </c>
      <c r="AA179" s="140">
        <f t="shared" si="214"/>
        <v>-1789.7900000000018</v>
      </c>
      <c r="AB179" s="139">
        <v>-17126.89</v>
      </c>
      <c r="AC179" s="83">
        <v>-1600.88</v>
      </c>
      <c r="AD179" s="83">
        <v>9849.7099999999991</v>
      </c>
      <c r="AE179" s="83">
        <v>4286.1000000000004</v>
      </c>
      <c r="AF179" s="83">
        <v>-8522.48</v>
      </c>
      <c r="AG179" s="83">
        <v>6292.84</v>
      </c>
      <c r="AH179" s="83">
        <v>-3754.6</v>
      </c>
      <c r="AI179" s="83">
        <v>-3315.8</v>
      </c>
      <c r="AJ179" s="83">
        <v>1274.1600000000001</v>
      </c>
      <c r="AK179" s="83">
        <v>-2447.85</v>
      </c>
      <c r="AL179" s="83">
        <v>-3003.4</v>
      </c>
      <c r="AM179" s="83">
        <v>2619</v>
      </c>
      <c r="AN179" s="140">
        <f t="shared" si="215"/>
        <v>-17239.88</v>
      </c>
      <c r="AO179" s="83">
        <v>-8882</v>
      </c>
      <c r="AP179" s="83">
        <v>10626.55</v>
      </c>
      <c r="AQ179" s="83">
        <v>-7807.7</v>
      </c>
      <c r="AR179" s="83">
        <v>6510.82</v>
      </c>
      <c r="AS179" s="83">
        <v>-1656.14</v>
      </c>
      <c r="AT179" s="83">
        <v>-4713.28</v>
      </c>
      <c r="AU179" s="83">
        <v>7523.47</v>
      </c>
      <c r="AV179" s="83"/>
      <c r="AW179" s="83"/>
      <c r="AX179" s="83"/>
      <c r="AY179" s="83"/>
      <c r="AZ179" s="83"/>
      <c r="BA179" s="31">
        <f t="shared" si="216"/>
        <v>-15638.16</v>
      </c>
    </row>
    <row r="180" spans="1:53" x14ac:dyDescent="0.2">
      <c r="A180" s="3"/>
      <c r="B180" s="3" t="s">
        <v>132</v>
      </c>
      <c r="C180" s="20">
        <v>7019.32</v>
      </c>
      <c r="D180" s="20">
        <v>-24451.15</v>
      </c>
      <c r="E180" s="20">
        <v>11623.2</v>
      </c>
      <c r="F180" s="24">
        <v>-6044.1</v>
      </c>
      <c r="G180" s="24">
        <v>304</v>
      </c>
      <c r="H180" s="20">
        <v>-28492.11</v>
      </c>
      <c r="I180" s="20">
        <v>-15220.8</v>
      </c>
      <c r="J180" s="20">
        <v>42806.5</v>
      </c>
      <c r="K180" s="20">
        <v>-2972.43</v>
      </c>
      <c r="L180" s="83">
        <v>-16150.17</v>
      </c>
      <c r="M180" s="83">
        <v>35687.410000000003</v>
      </c>
      <c r="N180" s="83">
        <v>-34025.47</v>
      </c>
      <c r="O180" s="83">
        <v>-70839.149999999994</v>
      </c>
      <c r="P180" s="83">
        <v>63295.64</v>
      </c>
      <c r="Q180" s="83">
        <v>-74798.84</v>
      </c>
      <c r="R180" s="83">
        <v>43959.28</v>
      </c>
      <c r="S180" s="83">
        <v>4761.84</v>
      </c>
      <c r="T180" s="83">
        <v>712.28</v>
      </c>
      <c r="U180" s="83">
        <v>-5224.91</v>
      </c>
      <c r="V180" s="83">
        <v>-2796.03</v>
      </c>
      <c r="W180" s="83">
        <v>19046.169999999998</v>
      </c>
      <c r="X180" s="83">
        <v>24232.31</v>
      </c>
      <c r="Y180" s="83">
        <v>-7941.35</v>
      </c>
      <c r="Z180" s="83">
        <v>-5893.43</v>
      </c>
      <c r="AA180" s="31">
        <f t="shared" si="214"/>
        <v>-11486.19</v>
      </c>
      <c r="AB180" s="83">
        <v>-1719.77</v>
      </c>
      <c r="AC180" s="83">
        <v>12895.68</v>
      </c>
      <c r="AD180" s="83">
        <v>2517.75</v>
      </c>
      <c r="AE180" s="83">
        <v>-38098.720000000001</v>
      </c>
      <c r="AF180" s="83">
        <v>35292.82</v>
      </c>
      <c r="AG180" s="83">
        <v>571.54999999999995</v>
      </c>
      <c r="AH180" s="83">
        <v>-100.29</v>
      </c>
      <c r="AI180" s="83">
        <v>3027.3</v>
      </c>
      <c r="AJ180" s="83">
        <v>-2755.17</v>
      </c>
      <c r="AK180" s="83">
        <v>-8732.9599999999991</v>
      </c>
      <c r="AL180" s="83">
        <v>7674.39</v>
      </c>
      <c r="AM180" s="83">
        <v>1196.1400000000001</v>
      </c>
      <c r="AN180" s="31">
        <f t="shared" si="215"/>
        <v>282.53000000000043</v>
      </c>
      <c r="AO180" s="83">
        <v>2414.94</v>
      </c>
      <c r="AP180" s="83">
        <v>592.58000000000004</v>
      </c>
      <c r="AQ180" s="83">
        <v>-3210.96</v>
      </c>
      <c r="AR180" s="83">
        <v>-59.92</v>
      </c>
      <c r="AS180" s="83">
        <v>-5611.3</v>
      </c>
      <c r="AT180" s="83">
        <v>-12431.97</v>
      </c>
      <c r="AU180" s="83">
        <v>9195.68</v>
      </c>
      <c r="BA180" s="31">
        <f t="shared" si="216"/>
        <v>-8828.4199999999983</v>
      </c>
    </row>
    <row r="181" spans="1:53" x14ac:dyDescent="0.2">
      <c r="A181" s="3"/>
      <c r="B181" s="3" t="s">
        <v>133</v>
      </c>
      <c r="C181" s="20">
        <v>-7445.28</v>
      </c>
      <c r="D181" s="20">
        <v>17866.259999999998</v>
      </c>
      <c r="E181" s="20">
        <v>-10491.43</v>
      </c>
      <c r="F181" s="24">
        <v>2752.77</v>
      </c>
      <c r="G181" s="24">
        <v>-11863.13</v>
      </c>
      <c r="H181" s="20">
        <v>33680.21</v>
      </c>
      <c r="I181" s="20">
        <v>44103.59</v>
      </c>
      <c r="J181" s="20">
        <v>-59903.21</v>
      </c>
      <c r="K181" s="20">
        <v>7734.97</v>
      </c>
      <c r="L181" s="83">
        <v>-2622.75</v>
      </c>
      <c r="M181" s="83">
        <v>-18020.599999999999</v>
      </c>
      <c r="N181" s="83">
        <v>27582.53</v>
      </c>
      <c r="O181" s="83">
        <v>49758.59</v>
      </c>
      <c r="P181" s="83">
        <v>-40866.36</v>
      </c>
      <c r="Q181" s="83">
        <v>66754.720000000001</v>
      </c>
      <c r="R181" s="83">
        <v>-75873.69</v>
      </c>
      <c r="S181" s="83">
        <v>325.93</v>
      </c>
      <c r="T181" s="83">
        <v>-3453.55</v>
      </c>
      <c r="U181" s="83">
        <v>3056.1</v>
      </c>
      <c r="V181" s="83">
        <v>48665.15</v>
      </c>
      <c r="W181" s="83">
        <v>2237.02</v>
      </c>
      <c r="X181" s="83">
        <v>-50585.82</v>
      </c>
      <c r="Y181" s="83">
        <v>19149.79</v>
      </c>
      <c r="Z181" s="83">
        <v>-19061.259999999998</v>
      </c>
      <c r="AA181" s="31">
        <f t="shared" si="214"/>
        <v>106.61999999999898</v>
      </c>
      <c r="AB181" s="83">
        <v>3470.27</v>
      </c>
      <c r="AC181" s="83">
        <v>-3597.81</v>
      </c>
      <c r="AD181" s="83">
        <v>-2.95</v>
      </c>
      <c r="AE181" s="83">
        <v>13861.58</v>
      </c>
      <c r="AF181" s="83">
        <v>-13852.01</v>
      </c>
      <c r="AG181" s="83">
        <v>-14.58</v>
      </c>
      <c r="AH181" s="83">
        <v>43.11</v>
      </c>
      <c r="AI181" s="83">
        <v>1078.1099999999999</v>
      </c>
      <c r="AJ181" s="83">
        <v>-1247.52</v>
      </c>
      <c r="AK181" s="83">
        <v>16821.13</v>
      </c>
      <c r="AL181" s="83">
        <v>-16898.91</v>
      </c>
      <c r="AM181" s="83">
        <v>-53.61</v>
      </c>
      <c r="AN181" s="31">
        <f t="shared" si="215"/>
        <v>-286.56999999999914</v>
      </c>
      <c r="AO181" s="83">
        <v>-2595.36</v>
      </c>
      <c r="AP181" s="83">
        <v>-932.05</v>
      </c>
      <c r="AQ181" s="83">
        <v>3556.27</v>
      </c>
      <c r="AR181" s="83">
        <v>141.82</v>
      </c>
      <c r="AS181" s="83">
        <v>9654.66</v>
      </c>
      <c r="AT181" s="83">
        <v>-1376.22</v>
      </c>
      <c r="AU181" s="83">
        <v>-6853.27</v>
      </c>
      <c r="BA181" s="31">
        <f t="shared" si="216"/>
        <v>1309.2799999999997</v>
      </c>
    </row>
    <row r="182" spans="1:53" x14ac:dyDescent="0.2">
      <c r="A182" s="3"/>
      <c r="B182" s="3" t="s">
        <v>134</v>
      </c>
      <c r="C182" s="20">
        <v>-30.46</v>
      </c>
      <c r="D182" s="20">
        <v>-6089.22</v>
      </c>
      <c r="E182" s="20">
        <v>5819.55</v>
      </c>
      <c r="F182" s="24">
        <v>269.67</v>
      </c>
      <c r="G182" s="24">
        <v>-4985.75</v>
      </c>
      <c r="H182" s="20">
        <v>4004.72</v>
      </c>
      <c r="I182" s="20">
        <v>705.54</v>
      </c>
      <c r="J182" s="20">
        <v>275.49</v>
      </c>
      <c r="K182" s="20">
        <v>-1520.21</v>
      </c>
      <c r="L182" s="83">
        <v>302.64</v>
      </c>
      <c r="M182" s="83">
        <v>1190.23</v>
      </c>
      <c r="N182" s="83">
        <v>30.46</v>
      </c>
      <c r="O182" s="83">
        <v>-2136</v>
      </c>
      <c r="P182" s="83">
        <v>885.06</v>
      </c>
      <c r="Q182" s="83">
        <v>830.63</v>
      </c>
      <c r="R182" s="83">
        <v>385.83</v>
      </c>
      <c r="S182" s="83">
        <v>7.14</v>
      </c>
      <c r="T182" s="83">
        <v>-4951.58</v>
      </c>
      <c r="U182" s="83">
        <v>2748.11</v>
      </c>
      <c r="V182" s="83">
        <v>-2367.31</v>
      </c>
      <c r="W182" s="83">
        <v>2738.63</v>
      </c>
      <c r="X182" s="83">
        <v>-155.88999999999999</v>
      </c>
      <c r="Y182" s="83">
        <v>2015.38</v>
      </c>
      <c r="Z182" s="83">
        <v>-634.16</v>
      </c>
      <c r="AA182" s="31">
        <f t="shared" si="214"/>
        <v>-634.15999999999951</v>
      </c>
      <c r="AB182" s="83">
        <v>634.16</v>
      </c>
      <c r="AC182" s="83">
        <v>-3656.25</v>
      </c>
      <c r="AD182" s="83">
        <v>-5497.11</v>
      </c>
      <c r="AE182" s="83">
        <v>6517.18</v>
      </c>
      <c r="AF182" s="83">
        <v>2222.63</v>
      </c>
      <c r="AG182" s="83">
        <v>-132.75</v>
      </c>
      <c r="AH182" s="83">
        <v>-911.36</v>
      </c>
      <c r="AI182" s="83">
        <v>1260.94</v>
      </c>
      <c r="AJ182" s="83">
        <v>-2244.83</v>
      </c>
      <c r="AK182" s="83">
        <v>909.17</v>
      </c>
      <c r="AL182" s="83">
        <v>1532.38</v>
      </c>
      <c r="AM182" s="83">
        <v>-9273.57</v>
      </c>
      <c r="AN182" s="31">
        <f t="shared" si="215"/>
        <v>-9273.5699999999979</v>
      </c>
      <c r="AO182" s="83">
        <v>2628.31</v>
      </c>
      <c r="AP182" s="83">
        <v>6645.26</v>
      </c>
      <c r="AQ182" s="83">
        <v>-9100.0400000000009</v>
      </c>
      <c r="AR182" s="83">
        <v>7980.46</v>
      </c>
      <c r="AS182" s="83">
        <v>-6925.47</v>
      </c>
      <c r="AT182" s="83">
        <v>1948.16</v>
      </c>
      <c r="AU182" s="83">
        <v>6096.89</v>
      </c>
      <c r="BA182" s="31">
        <f t="shared" si="216"/>
        <v>0</v>
      </c>
    </row>
    <row r="183" spans="1:53" x14ac:dyDescent="0.2">
      <c r="A183" s="3"/>
      <c r="B183" s="3" t="s">
        <v>135</v>
      </c>
      <c r="C183" s="20">
        <v>30.46</v>
      </c>
      <c r="D183" s="20">
        <v>6089.22</v>
      </c>
      <c r="E183" s="20">
        <v>-5819.55</v>
      </c>
      <c r="F183" s="24">
        <v>-269.67</v>
      </c>
      <c r="G183" s="24">
        <v>4985.75</v>
      </c>
      <c r="H183" s="20">
        <v>-4006.22</v>
      </c>
      <c r="I183" s="20">
        <v>-704.04</v>
      </c>
      <c r="J183" s="20">
        <v>-275.49</v>
      </c>
      <c r="K183" s="20">
        <v>1520.21</v>
      </c>
      <c r="L183" s="83">
        <v>-332.24</v>
      </c>
      <c r="M183" s="83">
        <v>-1187.97</v>
      </c>
      <c r="N183" s="83">
        <v>-30.46</v>
      </c>
      <c r="O183" s="83">
        <v>2094.4899999999998</v>
      </c>
      <c r="P183" s="83">
        <v>-884.13</v>
      </c>
      <c r="Q183" s="83">
        <v>-817.39</v>
      </c>
      <c r="R183" s="83">
        <v>-392.97</v>
      </c>
      <c r="S183" s="83">
        <v>0</v>
      </c>
      <c r="T183" s="83">
        <v>4951.58</v>
      </c>
      <c r="U183" s="83">
        <v>-2748.11</v>
      </c>
      <c r="V183" s="83">
        <v>2394.65</v>
      </c>
      <c r="W183" s="83">
        <v>-2738.63</v>
      </c>
      <c r="X183" s="83">
        <v>155.88999999999999</v>
      </c>
      <c r="Y183" s="83">
        <v>-2015.38</v>
      </c>
      <c r="Z183" s="83">
        <v>634.16</v>
      </c>
      <c r="AA183" s="31">
        <f t="shared" si="214"/>
        <v>634.15999999999951</v>
      </c>
      <c r="AB183" s="83">
        <v>-634.16</v>
      </c>
      <c r="AC183" s="83">
        <v>3656.25</v>
      </c>
      <c r="AD183" s="83">
        <v>5497.11</v>
      </c>
      <c r="AE183" s="83">
        <v>-6517.18</v>
      </c>
      <c r="AF183" s="83">
        <v>-2222.63</v>
      </c>
      <c r="AG183" s="83">
        <v>132.75</v>
      </c>
      <c r="AH183" s="83">
        <v>911.36</v>
      </c>
      <c r="AI183" s="83">
        <v>-1270.28</v>
      </c>
      <c r="AJ183" s="83">
        <v>2281.71</v>
      </c>
      <c r="AK183" s="83">
        <v>-936.71</v>
      </c>
      <c r="AL183" s="83">
        <v>-1532.38</v>
      </c>
      <c r="AM183" s="83">
        <v>9273.57</v>
      </c>
      <c r="AN183" s="31">
        <f t="shared" si="215"/>
        <v>9273.5699999999979</v>
      </c>
      <c r="AO183" s="83">
        <v>-2628.31</v>
      </c>
      <c r="AP183" s="83">
        <v>-6645.26</v>
      </c>
      <c r="AQ183" s="83">
        <v>9100.0400000000009</v>
      </c>
      <c r="AR183" s="83">
        <v>-7980.46</v>
      </c>
      <c r="AS183" s="83">
        <v>6894.5</v>
      </c>
      <c r="AT183" s="83">
        <v>-1934.4</v>
      </c>
      <c r="AU183" s="83">
        <v>-6079.68</v>
      </c>
      <c r="BA183" s="31">
        <f t="shared" si="216"/>
        <v>0</v>
      </c>
    </row>
    <row r="184" spans="1:53" x14ac:dyDescent="0.2">
      <c r="A184" s="3"/>
      <c r="B184" s="3" t="s">
        <v>136</v>
      </c>
      <c r="C184" s="20">
        <v>-22533.47</v>
      </c>
      <c r="D184" s="20">
        <v>-1604.09</v>
      </c>
      <c r="E184" s="20">
        <v>-14840.09</v>
      </c>
      <c r="F184" s="24">
        <v>13851.56</v>
      </c>
      <c r="G184" s="24">
        <v>-10003.120000000001</v>
      </c>
      <c r="H184" s="20">
        <v>1020.77</v>
      </c>
      <c r="I184" s="20">
        <v>10095.790000000001</v>
      </c>
      <c r="J184" s="20">
        <v>-4916.34</v>
      </c>
      <c r="K184" s="20">
        <v>3612</v>
      </c>
      <c r="L184" s="83">
        <v>-11447.39</v>
      </c>
      <c r="M184" s="83">
        <v>13182.1</v>
      </c>
      <c r="N184" s="83">
        <v>22412.94</v>
      </c>
      <c r="O184" s="83">
        <v>-8308.9599999999991</v>
      </c>
      <c r="P184" s="83">
        <v>772.76</v>
      </c>
      <c r="Q184" s="83">
        <v>6894.92</v>
      </c>
      <c r="R184" s="83">
        <v>-3062.41</v>
      </c>
      <c r="S184" s="83">
        <v>-12314.26</v>
      </c>
      <c r="T184" s="83">
        <v>5390.63</v>
      </c>
      <c r="U184" s="83">
        <v>-181.84</v>
      </c>
      <c r="V184" s="83">
        <v>-2975.12</v>
      </c>
      <c r="W184" s="83">
        <v>3120.33</v>
      </c>
      <c r="X184" s="83">
        <v>5840.58</v>
      </c>
      <c r="Y184" s="83">
        <v>-2525.14</v>
      </c>
      <c r="Z184" s="83">
        <v>3757.48</v>
      </c>
      <c r="AA184" s="31">
        <f t="shared" si="214"/>
        <v>-3591.0299999999984</v>
      </c>
      <c r="AB184" s="83">
        <v>1553.67</v>
      </c>
      <c r="AC184" s="83">
        <v>174.94</v>
      </c>
      <c r="AD184" s="83">
        <v>-26781</v>
      </c>
      <c r="AE184" s="83">
        <v>26331.14</v>
      </c>
      <c r="AF184" s="83">
        <v>-58781.279999999999</v>
      </c>
      <c r="AG184" s="83">
        <v>59134.01</v>
      </c>
      <c r="AH184" s="83">
        <v>-606.76</v>
      </c>
      <c r="AI184" s="83">
        <v>8.35</v>
      </c>
      <c r="AJ184" s="83">
        <v>-3537.23</v>
      </c>
      <c r="AK184" s="83">
        <v>-13841.23</v>
      </c>
      <c r="AL184" s="83">
        <v>19922.66</v>
      </c>
      <c r="AM184" s="83">
        <v>-4916.9799999999996</v>
      </c>
      <c r="AN184" s="31">
        <f t="shared" si="215"/>
        <v>-4930.7399999999943</v>
      </c>
      <c r="AO184" s="83">
        <v>3660.31</v>
      </c>
      <c r="AP184" s="83">
        <v>540.75</v>
      </c>
      <c r="AQ184" s="83">
        <v>-7837.06</v>
      </c>
      <c r="AR184" s="83">
        <v>7109.53</v>
      </c>
      <c r="AS184" s="83">
        <v>-16698.5</v>
      </c>
      <c r="AT184" s="83">
        <v>-2700.05</v>
      </c>
      <c r="AU184" s="83">
        <v>17326.080000000002</v>
      </c>
      <c r="BA184" s="31">
        <f t="shared" si="216"/>
        <v>-3529.679999999993</v>
      </c>
    </row>
    <row r="185" spans="1:53" x14ac:dyDescent="0.2">
      <c r="A185" s="3"/>
      <c r="B185" s="3" t="s">
        <v>137</v>
      </c>
      <c r="C185" s="20">
        <v>21351.27</v>
      </c>
      <c r="D185" s="20">
        <v>1096.8</v>
      </c>
      <c r="E185" s="20">
        <v>14512.53</v>
      </c>
      <c r="F185" s="24">
        <v>-13851.56</v>
      </c>
      <c r="G185" s="24">
        <v>10003.120000000001</v>
      </c>
      <c r="H185" s="20">
        <v>2611.0700000000002</v>
      </c>
      <c r="I185" s="20">
        <v>-13673.21</v>
      </c>
      <c r="J185" s="20">
        <v>5050.51</v>
      </c>
      <c r="K185" s="20">
        <v>-3390.65</v>
      </c>
      <c r="L185" s="83">
        <v>12083.4</v>
      </c>
      <c r="M185" s="83">
        <v>-15005.45</v>
      </c>
      <c r="N185" s="83">
        <v>-20463.05</v>
      </c>
      <c r="O185" s="83">
        <v>8892.9</v>
      </c>
      <c r="P185" s="83">
        <v>-1964.25</v>
      </c>
      <c r="Q185" s="83">
        <v>-7476.96</v>
      </c>
      <c r="R185" s="83">
        <v>2184.0100000000002</v>
      </c>
      <c r="S185" s="83">
        <v>13537.69</v>
      </c>
      <c r="T185" s="83">
        <v>-5390.63</v>
      </c>
      <c r="U185" s="83">
        <v>169.84</v>
      </c>
      <c r="V185" s="83">
        <v>2238.0500000000002</v>
      </c>
      <c r="W185" s="83">
        <v>-2750.49</v>
      </c>
      <c r="X185" s="83">
        <v>-4616.79</v>
      </c>
      <c r="Y185" s="83">
        <v>5308.47</v>
      </c>
      <c r="Z185" s="83">
        <v>-7683.98</v>
      </c>
      <c r="AA185" s="31">
        <f t="shared" si="214"/>
        <v>2447.8599999999988</v>
      </c>
      <c r="AB185" s="83">
        <v>-272.54000000000002</v>
      </c>
      <c r="AC185" s="83">
        <v>-174.85</v>
      </c>
      <c r="AD185" s="83">
        <v>18995.03</v>
      </c>
      <c r="AE185" s="83">
        <v>-19385.919999999998</v>
      </c>
      <c r="AF185" s="83">
        <v>60389.52</v>
      </c>
      <c r="AG185" s="83">
        <v>-60742.25</v>
      </c>
      <c r="AH185" s="83">
        <v>823.35</v>
      </c>
      <c r="AI185" s="83">
        <v>234.08</v>
      </c>
      <c r="AJ185" s="83">
        <v>3041.73</v>
      </c>
      <c r="AK185" s="83">
        <v>15958.32</v>
      </c>
      <c r="AL185" s="83">
        <v>-21314.33</v>
      </c>
      <c r="AM185" s="83">
        <v>3708.2</v>
      </c>
      <c r="AN185" s="31">
        <f t="shared" si="215"/>
        <v>3708.1999999999889</v>
      </c>
      <c r="AO185" s="83">
        <v>-2437.77</v>
      </c>
      <c r="AP185" s="83">
        <v>-653.14</v>
      </c>
      <c r="AQ185" s="83">
        <v>9619.94</v>
      </c>
      <c r="AR185" s="83">
        <v>-7196.23</v>
      </c>
      <c r="AS185" s="83">
        <v>14744.58</v>
      </c>
      <c r="AT185" s="83">
        <v>3698.62</v>
      </c>
      <c r="AU185" s="83">
        <v>-16685.400000000001</v>
      </c>
      <c r="BA185" s="31">
        <f t="shared" si="216"/>
        <v>4798.7999999999847</v>
      </c>
    </row>
    <row r="186" spans="1:53" x14ac:dyDescent="0.2">
      <c r="A186" s="3"/>
      <c r="B186" s="3" t="s">
        <v>138</v>
      </c>
      <c r="C186" s="20">
        <v>-5520.33</v>
      </c>
      <c r="D186" s="20">
        <v>-709.22</v>
      </c>
      <c r="E186" s="20">
        <v>-479.85</v>
      </c>
      <c r="F186" s="24">
        <v>4482.66</v>
      </c>
      <c r="G186" s="24">
        <v>-6216.68</v>
      </c>
      <c r="H186" s="20">
        <v>1931.78</v>
      </c>
      <c r="I186" s="20">
        <v>1890.42</v>
      </c>
      <c r="J186" s="20">
        <v>-2553.34</v>
      </c>
      <c r="K186" s="20">
        <v>2645.95</v>
      </c>
      <c r="L186" s="83">
        <v>-491.49</v>
      </c>
      <c r="M186" s="83">
        <v>2279.2800000000002</v>
      </c>
      <c r="N186" s="83">
        <v>1162.96</v>
      </c>
      <c r="O186" s="83">
        <v>-219.03</v>
      </c>
      <c r="P186" s="83">
        <v>-891.01</v>
      </c>
      <c r="Q186" s="83">
        <v>12306.45</v>
      </c>
      <c r="R186" s="83">
        <v>-32988.31</v>
      </c>
      <c r="S186" s="83">
        <v>3571.81</v>
      </c>
      <c r="T186" s="83">
        <v>-371538.89</v>
      </c>
      <c r="U186" s="83">
        <v>369258.49</v>
      </c>
      <c r="V186" s="83">
        <v>-1949.41</v>
      </c>
      <c r="W186" s="83">
        <v>2511.46</v>
      </c>
      <c r="X186" s="83">
        <v>1729.16</v>
      </c>
      <c r="Y186" s="83">
        <v>943.59</v>
      </c>
      <c r="Z186" s="83">
        <v>3632.52</v>
      </c>
      <c r="AA186" s="31">
        <f t="shared" si="214"/>
        <v>-13633.169999999991</v>
      </c>
      <c r="AB186" s="83">
        <v>-1496.98</v>
      </c>
      <c r="AC186" s="83">
        <v>466.3</v>
      </c>
      <c r="AD186" s="83">
        <v>-12237.51</v>
      </c>
      <c r="AE186" s="83">
        <v>25095.360000000001</v>
      </c>
      <c r="AF186" s="83">
        <v>-1741.31</v>
      </c>
      <c r="AG186" s="83">
        <v>3534.04</v>
      </c>
      <c r="AH186" s="83">
        <v>-77.89</v>
      </c>
      <c r="AI186" s="83">
        <v>-984.06</v>
      </c>
      <c r="AJ186" s="83">
        <v>-7587.72</v>
      </c>
      <c r="AK186" s="83">
        <v>-5103.6899999999996</v>
      </c>
      <c r="AL186" s="83">
        <v>13720.97</v>
      </c>
      <c r="AM186" s="83">
        <v>-11796.45</v>
      </c>
      <c r="AN186" s="31">
        <f t="shared" si="215"/>
        <v>-11842.109999999995</v>
      </c>
      <c r="AO186" s="83">
        <v>7007.67</v>
      </c>
      <c r="AP186" s="83">
        <v>2478.1999999999998</v>
      </c>
      <c r="AQ186" s="83">
        <v>-9423.3799999999992</v>
      </c>
      <c r="AR186" s="83">
        <v>11387.79</v>
      </c>
      <c r="AS186" s="83">
        <v>-9898.7199999999993</v>
      </c>
      <c r="AT186" s="83">
        <v>3473.88</v>
      </c>
      <c r="AU186" s="83">
        <v>4003.19</v>
      </c>
      <c r="BA186" s="31">
        <f t="shared" si="216"/>
        <v>-2813.4799999999937</v>
      </c>
    </row>
    <row r="187" spans="1:53" x14ac:dyDescent="0.2">
      <c r="A187" s="3"/>
      <c r="B187" s="3" t="s">
        <v>139</v>
      </c>
      <c r="C187" s="20">
        <v>5055.79</v>
      </c>
      <c r="D187" s="20">
        <v>704.6</v>
      </c>
      <c r="E187" s="20">
        <v>480.12</v>
      </c>
      <c r="F187" s="24">
        <v>-4482.66</v>
      </c>
      <c r="G187" s="24">
        <v>6216.68</v>
      </c>
      <c r="H187" s="20">
        <v>-2233.85</v>
      </c>
      <c r="I187" s="20">
        <v>-1588.35</v>
      </c>
      <c r="J187" s="20">
        <v>2559.4299999999998</v>
      </c>
      <c r="K187" s="20">
        <v>-2645.95</v>
      </c>
      <c r="L187" s="83">
        <v>498.25</v>
      </c>
      <c r="M187" s="83">
        <v>-3554.4</v>
      </c>
      <c r="N187" s="83">
        <v>636.75</v>
      </c>
      <c r="O187" s="83">
        <v>287.58</v>
      </c>
      <c r="P187" s="83">
        <v>891.01</v>
      </c>
      <c r="Q187" s="83">
        <v>-12306.45</v>
      </c>
      <c r="R187" s="83">
        <v>32986.94</v>
      </c>
      <c r="S187" s="83">
        <v>-3570.44</v>
      </c>
      <c r="T187" s="83">
        <v>371478.47</v>
      </c>
      <c r="U187" s="83">
        <v>-369247.02</v>
      </c>
      <c r="V187" s="83">
        <v>1979.19</v>
      </c>
      <c r="W187" s="83">
        <v>-2795.72</v>
      </c>
      <c r="X187" s="83">
        <v>-1735.92</v>
      </c>
      <c r="Y187" s="83">
        <v>-943.59</v>
      </c>
      <c r="Z187" s="83">
        <v>-6225.34</v>
      </c>
      <c r="AA187" s="31">
        <f t="shared" si="214"/>
        <v>10798.709999999963</v>
      </c>
      <c r="AB187" s="83">
        <v>4089.8</v>
      </c>
      <c r="AC187" s="83">
        <v>-466.27</v>
      </c>
      <c r="AD187" s="83">
        <v>11685.34</v>
      </c>
      <c r="AE187" s="83">
        <v>-24543.22</v>
      </c>
      <c r="AF187" s="83">
        <v>1741.31</v>
      </c>
      <c r="AG187" s="83">
        <v>-3534.04</v>
      </c>
      <c r="AH187" s="83">
        <v>319.52999999999997</v>
      </c>
      <c r="AI187" s="83">
        <v>984.06</v>
      </c>
      <c r="AJ187" s="83">
        <v>7587.72</v>
      </c>
      <c r="AK187" s="83">
        <v>5028.99</v>
      </c>
      <c r="AL187" s="83">
        <v>-13650.56</v>
      </c>
      <c r="AM187" s="83">
        <v>11188.75</v>
      </c>
      <c r="AN187" s="31">
        <f t="shared" si="215"/>
        <v>11230.119999999961</v>
      </c>
      <c r="AO187" s="83">
        <v>-6395.68</v>
      </c>
      <c r="AP187" s="83">
        <v>-2478.1999999999998</v>
      </c>
      <c r="AQ187" s="83">
        <v>9423.3799999999992</v>
      </c>
      <c r="AR187" s="83">
        <v>-11387.79</v>
      </c>
      <c r="AS187" s="83">
        <v>9816.18</v>
      </c>
      <c r="AT187" s="83">
        <v>-3462.7</v>
      </c>
      <c r="AU187" s="83">
        <v>-5485.13</v>
      </c>
      <c r="BA187" s="31">
        <f t="shared" si="216"/>
        <v>1260.1799999999585</v>
      </c>
    </row>
    <row r="188" spans="1:53" x14ac:dyDescent="0.2">
      <c r="A188" s="3"/>
      <c r="B188" s="3" t="s">
        <v>985</v>
      </c>
      <c r="C188" s="20">
        <v>0</v>
      </c>
      <c r="D188" s="20">
        <v>0</v>
      </c>
      <c r="E188" s="20">
        <v>0</v>
      </c>
      <c r="F188" s="24">
        <v>0</v>
      </c>
      <c r="G188" s="24">
        <v>0</v>
      </c>
      <c r="H188" s="20">
        <v>0</v>
      </c>
      <c r="I188" s="20">
        <v>0</v>
      </c>
      <c r="J188" s="20">
        <v>0</v>
      </c>
      <c r="K188" s="20">
        <v>0</v>
      </c>
      <c r="L188" s="83">
        <v>0</v>
      </c>
      <c r="M188" s="83">
        <v>0</v>
      </c>
      <c r="N188" s="83">
        <v>0</v>
      </c>
      <c r="O188" s="83">
        <v>0</v>
      </c>
      <c r="P188" s="83">
        <v>0</v>
      </c>
      <c r="Q188" s="83">
        <v>0</v>
      </c>
      <c r="R188" s="83">
        <v>0</v>
      </c>
      <c r="S188" s="83">
        <v>0</v>
      </c>
      <c r="T188" s="83">
        <v>0</v>
      </c>
      <c r="U188" s="83">
        <v>0</v>
      </c>
      <c r="V188" s="83">
        <v>0</v>
      </c>
      <c r="W188" s="83">
        <v>0</v>
      </c>
      <c r="X188" s="83">
        <v>0</v>
      </c>
      <c r="Y188" s="83">
        <v>0</v>
      </c>
      <c r="Z188" s="83">
        <v>0</v>
      </c>
      <c r="AA188" s="31">
        <f t="shared" si="214"/>
        <v>0</v>
      </c>
      <c r="AB188" s="83">
        <v>0</v>
      </c>
      <c r="AC188" s="83">
        <v>0</v>
      </c>
      <c r="AD188" s="83">
        <v>0</v>
      </c>
      <c r="AE188" s="83">
        <v>-262.52</v>
      </c>
      <c r="AF188" s="83">
        <v>0</v>
      </c>
      <c r="AG188" s="83">
        <v>262.52</v>
      </c>
      <c r="AH188" s="83">
        <v>0</v>
      </c>
      <c r="AI188" s="83">
        <v>0</v>
      </c>
      <c r="AJ188" s="83">
        <v>0</v>
      </c>
      <c r="AK188" s="83">
        <v>0</v>
      </c>
      <c r="AL188" s="83">
        <v>0</v>
      </c>
      <c r="AM188" s="83">
        <v>0</v>
      </c>
      <c r="AN188" s="31">
        <f t="shared" si="215"/>
        <v>0</v>
      </c>
      <c r="AO188" s="83">
        <v>0</v>
      </c>
      <c r="AP188" s="83">
        <v>0</v>
      </c>
      <c r="AQ188" s="83">
        <v>0</v>
      </c>
      <c r="AR188" s="83">
        <v>0</v>
      </c>
      <c r="AS188" s="83">
        <v>0</v>
      </c>
      <c r="AT188" s="83">
        <v>0</v>
      </c>
      <c r="AU188" s="83">
        <v>0</v>
      </c>
      <c r="BA188" s="31">
        <f t="shared" si="216"/>
        <v>0</v>
      </c>
    </row>
    <row r="189" spans="1:53" x14ac:dyDescent="0.2">
      <c r="A189" s="3"/>
      <c r="B189" s="3" t="s">
        <v>986</v>
      </c>
      <c r="C189" s="20">
        <v>0</v>
      </c>
      <c r="D189" s="20">
        <v>0</v>
      </c>
      <c r="E189" s="20">
        <v>0</v>
      </c>
      <c r="F189" s="24">
        <v>0</v>
      </c>
      <c r="G189" s="24">
        <v>0</v>
      </c>
      <c r="H189" s="20">
        <v>0</v>
      </c>
      <c r="I189" s="20">
        <v>0</v>
      </c>
      <c r="J189" s="20">
        <v>0</v>
      </c>
      <c r="K189" s="20">
        <v>0</v>
      </c>
      <c r="L189" s="83">
        <v>0</v>
      </c>
      <c r="M189" s="83">
        <v>0</v>
      </c>
      <c r="N189" s="83">
        <v>0</v>
      </c>
      <c r="O189" s="83">
        <v>0</v>
      </c>
      <c r="P189" s="83">
        <v>0</v>
      </c>
      <c r="Q189" s="83">
        <v>0</v>
      </c>
      <c r="R189" s="83">
        <v>0</v>
      </c>
      <c r="S189" s="83">
        <v>0</v>
      </c>
      <c r="T189" s="83">
        <v>0</v>
      </c>
      <c r="U189" s="83">
        <v>0</v>
      </c>
      <c r="V189" s="83">
        <v>0</v>
      </c>
      <c r="W189" s="83">
        <v>0</v>
      </c>
      <c r="X189" s="83">
        <v>0</v>
      </c>
      <c r="Y189" s="83">
        <v>0</v>
      </c>
      <c r="Z189" s="83">
        <v>0</v>
      </c>
      <c r="AA189" s="31">
        <f t="shared" si="214"/>
        <v>0</v>
      </c>
      <c r="AB189" s="83">
        <v>0</v>
      </c>
      <c r="AC189" s="83">
        <v>0</v>
      </c>
      <c r="AD189" s="83">
        <v>0</v>
      </c>
      <c r="AE189" s="83">
        <v>262.52</v>
      </c>
      <c r="AF189" s="83">
        <v>0</v>
      </c>
      <c r="AG189" s="83">
        <v>-262.52</v>
      </c>
      <c r="AH189" s="83">
        <v>0</v>
      </c>
      <c r="AI189" s="83">
        <v>0</v>
      </c>
      <c r="AJ189" s="83">
        <v>0</v>
      </c>
      <c r="AK189" s="83">
        <v>0</v>
      </c>
      <c r="AL189" s="83">
        <v>0</v>
      </c>
      <c r="AM189" s="83">
        <v>0</v>
      </c>
      <c r="AN189" s="31">
        <f t="shared" si="215"/>
        <v>0</v>
      </c>
      <c r="AO189" s="83">
        <v>0</v>
      </c>
      <c r="AP189" s="83">
        <v>0</v>
      </c>
      <c r="AQ189" s="83">
        <v>0</v>
      </c>
      <c r="AR189" s="83">
        <v>0</v>
      </c>
      <c r="AS189" s="83">
        <v>0</v>
      </c>
      <c r="AT189" s="83">
        <v>0</v>
      </c>
      <c r="AU189" s="83">
        <v>0</v>
      </c>
      <c r="BA189" s="31">
        <f t="shared" si="216"/>
        <v>0</v>
      </c>
    </row>
    <row r="190" spans="1:53" s="56" customFormat="1" x14ac:dyDescent="0.2">
      <c r="B190" s="56" t="s">
        <v>140</v>
      </c>
      <c r="C190" s="58">
        <v>-42607.61</v>
      </c>
      <c r="D190" s="58">
        <v>32112.22</v>
      </c>
      <c r="E190" s="58">
        <v>-4278.13</v>
      </c>
      <c r="F190" s="60">
        <v>-34698.870000000003</v>
      </c>
      <c r="G190" s="60">
        <v>14610.69</v>
      </c>
      <c r="H190" s="58">
        <v>-11178.43</v>
      </c>
      <c r="I190" s="58">
        <v>-9664.25</v>
      </c>
      <c r="J190" s="58">
        <v>-21030.2</v>
      </c>
      <c r="K190" s="58">
        <v>39630.29</v>
      </c>
      <c r="L190" s="139">
        <v>-5543.55</v>
      </c>
      <c r="M190" s="139">
        <v>-33637.93</v>
      </c>
      <c r="N190" s="139">
        <v>-11601.37</v>
      </c>
      <c r="O190" s="139">
        <v>-41138.71</v>
      </c>
      <c r="P190" s="139">
        <v>-36907.58</v>
      </c>
      <c r="Q190" s="139">
        <v>-190959.15</v>
      </c>
      <c r="R190" s="139">
        <v>104227.82</v>
      </c>
      <c r="S190" s="139">
        <v>47332.29</v>
      </c>
      <c r="T190" s="139">
        <v>31262.19</v>
      </c>
      <c r="U190" s="139">
        <v>-74712.09</v>
      </c>
      <c r="V190" s="139">
        <v>95209.37</v>
      </c>
      <c r="W190" s="139">
        <v>12428.32</v>
      </c>
      <c r="X190" s="139">
        <v>-30823.200000000001</v>
      </c>
      <c r="Y190" s="139">
        <v>9177.43</v>
      </c>
      <c r="Z190" s="139">
        <v>-8237.1299999999992</v>
      </c>
      <c r="AA190" s="140">
        <f t="shared" si="214"/>
        <v>-83140.44</v>
      </c>
      <c r="AB190" s="139">
        <v>-24697.200000000001</v>
      </c>
      <c r="AC190" s="83">
        <v>25814.04</v>
      </c>
      <c r="AD190" s="83">
        <v>54702.91</v>
      </c>
      <c r="AE190" s="83">
        <v>-16963.77</v>
      </c>
      <c r="AF190" s="83">
        <v>-1622.3</v>
      </c>
      <c r="AG190" s="83">
        <v>-1889.19</v>
      </c>
      <c r="AH190" s="83">
        <v>7803.03</v>
      </c>
      <c r="AI190" s="83">
        <v>-52709.760000000002</v>
      </c>
      <c r="AJ190" s="83">
        <v>39600.17</v>
      </c>
      <c r="AK190" s="83">
        <v>25097.47</v>
      </c>
      <c r="AL190" s="83">
        <v>-4652.3900000000003</v>
      </c>
      <c r="AM190" s="83">
        <v>1383.05</v>
      </c>
      <c r="AN190" s="140">
        <f t="shared" si="215"/>
        <v>-31274.380000000023</v>
      </c>
      <c r="AO190" s="83">
        <v>14935.1</v>
      </c>
      <c r="AP190" s="83">
        <v>3326.42</v>
      </c>
      <c r="AQ190" s="83">
        <v>-25232.9</v>
      </c>
      <c r="AR190" s="83">
        <v>21051.23</v>
      </c>
      <c r="AS190" s="83">
        <v>-19613.88</v>
      </c>
      <c r="AT190" s="83">
        <v>6597.41</v>
      </c>
      <c r="AU190" s="83">
        <v>1739.06</v>
      </c>
      <c r="AV190" s="83"/>
      <c r="AW190" s="83"/>
      <c r="AX190" s="83"/>
      <c r="AY190" s="83"/>
      <c r="AZ190" s="83"/>
      <c r="BA190" s="31">
        <f t="shared" si="216"/>
        <v>-28471.940000000024</v>
      </c>
    </row>
    <row r="191" spans="1:53" s="56" customFormat="1" x14ac:dyDescent="0.2">
      <c r="B191" s="56" t="s">
        <v>141</v>
      </c>
      <c r="C191" s="58">
        <v>42607.61</v>
      </c>
      <c r="D191" s="58">
        <v>-32112.22</v>
      </c>
      <c r="E191" s="58">
        <v>4278.13</v>
      </c>
      <c r="F191" s="60">
        <v>34698.870000000003</v>
      </c>
      <c r="G191" s="60">
        <v>-14610.69</v>
      </c>
      <c r="H191" s="58">
        <v>11178.43</v>
      </c>
      <c r="I191" s="58">
        <v>9664.25</v>
      </c>
      <c r="J191" s="58">
        <v>21030.2</v>
      </c>
      <c r="K191" s="58">
        <v>-39630.29</v>
      </c>
      <c r="L191" s="139">
        <v>5543.55</v>
      </c>
      <c r="M191" s="139">
        <v>33637.93</v>
      </c>
      <c r="N191" s="139">
        <v>11601.37</v>
      </c>
      <c r="O191" s="139">
        <v>41138.71</v>
      </c>
      <c r="P191" s="139">
        <v>36907.58</v>
      </c>
      <c r="Q191" s="139">
        <v>190959.15</v>
      </c>
      <c r="R191" s="139">
        <v>-104227.82</v>
      </c>
      <c r="S191" s="139">
        <v>-47332.29</v>
      </c>
      <c r="T191" s="139">
        <v>-31262.19</v>
      </c>
      <c r="U191" s="139">
        <v>74712.09</v>
      </c>
      <c r="V191" s="139">
        <v>-95209.37</v>
      </c>
      <c r="W191" s="139">
        <v>-12428.32</v>
      </c>
      <c r="X191" s="139">
        <v>30823.200000000001</v>
      </c>
      <c r="Y191" s="139">
        <v>-9177.43</v>
      </c>
      <c r="Z191" s="139">
        <v>8237.1299999999992</v>
      </c>
      <c r="AA191" s="140">
        <f t="shared" si="214"/>
        <v>83140.44</v>
      </c>
      <c r="AB191" s="139">
        <v>24697.200000000001</v>
      </c>
      <c r="AC191" s="83">
        <v>-25814.04</v>
      </c>
      <c r="AD191" s="83">
        <v>-54702.91</v>
      </c>
      <c r="AE191" s="83">
        <v>16963.77</v>
      </c>
      <c r="AF191" s="83">
        <v>1622.3</v>
      </c>
      <c r="AG191" s="83">
        <v>1889.19</v>
      </c>
      <c r="AH191" s="83">
        <v>-7803.03</v>
      </c>
      <c r="AI191" s="83">
        <v>52709.760000000002</v>
      </c>
      <c r="AJ191" s="83">
        <v>-39600.17</v>
      </c>
      <c r="AK191" s="83">
        <v>-25097.47</v>
      </c>
      <c r="AL191" s="83">
        <v>4652.3900000000003</v>
      </c>
      <c r="AM191" s="83">
        <v>-1383.05</v>
      </c>
      <c r="AN191" s="140">
        <f t="shared" si="215"/>
        <v>31274.380000000023</v>
      </c>
      <c r="AO191" s="83">
        <v>-14935.1</v>
      </c>
      <c r="AP191" s="83">
        <v>-3326.42</v>
      </c>
      <c r="AQ191" s="83">
        <v>25232.9</v>
      </c>
      <c r="AR191" s="83">
        <v>-21051.23</v>
      </c>
      <c r="AS191" s="83">
        <v>19613.88</v>
      </c>
      <c r="AT191" s="83">
        <v>-6597.41</v>
      </c>
      <c r="AU191" s="83">
        <v>-1739.06</v>
      </c>
      <c r="AV191" s="83"/>
      <c r="AW191" s="83"/>
      <c r="AX191" s="83"/>
      <c r="AY191" s="83"/>
      <c r="AZ191" s="83"/>
      <c r="BA191" s="31">
        <f t="shared" si="216"/>
        <v>28471.940000000024</v>
      </c>
    </row>
    <row r="192" spans="1:53" x14ac:dyDescent="0.2">
      <c r="B192" s="3" t="s">
        <v>142</v>
      </c>
      <c r="C192" s="20">
        <v>-181350.3</v>
      </c>
      <c r="D192" s="20">
        <v>49575.58</v>
      </c>
      <c r="E192" s="20">
        <v>-42406.86</v>
      </c>
      <c r="F192" s="24">
        <v>-73788.09</v>
      </c>
      <c r="G192" s="24">
        <v>98355</v>
      </c>
      <c r="H192" s="20">
        <v>13876.53</v>
      </c>
      <c r="I192" s="20">
        <v>55679.67</v>
      </c>
      <c r="J192" s="20">
        <v>-13626.33</v>
      </c>
      <c r="K192" s="20">
        <v>30077.77</v>
      </c>
      <c r="L192" s="83">
        <v>-59080.65</v>
      </c>
      <c r="M192" s="83">
        <v>60254.21</v>
      </c>
      <c r="N192" s="83">
        <v>-76824.84</v>
      </c>
      <c r="O192" s="83">
        <v>-89670.81</v>
      </c>
      <c r="P192" s="83">
        <v>-42799.18</v>
      </c>
      <c r="Q192" s="83">
        <v>57384.62</v>
      </c>
      <c r="R192" s="83">
        <v>-44840.480000000003</v>
      </c>
      <c r="S192" s="83">
        <v>-32629.75</v>
      </c>
      <c r="T192" s="83">
        <v>8476.48</v>
      </c>
      <c r="U192" s="83">
        <v>-119157.64</v>
      </c>
      <c r="V192" s="83">
        <v>119214.72</v>
      </c>
      <c r="W192" s="83">
        <v>-70722.06</v>
      </c>
      <c r="X192" s="83">
        <v>6600.67</v>
      </c>
      <c r="Y192" s="83">
        <v>143135.29</v>
      </c>
      <c r="Z192" s="83">
        <v>-366303.46</v>
      </c>
      <c r="AA192" s="31">
        <f t="shared" si="214"/>
        <v>-431311.6</v>
      </c>
      <c r="AB192" s="83">
        <v>31190.09</v>
      </c>
      <c r="AC192" s="83">
        <v>37421.96</v>
      </c>
      <c r="AD192" s="83">
        <v>-164037.82</v>
      </c>
      <c r="AE192" s="83">
        <v>220798.36</v>
      </c>
      <c r="AF192" s="83">
        <v>40275.129999999997</v>
      </c>
      <c r="AG192" s="83">
        <v>-85092.82</v>
      </c>
      <c r="AH192" s="83">
        <v>140627.56</v>
      </c>
      <c r="AI192" s="83">
        <v>-119764.5</v>
      </c>
      <c r="AJ192" s="83">
        <v>207034.49</v>
      </c>
      <c r="AK192" s="83">
        <v>-79598.75</v>
      </c>
      <c r="AL192" s="83">
        <v>-13711.11</v>
      </c>
      <c r="AM192" s="83">
        <v>-172893.55</v>
      </c>
      <c r="AN192" s="31">
        <f t="shared" si="215"/>
        <v>-389062.55999999988</v>
      </c>
      <c r="AO192" s="83">
        <v>12549.86</v>
      </c>
      <c r="AP192" s="83">
        <v>215133.62</v>
      </c>
      <c r="AQ192" s="83">
        <v>-95846.41</v>
      </c>
      <c r="AR192" s="83">
        <v>-57180.78</v>
      </c>
      <c r="AS192" s="83">
        <v>112280.98</v>
      </c>
      <c r="AT192" s="83">
        <v>54818.7</v>
      </c>
      <c r="AU192" s="83">
        <v>-4751.7299999999996</v>
      </c>
      <c r="BA192" s="31">
        <f t="shared" si="216"/>
        <v>-152058.31999999992</v>
      </c>
    </row>
    <row r="193" spans="1:53" x14ac:dyDescent="0.2">
      <c r="B193" s="3" t="s">
        <v>1884</v>
      </c>
      <c r="AA193" s="31">
        <v>0</v>
      </c>
      <c r="AB193" s="31">
        <v>0</v>
      </c>
      <c r="AC193" s="31">
        <v>0</v>
      </c>
      <c r="AD193" s="31">
        <v>0</v>
      </c>
      <c r="AE193" s="31">
        <v>0</v>
      </c>
      <c r="AF193" s="31">
        <v>0</v>
      </c>
      <c r="AG193" s="31">
        <v>0</v>
      </c>
      <c r="AH193" s="83">
        <v>887.99</v>
      </c>
      <c r="AI193" s="83">
        <v>-887.99</v>
      </c>
      <c r="AJ193" s="83">
        <v>0</v>
      </c>
      <c r="AK193" s="83">
        <v>0</v>
      </c>
      <c r="AL193" s="83">
        <v>0</v>
      </c>
      <c r="AM193" s="83">
        <v>0</v>
      </c>
      <c r="AN193" s="31">
        <f t="shared" si="215"/>
        <v>0</v>
      </c>
      <c r="AO193" s="83">
        <v>4160.67</v>
      </c>
      <c r="AP193" s="83">
        <v>-4160.67</v>
      </c>
      <c r="AQ193" s="83">
        <v>0</v>
      </c>
      <c r="AR193" s="83">
        <v>0</v>
      </c>
      <c r="AS193" s="83">
        <v>0</v>
      </c>
      <c r="AT193" s="83">
        <v>0</v>
      </c>
      <c r="AU193" s="83">
        <v>0</v>
      </c>
      <c r="BA193" s="31">
        <f t="shared" si="216"/>
        <v>0</v>
      </c>
    </row>
    <row r="194" spans="1:53" x14ac:dyDescent="0.2">
      <c r="B194" s="3" t="s">
        <v>144</v>
      </c>
      <c r="C194" s="20">
        <v>176731.45</v>
      </c>
      <c r="D194" s="20">
        <v>0</v>
      </c>
      <c r="E194" s="20">
        <v>-259.69</v>
      </c>
      <c r="F194" s="24">
        <v>-9275.74</v>
      </c>
      <c r="G194" s="24">
        <v>9275.74</v>
      </c>
      <c r="H194" s="20">
        <v>0</v>
      </c>
      <c r="I194" s="20">
        <v>259.69</v>
      </c>
      <c r="J194" s="20">
        <v>0</v>
      </c>
      <c r="K194" s="20">
        <v>0</v>
      </c>
      <c r="L194" s="83">
        <v>0</v>
      </c>
      <c r="M194" s="83">
        <v>1785</v>
      </c>
      <c r="N194" s="83">
        <v>-1785</v>
      </c>
      <c r="O194" s="83">
        <v>176731.45</v>
      </c>
      <c r="P194" s="83">
        <v>0</v>
      </c>
      <c r="Q194" s="83">
        <v>-719812.48</v>
      </c>
      <c r="R194" s="83">
        <v>720843.86</v>
      </c>
      <c r="S194" s="83">
        <v>0</v>
      </c>
      <c r="T194" s="83">
        <v>0</v>
      </c>
      <c r="U194" s="83">
        <v>-1031.3800000000001</v>
      </c>
      <c r="V194" s="83">
        <v>0</v>
      </c>
      <c r="W194" s="83">
        <v>0</v>
      </c>
      <c r="X194" s="83">
        <v>0</v>
      </c>
      <c r="Y194" s="83">
        <v>0</v>
      </c>
      <c r="Z194" s="83">
        <v>524.42999999999995</v>
      </c>
      <c r="AA194" s="31">
        <f t="shared" ref="AA194:AA199" si="217">SUM(O194:Z194)</f>
        <v>177255.87999999995</v>
      </c>
      <c r="AB194" s="83">
        <v>0</v>
      </c>
      <c r="AC194" s="83">
        <v>0</v>
      </c>
      <c r="AD194" s="83">
        <v>0</v>
      </c>
      <c r="AE194" s="83">
        <v>0</v>
      </c>
      <c r="AF194" s="83">
        <v>0</v>
      </c>
      <c r="AG194" s="83">
        <v>0</v>
      </c>
      <c r="AH194" s="83">
        <v>0</v>
      </c>
      <c r="AI194" s="83">
        <v>0</v>
      </c>
      <c r="AJ194" s="83">
        <v>0</v>
      </c>
      <c r="AK194" s="83">
        <v>0</v>
      </c>
      <c r="AL194" s="83">
        <v>0</v>
      </c>
      <c r="AM194" s="83">
        <v>0</v>
      </c>
      <c r="AN194" s="31">
        <f t="shared" si="215"/>
        <v>177255.87999999995</v>
      </c>
      <c r="AO194" s="83">
        <v>0</v>
      </c>
      <c r="AP194" s="83">
        <v>0</v>
      </c>
      <c r="AQ194" s="83">
        <v>0</v>
      </c>
      <c r="AR194" s="83">
        <v>0</v>
      </c>
      <c r="AS194" s="83">
        <v>0</v>
      </c>
      <c r="AT194" s="83">
        <v>0</v>
      </c>
      <c r="AU194" s="83">
        <v>0</v>
      </c>
      <c r="BA194" s="31">
        <f t="shared" si="216"/>
        <v>177255.87999999995</v>
      </c>
    </row>
    <row r="195" spans="1:53" s="56" customFormat="1" x14ac:dyDescent="0.2">
      <c r="B195" s="56" t="s">
        <v>145</v>
      </c>
      <c r="C195" s="141">
        <v>-0.48</v>
      </c>
      <c r="D195" s="58">
        <v>0</v>
      </c>
      <c r="E195" s="58">
        <v>0</v>
      </c>
      <c r="F195" s="60">
        <v>0</v>
      </c>
      <c r="G195" s="60">
        <v>0</v>
      </c>
      <c r="H195" s="58">
        <v>0</v>
      </c>
      <c r="I195" s="58">
        <v>0</v>
      </c>
      <c r="J195" s="58">
        <v>0</v>
      </c>
      <c r="K195" s="58">
        <v>0</v>
      </c>
      <c r="L195" s="139">
        <v>0</v>
      </c>
      <c r="M195" s="139">
        <v>0</v>
      </c>
      <c r="N195" s="139">
        <v>0</v>
      </c>
      <c r="O195" s="139">
        <v>-0.48</v>
      </c>
      <c r="P195" s="139">
        <v>0</v>
      </c>
      <c r="Q195" s="139">
        <v>0</v>
      </c>
      <c r="R195" s="139">
        <v>0</v>
      </c>
      <c r="S195" s="139">
        <v>0</v>
      </c>
      <c r="T195" s="139">
        <v>0</v>
      </c>
      <c r="U195" s="139">
        <v>0</v>
      </c>
      <c r="V195" s="139">
        <v>0</v>
      </c>
      <c r="W195" s="139">
        <v>0</v>
      </c>
      <c r="X195" s="139">
        <v>0</v>
      </c>
      <c r="Y195" s="139">
        <v>0</v>
      </c>
      <c r="Z195" s="139">
        <v>0</v>
      </c>
      <c r="AA195" s="140">
        <f t="shared" si="217"/>
        <v>-0.48</v>
      </c>
      <c r="AB195" s="139">
        <v>0</v>
      </c>
      <c r="AC195" s="83">
        <v>0</v>
      </c>
      <c r="AD195" s="83">
        <v>0</v>
      </c>
      <c r="AE195" s="83">
        <v>0</v>
      </c>
      <c r="AF195" s="83">
        <v>0</v>
      </c>
      <c r="AG195" s="83">
        <v>0</v>
      </c>
      <c r="AH195" s="83">
        <v>0</v>
      </c>
      <c r="AI195" s="83">
        <v>0</v>
      </c>
      <c r="AJ195" s="83">
        <v>0</v>
      </c>
      <c r="AK195" s="83">
        <v>0</v>
      </c>
      <c r="AL195" s="83">
        <v>0</v>
      </c>
      <c r="AM195" s="83">
        <v>0</v>
      </c>
      <c r="AN195" s="140">
        <f t="shared" si="215"/>
        <v>-0.48</v>
      </c>
      <c r="AO195" s="83">
        <v>0</v>
      </c>
      <c r="AP195" s="83">
        <v>0</v>
      </c>
      <c r="AQ195" s="83">
        <v>0</v>
      </c>
      <c r="AR195" s="83">
        <v>0</v>
      </c>
      <c r="AS195" s="83">
        <v>0</v>
      </c>
      <c r="AT195" s="83">
        <v>0</v>
      </c>
      <c r="AU195" s="83">
        <v>0</v>
      </c>
      <c r="AV195" s="83"/>
      <c r="AW195" s="83"/>
      <c r="AX195" s="83"/>
      <c r="AY195" s="83"/>
      <c r="AZ195" s="83"/>
      <c r="BA195" s="31">
        <f t="shared" si="216"/>
        <v>-0.48</v>
      </c>
    </row>
    <row r="196" spans="1:53" s="56" customFormat="1" x14ac:dyDescent="0.2">
      <c r="B196" s="56" t="s">
        <v>146</v>
      </c>
      <c r="C196" s="141">
        <v>0.48</v>
      </c>
      <c r="D196" s="58">
        <v>0</v>
      </c>
      <c r="E196" s="58">
        <v>0</v>
      </c>
      <c r="F196" s="60">
        <v>0</v>
      </c>
      <c r="G196" s="60">
        <v>0</v>
      </c>
      <c r="H196" s="58">
        <v>0</v>
      </c>
      <c r="I196" s="58">
        <v>0</v>
      </c>
      <c r="J196" s="58">
        <v>0</v>
      </c>
      <c r="K196" s="58">
        <v>0</v>
      </c>
      <c r="L196" s="139">
        <v>0</v>
      </c>
      <c r="M196" s="139">
        <v>0</v>
      </c>
      <c r="N196" s="139">
        <v>0</v>
      </c>
      <c r="O196" s="139">
        <v>0.48</v>
      </c>
      <c r="P196" s="139">
        <v>0</v>
      </c>
      <c r="Q196" s="139">
        <v>0</v>
      </c>
      <c r="R196" s="139">
        <v>0</v>
      </c>
      <c r="S196" s="139">
        <v>0</v>
      </c>
      <c r="T196" s="139">
        <v>0</v>
      </c>
      <c r="U196" s="139">
        <v>0</v>
      </c>
      <c r="V196" s="139">
        <v>0</v>
      </c>
      <c r="W196" s="139">
        <v>0</v>
      </c>
      <c r="X196" s="139">
        <v>0</v>
      </c>
      <c r="Y196" s="139">
        <v>0</v>
      </c>
      <c r="Z196" s="139">
        <v>0</v>
      </c>
      <c r="AA196" s="140">
        <f t="shared" si="217"/>
        <v>0.48</v>
      </c>
      <c r="AB196" s="139">
        <v>0</v>
      </c>
      <c r="AC196" s="83">
        <v>0</v>
      </c>
      <c r="AD196" s="83">
        <v>0</v>
      </c>
      <c r="AE196" s="83">
        <v>0</v>
      </c>
      <c r="AF196" s="83">
        <v>0</v>
      </c>
      <c r="AG196" s="83">
        <v>0</v>
      </c>
      <c r="AH196" s="83">
        <v>0</v>
      </c>
      <c r="AI196" s="83">
        <v>0</v>
      </c>
      <c r="AJ196" s="83">
        <v>0</v>
      </c>
      <c r="AK196" s="83">
        <v>0</v>
      </c>
      <c r="AL196" s="83">
        <v>0</v>
      </c>
      <c r="AM196" s="83">
        <v>0</v>
      </c>
      <c r="AN196" s="140">
        <f t="shared" si="215"/>
        <v>0.48</v>
      </c>
      <c r="AO196" s="83">
        <v>0</v>
      </c>
      <c r="AP196" s="83">
        <v>0</v>
      </c>
      <c r="AQ196" s="83">
        <v>0</v>
      </c>
      <c r="AR196" s="83">
        <v>0</v>
      </c>
      <c r="AS196" s="83">
        <v>0</v>
      </c>
      <c r="AT196" s="83">
        <v>0</v>
      </c>
      <c r="AU196" s="83">
        <v>0</v>
      </c>
      <c r="AV196" s="83"/>
      <c r="AW196" s="83"/>
      <c r="AX196" s="83"/>
      <c r="AY196" s="83"/>
      <c r="AZ196" s="83"/>
      <c r="BA196" s="31">
        <f t="shared" si="216"/>
        <v>0.48</v>
      </c>
    </row>
    <row r="197" spans="1:53" x14ac:dyDescent="0.2">
      <c r="B197" s="3" t="s">
        <v>987</v>
      </c>
      <c r="C197" s="20">
        <v>0</v>
      </c>
      <c r="D197" s="20">
        <v>0</v>
      </c>
      <c r="E197" s="20">
        <v>0</v>
      </c>
      <c r="F197" s="24">
        <v>0</v>
      </c>
      <c r="G197" s="24">
        <v>0</v>
      </c>
      <c r="H197" s="20">
        <v>0</v>
      </c>
      <c r="I197" s="20">
        <v>0</v>
      </c>
      <c r="J197" s="20">
        <v>0</v>
      </c>
      <c r="K197" s="20">
        <v>0</v>
      </c>
      <c r="L197" s="83">
        <v>0</v>
      </c>
      <c r="M197" s="83">
        <v>0</v>
      </c>
      <c r="N197" s="83">
        <v>0</v>
      </c>
      <c r="O197" s="83">
        <v>0</v>
      </c>
      <c r="P197" s="83">
        <v>0</v>
      </c>
      <c r="Q197" s="83">
        <v>0</v>
      </c>
      <c r="R197" s="83">
        <v>0</v>
      </c>
      <c r="S197" s="83">
        <v>0</v>
      </c>
      <c r="T197" s="83">
        <v>0</v>
      </c>
      <c r="U197" s="83">
        <v>0</v>
      </c>
      <c r="V197" s="83">
        <v>0</v>
      </c>
      <c r="W197" s="83">
        <v>0</v>
      </c>
      <c r="X197" s="83">
        <v>0</v>
      </c>
      <c r="Y197" s="83">
        <v>0</v>
      </c>
      <c r="Z197" s="83">
        <v>0</v>
      </c>
      <c r="AA197" s="31">
        <f t="shared" si="217"/>
        <v>0</v>
      </c>
      <c r="AB197" s="83">
        <v>0</v>
      </c>
      <c r="AC197" s="83">
        <v>0</v>
      </c>
      <c r="AD197" s="83">
        <v>0</v>
      </c>
      <c r="AE197" s="83">
        <v>0</v>
      </c>
      <c r="AF197" s="83">
        <v>0</v>
      </c>
      <c r="AG197" s="83">
        <v>0</v>
      </c>
      <c r="AH197" s="83">
        <v>0</v>
      </c>
      <c r="AI197" s="83">
        <v>0</v>
      </c>
      <c r="AJ197" s="83">
        <v>0</v>
      </c>
      <c r="AK197" s="83">
        <v>0</v>
      </c>
      <c r="AL197" s="83">
        <v>0</v>
      </c>
      <c r="AM197" s="83">
        <v>0</v>
      </c>
      <c r="AN197" s="31">
        <f t="shared" si="215"/>
        <v>0</v>
      </c>
      <c r="AO197" s="83">
        <v>0</v>
      </c>
      <c r="AP197" s="83">
        <v>0</v>
      </c>
      <c r="AQ197" s="83">
        <v>0</v>
      </c>
      <c r="AR197" s="83">
        <v>0</v>
      </c>
      <c r="AS197" s="83">
        <v>0</v>
      </c>
      <c r="AT197" s="83">
        <v>0</v>
      </c>
      <c r="AU197" s="83">
        <v>0</v>
      </c>
      <c r="BA197" s="31">
        <f t="shared" si="216"/>
        <v>0</v>
      </c>
    </row>
    <row r="198" spans="1:53" x14ac:dyDescent="0.2">
      <c r="B198" s="3" t="s">
        <v>988</v>
      </c>
      <c r="C198" s="20">
        <v>0</v>
      </c>
      <c r="D198" s="20">
        <v>0</v>
      </c>
      <c r="E198" s="20">
        <v>0</v>
      </c>
      <c r="F198" s="24">
        <v>0</v>
      </c>
      <c r="G198" s="24">
        <v>0</v>
      </c>
      <c r="H198" s="20">
        <v>0</v>
      </c>
      <c r="I198" s="20">
        <v>0</v>
      </c>
      <c r="J198" s="20">
        <v>0</v>
      </c>
      <c r="K198" s="20">
        <v>0</v>
      </c>
      <c r="L198" s="83">
        <v>0</v>
      </c>
      <c r="M198" s="83">
        <v>0</v>
      </c>
      <c r="N198" s="83">
        <v>0</v>
      </c>
      <c r="O198" s="83">
        <v>0</v>
      </c>
      <c r="P198" s="83">
        <v>0</v>
      </c>
      <c r="Q198" s="83">
        <v>0</v>
      </c>
      <c r="R198" s="83">
        <v>0</v>
      </c>
      <c r="S198" s="83">
        <v>0</v>
      </c>
      <c r="T198" s="83">
        <v>0</v>
      </c>
      <c r="U198" s="83">
        <v>0</v>
      </c>
      <c r="V198" s="83">
        <v>0</v>
      </c>
      <c r="W198" s="83">
        <v>0</v>
      </c>
      <c r="X198" s="83">
        <v>0</v>
      </c>
      <c r="Y198" s="83">
        <v>0</v>
      </c>
      <c r="Z198" s="83">
        <v>0</v>
      </c>
      <c r="AA198" s="31">
        <f t="shared" si="217"/>
        <v>0</v>
      </c>
      <c r="AB198" s="83">
        <v>0</v>
      </c>
      <c r="AC198" s="83">
        <v>0</v>
      </c>
      <c r="AD198" s="83">
        <v>0</v>
      </c>
      <c r="AE198" s="83">
        <v>0</v>
      </c>
      <c r="AF198" s="83">
        <v>0</v>
      </c>
      <c r="AG198" s="83">
        <v>0</v>
      </c>
      <c r="AH198" s="83">
        <v>0</v>
      </c>
      <c r="AI198" s="83">
        <v>0</v>
      </c>
      <c r="AJ198" s="83">
        <v>0</v>
      </c>
      <c r="AK198" s="83">
        <v>0</v>
      </c>
      <c r="AL198" s="83">
        <v>0</v>
      </c>
      <c r="AM198" s="83">
        <v>0</v>
      </c>
      <c r="AN198" s="31">
        <f t="shared" si="215"/>
        <v>0</v>
      </c>
      <c r="AO198" s="83">
        <v>0</v>
      </c>
      <c r="AP198" s="83">
        <v>0</v>
      </c>
      <c r="AQ198" s="83">
        <v>0</v>
      </c>
      <c r="AR198" s="83">
        <v>0</v>
      </c>
      <c r="AS198" s="83">
        <v>0</v>
      </c>
      <c r="AT198" s="83">
        <v>0</v>
      </c>
      <c r="AU198" s="83">
        <v>0</v>
      </c>
      <c r="BA198" s="31">
        <f t="shared" si="216"/>
        <v>0</v>
      </c>
    </row>
    <row r="199" spans="1:53" x14ac:dyDescent="0.2">
      <c r="B199" s="3" t="s">
        <v>147</v>
      </c>
      <c r="C199" s="20">
        <v>-3207076.49</v>
      </c>
      <c r="D199" s="20">
        <v>74995.88</v>
      </c>
      <c r="E199" s="20">
        <v>-248801.39</v>
      </c>
      <c r="F199" s="24">
        <v>-163018.12</v>
      </c>
      <c r="G199" s="24">
        <v>-10915.89</v>
      </c>
      <c r="H199" s="20">
        <v>-54080.480000000003</v>
      </c>
      <c r="I199" s="20">
        <v>-26004.080000000002</v>
      </c>
      <c r="J199" s="20">
        <v>-12251.87</v>
      </c>
      <c r="K199" s="20">
        <v>-30455.32</v>
      </c>
      <c r="L199" s="83">
        <v>30139.439999999999</v>
      </c>
      <c r="M199" s="83">
        <v>-152538.12</v>
      </c>
      <c r="N199" s="83">
        <v>-90448.61</v>
      </c>
      <c r="O199" s="83">
        <v>-3809783.96</v>
      </c>
      <c r="P199" s="83">
        <v>-24909.06</v>
      </c>
      <c r="Q199" s="83">
        <v>-168735.61</v>
      </c>
      <c r="R199" s="83">
        <v>29700.34</v>
      </c>
      <c r="S199" s="83">
        <v>-74613.06</v>
      </c>
      <c r="T199" s="83">
        <v>-32470.05</v>
      </c>
      <c r="U199" s="83">
        <v>-145252.19</v>
      </c>
      <c r="V199" s="83">
        <v>-288862.68</v>
      </c>
      <c r="W199" s="83">
        <v>-152976.04999999999</v>
      </c>
      <c r="X199" s="83">
        <v>85263.88</v>
      </c>
      <c r="Y199" s="83">
        <v>-35508.720000000001</v>
      </c>
      <c r="Z199" s="83">
        <v>39007.06</v>
      </c>
      <c r="AA199" s="31">
        <f t="shared" si="217"/>
        <v>-4579140.0999999996</v>
      </c>
      <c r="AB199" s="83">
        <v>21601.69</v>
      </c>
      <c r="AC199" s="83">
        <v>-60292.56</v>
      </c>
      <c r="AD199" s="83">
        <v>-69989.440000000002</v>
      </c>
      <c r="AE199" s="83">
        <v>-40234.379999999997</v>
      </c>
      <c r="AF199" s="83">
        <v>-170873.2</v>
      </c>
      <c r="AG199" s="83">
        <v>-93182.23</v>
      </c>
      <c r="AH199" s="83">
        <v>-2460.91</v>
      </c>
      <c r="AI199" s="83">
        <v>-54245.14</v>
      </c>
      <c r="AJ199" s="83">
        <v>-12076.63</v>
      </c>
      <c r="AK199" s="83">
        <v>-84522.45</v>
      </c>
      <c r="AL199" s="83">
        <v>-52907.19</v>
      </c>
      <c r="AM199" s="83">
        <v>5739047.4299999997</v>
      </c>
      <c r="AN199" s="31">
        <f t="shared" si="215"/>
        <v>540724.88999999966</v>
      </c>
      <c r="AO199" s="83">
        <v>22776.799999999999</v>
      </c>
      <c r="AP199" s="83">
        <v>-89083.76</v>
      </c>
      <c r="AQ199" s="83">
        <v>79017.09</v>
      </c>
      <c r="AR199" s="83">
        <v>135378.04</v>
      </c>
      <c r="AS199" s="83">
        <v>117461.3</v>
      </c>
      <c r="AT199" s="83">
        <v>6840.27</v>
      </c>
      <c r="AU199" s="83">
        <v>45305.57</v>
      </c>
      <c r="BA199" s="31">
        <f t="shared" si="216"/>
        <v>858420.19999999972</v>
      </c>
    </row>
    <row r="200" spans="1:53" x14ac:dyDescent="0.2">
      <c r="B200" s="3" t="s">
        <v>694</v>
      </c>
      <c r="AA200" s="31">
        <v>0</v>
      </c>
      <c r="AB200" s="31">
        <v>0</v>
      </c>
      <c r="AC200" s="31">
        <v>0</v>
      </c>
      <c r="AD200" s="31">
        <v>0</v>
      </c>
      <c r="AE200" s="31">
        <v>0</v>
      </c>
      <c r="AF200" s="31">
        <v>0</v>
      </c>
      <c r="AG200" s="31">
        <v>0</v>
      </c>
      <c r="AH200" s="31">
        <v>0</v>
      </c>
      <c r="AI200" s="31">
        <v>0</v>
      </c>
      <c r="AJ200" s="31">
        <v>0</v>
      </c>
      <c r="AK200" s="31">
        <v>0</v>
      </c>
      <c r="AL200" s="31">
        <v>0</v>
      </c>
      <c r="AM200" s="83">
        <v>-352.83</v>
      </c>
      <c r="AN200" s="31">
        <f t="shared" si="215"/>
        <v>-352.83</v>
      </c>
      <c r="AO200" s="83">
        <v>2047.27</v>
      </c>
      <c r="AP200" s="83">
        <v>-3538.68</v>
      </c>
      <c r="AQ200" s="83">
        <v>2649.17</v>
      </c>
      <c r="AR200" s="83">
        <v>-1718.45</v>
      </c>
      <c r="AS200" s="83">
        <v>859.3</v>
      </c>
      <c r="AT200" s="83">
        <v>62.38</v>
      </c>
      <c r="AU200" s="83">
        <v>203.61</v>
      </c>
      <c r="AV200" s="31"/>
      <c r="AW200" s="31"/>
      <c r="AX200" s="31"/>
      <c r="AY200" s="31"/>
      <c r="BA200" s="31">
        <f t="shared" si="216"/>
        <v>211.77000000000021</v>
      </c>
    </row>
    <row r="201" spans="1:53" s="9" customFormat="1" ht="12.75" x14ac:dyDescent="0.2">
      <c r="B201" s="13" t="s">
        <v>1593</v>
      </c>
      <c r="C201" s="41">
        <f t="shared" ref="C201:Z201" si="218">SUM(C169:C199)</f>
        <v>-3467284.35</v>
      </c>
      <c r="D201" s="41">
        <f t="shared" si="218"/>
        <v>80612.229999999458</v>
      </c>
      <c r="E201" s="41">
        <f t="shared" si="218"/>
        <v>-246880.37999999931</v>
      </c>
      <c r="F201" s="41">
        <f t="shared" si="218"/>
        <v>-277696.45999999985</v>
      </c>
      <c r="G201" s="41">
        <f t="shared" si="218"/>
        <v>-142537.36999999994</v>
      </c>
      <c r="H201" s="41">
        <f t="shared" si="218"/>
        <v>154764.32000000012</v>
      </c>
      <c r="I201" s="41">
        <f t="shared" si="218"/>
        <v>3717.7700000000077</v>
      </c>
      <c r="J201" s="41">
        <f t="shared" si="218"/>
        <v>31225.589999999975</v>
      </c>
      <c r="K201" s="41">
        <f t="shared" si="218"/>
        <v>-48014.55</v>
      </c>
      <c r="L201" s="84">
        <f t="shared" si="218"/>
        <v>-1322.100000000064</v>
      </c>
      <c r="M201" s="84">
        <f t="shared" si="218"/>
        <v>-92714.169999999984</v>
      </c>
      <c r="N201" s="84">
        <f t="shared" si="218"/>
        <v>-142740.96999999997</v>
      </c>
      <c r="O201" s="84">
        <f t="shared" si="218"/>
        <v>-4060811.7199999997</v>
      </c>
      <c r="P201" s="84">
        <f t="shared" si="218"/>
        <v>-40243.839999999997</v>
      </c>
      <c r="Q201" s="84">
        <f t="shared" si="218"/>
        <v>-885842.65</v>
      </c>
      <c r="R201" s="84">
        <f t="shared" si="218"/>
        <v>659829.91</v>
      </c>
      <c r="S201" s="84">
        <f t="shared" si="218"/>
        <v>-107354.8199999998</v>
      </c>
      <c r="T201" s="84">
        <f t="shared" si="218"/>
        <v>50615.229999999923</v>
      </c>
      <c r="U201" s="84">
        <f t="shared" si="218"/>
        <v>-291734.06000000011</v>
      </c>
      <c r="V201" s="84">
        <f t="shared" si="218"/>
        <v>-124200.11000000002</v>
      </c>
      <c r="W201" s="84">
        <f t="shared" si="218"/>
        <v>-220813.72999999998</v>
      </c>
      <c r="X201" s="84">
        <f t="shared" si="218"/>
        <v>-23500.049999999901</v>
      </c>
      <c r="Y201" s="84">
        <f t="shared" si="218"/>
        <v>288454.02</v>
      </c>
      <c r="Z201" s="84">
        <f t="shared" si="218"/>
        <v>-371993.68000000005</v>
      </c>
      <c r="AA201" s="84">
        <f t="shared" ref="AA201:AK201" si="219">SUM(AA169:AA200)</f>
        <v>-5127595.5</v>
      </c>
      <c r="AB201" s="84">
        <f t="shared" si="219"/>
        <v>134955.27999999997</v>
      </c>
      <c r="AC201" s="84">
        <f t="shared" si="219"/>
        <v>-181635.18000000002</v>
      </c>
      <c r="AD201" s="84">
        <f t="shared" si="219"/>
        <v>-244464.31999999995</v>
      </c>
      <c r="AE201" s="84">
        <f t="shared" si="219"/>
        <v>241214.22999999998</v>
      </c>
      <c r="AF201" s="84">
        <f t="shared" si="219"/>
        <v>-24212.130000000034</v>
      </c>
      <c r="AG201" s="84">
        <f t="shared" si="219"/>
        <v>-110720.18000000001</v>
      </c>
      <c r="AH201" s="84">
        <f t="shared" si="219"/>
        <v>36697.67</v>
      </c>
      <c r="AI201" s="84">
        <f t="shared" si="219"/>
        <v>-104352.41999999995</v>
      </c>
      <c r="AJ201" s="84">
        <f t="shared" si="219"/>
        <v>50036.43</v>
      </c>
      <c r="AK201" s="84">
        <f t="shared" si="219"/>
        <v>15690.460000000006</v>
      </c>
      <c r="AL201" s="84">
        <f t="shared" ref="AL201:AM201" si="220">SUM(AL169:AL200)</f>
        <v>-151716.86000000002</v>
      </c>
      <c r="AM201" s="84">
        <f t="shared" si="220"/>
        <v>5541916.0299999993</v>
      </c>
      <c r="AN201" s="127">
        <f>SUM(AN169:AN200)</f>
        <v>75813.509999999675</v>
      </c>
      <c r="AO201" s="84">
        <f t="shared" ref="AO201:AZ201" si="221">SUM(AO169:AO200)</f>
        <v>145374.54999999993</v>
      </c>
      <c r="AP201" s="84">
        <f t="shared" si="221"/>
        <v>-9788.4700000000375</v>
      </c>
      <c r="AQ201" s="84">
        <f t="shared" si="221"/>
        <v>-107664.43999999996</v>
      </c>
      <c r="AR201" s="84">
        <f t="shared" si="221"/>
        <v>161035.81</v>
      </c>
      <c r="AS201" s="84">
        <f t="shared" si="221"/>
        <v>337174.21999999991</v>
      </c>
      <c r="AT201" s="84">
        <f t="shared" si="221"/>
        <v>-26993.65</v>
      </c>
      <c r="AU201" s="84">
        <f t="shared" si="221"/>
        <v>107235.84999999996</v>
      </c>
      <c r="AV201" s="84">
        <f t="shared" si="221"/>
        <v>0</v>
      </c>
      <c r="AW201" s="84">
        <f t="shared" si="221"/>
        <v>0</v>
      </c>
      <c r="AX201" s="84">
        <f t="shared" si="221"/>
        <v>0</v>
      </c>
      <c r="AY201" s="84">
        <f t="shared" si="221"/>
        <v>0</v>
      </c>
      <c r="AZ201" s="84">
        <f t="shared" si="221"/>
        <v>0</v>
      </c>
      <c r="BA201" s="127">
        <f>SUM(BA169:BA200)</f>
        <v>682187.37999999966</v>
      </c>
    </row>
    <row r="202" spans="1:53" x14ac:dyDescent="0.2">
      <c r="B202" s="3" t="s">
        <v>150</v>
      </c>
      <c r="C202" s="20">
        <v>108.76</v>
      </c>
      <c r="D202" s="20">
        <v>0</v>
      </c>
      <c r="E202" s="20">
        <v>0</v>
      </c>
      <c r="F202" s="24">
        <v>0</v>
      </c>
      <c r="G202" s="24">
        <v>0</v>
      </c>
      <c r="H202" s="20">
        <v>0</v>
      </c>
      <c r="I202" s="20">
        <v>0</v>
      </c>
      <c r="J202" s="20">
        <v>0</v>
      </c>
      <c r="K202" s="20">
        <v>0</v>
      </c>
      <c r="L202" s="83">
        <v>0</v>
      </c>
      <c r="M202" s="83">
        <v>0</v>
      </c>
      <c r="N202" s="83">
        <v>0</v>
      </c>
      <c r="O202" s="83">
        <v>108.76</v>
      </c>
      <c r="P202" s="83">
        <v>0</v>
      </c>
      <c r="Q202" s="83">
        <v>0</v>
      </c>
      <c r="R202" s="83">
        <v>0</v>
      </c>
      <c r="S202" s="83">
        <v>0</v>
      </c>
      <c r="T202" s="83">
        <v>0</v>
      </c>
      <c r="U202" s="83">
        <v>0</v>
      </c>
      <c r="V202" s="83">
        <v>0</v>
      </c>
      <c r="W202" s="83">
        <v>0</v>
      </c>
      <c r="X202" s="83">
        <v>0</v>
      </c>
      <c r="Y202" s="83">
        <v>0</v>
      </c>
      <c r="Z202" s="83">
        <v>0</v>
      </c>
      <c r="AA202" s="31">
        <f>SUM(O202:Z202)</f>
        <v>108.76</v>
      </c>
      <c r="AB202" s="83">
        <v>0</v>
      </c>
      <c r="AC202" s="83">
        <v>0</v>
      </c>
      <c r="AD202" s="83">
        <v>0</v>
      </c>
      <c r="AE202" s="83">
        <v>0</v>
      </c>
      <c r="AF202" s="83">
        <v>0</v>
      </c>
      <c r="AG202" s="83">
        <v>0</v>
      </c>
      <c r="AH202" s="83">
        <v>0</v>
      </c>
      <c r="AI202" s="83">
        <v>0</v>
      </c>
      <c r="AJ202" s="83">
        <v>0</v>
      </c>
      <c r="AK202" s="83">
        <v>0</v>
      </c>
      <c r="AL202" s="83">
        <v>0</v>
      </c>
      <c r="AM202" s="83">
        <v>0</v>
      </c>
      <c r="AN202" s="31">
        <f>SUM(AA202:AM202)</f>
        <v>108.76</v>
      </c>
      <c r="AO202" s="83">
        <v>0</v>
      </c>
      <c r="AP202" s="83">
        <v>0</v>
      </c>
      <c r="AQ202" s="83">
        <v>0</v>
      </c>
      <c r="AR202" s="83">
        <v>0</v>
      </c>
      <c r="AS202" s="83">
        <v>0</v>
      </c>
      <c r="AT202" s="83">
        <v>0</v>
      </c>
      <c r="AU202" s="83">
        <v>0</v>
      </c>
      <c r="BA202" s="31">
        <f t="shared" ref="BA202:BA206" si="222">SUM(AN202:AZ202)</f>
        <v>108.76</v>
      </c>
    </row>
    <row r="203" spans="1:53" x14ac:dyDescent="0.2">
      <c r="B203" s="3" t="s">
        <v>151</v>
      </c>
      <c r="C203" s="4">
        <v>0.46</v>
      </c>
      <c r="D203" s="20">
        <v>-0.46</v>
      </c>
      <c r="E203" s="20">
        <v>0</v>
      </c>
      <c r="F203" s="24">
        <v>0</v>
      </c>
      <c r="G203" s="24">
        <v>0</v>
      </c>
      <c r="H203" s="20">
        <v>-708.01</v>
      </c>
      <c r="I203" s="20">
        <v>706.67</v>
      </c>
      <c r="J203" s="20">
        <v>1.34</v>
      </c>
      <c r="K203" s="20">
        <v>0</v>
      </c>
      <c r="L203" s="83">
        <v>-32.840000000000003</v>
      </c>
      <c r="M203" s="83">
        <v>415.35</v>
      </c>
      <c r="N203" s="83">
        <v>-405.69</v>
      </c>
      <c r="O203" s="83">
        <v>-15.21</v>
      </c>
      <c r="P203" s="83">
        <v>397.6</v>
      </c>
      <c r="Q203" s="83">
        <v>-382.39</v>
      </c>
      <c r="R203" s="83">
        <v>722.46</v>
      </c>
      <c r="S203" s="83">
        <v>-348.64</v>
      </c>
      <c r="T203" s="83">
        <v>-568.79</v>
      </c>
      <c r="U203" s="83">
        <v>347.53</v>
      </c>
      <c r="V203" s="83">
        <v>-152.56</v>
      </c>
      <c r="W203" s="83">
        <v>-9.93</v>
      </c>
      <c r="X203" s="83">
        <v>-5.55</v>
      </c>
      <c r="Y203" s="83">
        <v>-361.87</v>
      </c>
      <c r="Z203" s="83">
        <v>1031.55</v>
      </c>
      <c r="AA203" s="31">
        <f>SUM(O203:Z203)</f>
        <v>654.20000000000005</v>
      </c>
      <c r="AB203" s="83">
        <v>-354.42</v>
      </c>
      <c r="AC203" s="83">
        <v>-662.53</v>
      </c>
      <c r="AD203" s="83">
        <v>135.33000000000001</v>
      </c>
      <c r="AE203" s="83">
        <v>-2050.04</v>
      </c>
      <c r="AF203" s="83">
        <v>1863.74</v>
      </c>
      <c r="AG203" s="83">
        <v>1435.9</v>
      </c>
      <c r="AH203" s="83">
        <v>-479.11</v>
      </c>
      <c r="AI203" s="83">
        <v>378.45</v>
      </c>
      <c r="AJ203" s="83">
        <v>-2595.4299999999998</v>
      </c>
      <c r="AK203" s="83">
        <v>1683.32</v>
      </c>
      <c r="AL203" s="83">
        <v>-275.64999999999998</v>
      </c>
      <c r="AM203" s="83">
        <v>-798.84</v>
      </c>
      <c r="AN203" s="31">
        <f>SUM(AA203:AM203)</f>
        <v>-1065.08</v>
      </c>
      <c r="AO203" s="83">
        <v>0</v>
      </c>
      <c r="AP203" s="83">
        <v>-763.73</v>
      </c>
      <c r="AQ203" s="83">
        <v>0</v>
      </c>
      <c r="AR203" s="83">
        <v>-534.82000000000005</v>
      </c>
      <c r="AS203" s="83">
        <v>-385.67</v>
      </c>
      <c r="AT203" s="83">
        <v>-483.66</v>
      </c>
      <c r="AU203" s="83">
        <v>-63.3</v>
      </c>
      <c r="BA203" s="31">
        <f t="shared" si="222"/>
        <v>-3296.26</v>
      </c>
    </row>
    <row r="204" spans="1:53" x14ac:dyDescent="0.2">
      <c r="B204" s="3" t="s">
        <v>152</v>
      </c>
      <c r="C204" s="20">
        <v>4855.91</v>
      </c>
      <c r="D204" s="20">
        <v>0</v>
      </c>
      <c r="E204" s="20">
        <v>0</v>
      </c>
      <c r="F204" s="24">
        <v>0</v>
      </c>
      <c r="G204" s="24">
        <v>0</v>
      </c>
      <c r="H204" s="20">
        <v>0</v>
      </c>
      <c r="I204" s="20">
        <v>0</v>
      </c>
      <c r="J204" s="20">
        <v>0</v>
      </c>
      <c r="K204" s="20">
        <v>0</v>
      </c>
      <c r="L204" s="83">
        <v>0</v>
      </c>
      <c r="M204" s="83">
        <v>0</v>
      </c>
      <c r="N204" s="83">
        <v>0</v>
      </c>
      <c r="O204" s="83">
        <v>4855.91</v>
      </c>
      <c r="P204" s="83">
        <v>0</v>
      </c>
      <c r="Q204" s="83">
        <v>0</v>
      </c>
      <c r="R204" s="83">
        <v>4922.49</v>
      </c>
      <c r="S204" s="83">
        <v>0</v>
      </c>
      <c r="T204" s="83">
        <v>0</v>
      </c>
      <c r="U204" s="83">
        <v>0</v>
      </c>
      <c r="V204" s="83">
        <v>0</v>
      </c>
      <c r="W204" s="83">
        <v>0</v>
      </c>
      <c r="X204" s="83">
        <v>0</v>
      </c>
      <c r="Y204" s="83">
        <v>0</v>
      </c>
      <c r="Z204" s="83">
        <v>0</v>
      </c>
      <c r="AA204" s="31">
        <f>SUM(O204:Z204)</f>
        <v>9778.4</v>
      </c>
      <c r="AB204" s="83">
        <v>0</v>
      </c>
      <c r="AC204" s="83">
        <v>0</v>
      </c>
      <c r="AD204" s="83">
        <v>0</v>
      </c>
      <c r="AE204" s="83">
        <v>0</v>
      </c>
      <c r="AF204" s="83">
        <v>0</v>
      </c>
      <c r="AG204" s="83">
        <v>0</v>
      </c>
      <c r="AH204" s="83">
        <v>0</v>
      </c>
      <c r="AI204" s="83">
        <v>0</v>
      </c>
      <c r="AJ204" s="83">
        <v>0</v>
      </c>
      <c r="AK204" s="83">
        <v>0</v>
      </c>
      <c r="AL204" s="83">
        <v>0</v>
      </c>
      <c r="AM204" s="83">
        <v>0</v>
      </c>
      <c r="AN204" s="31">
        <f>SUM(AA204:AM204)</f>
        <v>9778.4</v>
      </c>
      <c r="AO204" s="83">
        <v>0</v>
      </c>
      <c r="AP204" s="83">
        <v>0</v>
      </c>
      <c r="AQ204" s="83">
        <v>0</v>
      </c>
      <c r="AR204" s="83">
        <v>0</v>
      </c>
      <c r="AS204" s="83">
        <v>0</v>
      </c>
      <c r="AT204" s="83">
        <v>0</v>
      </c>
      <c r="AU204" s="83">
        <v>0</v>
      </c>
      <c r="BA204" s="31">
        <f t="shared" si="222"/>
        <v>9778.4</v>
      </c>
    </row>
    <row r="205" spans="1:53" x14ac:dyDescent="0.2">
      <c r="B205" s="3" t="s">
        <v>153</v>
      </c>
      <c r="C205" s="20">
        <v>-248.8</v>
      </c>
      <c r="D205" s="20">
        <v>0</v>
      </c>
      <c r="E205" s="20">
        <v>0</v>
      </c>
      <c r="F205" s="24">
        <v>0</v>
      </c>
      <c r="G205" s="24">
        <v>0</v>
      </c>
      <c r="H205" s="20">
        <v>0</v>
      </c>
      <c r="I205" s="20">
        <v>0</v>
      </c>
      <c r="J205" s="20">
        <v>0</v>
      </c>
      <c r="K205" s="20">
        <v>0</v>
      </c>
      <c r="L205" s="83">
        <v>0</v>
      </c>
      <c r="M205" s="83">
        <v>0</v>
      </c>
      <c r="N205" s="83">
        <v>0</v>
      </c>
      <c r="O205" s="83">
        <v>-248.8</v>
      </c>
      <c r="P205" s="83">
        <v>0</v>
      </c>
      <c r="Q205" s="83">
        <v>0</v>
      </c>
      <c r="R205" s="83">
        <v>0</v>
      </c>
      <c r="S205" s="83">
        <v>0</v>
      </c>
      <c r="T205" s="83">
        <v>0</v>
      </c>
      <c r="U205" s="83">
        <v>0</v>
      </c>
      <c r="V205" s="83">
        <v>0</v>
      </c>
      <c r="W205" s="83">
        <v>0</v>
      </c>
      <c r="X205" s="83">
        <v>0</v>
      </c>
      <c r="Y205" s="83">
        <v>0</v>
      </c>
      <c r="Z205" s="83">
        <v>0</v>
      </c>
      <c r="AA205" s="31">
        <f>SUM(O205:Z205)</f>
        <v>-248.8</v>
      </c>
      <c r="AB205" s="83">
        <v>0</v>
      </c>
      <c r="AC205" s="83">
        <v>0</v>
      </c>
      <c r="AD205" s="83">
        <v>0</v>
      </c>
      <c r="AE205" s="83">
        <v>0</v>
      </c>
      <c r="AF205" s="83">
        <v>0</v>
      </c>
      <c r="AG205" s="83">
        <v>0</v>
      </c>
      <c r="AH205" s="83">
        <v>0</v>
      </c>
      <c r="AI205" s="83">
        <v>0</v>
      </c>
      <c r="AJ205" s="83">
        <v>0</v>
      </c>
      <c r="AK205" s="83">
        <v>0</v>
      </c>
      <c r="AL205" s="83">
        <v>0</v>
      </c>
      <c r="AM205" s="83">
        <v>0</v>
      </c>
      <c r="AN205" s="31">
        <f>SUM(AA205:AM205)</f>
        <v>-248.8</v>
      </c>
      <c r="AO205" s="83">
        <v>0</v>
      </c>
      <c r="AP205" s="83">
        <v>0</v>
      </c>
      <c r="AQ205" s="83">
        <v>0</v>
      </c>
      <c r="AR205" s="83">
        <v>0</v>
      </c>
      <c r="AS205" s="83">
        <v>0</v>
      </c>
      <c r="AT205" s="83">
        <v>0</v>
      </c>
      <c r="AU205" s="83">
        <v>0</v>
      </c>
      <c r="BA205" s="31">
        <f t="shared" si="222"/>
        <v>-248.8</v>
      </c>
    </row>
    <row r="206" spans="1:53" x14ac:dyDescent="0.2">
      <c r="B206" s="3" t="s">
        <v>154</v>
      </c>
      <c r="C206" s="20">
        <v>-2213.17</v>
      </c>
      <c r="D206" s="20">
        <v>-1561.42</v>
      </c>
      <c r="E206" s="20">
        <v>1312.81</v>
      </c>
      <c r="F206" s="24">
        <v>358.37</v>
      </c>
      <c r="G206" s="24">
        <v>-5473.95</v>
      </c>
      <c r="H206" s="20">
        <v>4276.29</v>
      </c>
      <c r="I206" s="20">
        <v>-641.33000000000004</v>
      </c>
      <c r="J206" s="20">
        <v>1065.8800000000001</v>
      </c>
      <c r="K206" s="20">
        <v>-778.88</v>
      </c>
      <c r="L206" s="83">
        <v>164.62</v>
      </c>
      <c r="M206" s="83">
        <v>702.71</v>
      </c>
      <c r="N206" s="83">
        <v>-1173.21</v>
      </c>
      <c r="O206" s="83">
        <v>-3614.28</v>
      </c>
      <c r="P206" s="83">
        <v>208.86</v>
      </c>
      <c r="Q206" s="83">
        <v>-461.61</v>
      </c>
      <c r="R206" s="83">
        <v>769.3</v>
      </c>
      <c r="S206" s="83">
        <v>-1747.91</v>
      </c>
      <c r="T206" s="83">
        <v>1819.96</v>
      </c>
      <c r="U206" s="83">
        <v>501.46</v>
      </c>
      <c r="V206" s="83">
        <v>-296.24</v>
      </c>
      <c r="W206" s="83">
        <v>-702.45</v>
      </c>
      <c r="X206" s="83">
        <v>-2680.45</v>
      </c>
      <c r="Y206" s="83">
        <v>2750.23</v>
      </c>
      <c r="Z206" s="83">
        <v>981.27</v>
      </c>
      <c r="AA206" s="31">
        <f>SUM(O206:Z206)</f>
        <v>-2471.8599999999997</v>
      </c>
      <c r="AB206" s="83">
        <v>1471.52</v>
      </c>
      <c r="AC206" s="83">
        <v>-3985.61</v>
      </c>
      <c r="AD206" s="83">
        <v>-5304.31</v>
      </c>
      <c r="AE206" s="83">
        <v>1640.76</v>
      </c>
      <c r="AF206" s="83">
        <v>1550.58</v>
      </c>
      <c r="AG206" s="83">
        <v>358.87</v>
      </c>
      <c r="AH206" s="83">
        <v>-3700.74</v>
      </c>
      <c r="AI206" s="83">
        <v>1702.16</v>
      </c>
      <c r="AJ206" s="83">
        <v>8759.69</v>
      </c>
      <c r="AK206" s="83">
        <v>-1800.34</v>
      </c>
      <c r="AL206" s="83">
        <v>-13.45</v>
      </c>
      <c r="AM206" s="83">
        <v>-4400.8</v>
      </c>
      <c r="AN206" s="31">
        <f>SUM(AA206:AM206)</f>
        <v>-6193.5300000000007</v>
      </c>
      <c r="AO206" s="83">
        <v>-2579.13</v>
      </c>
      <c r="AP206" s="83">
        <v>-3419.33</v>
      </c>
      <c r="AQ206" s="83">
        <v>-4048.81</v>
      </c>
      <c r="AR206" s="83">
        <v>-4108.32</v>
      </c>
      <c r="AS206" s="83">
        <v>-2756.45</v>
      </c>
      <c r="AT206" s="83">
        <v>-3904.6</v>
      </c>
      <c r="AU206" s="83">
        <v>-2533.6999999999998</v>
      </c>
      <c r="BA206" s="31">
        <f t="shared" si="222"/>
        <v>-29543.87</v>
      </c>
    </row>
    <row r="207" spans="1:53" s="9" customFormat="1" ht="12.75" x14ac:dyDescent="0.2">
      <c r="A207" s="115"/>
      <c r="B207" s="13" t="s">
        <v>1594</v>
      </c>
      <c r="C207" s="41">
        <f t="shared" ref="C207:AK207" si="223">SUM(C202:C206)</f>
        <v>2503.16</v>
      </c>
      <c r="D207" s="41">
        <f t="shared" si="223"/>
        <v>-1561.88</v>
      </c>
      <c r="E207" s="41">
        <f t="shared" si="223"/>
        <v>1312.81</v>
      </c>
      <c r="F207" s="41">
        <f t="shared" si="223"/>
        <v>358.37</v>
      </c>
      <c r="G207" s="41">
        <f t="shared" si="223"/>
        <v>-5473.95</v>
      </c>
      <c r="H207" s="41">
        <f t="shared" si="223"/>
        <v>3568.2799999999997</v>
      </c>
      <c r="I207" s="41">
        <f t="shared" si="223"/>
        <v>65.339999999999918</v>
      </c>
      <c r="J207" s="41">
        <f t="shared" si="223"/>
        <v>1067.22</v>
      </c>
      <c r="K207" s="41">
        <f t="shared" si="223"/>
        <v>-778.88</v>
      </c>
      <c r="L207" s="84">
        <f t="shared" si="223"/>
        <v>131.78</v>
      </c>
      <c r="M207" s="84">
        <f t="shared" si="223"/>
        <v>1118.06</v>
      </c>
      <c r="N207" s="84">
        <f t="shared" si="223"/>
        <v>-1578.9</v>
      </c>
      <c r="O207" s="84">
        <f t="shared" si="223"/>
        <v>1086.3799999999997</v>
      </c>
      <c r="P207" s="84">
        <f t="shared" si="223"/>
        <v>606.46</v>
      </c>
      <c r="Q207" s="84">
        <f t="shared" si="223"/>
        <v>-844</v>
      </c>
      <c r="R207" s="84">
        <f t="shared" si="223"/>
        <v>6414.25</v>
      </c>
      <c r="S207" s="84">
        <f t="shared" si="223"/>
        <v>-2096.5500000000002</v>
      </c>
      <c r="T207" s="84">
        <f t="shared" si="223"/>
        <v>1251.17</v>
      </c>
      <c r="U207" s="84">
        <f t="shared" si="223"/>
        <v>848.99</v>
      </c>
      <c r="V207" s="84">
        <f t="shared" si="223"/>
        <v>-448.8</v>
      </c>
      <c r="W207" s="84">
        <f t="shared" si="223"/>
        <v>-712.38</v>
      </c>
      <c r="X207" s="84">
        <f t="shared" si="223"/>
        <v>-2686</v>
      </c>
      <c r="Y207" s="84">
        <f t="shared" si="223"/>
        <v>2388.36</v>
      </c>
      <c r="Z207" s="84">
        <f t="shared" si="223"/>
        <v>2012.82</v>
      </c>
      <c r="AA207" s="84">
        <f t="shared" si="223"/>
        <v>7820.7000000000016</v>
      </c>
      <c r="AB207" s="84">
        <f t="shared" si="223"/>
        <v>1117.0999999999999</v>
      </c>
      <c r="AC207" s="84">
        <f t="shared" si="223"/>
        <v>-4648.1400000000003</v>
      </c>
      <c r="AD207" s="84">
        <f t="shared" si="223"/>
        <v>-5168.9800000000005</v>
      </c>
      <c r="AE207" s="84">
        <f t="shared" si="223"/>
        <v>-409.28</v>
      </c>
      <c r="AF207" s="84">
        <f t="shared" si="223"/>
        <v>3414.3199999999997</v>
      </c>
      <c r="AG207" s="84">
        <f t="shared" si="223"/>
        <v>1794.77</v>
      </c>
      <c r="AH207" s="84">
        <f t="shared" si="223"/>
        <v>-4179.8499999999995</v>
      </c>
      <c r="AI207" s="84">
        <f t="shared" si="223"/>
        <v>2080.61</v>
      </c>
      <c r="AJ207" s="84">
        <f t="shared" si="223"/>
        <v>6164.26</v>
      </c>
      <c r="AK207" s="84">
        <f t="shared" si="223"/>
        <v>-117.01999999999998</v>
      </c>
      <c r="AL207" s="84">
        <f t="shared" ref="AL207:AM207" si="224">SUM(AL202:AL206)</f>
        <v>-289.09999999999997</v>
      </c>
      <c r="AM207" s="84">
        <f t="shared" si="224"/>
        <v>-5199.6400000000003</v>
      </c>
      <c r="AN207" s="127">
        <f>SUM(AN202:AN206)</f>
        <v>2379.75</v>
      </c>
      <c r="AO207" s="84">
        <f t="shared" ref="AO207:AU207" si="225">SUM(AO202:AO206)</f>
        <v>-2579.13</v>
      </c>
      <c r="AP207" s="84">
        <f t="shared" si="225"/>
        <v>-4183.0599999999995</v>
      </c>
      <c r="AQ207" s="84">
        <f t="shared" si="225"/>
        <v>-4048.81</v>
      </c>
      <c r="AR207" s="84">
        <f t="shared" si="225"/>
        <v>-4643.1399999999994</v>
      </c>
      <c r="AS207" s="84">
        <f t="shared" si="225"/>
        <v>-3142.12</v>
      </c>
      <c r="AT207" s="84">
        <f t="shared" si="225"/>
        <v>-4388.26</v>
      </c>
      <c r="AU207" s="84">
        <f t="shared" si="225"/>
        <v>-2597</v>
      </c>
      <c r="AV207" s="84">
        <f t="shared" ref="AV207" si="226">SUM(AV202:AV206)</f>
        <v>0</v>
      </c>
      <c r="AW207" s="84">
        <f t="shared" ref="AW207" si="227">SUM(AW202:AW206)</f>
        <v>0</v>
      </c>
      <c r="AX207" s="84">
        <f t="shared" ref="AX207:AZ207" si="228">SUM(AX202:AX206)</f>
        <v>0</v>
      </c>
      <c r="AY207" s="84">
        <f t="shared" si="228"/>
        <v>0</v>
      </c>
      <c r="AZ207" s="84">
        <f t="shared" si="228"/>
        <v>0</v>
      </c>
      <c r="BA207" s="127">
        <f>SUM(BA202:BA206)</f>
        <v>-23201.77</v>
      </c>
    </row>
    <row r="208" spans="1:53" x14ac:dyDescent="0.2">
      <c r="B208" s="3" t="s">
        <v>157</v>
      </c>
      <c r="C208" s="20">
        <v>-25820.95</v>
      </c>
      <c r="D208" s="20">
        <v>-3948.77</v>
      </c>
      <c r="E208" s="20">
        <v>1986.65</v>
      </c>
      <c r="F208" s="24">
        <v>421.94</v>
      </c>
      <c r="G208" s="24">
        <v>1510.44</v>
      </c>
      <c r="H208" s="20">
        <v>2065.52</v>
      </c>
      <c r="I208" s="20">
        <v>-1979.41</v>
      </c>
      <c r="J208" s="20">
        <v>3444.42</v>
      </c>
      <c r="K208" s="20">
        <v>3094.44</v>
      </c>
      <c r="L208" s="83">
        <v>-11132.46</v>
      </c>
      <c r="M208" s="83">
        <v>-3013.4</v>
      </c>
      <c r="N208" s="83">
        <v>-10218.41</v>
      </c>
      <c r="O208" s="83">
        <v>-43760.25</v>
      </c>
      <c r="P208" s="83">
        <v>2660.78</v>
      </c>
      <c r="Q208" s="83">
        <v>0</v>
      </c>
      <c r="R208" s="83">
        <v>0</v>
      </c>
      <c r="S208" s="83">
        <v>0</v>
      </c>
      <c r="T208" s="83">
        <v>0</v>
      </c>
      <c r="U208" s="83">
        <v>-573.23</v>
      </c>
      <c r="V208" s="83">
        <v>-196.41</v>
      </c>
      <c r="W208" s="83">
        <v>-195.92</v>
      </c>
      <c r="X208" s="83">
        <v>-425.56</v>
      </c>
      <c r="Y208" s="83">
        <v>-5656.72</v>
      </c>
      <c r="Z208" s="83">
        <v>22067.48</v>
      </c>
      <c r="AA208" s="31">
        <f>SUM(O208:Z208)</f>
        <v>-26079.830000000005</v>
      </c>
      <c r="AB208" s="83">
        <v>245.34</v>
      </c>
      <c r="AC208" s="83">
        <v>-1670.05</v>
      </c>
      <c r="AD208" s="83">
        <v>20339.099999999999</v>
      </c>
      <c r="AE208" s="83">
        <v>0</v>
      </c>
      <c r="AF208" s="83">
        <v>-962.95</v>
      </c>
      <c r="AG208" s="83">
        <v>352.44</v>
      </c>
      <c r="AH208" s="83">
        <v>192.88</v>
      </c>
      <c r="AI208" s="83">
        <v>502.52</v>
      </c>
      <c r="AJ208" s="83">
        <v>100.51</v>
      </c>
      <c r="AK208" s="83">
        <v>941.69</v>
      </c>
      <c r="AL208" s="83">
        <v>1218.8699999999999</v>
      </c>
      <c r="AM208" s="83">
        <v>383.45</v>
      </c>
      <c r="AN208" s="31">
        <f>SUM(AA208:AM208)</f>
        <v>-4436.0300000000061</v>
      </c>
      <c r="AO208" s="83">
        <v>578.78</v>
      </c>
      <c r="AP208" s="83">
        <v>748.61</v>
      </c>
      <c r="AQ208" s="83">
        <v>220.95</v>
      </c>
      <c r="AR208" s="83">
        <v>-230.72</v>
      </c>
      <c r="AS208" s="83">
        <v>0</v>
      </c>
      <c r="AT208" s="83">
        <v>408.45</v>
      </c>
      <c r="AU208" s="83">
        <v>0</v>
      </c>
      <c r="BA208" s="31">
        <f t="shared" ref="BA208:BA212" si="229">SUM(AN208:AZ208)</f>
        <v>-2709.9600000000064</v>
      </c>
    </row>
    <row r="209" spans="1:53" x14ac:dyDescent="0.2">
      <c r="B209" s="3" t="s">
        <v>158</v>
      </c>
      <c r="C209" s="20">
        <v>1168.55</v>
      </c>
      <c r="D209" s="20">
        <v>0</v>
      </c>
      <c r="E209" s="20">
        <v>0</v>
      </c>
      <c r="F209" s="24">
        <v>0</v>
      </c>
      <c r="G209" s="24">
        <v>0</v>
      </c>
      <c r="H209" s="20">
        <v>0</v>
      </c>
      <c r="I209" s="20">
        <v>0</v>
      </c>
      <c r="J209" s="20">
        <v>0</v>
      </c>
      <c r="K209" s="20">
        <v>0</v>
      </c>
      <c r="L209" s="83">
        <v>0</v>
      </c>
      <c r="M209" s="83">
        <v>0</v>
      </c>
      <c r="N209" s="83">
        <v>0</v>
      </c>
      <c r="O209" s="83">
        <v>1168.55</v>
      </c>
      <c r="P209" s="83">
        <v>0</v>
      </c>
      <c r="Q209" s="83">
        <v>0</v>
      </c>
      <c r="R209" s="83">
        <v>0</v>
      </c>
      <c r="S209" s="83">
        <v>0</v>
      </c>
      <c r="T209" s="83">
        <v>0</v>
      </c>
      <c r="U209" s="83">
        <v>0</v>
      </c>
      <c r="V209" s="83">
        <v>0</v>
      </c>
      <c r="W209" s="83">
        <v>0</v>
      </c>
      <c r="X209" s="83">
        <v>0</v>
      </c>
      <c r="Y209" s="83">
        <v>0</v>
      </c>
      <c r="Z209" s="83">
        <v>0</v>
      </c>
      <c r="AA209" s="31">
        <f>SUM(O209:Z209)</f>
        <v>1168.55</v>
      </c>
      <c r="AB209" s="83">
        <v>0</v>
      </c>
      <c r="AC209" s="83">
        <v>0</v>
      </c>
      <c r="AD209" s="83">
        <v>0</v>
      </c>
      <c r="AE209" s="83">
        <v>0</v>
      </c>
      <c r="AF209" s="83">
        <v>0</v>
      </c>
      <c r="AG209" s="83">
        <v>0</v>
      </c>
      <c r="AH209" s="83">
        <v>0</v>
      </c>
      <c r="AI209" s="83">
        <v>0</v>
      </c>
      <c r="AJ209" s="83">
        <v>0</v>
      </c>
      <c r="AK209" s="83">
        <v>0</v>
      </c>
      <c r="AL209" s="83">
        <v>0</v>
      </c>
      <c r="AM209" s="83">
        <v>0</v>
      </c>
      <c r="AN209" s="31">
        <f>SUM(AA209:AM209)</f>
        <v>1168.55</v>
      </c>
      <c r="AO209" s="83">
        <v>0</v>
      </c>
      <c r="AP209" s="83">
        <v>0</v>
      </c>
      <c r="AQ209" s="83">
        <v>0</v>
      </c>
      <c r="AR209" s="83">
        <v>0</v>
      </c>
      <c r="AS209" s="83">
        <v>0</v>
      </c>
      <c r="AT209" s="83">
        <v>0</v>
      </c>
      <c r="AU209" s="83">
        <v>0</v>
      </c>
      <c r="BA209" s="31">
        <f t="shared" si="229"/>
        <v>1168.55</v>
      </c>
    </row>
    <row r="210" spans="1:53" x14ac:dyDescent="0.2">
      <c r="B210" s="3" t="s">
        <v>159</v>
      </c>
      <c r="C210" s="4">
        <v>-57237.32</v>
      </c>
      <c r="D210" s="20">
        <v>-11650</v>
      </c>
      <c r="E210" s="20">
        <v>22274.89</v>
      </c>
      <c r="F210" s="24">
        <v>34962.43</v>
      </c>
      <c r="G210" s="24">
        <v>11650</v>
      </c>
      <c r="H210" s="20">
        <v>0</v>
      </c>
      <c r="I210" s="20">
        <v>0</v>
      </c>
      <c r="J210" s="20">
        <v>0</v>
      </c>
      <c r="K210" s="20">
        <v>0</v>
      </c>
      <c r="L210" s="83">
        <v>0</v>
      </c>
      <c r="M210" s="83">
        <v>0</v>
      </c>
      <c r="N210" s="83">
        <v>0</v>
      </c>
      <c r="O210" s="83">
        <v>0</v>
      </c>
      <c r="P210" s="83">
        <v>0</v>
      </c>
      <c r="Q210" s="83">
        <v>0</v>
      </c>
      <c r="R210" s="83">
        <v>0</v>
      </c>
      <c r="S210" s="83">
        <v>0</v>
      </c>
      <c r="T210" s="83">
        <v>0</v>
      </c>
      <c r="U210" s="83">
        <v>0</v>
      </c>
      <c r="V210" s="83">
        <v>0</v>
      </c>
      <c r="W210" s="83">
        <v>0</v>
      </c>
      <c r="X210" s="83">
        <v>0</v>
      </c>
      <c r="Y210" s="83">
        <v>0</v>
      </c>
      <c r="Z210" s="83">
        <v>0</v>
      </c>
      <c r="AA210" s="31">
        <f>SUM(O210:Z210)</f>
        <v>0</v>
      </c>
      <c r="AB210" s="83">
        <v>0</v>
      </c>
      <c r="AC210" s="83">
        <v>0</v>
      </c>
      <c r="AD210" s="83">
        <v>0</v>
      </c>
      <c r="AE210" s="83">
        <v>0</v>
      </c>
      <c r="AF210" s="83">
        <v>0</v>
      </c>
      <c r="AG210" s="83">
        <v>0</v>
      </c>
      <c r="AH210" s="83">
        <v>0</v>
      </c>
      <c r="AI210" s="83">
        <v>0</v>
      </c>
      <c r="AJ210" s="83">
        <v>0</v>
      </c>
      <c r="AK210" s="83">
        <v>0</v>
      </c>
      <c r="AL210" s="83">
        <v>0</v>
      </c>
      <c r="AM210" s="83">
        <v>0</v>
      </c>
      <c r="AN210" s="31">
        <f>SUM(AA210:AM210)</f>
        <v>0</v>
      </c>
      <c r="AO210" s="83">
        <v>0</v>
      </c>
      <c r="AP210" s="83">
        <v>0</v>
      </c>
      <c r="AQ210" s="83">
        <v>0</v>
      </c>
      <c r="AR210" s="83">
        <v>0</v>
      </c>
      <c r="AS210" s="83">
        <v>0</v>
      </c>
      <c r="AT210" s="83">
        <v>0</v>
      </c>
      <c r="AU210" s="83">
        <v>0</v>
      </c>
      <c r="BA210" s="31">
        <f t="shared" si="229"/>
        <v>0</v>
      </c>
    </row>
    <row r="211" spans="1:53" x14ac:dyDescent="0.2">
      <c r="B211" s="3" t="s">
        <v>160</v>
      </c>
      <c r="C211" s="20">
        <v>-556.95000000000005</v>
      </c>
      <c r="D211" s="20">
        <v>0</v>
      </c>
      <c r="E211" s="20">
        <v>0</v>
      </c>
      <c r="F211" s="24">
        <v>0</v>
      </c>
      <c r="G211" s="24">
        <v>0</v>
      </c>
      <c r="H211" s="20">
        <v>0</v>
      </c>
      <c r="I211" s="20">
        <v>0</v>
      </c>
      <c r="J211" s="20">
        <v>0</v>
      </c>
      <c r="K211" s="20">
        <v>0</v>
      </c>
      <c r="L211" s="83">
        <v>0</v>
      </c>
      <c r="M211" s="83">
        <v>0</v>
      </c>
      <c r="N211" s="83">
        <v>0</v>
      </c>
      <c r="O211" s="83">
        <v>-556.95000000000005</v>
      </c>
      <c r="P211" s="83">
        <v>0</v>
      </c>
      <c r="Q211" s="83">
        <v>0</v>
      </c>
      <c r="R211" s="83">
        <v>0</v>
      </c>
      <c r="S211" s="83">
        <v>0</v>
      </c>
      <c r="T211" s="83">
        <v>0</v>
      </c>
      <c r="U211" s="83">
        <v>0</v>
      </c>
      <c r="V211" s="83">
        <v>0</v>
      </c>
      <c r="W211" s="83">
        <v>0</v>
      </c>
      <c r="X211" s="83">
        <v>0</v>
      </c>
      <c r="Y211" s="83">
        <v>0</v>
      </c>
      <c r="Z211" s="83">
        <v>0</v>
      </c>
      <c r="AA211" s="31">
        <f>SUM(O211:Z211)</f>
        <v>-556.95000000000005</v>
      </c>
      <c r="AB211" s="83">
        <v>0</v>
      </c>
      <c r="AC211" s="83">
        <v>0</v>
      </c>
      <c r="AD211" s="83">
        <v>0</v>
      </c>
      <c r="AE211" s="83">
        <v>0</v>
      </c>
      <c r="AF211" s="83">
        <v>0</v>
      </c>
      <c r="AG211" s="83">
        <v>0</v>
      </c>
      <c r="AH211" s="83">
        <v>0</v>
      </c>
      <c r="AI211" s="83">
        <v>0</v>
      </c>
      <c r="AJ211" s="83">
        <v>0</v>
      </c>
      <c r="AK211" s="83">
        <v>0</v>
      </c>
      <c r="AL211" s="83">
        <v>0</v>
      </c>
      <c r="AM211" s="83">
        <v>0</v>
      </c>
      <c r="AN211" s="31">
        <f>SUM(AA211:AM211)</f>
        <v>-556.95000000000005</v>
      </c>
      <c r="AO211" s="83">
        <v>0</v>
      </c>
      <c r="AP211" s="83">
        <v>0</v>
      </c>
      <c r="AQ211" s="83">
        <v>0</v>
      </c>
      <c r="AR211" s="83">
        <v>0</v>
      </c>
      <c r="AS211" s="83">
        <v>0</v>
      </c>
      <c r="AT211" s="83">
        <v>0</v>
      </c>
      <c r="AU211" s="83">
        <v>0</v>
      </c>
      <c r="BA211" s="31">
        <f t="shared" si="229"/>
        <v>-556.95000000000005</v>
      </c>
    </row>
    <row r="212" spans="1:53" x14ac:dyDescent="0.2">
      <c r="B212" s="3" t="s">
        <v>161</v>
      </c>
      <c r="C212" s="20">
        <v>3477.82</v>
      </c>
      <c r="D212" s="20">
        <v>5568.24</v>
      </c>
      <c r="E212" s="20">
        <v>-2160.36</v>
      </c>
      <c r="F212" s="24">
        <v>-5155.7299999999996</v>
      </c>
      <c r="G212" s="24">
        <v>3862.78</v>
      </c>
      <c r="H212" s="20">
        <v>238.77</v>
      </c>
      <c r="I212" s="20">
        <v>-1952.26</v>
      </c>
      <c r="J212" s="20">
        <v>105.69</v>
      </c>
      <c r="K212" s="20">
        <v>2840.46</v>
      </c>
      <c r="L212" s="83">
        <v>4318.8900000000003</v>
      </c>
      <c r="M212" s="83">
        <v>-5187.87</v>
      </c>
      <c r="N212" s="83">
        <v>923.57</v>
      </c>
      <c r="O212" s="83">
        <v>12140.44</v>
      </c>
      <c r="P212" s="83">
        <v>-716.32</v>
      </c>
      <c r="Q212" s="83">
        <v>3173.96</v>
      </c>
      <c r="R212" s="83">
        <v>4625.0200000000004</v>
      </c>
      <c r="S212" s="83">
        <v>178.52</v>
      </c>
      <c r="T212" s="83">
        <v>2820.55</v>
      </c>
      <c r="U212" s="83">
        <v>1595.91</v>
      </c>
      <c r="V212" s="83">
        <v>-6947.76</v>
      </c>
      <c r="W212" s="83">
        <v>-2916.62</v>
      </c>
      <c r="X212" s="83">
        <v>7359.58</v>
      </c>
      <c r="Y212" s="83">
        <v>1778.85</v>
      </c>
      <c r="Z212" s="83">
        <v>3498.41</v>
      </c>
      <c r="AA212" s="31">
        <f>SUM(O212:Z212)</f>
        <v>26590.539999999997</v>
      </c>
      <c r="AB212" s="83">
        <v>1749.21</v>
      </c>
      <c r="AC212" s="83">
        <v>2892</v>
      </c>
      <c r="AD212" s="83">
        <v>-88.94</v>
      </c>
      <c r="AE212" s="83">
        <v>1185.9000000000001</v>
      </c>
      <c r="AF212" s="83">
        <v>-4121.01</v>
      </c>
      <c r="AG212" s="83">
        <v>-770.84</v>
      </c>
      <c r="AH212" s="83">
        <v>2520.0500000000002</v>
      </c>
      <c r="AI212" s="83">
        <v>-1270.9000000000001</v>
      </c>
      <c r="AJ212" s="83">
        <v>2388.9299999999998</v>
      </c>
      <c r="AK212" s="83">
        <v>-2003.94</v>
      </c>
      <c r="AL212" s="83">
        <v>-53.11</v>
      </c>
      <c r="AM212" s="83">
        <v>87.67</v>
      </c>
      <c r="AN212" s="31">
        <f>SUM(AA212:AM212)</f>
        <v>29105.559999999994</v>
      </c>
      <c r="AO212" s="83">
        <v>397.45</v>
      </c>
      <c r="AP212" s="83">
        <v>-3850.35</v>
      </c>
      <c r="AQ212" s="83">
        <v>1072.6300000000001</v>
      </c>
      <c r="AR212" s="83">
        <v>4020.86</v>
      </c>
      <c r="AS212" s="83">
        <v>5049.46</v>
      </c>
      <c r="AT212" s="83">
        <v>-1090.6199999999999</v>
      </c>
      <c r="AU212" s="83">
        <v>443.43</v>
      </c>
      <c r="BA212" s="31">
        <f t="shared" si="229"/>
        <v>35148.42</v>
      </c>
    </row>
    <row r="213" spans="1:53" s="34" customFormat="1" ht="12" x14ac:dyDescent="0.2">
      <c r="A213" s="116"/>
      <c r="B213" s="35" t="s">
        <v>1595</v>
      </c>
      <c r="C213" s="36">
        <f t="shared" ref="C213:AM213" si="230">SUM(C208:C212)</f>
        <v>-78968.849999999991</v>
      </c>
      <c r="D213" s="36">
        <f t="shared" si="230"/>
        <v>-10030.530000000001</v>
      </c>
      <c r="E213" s="36">
        <f t="shared" si="230"/>
        <v>22101.18</v>
      </c>
      <c r="F213" s="36">
        <f t="shared" si="230"/>
        <v>30228.640000000003</v>
      </c>
      <c r="G213" s="36">
        <f t="shared" si="230"/>
        <v>17023.22</v>
      </c>
      <c r="H213" s="36">
        <f t="shared" si="230"/>
        <v>2304.29</v>
      </c>
      <c r="I213" s="36">
        <f t="shared" si="230"/>
        <v>-3931.67</v>
      </c>
      <c r="J213" s="36">
        <f t="shared" si="230"/>
        <v>3550.11</v>
      </c>
      <c r="K213" s="36">
        <f t="shared" si="230"/>
        <v>5934.9</v>
      </c>
      <c r="L213" s="85">
        <f t="shared" si="230"/>
        <v>-6813.5699999999988</v>
      </c>
      <c r="M213" s="85">
        <f t="shared" si="230"/>
        <v>-8201.27</v>
      </c>
      <c r="N213" s="85">
        <f t="shared" si="230"/>
        <v>-9294.84</v>
      </c>
      <c r="O213" s="85">
        <f t="shared" si="230"/>
        <v>-31008.209999999992</v>
      </c>
      <c r="P213" s="85">
        <f t="shared" si="230"/>
        <v>1944.46</v>
      </c>
      <c r="Q213" s="85">
        <f t="shared" si="230"/>
        <v>3173.96</v>
      </c>
      <c r="R213" s="85">
        <f t="shared" si="230"/>
        <v>4625.0200000000004</v>
      </c>
      <c r="S213" s="85">
        <f t="shared" si="230"/>
        <v>178.52</v>
      </c>
      <c r="T213" s="85">
        <f t="shared" si="230"/>
        <v>2820.55</v>
      </c>
      <c r="U213" s="85">
        <f t="shared" si="230"/>
        <v>1022.6800000000001</v>
      </c>
      <c r="V213" s="85">
        <f t="shared" si="230"/>
        <v>-7144.17</v>
      </c>
      <c r="W213" s="85">
        <f t="shared" si="230"/>
        <v>-3112.54</v>
      </c>
      <c r="X213" s="85">
        <f t="shared" si="230"/>
        <v>6934.0199999999995</v>
      </c>
      <c r="Y213" s="85">
        <f t="shared" si="230"/>
        <v>-3877.8700000000003</v>
      </c>
      <c r="Z213" s="85">
        <f t="shared" si="230"/>
        <v>25565.89</v>
      </c>
      <c r="AA213" s="85">
        <f t="shared" si="230"/>
        <v>1122.3099999999904</v>
      </c>
      <c r="AB213" s="85">
        <f t="shared" si="230"/>
        <v>1994.55</v>
      </c>
      <c r="AC213" s="85">
        <f t="shared" si="230"/>
        <v>1221.95</v>
      </c>
      <c r="AD213" s="85">
        <f t="shared" si="230"/>
        <v>20250.16</v>
      </c>
      <c r="AE213" s="85">
        <f t="shared" si="230"/>
        <v>1185.9000000000001</v>
      </c>
      <c r="AF213" s="85">
        <f t="shared" si="230"/>
        <v>-5083.96</v>
      </c>
      <c r="AG213" s="85">
        <f t="shared" si="230"/>
        <v>-418.40000000000003</v>
      </c>
      <c r="AH213" s="85">
        <f t="shared" si="230"/>
        <v>2712.9300000000003</v>
      </c>
      <c r="AI213" s="85">
        <f t="shared" si="230"/>
        <v>-768.38000000000011</v>
      </c>
      <c r="AJ213" s="85">
        <f t="shared" si="230"/>
        <v>2489.44</v>
      </c>
      <c r="AK213" s="85">
        <f t="shared" si="230"/>
        <v>-1062.25</v>
      </c>
      <c r="AL213" s="85">
        <f t="shared" si="230"/>
        <v>1165.76</v>
      </c>
      <c r="AM213" s="85">
        <f t="shared" si="230"/>
        <v>471.12</v>
      </c>
      <c r="AN213" s="129">
        <f>SUM(AN208:AN212)</f>
        <v>25281.12999999999</v>
      </c>
      <c r="AO213" s="85">
        <f t="shared" ref="AO213:AU213" si="231">SUM(AO208:AO212)</f>
        <v>976.23</v>
      </c>
      <c r="AP213" s="85">
        <f t="shared" si="231"/>
        <v>-3101.74</v>
      </c>
      <c r="AQ213" s="85">
        <f t="shared" si="231"/>
        <v>1293.5800000000002</v>
      </c>
      <c r="AR213" s="85">
        <f t="shared" si="231"/>
        <v>3790.1400000000003</v>
      </c>
      <c r="AS213" s="85">
        <f t="shared" si="231"/>
        <v>5049.46</v>
      </c>
      <c r="AT213" s="85">
        <f t="shared" si="231"/>
        <v>-682.16999999999985</v>
      </c>
      <c r="AU213" s="85">
        <f t="shared" si="231"/>
        <v>443.43</v>
      </c>
      <c r="AV213" s="85">
        <f t="shared" ref="AV213" si="232">SUM(AV208:AV212)</f>
        <v>0</v>
      </c>
      <c r="AW213" s="85">
        <f t="shared" ref="AW213" si="233">SUM(AW208:AW212)</f>
        <v>0</v>
      </c>
      <c r="AX213" s="85">
        <f t="shared" ref="AX213" si="234">SUM(AX208:AX212)</f>
        <v>0</v>
      </c>
      <c r="AY213" s="85">
        <f t="shared" ref="AY213" si="235">SUM(AY208:AY212)</f>
        <v>0</v>
      </c>
      <c r="AZ213" s="85">
        <f t="shared" ref="AZ213" si="236">SUM(AZ208:AZ212)</f>
        <v>0</v>
      </c>
      <c r="BA213" s="129">
        <f t="shared" ref="BA213" si="237">SUM(BA208:BA212)</f>
        <v>33050.05999999999</v>
      </c>
    </row>
    <row r="214" spans="1:53" x14ac:dyDescent="0.2">
      <c r="B214" s="3" t="s">
        <v>163</v>
      </c>
      <c r="C214" s="20">
        <v>-68234.289999999994</v>
      </c>
      <c r="D214" s="20">
        <v>0</v>
      </c>
      <c r="E214" s="20">
        <v>0</v>
      </c>
      <c r="F214" s="24">
        <v>0</v>
      </c>
      <c r="G214" s="24">
        <v>0</v>
      </c>
      <c r="H214" s="20">
        <v>0</v>
      </c>
      <c r="I214" s="20">
        <v>0</v>
      </c>
      <c r="J214" s="20">
        <v>0</v>
      </c>
      <c r="K214" s="20">
        <v>0</v>
      </c>
      <c r="L214" s="83">
        <v>0</v>
      </c>
      <c r="M214" s="83">
        <v>0</v>
      </c>
      <c r="N214" s="83">
        <v>0</v>
      </c>
      <c r="O214" s="83">
        <v>-68234.289999999994</v>
      </c>
      <c r="P214" s="83">
        <v>0</v>
      </c>
      <c r="Q214" s="83">
        <v>0</v>
      </c>
      <c r="R214" s="83">
        <v>0</v>
      </c>
      <c r="S214" s="83">
        <v>0</v>
      </c>
      <c r="T214" s="83">
        <v>0</v>
      </c>
      <c r="U214" s="83">
        <v>0</v>
      </c>
      <c r="V214" s="83">
        <v>0</v>
      </c>
      <c r="W214" s="83">
        <v>0</v>
      </c>
      <c r="X214" s="83">
        <v>0</v>
      </c>
      <c r="Y214" s="83">
        <v>0</v>
      </c>
      <c r="Z214" s="83">
        <v>0</v>
      </c>
      <c r="AA214" s="31">
        <f t="shared" ref="AA214:AA222" si="238">SUM(O214:Z214)</f>
        <v>-68234.289999999994</v>
      </c>
      <c r="AB214" s="83">
        <v>0</v>
      </c>
      <c r="AC214" s="83">
        <v>0</v>
      </c>
      <c r="AD214" s="83">
        <v>0</v>
      </c>
      <c r="AE214" s="83">
        <v>0</v>
      </c>
      <c r="AF214" s="83">
        <v>0</v>
      </c>
      <c r="AG214" s="83">
        <v>0</v>
      </c>
      <c r="AH214" s="83">
        <v>0</v>
      </c>
      <c r="AI214" s="83">
        <v>0</v>
      </c>
      <c r="AJ214" s="83">
        <v>0</v>
      </c>
      <c r="AK214" s="83">
        <v>0</v>
      </c>
      <c r="AL214" s="83">
        <v>0</v>
      </c>
      <c r="AM214" s="83">
        <v>0</v>
      </c>
      <c r="AN214" s="31">
        <f t="shared" ref="AN214:AN222" si="239">SUM(AA214:AM214)</f>
        <v>-68234.289999999994</v>
      </c>
      <c r="AO214" s="83">
        <v>0</v>
      </c>
      <c r="AP214" s="83">
        <v>0</v>
      </c>
      <c r="AQ214" s="83">
        <v>0</v>
      </c>
      <c r="AR214" s="83">
        <v>0</v>
      </c>
      <c r="AS214" s="83">
        <v>0</v>
      </c>
      <c r="AT214" s="83">
        <v>0</v>
      </c>
      <c r="AU214" s="83">
        <v>0</v>
      </c>
      <c r="BA214" s="31">
        <f t="shared" ref="BA214:BA222" si="240">SUM(AN214:AZ214)</f>
        <v>-68234.289999999994</v>
      </c>
    </row>
    <row r="215" spans="1:53" x14ac:dyDescent="0.2">
      <c r="B215" s="3" t="s">
        <v>164</v>
      </c>
      <c r="C215" s="20">
        <v>-313532.62</v>
      </c>
      <c r="D215" s="20">
        <v>5604.73</v>
      </c>
      <c r="E215" s="20">
        <v>-3997.18</v>
      </c>
      <c r="F215" s="24">
        <v>-7907.45</v>
      </c>
      <c r="G215" s="24">
        <v>6126.12</v>
      </c>
      <c r="H215" s="20">
        <v>1086.18</v>
      </c>
      <c r="I215" s="20">
        <v>1086.18</v>
      </c>
      <c r="J215" s="20">
        <v>2954.44</v>
      </c>
      <c r="K215" s="20">
        <v>5257.16</v>
      </c>
      <c r="L215" s="83">
        <v>6864.7</v>
      </c>
      <c r="M215" s="83">
        <v>-7603.3</v>
      </c>
      <c r="N215" s="83">
        <v>-825.51</v>
      </c>
      <c r="O215" s="83">
        <v>-298412.88</v>
      </c>
      <c r="P215" s="83">
        <v>-1520.64</v>
      </c>
      <c r="Q215" s="83">
        <v>2737.19</v>
      </c>
      <c r="R215" s="83">
        <v>6777.82</v>
      </c>
      <c r="S215" s="83">
        <v>-391.04</v>
      </c>
      <c r="T215" s="83">
        <v>2302.7199999999998</v>
      </c>
      <c r="U215" s="83">
        <v>-1607.56</v>
      </c>
      <c r="V215" s="83">
        <v>-14163.9</v>
      </c>
      <c r="W215" s="83">
        <v>-6082.65</v>
      </c>
      <c r="X215" s="83">
        <v>10253.620000000001</v>
      </c>
      <c r="Y215" s="83">
        <v>2606.86</v>
      </c>
      <c r="Z215" s="83">
        <v>5126.8100000000004</v>
      </c>
      <c r="AA215" s="31">
        <f t="shared" si="238"/>
        <v>-292373.65000000008</v>
      </c>
      <c r="AB215" s="83">
        <v>2563.4</v>
      </c>
      <c r="AC215" s="83">
        <v>4214.42</v>
      </c>
      <c r="AD215" s="83">
        <v>-130.36000000000001</v>
      </c>
      <c r="AE215" s="83">
        <v>1737.93</v>
      </c>
      <c r="AF215" s="83">
        <v>-6039.21</v>
      </c>
      <c r="AG215" s="83">
        <v>-1129.6600000000001</v>
      </c>
      <c r="AH215" s="83">
        <v>3693.05</v>
      </c>
      <c r="AI215" s="83">
        <v>43.45</v>
      </c>
      <c r="AJ215" s="83">
        <v>3475.8</v>
      </c>
      <c r="AK215" s="83">
        <v>-868.95</v>
      </c>
      <c r="AL215" s="83">
        <v>564.80999999999995</v>
      </c>
      <c r="AM215" s="83">
        <v>912.42</v>
      </c>
      <c r="AN215" s="31">
        <f t="shared" si="239"/>
        <v>-283336.5500000001</v>
      </c>
      <c r="AO215" s="83">
        <v>1173.08</v>
      </c>
      <c r="AP215" s="83">
        <v>-260.69</v>
      </c>
      <c r="AQ215" s="83">
        <v>3345.47</v>
      </c>
      <c r="AR215" s="83">
        <v>5604.73</v>
      </c>
      <c r="AS215" s="83">
        <v>7038.5</v>
      </c>
      <c r="AT215" s="83">
        <v>217.26</v>
      </c>
      <c r="AU215" s="83">
        <v>2128.91</v>
      </c>
      <c r="BA215" s="31">
        <f t="shared" si="240"/>
        <v>-264089.29000000015</v>
      </c>
    </row>
    <row r="216" spans="1:53" x14ac:dyDescent="0.2">
      <c r="B216" s="3" t="s">
        <v>165</v>
      </c>
      <c r="C216" s="20">
        <v>-306921.40999999997</v>
      </c>
      <c r="D216" s="20">
        <v>-1012.37</v>
      </c>
      <c r="E216" s="20">
        <v>-11401.8</v>
      </c>
      <c r="F216" s="24">
        <v>-16070.82</v>
      </c>
      <c r="G216" s="24">
        <v>-339.06</v>
      </c>
      <c r="H216" s="20">
        <v>-6402.81</v>
      </c>
      <c r="I216" s="20">
        <v>-6412.29</v>
      </c>
      <c r="J216" s="20">
        <v>-4034.31</v>
      </c>
      <c r="K216" s="20">
        <v>-982.77</v>
      </c>
      <c r="L216" s="83">
        <v>1283.04</v>
      </c>
      <c r="M216" s="83">
        <v>-17306.23</v>
      </c>
      <c r="N216" s="83">
        <v>-8705.44</v>
      </c>
      <c r="O216" s="83">
        <v>-377266.88</v>
      </c>
      <c r="P216" s="83">
        <v>-9714.16</v>
      </c>
      <c r="Q216" s="83">
        <v>-3893.49</v>
      </c>
      <c r="R216" s="83">
        <v>2101.1799999999998</v>
      </c>
      <c r="S216" s="83">
        <v>-8039.37</v>
      </c>
      <c r="T216" s="83">
        <v>-4031.33</v>
      </c>
      <c r="U216" s="83">
        <v>-9885.66</v>
      </c>
      <c r="V216" s="83">
        <v>-29512.2</v>
      </c>
      <c r="W216" s="83">
        <v>-17481.349999999999</v>
      </c>
      <c r="X216" s="83">
        <v>8649.8700000000008</v>
      </c>
      <c r="Y216" s="83">
        <v>-3309.95</v>
      </c>
      <c r="Z216" s="83">
        <v>1032.4000000000001</v>
      </c>
      <c r="AA216" s="31">
        <f t="shared" si="238"/>
        <v>-451350.93999999994</v>
      </c>
      <c r="AB216" s="83">
        <v>-3125.44</v>
      </c>
      <c r="AC216" s="83">
        <v>-197.76</v>
      </c>
      <c r="AD216" s="83">
        <v>-7573.06</v>
      </c>
      <c r="AE216" s="83">
        <v>-4221.1099999999997</v>
      </c>
      <c r="AF216" s="83">
        <v>-18138.2</v>
      </c>
      <c r="AG216" s="83">
        <v>-9460.5</v>
      </c>
      <c r="AH216" s="83">
        <v>-349.83</v>
      </c>
      <c r="AI216" s="83">
        <v>-7028.43</v>
      </c>
      <c r="AJ216" s="83">
        <v>-449.45</v>
      </c>
      <c r="AK216" s="83">
        <v>-8655.4</v>
      </c>
      <c r="AL216" s="83">
        <v>-5772.96</v>
      </c>
      <c r="AM216" s="83">
        <v>-5017.32</v>
      </c>
      <c r="AN216" s="31">
        <f t="shared" si="239"/>
        <v>-521340.4</v>
      </c>
      <c r="AO216" s="83">
        <v>-4578.2</v>
      </c>
      <c r="AP216" s="83">
        <v>-7417.31</v>
      </c>
      <c r="AQ216" s="83">
        <v>-28.13</v>
      </c>
      <c r="AR216" s="83">
        <v>4918.87</v>
      </c>
      <c r="AS216" s="83">
        <v>8273.01</v>
      </c>
      <c r="AT216" s="83">
        <v>-5998.35</v>
      </c>
      <c r="AU216" s="83">
        <v>-1851.12</v>
      </c>
      <c r="BA216" s="31">
        <f t="shared" si="240"/>
        <v>-528021.63</v>
      </c>
    </row>
    <row r="217" spans="1:53" x14ac:dyDescent="0.2">
      <c r="B217" s="3" t="s">
        <v>166</v>
      </c>
      <c r="C217" s="20">
        <v>-72754.36</v>
      </c>
      <c r="D217" s="20">
        <v>-8812.39</v>
      </c>
      <c r="E217" s="20">
        <v>116925.6</v>
      </c>
      <c r="F217" s="24">
        <v>-12398.14</v>
      </c>
      <c r="G217" s="24">
        <v>-13346.22</v>
      </c>
      <c r="H217" s="20">
        <v>-12983.45</v>
      </c>
      <c r="I217" s="20">
        <v>-13263.85</v>
      </c>
      <c r="J217" s="20">
        <v>-12803.78</v>
      </c>
      <c r="K217" s="20">
        <v>-12152.53</v>
      </c>
      <c r="L217" s="83">
        <v>-11433.73</v>
      </c>
      <c r="M217" s="83">
        <v>-5583.9</v>
      </c>
      <c r="N217" s="83">
        <v>-13503.7</v>
      </c>
      <c r="O217" s="83">
        <v>-83108.61</v>
      </c>
      <c r="P217" s="83">
        <v>-12408.85</v>
      </c>
      <c r="Q217" s="83">
        <v>134917.53</v>
      </c>
      <c r="R217" s="83">
        <v>-13787.5</v>
      </c>
      <c r="S217" s="83">
        <v>-13252.97</v>
      </c>
      <c r="T217" s="83">
        <v>-13121.22</v>
      </c>
      <c r="U217" s="83">
        <v>-13379.21</v>
      </c>
      <c r="V217" s="83">
        <v>-15511.1</v>
      </c>
      <c r="W217" s="83">
        <v>-15172.18</v>
      </c>
      <c r="X217" s="83">
        <v>-11314.68</v>
      </c>
      <c r="Y217" s="83">
        <v>-2333.0500000000002</v>
      </c>
      <c r="Z217" s="83">
        <v>-11701.28</v>
      </c>
      <c r="AA217" s="31">
        <f t="shared" si="238"/>
        <v>-70173.12000000001</v>
      </c>
      <c r="AB217" s="83">
        <v>-11976.8</v>
      </c>
      <c r="AC217" s="83">
        <v>-9192.33</v>
      </c>
      <c r="AD217" s="83">
        <v>129383.71</v>
      </c>
      <c r="AE217" s="83">
        <v>-12944.1</v>
      </c>
      <c r="AF217" s="83">
        <v>-12825.01</v>
      </c>
      <c r="AG217" s="83">
        <v>-13092.95</v>
      </c>
      <c r="AH217" s="83">
        <v>-12216.66</v>
      </c>
      <c r="AI217" s="83">
        <v>-12410.14</v>
      </c>
      <c r="AJ217" s="83">
        <v>-11702.11</v>
      </c>
      <c r="AK217" s="83">
        <v>-12406.98</v>
      </c>
      <c r="AL217" s="83">
        <v>-2865.09</v>
      </c>
      <c r="AM217" s="83">
        <v>-11677.5</v>
      </c>
      <c r="AN217" s="31">
        <f t="shared" si="239"/>
        <v>-64099.08</v>
      </c>
      <c r="AO217" s="83">
        <v>-11400.44</v>
      </c>
      <c r="AP217" s="83">
        <v>-10620.51</v>
      </c>
      <c r="AQ217" s="83">
        <v>123237.22</v>
      </c>
      <c r="AR217" s="83">
        <v>-12205.62</v>
      </c>
      <c r="AS217" s="83">
        <v>-11661.03</v>
      </c>
      <c r="AT217" s="83">
        <v>-11282.68</v>
      </c>
      <c r="AU217" s="83">
        <v>-11138.22</v>
      </c>
      <c r="BA217" s="31">
        <f t="shared" si="240"/>
        <v>-9170.36</v>
      </c>
    </row>
    <row r="218" spans="1:53" x14ac:dyDescent="0.2">
      <c r="B218" s="3" t="s">
        <v>167</v>
      </c>
      <c r="C218" s="20">
        <v>-584201.24</v>
      </c>
      <c r="D218" s="20">
        <v>5636.66</v>
      </c>
      <c r="E218" s="20">
        <v>-27803.279999999999</v>
      </c>
      <c r="F218" s="24">
        <v>204552.04</v>
      </c>
      <c r="G218" s="24">
        <v>3324.89</v>
      </c>
      <c r="H218" s="20">
        <v>-10912.17</v>
      </c>
      <c r="I218" s="20">
        <v>-11567.58</v>
      </c>
      <c r="J218" s="20">
        <v>-5669.65</v>
      </c>
      <c r="K218" s="20">
        <v>1896.27</v>
      </c>
      <c r="L218" s="83">
        <v>7603.04</v>
      </c>
      <c r="M218" s="83">
        <v>-38619.550000000003</v>
      </c>
      <c r="N218" s="83">
        <v>-17096.46</v>
      </c>
      <c r="O218" s="83">
        <v>-465712.5</v>
      </c>
      <c r="P218" s="83">
        <v>-21668.94</v>
      </c>
      <c r="Q218" s="83">
        <v>-5791.01</v>
      </c>
      <c r="R218" s="83">
        <v>168869.79</v>
      </c>
      <c r="S218" s="83">
        <v>-15711.86</v>
      </c>
      <c r="T218" s="83">
        <v>-7891.75</v>
      </c>
      <c r="U218" s="83">
        <v>-19776.62</v>
      </c>
      <c r="V218" s="83">
        <v>-59358.11</v>
      </c>
      <c r="W218" s="83">
        <v>-35093.360000000001</v>
      </c>
      <c r="X218" s="83">
        <v>17527.88</v>
      </c>
      <c r="Y218" s="83">
        <v>-6564.23</v>
      </c>
      <c r="Z218" s="83">
        <v>2177.6799999999998</v>
      </c>
      <c r="AA218" s="31">
        <f t="shared" si="238"/>
        <v>-448993.02999999997</v>
      </c>
      <c r="AB218" s="83">
        <v>-5862.16</v>
      </c>
      <c r="AC218" s="83">
        <v>-1274.6099999999999</v>
      </c>
      <c r="AD218" s="83">
        <v>-15253.5</v>
      </c>
      <c r="AE218" s="83">
        <v>157608.18</v>
      </c>
      <c r="AF218" s="83">
        <v>-32151.759999999998</v>
      </c>
      <c r="AG218" s="83">
        <v>-18346.099999999999</v>
      </c>
      <c r="AH218" s="83">
        <v>-2914.33</v>
      </c>
      <c r="AI218" s="83">
        <v>-14083.57</v>
      </c>
      <c r="AJ218" s="83">
        <v>-3015.37</v>
      </c>
      <c r="AK218" s="83">
        <v>-16895.63</v>
      </c>
      <c r="AL218" s="83">
        <v>-11923.54</v>
      </c>
      <c r="AM218" s="83">
        <v>-10688.06</v>
      </c>
      <c r="AN218" s="31">
        <f t="shared" si="239"/>
        <v>-423793.47999999992</v>
      </c>
      <c r="AO218" s="83">
        <v>-9592.1299999999992</v>
      </c>
      <c r="AP218" s="83">
        <v>-16033.08</v>
      </c>
      <c r="AQ218" s="83">
        <v>-2314</v>
      </c>
      <c r="AR218" s="83">
        <v>6243.8</v>
      </c>
      <c r="AS218" s="83">
        <v>79326.91</v>
      </c>
      <c r="AT218" s="83">
        <v>-12296.93</v>
      </c>
      <c r="AU218" s="83">
        <v>-5585.08</v>
      </c>
      <c r="BA218" s="31">
        <f t="shared" si="240"/>
        <v>-384043.99</v>
      </c>
    </row>
    <row r="219" spans="1:53" x14ac:dyDescent="0.2">
      <c r="B219" s="3" t="s">
        <v>168</v>
      </c>
      <c r="C219" s="20">
        <v>-51659.18</v>
      </c>
      <c r="D219" s="20">
        <v>989.05</v>
      </c>
      <c r="E219" s="20">
        <v>-705.37</v>
      </c>
      <c r="F219" s="24">
        <v>-1395.39</v>
      </c>
      <c r="G219" s="24">
        <v>1081.04</v>
      </c>
      <c r="H219" s="20">
        <v>191.67</v>
      </c>
      <c r="I219" s="20">
        <v>191.68</v>
      </c>
      <c r="J219" s="20">
        <v>521.34</v>
      </c>
      <c r="K219" s="20">
        <v>927.72</v>
      </c>
      <c r="L219" s="83">
        <v>1211.3699999999999</v>
      </c>
      <c r="M219" s="83">
        <v>-1341.72</v>
      </c>
      <c r="N219" s="83">
        <v>-145.66</v>
      </c>
      <c r="O219" s="83">
        <v>-48991.08</v>
      </c>
      <c r="P219" s="83">
        <v>-268.35000000000002</v>
      </c>
      <c r="Q219" s="83">
        <v>483.02</v>
      </c>
      <c r="R219" s="83">
        <v>1196.04</v>
      </c>
      <c r="S219" s="83">
        <v>-68.989999999999995</v>
      </c>
      <c r="T219" s="83">
        <v>406.35</v>
      </c>
      <c r="U219" s="83">
        <v>-283.68</v>
      </c>
      <c r="V219" s="83">
        <v>-2499.4299999999998</v>
      </c>
      <c r="W219" s="83">
        <v>-1073.3699999999999</v>
      </c>
      <c r="X219" s="83">
        <v>1809.4</v>
      </c>
      <c r="Y219" s="83">
        <v>460</v>
      </c>
      <c r="Z219" s="83">
        <v>904.72</v>
      </c>
      <c r="AA219" s="31">
        <f t="shared" si="238"/>
        <v>-47925.37</v>
      </c>
      <c r="AB219" s="83">
        <v>452.34</v>
      </c>
      <c r="AC219" s="83">
        <v>743.7</v>
      </c>
      <c r="AD219" s="83">
        <v>-22.99</v>
      </c>
      <c r="AE219" s="83">
        <v>306.67</v>
      </c>
      <c r="AF219" s="83">
        <v>-1065.71</v>
      </c>
      <c r="AG219" s="83">
        <v>-199.35</v>
      </c>
      <c r="AH219" s="83">
        <v>651.71</v>
      </c>
      <c r="AI219" s="83">
        <v>7.65</v>
      </c>
      <c r="AJ219" s="83">
        <v>613.36</v>
      </c>
      <c r="AK219" s="83">
        <v>-153.34</v>
      </c>
      <c r="AL219" s="83">
        <v>99.67</v>
      </c>
      <c r="AM219" s="83">
        <v>161.02000000000001</v>
      </c>
      <c r="AN219" s="31">
        <f t="shared" si="239"/>
        <v>-46330.640000000007</v>
      </c>
      <c r="AO219" s="83">
        <v>207</v>
      </c>
      <c r="AP219" s="83">
        <v>-46</v>
      </c>
      <c r="AQ219" s="83">
        <v>590.35</v>
      </c>
      <c r="AR219" s="83">
        <v>989.03</v>
      </c>
      <c r="AS219" s="83">
        <v>1242.06</v>
      </c>
      <c r="AT219" s="83">
        <v>38.33</v>
      </c>
      <c r="AU219" s="83">
        <v>375.68</v>
      </c>
      <c r="BA219" s="31">
        <f t="shared" si="240"/>
        <v>-42934.19000000001</v>
      </c>
    </row>
    <row r="220" spans="1:53" x14ac:dyDescent="0.2">
      <c r="B220" s="3" t="s">
        <v>169</v>
      </c>
      <c r="C220" s="20">
        <v>-0.01</v>
      </c>
      <c r="D220" s="20">
        <v>-219.32</v>
      </c>
      <c r="E220" s="20">
        <v>-3.07</v>
      </c>
      <c r="F220" s="24">
        <v>-6.1</v>
      </c>
      <c r="G220" s="24">
        <v>4.72</v>
      </c>
      <c r="H220" s="20">
        <v>2.5099999999999998</v>
      </c>
      <c r="I220" s="20">
        <v>0.81</v>
      </c>
      <c r="J220" s="20">
        <v>-22.33</v>
      </c>
      <c r="K220" s="20">
        <v>4.47</v>
      </c>
      <c r="L220" s="83">
        <v>5.86</v>
      </c>
      <c r="M220" s="83">
        <v>-6.48</v>
      </c>
      <c r="N220" s="83">
        <v>-0.71</v>
      </c>
      <c r="O220" s="83">
        <v>-232.55</v>
      </c>
      <c r="P220" s="83">
        <v>-1.28</v>
      </c>
      <c r="Q220" s="83">
        <v>2.29</v>
      </c>
      <c r="R220" s="83">
        <v>5.74</v>
      </c>
      <c r="S220" s="83">
        <v>-0.32</v>
      </c>
      <c r="T220" s="83">
        <v>1.94</v>
      </c>
      <c r="U220" s="83">
        <v>-1.36</v>
      </c>
      <c r="V220" s="83">
        <v>-8.75</v>
      </c>
      <c r="W220" s="83">
        <v>-5.0599999999999996</v>
      </c>
      <c r="X220" s="83">
        <v>11.73</v>
      </c>
      <c r="Y220" s="83">
        <v>2.16</v>
      </c>
      <c r="Z220" s="83">
        <v>5.75</v>
      </c>
      <c r="AA220" s="31">
        <f t="shared" si="238"/>
        <v>-219.71000000000004</v>
      </c>
      <c r="AB220" s="83">
        <v>-8.6300000000000008</v>
      </c>
      <c r="AC220" s="83">
        <v>17.190000000000001</v>
      </c>
      <c r="AD220" s="83">
        <v>-6.15</v>
      </c>
      <c r="AE220" s="83">
        <v>1.44</v>
      </c>
      <c r="AF220" s="83">
        <v>-224.32</v>
      </c>
      <c r="AG220" s="83">
        <v>1.2</v>
      </c>
      <c r="AH220" s="83">
        <v>226.32</v>
      </c>
      <c r="AI220" s="83">
        <v>0.03</v>
      </c>
      <c r="AJ220" s="83">
        <v>2.8</v>
      </c>
      <c r="AK220" s="83">
        <v>0.8</v>
      </c>
      <c r="AL220" s="83">
        <v>1.97</v>
      </c>
      <c r="AM220" s="83">
        <v>207.05</v>
      </c>
      <c r="AN220" s="31">
        <f t="shared" si="239"/>
        <v>-1.0000000000047748E-2</v>
      </c>
      <c r="AO220" s="83">
        <v>-205.41</v>
      </c>
      <c r="AP220" s="83">
        <v>-116.41</v>
      </c>
      <c r="AQ220" s="83">
        <v>321.83999999999997</v>
      </c>
      <c r="AR220" s="83">
        <v>-306.12</v>
      </c>
      <c r="AS220" s="83">
        <v>-286.63</v>
      </c>
      <c r="AT220" s="83">
        <v>302.22000000000003</v>
      </c>
      <c r="AU220" s="83">
        <v>4.76</v>
      </c>
      <c r="BA220" s="31">
        <f t="shared" si="240"/>
        <v>-285.76</v>
      </c>
    </row>
    <row r="221" spans="1:53" x14ac:dyDescent="0.2">
      <c r="B221" s="3" t="s">
        <v>170</v>
      </c>
      <c r="C221" s="20">
        <v>-296758.81</v>
      </c>
      <c r="D221" s="20">
        <v>5338.78</v>
      </c>
      <c r="E221" s="20">
        <v>-3807.52</v>
      </c>
      <c r="F221" s="24">
        <v>-7532.23</v>
      </c>
      <c r="G221" s="24">
        <v>5835.41</v>
      </c>
      <c r="H221" s="20">
        <v>1034.6500000000001</v>
      </c>
      <c r="I221" s="20">
        <v>1034.6500000000001</v>
      </c>
      <c r="J221" s="20">
        <v>2814.24</v>
      </c>
      <c r="K221" s="20">
        <v>5007.6899999999996</v>
      </c>
      <c r="L221" s="83">
        <v>6538.98</v>
      </c>
      <c r="M221" s="83">
        <v>-7242.55</v>
      </c>
      <c r="N221" s="83">
        <v>-786.32</v>
      </c>
      <c r="O221" s="83">
        <v>-282356.53000000003</v>
      </c>
      <c r="P221" s="83">
        <v>-1448.51</v>
      </c>
      <c r="Q221" s="83">
        <v>2607.3200000000002</v>
      </c>
      <c r="R221" s="83">
        <v>6456.21</v>
      </c>
      <c r="S221" s="83">
        <v>-372.47</v>
      </c>
      <c r="T221" s="83">
        <v>2193.44</v>
      </c>
      <c r="U221" s="83">
        <v>-1531.28</v>
      </c>
      <c r="V221" s="83">
        <v>-13491.81</v>
      </c>
      <c r="W221" s="83">
        <v>-5794.02</v>
      </c>
      <c r="X221" s="83">
        <v>9767.08</v>
      </c>
      <c r="Y221" s="83">
        <v>2483.15</v>
      </c>
      <c r="Z221" s="83">
        <v>4883.54</v>
      </c>
      <c r="AA221" s="31">
        <f t="shared" si="238"/>
        <v>-276603.88</v>
      </c>
      <c r="AB221" s="83">
        <v>2441.77</v>
      </c>
      <c r="AC221" s="83">
        <v>4014.43</v>
      </c>
      <c r="AD221" s="83">
        <v>-124.15</v>
      </c>
      <c r="AE221" s="83">
        <v>1655.43</v>
      </c>
      <c r="AF221" s="83">
        <v>-5752.65</v>
      </c>
      <c r="AG221" s="83">
        <v>-1076.01</v>
      </c>
      <c r="AH221" s="83">
        <v>3517.78</v>
      </c>
      <c r="AI221" s="83">
        <v>41.4</v>
      </c>
      <c r="AJ221" s="83">
        <v>3310.87</v>
      </c>
      <c r="AK221" s="83">
        <v>-827.73</v>
      </c>
      <c r="AL221" s="83">
        <v>538.01</v>
      </c>
      <c r="AM221" s="83">
        <v>869.11</v>
      </c>
      <c r="AN221" s="31">
        <f t="shared" si="239"/>
        <v>-267995.62</v>
      </c>
      <c r="AO221" s="83">
        <v>1117.42</v>
      </c>
      <c r="AP221" s="83">
        <v>-248.3</v>
      </c>
      <c r="AQ221" s="83">
        <v>3186.71</v>
      </c>
      <c r="AR221" s="83">
        <v>5338.78</v>
      </c>
      <c r="AS221" s="83">
        <v>6704.51</v>
      </c>
      <c r="AT221" s="83">
        <v>206.94</v>
      </c>
      <c r="AU221" s="83">
        <v>2027.89</v>
      </c>
      <c r="BA221" s="31">
        <f t="shared" si="240"/>
        <v>-249661.66999999995</v>
      </c>
    </row>
    <row r="222" spans="1:53" x14ac:dyDescent="0.2">
      <c r="B222" s="3" t="s">
        <v>171</v>
      </c>
      <c r="C222" s="20">
        <v>-249095.3</v>
      </c>
      <c r="D222" s="20">
        <v>4462.7700000000004</v>
      </c>
      <c r="E222" s="20">
        <v>-3182.76</v>
      </c>
      <c r="F222" s="24">
        <v>-6296.32</v>
      </c>
      <c r="G222" s="24">
        <v>4877.93</v>
      </c>
      <c r="H222" s="20">
        <v>864.87</v>
      </c>
      <c r="I222" s="20">
        <v>864.89</v>
      </c>
      <c r="J222" s="20">
        <v>2352.4699999999998</v>
      </c>
      <c r="K222" s="20">
        <v>4186.0200000000004</v>
      </c>
      <c r="L222" s="83">
        <v>5466.04</v>
      </c>
      <c r="M222" s="83">
        <v>-6054.16</v>
      </c>
      <c r="N222" s="83">
        <v>-657.3</v>
      </c>
      <c r="O222" s="83">
        <v>-237056.19</v>
      </c>
      <c r="P222" s="83">
        <v>-1210.82</v>
      </c>
      <c r="Q222" s="83">
        <v>2179.5100000000002</v>
      </c>
      <c r="R222" s="83">
        <v>5396.85</v>
      </c>
      <c r="S222" s="83">
        <v>-311.37</v>
      </c>
      <c r="T222" s="83">
        <v>1833.55</v>
      </c>
      <c r="U222" s="83">
        <v>-1280.01</v>
      </c>
      <c r="V222" s="83">
        <v>-11278.04</v>
      </c>
      <c r="W222" s="83">
        <v>-4843.3500000000004</v>
      </c>
      <c r="X222" s="83">
        <v>8164.48</v>
      </c>
      <c r="Y222" s="83">
        <v>2075.71</v>
      </c>
      <c r="Z222" s="83">
        <v>4082.23</v>
      </c>
      <c r="AA222" s="31">
        <f t="shared" si="238"/>
        <v>-232247.45</v>
      </c>
      <c r="AB222" s="83">
        <v>2041.12</v>
      </c>
      <c r="AC222" s="83">
        <v>3355.75</v>
      </c>
      <c r="AD222" s="83">
        <v>-103.79</v>
      </c>
      <c r="AE222" s="83">
        <v>1383.8</v>
      </c>
      <c r="AF222" s="83">
        <v>-4808.7299999999996</v>
      </c>
      <c r="AG222" s="83">
        <v>-899.48</v>
      </c>
      <c r="AH222" s="83">
        <v>2940.59</v>
      </c>
      <c r="AI222" s="83">
        <v>34.61</v>
      </c>
      <c r="AJ222" s="83">
        <v>2767.61</v>
      </c>
      <c r="AK222" s="83">
        <v>-691.9</v>
      </c>
      <c r="AL222" s="83">
        <v>449.73</v>
      </c>
      <c r="AM222" s="83">
        <v>726.5</v>
      </c>
      <c r="AN222" s="31">
        <f t="shared" si="239"/>
        <v>-225051.64000000007</v>
      </c>
      <c r="AO222" s="83">
        <v>934.07</v>
      </c>
      <c r="AP222" s="83">
        <v>-207.56</v>
      </c>
      <c r="AQ222" s="83">
        <v>2663.83</v>
      </c>
      <c r="AR222" s="83">
        <v>4462.7700000000004</v>
      </c>
      <c r="AS222" s="83">
        <v>5604.43</v>
      </c>
      <c r="AT222" s="83">
        <v>172.97</v>
      </c>
      <c r="AU222" s="83">
        <v>1695.17</v>
      </c>
      <c r="BA222" s="31">
        <f t="shared" si="240"/>
        <v>-209725.96000000008</v>
      </c>
    </row>
    <row r="223" spans="1:53" s="34" customFormat="1" ht="12" x14ac:dyDescent="0.2">
      <c r="A223" s="116"/>
      <c r="B223" s="35" t="s">
        <v>1596</v>
      </c>
      <c r="C223" s="36">
        <f t="shared" ref="C223:AM223" si="241">SUM(C214:C222)</f>
        <v>-1943157.22</v>
      </c>
      <c r="D223" s="36">
        <f t="shared" si="241"/>
        <v>11987.91</v>
      </c>
      <c r="E223" s="36">
        <f t="shared" si="241"/>
        <v>66024.62000000001</v>
      </c>
      <c r="F223" s="36">
        <f t="shared" si="241"/>
        <v>152945.58999999997</v>
      </c>
      <c r="G223" s="36">
        <f t="shared" si="241"/>
        <v>7564.83</v>
      </c>
      <c r="H223" s="36">
        <f t="shared" si="241"/>
        <v>-27118.550000000003</v>
      </c>
      <c r="I223" s="36">
        <f t="shared" si="241"/>
        <v>-28065.51</v>
      </c>
      <c r="J223" s="36">
        <f t="shared" si="241"/>
        <v>-13887.580000000005</v>
      </c>
      <c r="K223" s="36">
        <f t="shared" si="241"/>
        <v>4144.03</v>
      </c>
      <c r="L223" s="85">
        <f t="shared" si="241"/>
        <v>17539.3</v>
      </c>
      <c r="M223" s="85">
        <f t="shared" si="241"/>
        <v>-83757.890000000014</v>
      </c>
      <c r="N223" s="85">
        <f t="shared" si="241"/>
        <v>-41721.100000000006</v>
      </c>
      <c r="O223" s="85">
        <f t="shared" si="241"/>
        <v>-1861371.5100000002</v>
      </c>
      <c r="P223" s="85">
        <f t="shared" si="241"/>
        <v>-48241.549999999996</v>
      </c>
      <c r="Q223" s="85">
        <f t="shared" si="241"/>
        <v>133242.36000000002</v>
      </c>
      <c r="R223" s="85">
        <f t="shared" si="241"/>
        <v>177016.13</v>
      </c>
      <c r="S223" s="85">
        <f t="shared" si="241"/>
        <v>-38148.39</v>
      </c>
      <c r="T223" s="85">
        <f t="shared" si="241"/>
        <v>-18306.300000000007</v>
      </c>
      <c r="U223" s="85">
        <f t="shared" si="241"/>
        <v>-47745.380000000005</v>
      </c>
      <c r="V223" s="85">
        <f t="shared" si="241"/>
        <v>-145823.34</v>
      </c>
      <c r="W223" s="85">
        <f t="shared" si="241"/>
        <v>-85545.340000000011</v>
      </c>
      <c r="X223" s="85">
        <f t="shared" si="241"/>
        <v>44869.380000000005</v>
      </c>
      <c r="Y223" s="85">
        <f t="shared" si="241"/>
        <v>-4579.3499999999995</v>
      </c>
      <c r="Z223" s="85">
        <f t="shared" si="241"/>
        <v>6511.85</v>
      </c>
      <c r="AA223" s="85">
        <f t="shared" si="241"/>
        <v>-1888121.4400000002</v>
      </c>
      <c r="AB223" s="85">
        <f t="shared" si="241"/>
        <v>-13474.400000000001</v>
      </c>
      <c r="AC223" s="85">
        <f t="shared" si="241"/>
        <v>1680.7899999999995</v>
      </c>
      <c r="AD223" s="85">
        <f t="shared" si="241"/>
        <v>106169.71000000002</v>
      </c>
      <c r="AE223" s="85">
        <f t="shared" si="241"/>
        <v>145528.24</v>
      </c>
      <c r="AF223" s="85">
        <f t="shared" si="241"/>
        <v>-81005.59</v>
      </c>
      <c r="AG223" s="85">
        <f t="shared" si="241"/>
        <v>-44202.850000000006</v>
      </c>
      <c r="AH223" s="85">
        <f t="shared" si="241"/>
        <v>-4451.3699999999972</v>
      </c>
      <c r="AI223" s="85">
        <f t="shared" si="241"/>
        <v>-33395</v>
      </c>
      <c r="AJ223" s="85">
        <f t="shared" si="241"/>
        <v>-4996.4900000000016</v>
      </c>
      <c r="AK223" s="85">
        <f t="shared" si="241"/>
        <v>-40499.130000000005</v>
      </c>
      <c r="AL223" s="85">
        <f t="shared" si="241"/>
        <v>-18907.400000000001</v>
      </c>
      <c r="AM223" s="85">
        <f t="shared" si="241"/>
        <v>-24506.78</v>
      </c>
      <c r="AN223" s="129">
        <f>SUM(AN214:AN222)</f>
        <v>-1900181.71</v>
      </c>
      <c r="AO223" s="85">
        <f t="shared" ref="AO223:AU223" si="242">SUM(AO214:AO222)</f>
        <v>-22344.61</v>
      </c>
      <c r="AP223" s="85">
        <f t="shared" si="242"/>
        <v>-34949.860000000008</v>
      </c>
      <c r="AQ223" s="85">
        <f t="shared" si="242"/>
        <v>131003.29000000001</v>
      </c>
      <c r="AR223" s="85">
        <f t="shared" si="242"/>
        <v>15046.239999999998</v>
      </c>
      <c r="AS223" s="85">
        <f t="shared" si="242"/>
        <v>96241.75999999998</v>
      </c>
      <c r="AT223" s="85">
        <f t="shared" si="242"/>
        <v>-28640.239999999998</v>
      </c>
      <c r="AU223" s="85">
        <f t="shared" si="242"/>
        <v>-12342.010000000002</v>
      </c>
      <c r="AV223" s="85">
        <f t="shared" ref="AV223" si="243">SUM(AV214:AV222)</f>
        <v>0</v>
      </c>
      <c r="AW223" s="85">
        <f t="shared" ref="AW223" si="244">SUM(AW214:AW222)</f>
        <v>0</v>
      </c>
      <c r="AX223" s="85">
        <f t="shared" ref="AX223" si="245">SUM(AX214:AX222)</f>
        <v>0</v>
      </c>
      <c r="AY223" s="85">
        <f t="shared" ref="AY223" si="246">SUM(AY214:AY222)</f>
        <v>0</v>
      </c>
      <c r="AZ223" s="85">
        <f t="shared" ref="AZ223" si="247">SUM(AZ214:AZ222)</f>
        <v>0</v>
      </c>
      <c r="BA223" s="129">
        <f t="shared" ref="BA223" si="248">SUM(BA214:BA222)</f>
        <v>-1756167.1400000001</v>
      </c>
    </row>
    <row r="224" spans="1:53" x14ac:dyDescent="0.2">
      <c r="B224" s="3" t="s">
        <v>173</v>
      </c>
      <c r="C224" s="20">
        <v>-873.56</v>
      </c>
      <c r="D224" s="20">
        <v>35.549999999999997</v>
      </c>
      <c r="E224" s="20">
        <v>-264.26</v>
      </c>
      <c r="F224" s="24">
        <v>-51.73</v>
      </c>
      <c r="G224" s="24">
        <v>300.57</v>
      </c>
      <c r="H224" s="20">
        <v>113.13</v>
      </c>
      <c r="I224" s="20">
        <v>92.43</v>
      </c>
      <c r="J224" s="20">
        <v>128.07</v>
      </c>
      <c r="K224" s="20">
        <v>-119.56</v>
      </c>
      <c r="L224" s="83">
        <v>111.62</v>
      </c>
      <c r="M224" s="83">
        <v>101.23</v>
      </c>
      <c r="N224" s="83">
        <v>18.8</v>
      </c>
      <c r="O224" s="83">
        <v>-378.89</v>
      </c>
      <c r="P224" s="83">
        <v>-202.42</v>
      </c>
      <c r="Q224" s="83">
        <v>-930.55</v>
      </c>
      <c r="R224" s="83">
        <v>101.65</v>
      </c>
      <c r="S224" s="83">
        <v>131.47</v>
      </c>
      <c r="T224" s="83">
        <v>127.19</v>
      </c>
      <c r="U224" s="83">
        <v>-109.68</v>
      </c>
      <c r="V224" s="83">
        <v>134.44</v>
      </c>
      <c r="W224" s="83">
        <v>320.54000000000002</v>
      </c>
      <c r="X224" s="83">
        <v>137.27000000000001</v>
      </c>
      <c r="Y224" s="83">
        <v>-42.52</v>
      </c>
      <c r="Z224" s="83">
        <v>116.15</v>
      </c>
      <c r="AA224" s="31">
        <f>SUM(O224:Z224)</f>
        <v>-595.3499999999998</v>
      </c>
      <c r="AB224" s="83">
        <v>22373.06</v>
      </c>
      <c r="AC224" s="83">
        <v>-1046.75</v>
      </c>
      <c r="AD224" s="83">
        <v>-1688.34</v>
      </c>
      <c r="AE224" s="83">
        <v>6.97</v>
      </c>
      <c r="AF224" s="83">
        <v>-1234.94</v>
      </c>
      <c r="AG224" s="83">
        <v>-1610.41</v>
      </c>
      <c r="AH224" s="83">
        <v>-1019.94</v>
      </c>
      <c r="AI224" s="83">
        <v>-988.57</v>
      </c>
      <c r="AJ224" s="83">
        <v>-964.2</v>
      </c>
      <c r="AK224" s="83">
        <v>-949.53</v>
      </c>
      <c r="AL224" s="83">
        <v>-902.15</v>
      </c>
      <c r="AM224" s="83">
        <v>-1173.53</v>
      </c>
      <c r="AN224" s="31">
        <f>SUM(AA224:AM224)</f>
        <v>10206.320000000003</v>
      </c>
      <c r="AO224" s="83">
        <v>277.77</v>
      </c>
      <c r="AP224" s="83">
        <v>-977.92</v>
      </c>
      <c r="AQ224" s="83">
        <v>-779.19</v>
      </c>
      <c r="AR224" s="83">
        <v>-893.91</v>
      </c>
      <c r="AS224" s="83">
        <v>-695.98</v>
      </c>
      <c r="AT224" s="83">
        <v>-520.42999999999995</v>
      </c>
      <c r="AU224" s="83">
        <v>-691.44</v>
      </c>
      <c r="BA224" s="31">
        <f t="shared" ref="BA224:BA225" si="249">SUM(AN224:AZ224)</f>
        <v>5925.220000000003</v>
      </c>
    </row>
    <row r="225" spans="1:53" x14ac:dyDescent="0.2">
      <c r="B225" s="3" t="s">
        <v>1860</v>
      </c>
      <c r="AA225" s="31"/>
      <c r="AB225" s="83">
        <v>41295.370000000003</v>
      </c>
      <c r="AC225" s="83">
        <v>26805.119999999999</v>
      </c>
      <c r="AD225" s="83">
        <v>-7710.24</v>
      </c>
      <c r="AE225" s="83">
        <v>-1320.74</v>
      </c>
      <c r="AF225" s="83">
        <v>-4286.32</v>
      </c>
      <c r="AG225" s="83">
        <v>-6417.03</v>
      </c>
      <c r="AH225" s="83">
        <v>-4862.78</v>
      </c>
      <c r="AI225" s="83">
        <v>-4110.88</v>
      </c>
      <c r="AJ225" s="83">
        <v>-4204.5200000000004</v>
      </c>
      <c r="AK225" s="83">
        <v>-3006.44</v>
      </c>
      <c r="AL225" s="83">
        <v>-2725.24</v>
      </c>
      <c r="AM225" s="83">
        <v>-2809.29</v>
      </c>
      <c r="AN225" s="31">
        <f>SUM(AA225:AM225)</f>
        <v>26647.010000000009</v>
      </c>
      <c r="AO225" s="83">
        <v>-816.87</v>
      </c>
      <c r="AP225" s="83">
        <v>27288.1</v>
      </c>
      <c r="AQ225" s="83">
        <v>-7240.08</v>
      </c>
      <c r="AR225" s="83">
        <v>-5632.61</v>
      </c>
      <c r="AS225" s="83">
        <v>-6489.45</v>
      </c>
      <c r="AT225" s="83">
        <v>-4988.84</v>
      </c>
      <c r="AU225" s="83">
        <v>-4827.87</v>
      </c>
      <c r="BA225" s="31">
        <f t="shared" si="249"/>
        <v>23939.390000000007</v>
      </c>
    </row>
    <row r="226" spans="1:53" s="34" customFormat="1" ht="12" x14ac:dyDescent="0.2">
      <c r="A226" s="116"/>
      <c r="B226" s="35" t="s">
        <v>1597</v>
      </c>
      <c r="C226" s="36">
        <f t="shared" ref="C226:Z226" si="250">SUM(C224)</f>
        <v>-873.56</v>
      </c>
      <c r="D226" s="36">
        <f t="shared" si="250"/>
        <v>35.549999999999997</v>
      </c>
      <c r="E226" s="36">
        <f t="shared" si="250"/>
        <v>-264.26</v>
      </c>
      <c r="F226" s="36">
        <f t="shared" si="250"/>
        <v>-51.73</v>
      </c>
      <c r="G226" s="36">
        <f t="shared" si="250"/>
        <v>300.57</v>
      </c>
      <c r="H226" s="36">
        <f t="shared" si="250"/>
        <v>113.13</v>
      </c>
      <c r="I226" s="36">
        <f t="shared" si="250"/>
        <v>92.43</v>
      </c>
      <c r="J226" s="36">
        <f t="shared" si="250"/>
        <v>128.07</v>
      </c>
      <c r="K226" s="36">
        <f t="shared" si="250"/>
        <v>-119.56</v>
      </c>
      <c r="L226" s="85">
        <f t="shared" si="250"/>
        <v>111.62</v>
      </c>
      <c r="M226" s="85">
        <f t="shared" si="250"/>
        <v>101.23</v>
      </c>
      <c r="N226" s="85">
        <f t="shared" si="250"/>
        <v>18.8</v>
      </c>
      <c r="O226" s="85">
        <f t="shared" si="250"/>
        <v>-378.89</v>
      </c>
      <c r="P226" s="85">
        <f t="shared" si="250"/>
        <v>-202.42</v>
      </c>
      <c r="Q226" s="85">
        <f t="shared" si="250"/>
        <v>-930.55</v>
      </c>
      <c r="R226" s="85">
        <f t="shared" si="250"/>
        <v>101.65</v>
      </c>
      <c r="S226" s="85">
        <f t="shared" si="250"/>
        <v>131.47</v>
      </c>
      <c r="T226" s="85">
        <f t="shared" si="250"/>
        <v>127.19</v>
      </c>
      <c r="U226" s="85">
        <f t="shared" si="250"/>
        <v>-109.68</v>
      </c>
      <c r="V226" s="85">
        <f t="shared" si="250"/>
        <v>134.44</v>
      </c>
      <c r="W226" s="85">
        <f t="shared" si="250"/>
        <v>320.54000000000002</v>
      </c>
      <c r="X226" s="85">
        <f t="shared" si="250"/>
        <v>137.27000000000001</v>
      </c>
      <c r="Y226" s="85">
        <f t="shared" si="250"/>
        <v>-42.52</v>
      </c>
      <c r="Z226" s="85">
        <f t="shared" si="250"/>
        <v>116.15</v>
      </c>
      <c r="AA226" s="85">
        <f t="shared" ref="AA226:AM226" si="251">SUM(AA224:AA225)</f>
        <v>-595.3499999999998</v>
      </c>
      <c r="AB226" s="85">
        <f t="shared" si="251"/>
        <v>63668.430000000008</v>
      </c>
      <c r="AC226" s="85">
        <f t="shared" si="251"/>
        <v>25758.37</v>
      </c>
      <c r="AD226" s="85">
        <f t="shared" si="251"/>
        <v>-9398.58</v>
      </c>
      <c r="AE226" s="85">
        <f t="shared" si="251"/>
        <v>-1313.77</v>
      </c>
      <c r="AF226" s="85">
        <f t="shared" si="251"/>
        <v>-5521.26</v>
      </c>
      <c r="AG226" s="85">
        <f t="shared" si="251"/>
        <v>-8027.44</v>
      </c>
      <c r="AH226" s="85">
        <f t="shared" si="251"/>
        <v>-5882.7199999999993</v>
      </c>
      <c r="AI226" s="85">
        <f t="shared" si="251"/>
        <v>-5099.45</v>
      </c>
      <c r="AJ226" s="85">
        <f t="shared" si="251"/>
        <v>-5168.72</v>
      </c>
      <c r="AK226" s="85">
        <f t="shared" si="251"/>
        <v>-3955.9700000000003</v>
      </c>
      <c r="AL226" s="85">
        <f t="shared" si="251"/>
        <v>-3627.39</v>
      </c>
      <c r="AM226" s="85">
        <f t="shared" si="251"/>
        <v>-3982.8199999999997</v>
      </c>
      <c r="AN226" s="129">
        <f>SUM(AN224:AN225)</f>
        <v>36853.330000000016</v>
      </c>
      <c r="AO226" s="85">
        <f t="shared" ref="AO226:AU226" si="252">SUM(AO224:AO225)</f>
        <v>-539.1</v>
      </c>
      <c r="AP226" s="85">
        <f t="shared" si="252"/>
        <v>26310.18</v>
      </c>
      <c r="AQ226" s="85">
        <f t="shared" si="252"/>
        <v>-8019.27</v>
      </c>
      <c r="AR226" s="85">
        <f t="shared" si="252"/>
        <v>-6526.5199999999995</v>
      </c>
      <c r="AS226" s="85">
        <f t="shared" si="252"/>
        <v>-7185.43</v>
      </c>
      <c r="AT226" s="85">
        <f t="shared" si="252"/>
        <v>-5509.27</v>
      </c>
      <c r="AU226" s="85">
        <f t="shared" si="252"/>
        <v>-5519.3099999999995</v>
      </c>
      <c r="AV226" s="85">
        <f t="shared" ref="AV226" si="253">SUM(AV224:AV225)</f>
        <v>0</v>
      </c>
      <c r="AW226" s="85">
        <f t="shared" ref="AW226" si="254">SUM(AW224:AW225)</f>
        <v>0</v>
      </c>
      <c r="AX226" s="85">
        <f t="shared" ref="AX226" si="255">SUM(AX224:AX225)</f>
        <v>0</v>
      </c>
      <c r="AY226" s="85">
        <f t="shared" ref="AY226" si="256">SUM(AY224:AY225)</f>
        <v>0</v>
      </c>
      <c r="AZ226" s="85">
        <f t="shared" ref="AZ226" si="257">SUM(AZ224:AZ225)</f>
        <v>0</v>
      </c>
      <c r="BA226" s="129">
        <f t="shared" ref="BA226" si="258">SUM(BA224:BA225)</f>
        <v>29864.610000000008</v>
      </c>
    </row>
    <row r="227" spans="1:53" x14ac:dyDescent="0.2">
      <c r="B227" s="3" t="s">
        <v>175</v>
      </c>
      <c r="C227" s="20">
        <v>4417.49</v>
      </c>
      <c r="D227" s="20">
        <v>994.63</v>
      </c>
      <c r="E227" s="20">
        <v>-709.35</v>
      </c>
      <c r="F227" s="24">
        <v>-1403.23</v>
      </c>
      <c r="G227" s="24">
        <v>1087.1099999999999</v>
      </c>
      <c r="H227" s="20">
        <v>192.76</v>
      </c>
      <c r="I227" s="20">
        <v>192.76</v>
      </c>
      <c r="J227" s="20">
        <v>524.28</v>
      </c>
      <c r="K227" s="20">
        <v>932.93</v>
      </c>
      <c r="L227" s="83">
        <v>1218.23</v>
      </c>
      <c r="M227" s="83">
        <v>-1349.3</v>
      </c>
      <c r="N227" s="83">
        <v>-146.5</v>
      </c>
      <c r="O227" s="83">
        <v>7100.62</v>
      </c>
      <c r="P227" s="83">
        <v>-269.83999999999997</v>
      </c>
      <c r="Q227" s="83">
        <v>485.73</v>
      </c>
      <c r="R227" s="83">
        <v>1202.78</v>
      </c>
      <c r="S227" s="83">
        <v>-69.38</v>
      </c>
      <c r="T227" s="83">
        <v>408.64</v>
      </c>
      <c r="U227" s="83">
        <v>-285.27</v>
      </c>
      <c r="V227" s="83">
        <v>-2513.5100000000002</v>
      </c>
      <c r="W227" s="83">
        <v>-1079.44</v>
      </c>
      <c r="X227" s="83">
        <v>1819.61</v>
      </c>
      <c r="Y227" s="83">
        <v>462.6</v>
      </c>
      <c r="Z227" s="83">
        <v>909.81</v>
      </c>
      <c r="AA227" s="31">
        <f>SUM(O227:Z227)</f>
        <v>8172.35</v>
      </c>
      <c r="AB227" s="83">
        <v>454.89</v>
      </c>
      <c r="AC227" s="83">
        <v>747.88</v>
      </c>
      <c r="AD227" s="83">
        <v>-23.14</v>
      </c>
      <c r="AE227" s="83">
        <v>308.42</v>
      </c>
      <c r="AF227" s="83">
        <v>-1071.72</v>
      </c>
      <c r="AG227" s="83">
        <v>-200.46</v>
      </c>
      <c r="AH227" s="83">
        <v>655.36</v>
      </c>
      <c r="AI227" s="83">
        <v>7.72</v>
      </c>
      <c r="AJ227" s="83">
        <v>616.80999999999995</v>
      </c>
      <c r="AK227" s="83">
        <v>-154.19999999999999</v>
      </c>
      <c r="AL227" s="83">
        <v>100.23</v>
      </c>
      <c r="AM227" s="83">
        <v>161.9</v>
      </c>
      <c r="AN227" s="31">
        <f>SUM(AA227:AM227)</f>
        <v>9776.0399999999991</v>
      </c>
      <c r="AO227" s="83">
        <v>208.19</v>
      </c>
      <c r="AP227" s="83">
        <v>-46.26</v>
      </c>
      <c r="AQ227" s="83">
        <v>593.67999999999995</v>
      </c>
      <c r="AR227" s="83">
        <v>994.61</v>
      </c>
      <c r="AS227" s="83">
        <v>1249.03</v>
      </c>
      <c r="AT227" s="83">
        <v>38.57</v>
      </c>
      <c r="AU227" s="83">
        <v>377.78</v>
      </c>
      <c r="BA227" s="31">
        <f t="shared" ref="BA227:BA229" si="259">SUM(AN227:AZ227)</f>
        <v>13191.640000000001</v>
      </c>
    </row>
    <row r="228" spans="1:53" x14ac:dyDescent="0.2">
      <c r="B228" s="3" t="s">
        <v>176</v>
      </c>
      <c r="C228" s="20">
        <v>-687297.51</v>
      </c>
      <c r="D228" s="20">
        <v>7778.46</v>
      </c>
      <c r="E228" s="20">
        <v>-20333.89</v>
      </c>
      <c r="F228" s="24">
        <v>-31578.36</v>
      </c>
      <c r="G228" s="24">
        <v>9260.83</v>
      </c>
      <c r="H228" s="20">
        <v>-6247.4</v>
      </c>
      <c r="I228" s="20">
        <v>-6800.61</v>
      </c>
      <c r="J228" s="20">
        <v>-944.45</v>
      </c>
      <c r="K228" s="20">
        <v>6515.93</v>
      </c>
      <c r="L228" s="83">
        <v>12457.54</v>
      </c>
      <c r="M228" s="83">
        <v>-33738.07</v>
      </c>
      <c r="N228" s="83">
        <v>-11407.09</v>
      </c>
      <c r="O228" s="83">
        <v>-749169.2</v>
      </c>
      <c r="P228" s="83">
        <v>-13811.3</v>
      </c>
      <c r="Q228" s="83">
        <v>803.14</v>
      </c>
      <c r="R228" s="83">
        <v>14736.06</v>
      </c>
      <c r="S228" s="83">
        <v>-10011.73</v>
      </c>
      <c r="T228" s="83">
        <v>-620.42999999999995</v>
      </c>
      <c r="U228" s="83">
        <v>-14367.21</v>
      </c>
      <c r="V228" s="83">
        <v>-59311.06</v>
      </c>
      <c r="W228" s="83">
        <v>-29233.759999999998</v>
      </c>
      <c r="X228" s="83">
        <v>26531.46</v>
      </c>
      <c r="Y228" s="83">
        <v>309.05</v>
      </c>
      <c r="Z228" s="83">
        <v>10204.219999999999</v>
      </c>
      <c r="AA228" s="31">
        <f>SUM(O228:Z228)</f>
        <v>-823940.76</v>
      </c>
      <c r="AB228" s="83">
        <v>3549.14</v>
      </c>
      <c r="AC228" s="83">
        <v>8234.7800000000007</v>
      </c>
      <c r="AD228" s="83">
        <v>-7325.34</v>
      </c>
      <c r="AE228" s="83">
        <v>-200.56</v>
      </c>
      <c r="AF228" s="83">
        <v>-29882.97</v>
      </c>
      <c r="AG228" s="83">
        <v>-11078.74</v>
      </c>
      <c r="AH228" s="83">
        <v>6205.34</v>
      </c>
      <c r="AI228" s="83">
        <v>-10188.42</v>
      </c>
      <c r="AJ228" s="83">
        <v>7312.93</v>
      </c>
      <c r="AK228" s="83">
        <v>-10063.41</v>
      </c>
      <c r="AL228" s="83">
        <v>-4149.3900000000003</v>
      </c>
      <c r="AM228" s="83">
        <v>-2756.73</v>
      </c>
      <c r="AN228" s="31">
        <f>SUM(AA228:AM228)</f>
        <v>-874284.13</v>
      </c>
      <c r="AO228" s="83">
        <v>-701.03</v>
      </c>
      <c r="AP228" s="83">
        <v>-6531.03</v>
      </c>
      <c r="AQ228" s="83">
        <v>8201.17</v>
      </c>
      <c r="AR228" s="83">
        <v>17631.16</v>
      </c>
      <c r="AS228" s="83">
        <v>23522.65</v>
      </c>
      <c r="AT228" s="83">
        <v>-4784.54</v>
      </c>
      <c r="AU228" s="83">
        <v>3236.98</v>
      </c>
      <c r="BA228" s="31">
        <f t="shared" si="259"/>
        <v>-833708.77</v>
      </c>
    </row>
    <row r="229" spans="1:53" x14ac:dyDescent="0.2">
      <c r="B229" s="3" t="s">
        <v>177</v>
      </c>
      <c r="C229" s="20">
        <v>-66270.66</v>
      </c>
      <c r="D229" s="20">
        <v>315.27</v>
      </c>
      <c r="E229" s="20">
        <v>-1114.29</v>
      </c>
      <c r="F229" s="24">
        <v>-2342.14</v>
      </c>
      <c r="G229" s="24">
        <v>1637.82</v>
      </c>
      <c r="H229" s="20">
        <v>303.56</v>
      </c>
      <c r="I229" s="20">
        <v>188.89</v>
      </c>
      <c r="J229" s="20">
        <v>-3951.33</v>
      </c>
      <c r="K229" s="20">
        <v>-251.81</v>
      </c>
      <c r="L229" s="83">
        <v>-2452.54</v>
      </c>
      <c r="M229" s="83">
        <v>-3287.82</v>
      </c>
      <c r="N229" s="83">
        <v>-2110.84</v>
      </c>
      <c r="O229" s="83">
        <v>-77376.460000000006</v>
      </c>
      <c r="P229" s="83">
        <v>-2673.7</v>
      </c>
      <c r="Q229" s="83">
        <v>-918.8</v>
      </c>
      <c r="R229" s="83">
        <v>385.54</v>
      </c>
      <c r="S229" s="83">
        <v>-118.36</v>
      </c>
      <c r="T229" s="83">
        <v>575.54</v>
      </c>
      <c r="U229" s="83">
        <v>-2896.83</v>
      </c>
      <c r="V229" s="83">
        <v>-5817.17</v>
      </c>
      <c r="W229" s="83">
        <v>-1420.47</v>
      </c>
      <c r="X229" s="83">
        <v>3769.55</v>
      </c>
      <c r="Y229" s="83">
        <v>-460.76</v>
      </c>
      <c r="Z229" s="83">
        <v>5077.97</v>
      </c>
      <c r="AA229" s="31">
        <f>SUM(O229:Z229)</f>
        <v>-81873.950000000012</v>
      </c>
      <c r="AB229" s="83">
        <v>-2413.04</v>
      </c>
      <c r="AC229" s="83">
        <v>389.95</v>
      </c>
      <c r="AD229" s="83">
        <v>984.71</v>
      </c>
      <c r="AE229" s="83">
        <v>3117.19</v>
      </c>
      <c r="AF229" s="83">
        <v>-14209.86</v>
      </c>
      <c r="AG229" s="83">
        <v>-397.78</v>
      </c>
      <c r="AH229" s="83">
        <v>1143.98</v>
      </c>
      <c r="AI229" s="83">
        <v>13.47</v>
      </c>
      <c r="AJ229" s="83">
        <v>365.18</v>
      </c>
      <c r="AK229" s="83">
        <v>-2436.06</v>
      </c>
      <c r="AL229" s="83">
        <v>-584.08000000000004</v>
      </c>
      <c r="AM229" s="83">
        <v>-191.33</v>
      </c>
      <c r="AN229" s="31">
        <f>SUM(AA229:AM229)</f>
        <v>-96091.62000000001</v>
      </c>
      <c r="AO229" s="83">
        <v>-322.64</v>
      </c>
      <c r="AP229" s="83">
        <v>-732.03</v>
      </c>
      <c r="AQ229" s="83">
        <v>402.65</v>
      </c>
      <c r="AR229" s="83">
        <v>1019.11</v>
      </c>
      <c r="AS229" s="83">
        <v>1520.69</v>
      </c>
      <c r="AT229" s="83">
        <v>-621.85</v>
      </c>
      <c r="AU229" s="83">
        <v>-73.400000000000006</v>
      </c>
      <c r="BA229" s="31">
        <f t="shared" si="259"/>
        <v>-94899.090000000011</v>
      </c>
    </row>
    <row r="230" spans="1:53" s="34" customFormat="1" ht="12" x14ac:dyDescent="0.2">
      <c r="A230" s="116"/>
      <c r="B230" s="35" t="s">
        <v>1598</v>
      </c>
      <c r="C230" s="36">
        <f t="shared" ref="C230:AM230" si="260">SUM(C227:C229)</f>
        <v>-749150.68</v>
      </c>
      <c r="D230" s="36">
        <f t="shared" si="260"/>
        <v>9088.36</v>
      </c>
      <c r="E230" s="36">
        <f t="shared" si="260"/>
        <v>-22157.53</v>
      </c>
      <c r="F230" s="36">
        <f t="shared" si="260"/>
        <v>-35323.730000000003</v>
      </c>
      <c r="G230" s="36">
        <f t="shared" si="260"/>
        <v>11985.76</v>
      </c>
      <c r="H230" s="36">
        <f t="shared" si="260"/>
        <v>-5751.079999999999</v>
      </c>
      <c r="I230" s="36">
        <f t="shared" si="260"/>
        <v>-6418.9599999999991</v>
      </c>
      <c r="J230" s="36">
        <f t="shared" si="260"/>
        <v>-4371.5</v>
      </c>
      <c r="K230" s="36">
        <f t="shared" si="260"/>
        <v>7197.05</v>
      </c>
      <c r="L230" s="85">
        <f t="shared" si="260"/>
        <v>11223.23</v>
      </c>
      <c r="M230" s="85">
        <f t="shared" si="260"/>
        <v>-38375.19</v>
      </c>
      <c r="N230" s="85">
        <f t="shared" si="260"/>
        <v>-13664.43</v>
      </c>
      <c r="O230" s="85">
        <f t="shared" si="260"/>
        <v>-819445.03999999992</v>
      </c>
      <c r="P230" s="85">
        <f t="shared" si="260"/>
        <v>-16754.84</v>
      </c>
      <c r="Q230" s="85">
        <f t="shared" si="260"/>
        <v>370.06999999999994</v>
      </c>
      <c r="R230" s="85">
        <f t="shared" si="260"/>
        <v>16324.380000000001</v>
      </c>
      <c r="S230" s="85">
        <f t="shared" si="260"/>
        <v>-10199.469999999999</v>
      </c>
      <c r="T230" s="85">
        <f t="shared" si="260"/>
        <v>363.75</v>
      </c>
      <c r="U230" s="85">
        <f t="shared" si="260"/>
        <v>-17549.309999999998</v>
      </c>
      <c r="V230" s="85">
        <f t="shared" si="260"/>
        <v>-67641.740000000005</v>
      </c>
      <c r="W230" s="85">
        <f t="shared" si="260"/>
        <v>-31733.67</v>
      </c>
      <c r="X230" s="85">
        <f t="shared" si="260"/>
        <v>32120.62</v>
      </c>
      <c r="Y230" s="85">
        <f t="shared" si="260"/>
        <v>310.8900000000001</v>
      </c>
      <c r="Z230" s="85">
        <f t="shared" si="260"/>
        <v>16192</v>
      </c>
      <c r="AA230" s="85">
        <f t="shared" si="260"/>
        <v>-897642.3600000001</v>
      </c>
      <c r="AB230" s="85">
        <f t="shared" si="260"/>
        <v>1590.9899999999998</v>
      </c>
      <c r="AC230" s="85">
        <f t="shared" si="260"/>
        <v>9372.61</v>
      </c>
      <c r="AD230" s="85">
        <f t="shared" si="260"/>
        <v>-6363.77</v>
      </c>
      <c r="AE230" s="85">
        <f t="shared" si="260"/>
        <v>3225.05</v>
      </c>
      <c r="AF230" s="85">
        <f t="shared" si="260"/>
        <v>-45164.55</v>
      </c>
      <c r="AG230" s="85">
        <f t="shared" si="260"/>
        <v>-11676.98</v>
      </c>
      <c r="AH230" s="85">
        <f t="shared" si="260"/>
        <v>8004.68</v>
      </c>
      <c r="AI230" s="85">
        <f t="shared" si="260"/>
        <v>-10167.230000000001</v>
      </c>
      <c r="AJ230" s="85">
        <f t="shared" si="260"/>
        <v>8294.92</v>
      </c>
      <c r="AK230" s="85">
        <f t="shared" si="260"/>
        <v>-12653.67</v>
      </c>
      <c r="AL230" s="85">
        <f t="shared" si="260"/>
        <v>-4633.2400000000007</v>
      </c>
      <c r="AM230" s="85">
        <f t="shared" si="260"/>
        <v>-2786.16</v>
      </c>
      <c r="AN230" s="129">
        <f>SUM(AN227:AN229)</f>
        <v>-960599.71</v>
      </c>
      <c r="AO230" s="85">
        <f t="shared" ref="AO230:AU230" si="261">SUM(AO227:AO229)</f>
        <v>-815.48</v>
      </c>
      <c r="AP230" s="85">
        <f t="shared" si="261"/>
        <v>-7309.32</v>
      </c>
      <c r="AQ230" s="85">
        <f t="shared" si="261"/>
        <v>9197.5</v>
      </c>
      <c r="AR230" s="85">
        <f t="shared" si="261"/>
        <v>19644.88</v>
      </c>
      <c r="AS230" s="85">
        <f t="shared" si="261"/>
        <v>26292.37</v>
      </c>
      <c r="AT230" s="85">
        <f t="shared" si="261"/>
        <v>-5367.8200000000006</v>
      </c>
      <c r="AU230" s="85">
        <f t="shared" si="261"/>
        <v>3541.36</v>
      </c>
      <c r="AV230" s="85">
        <f t="shared" ref="AV230" si="262">SUM(AV227:AV229)</f>
        <v>0</v>
      </c>
      <c r="AW230" s="85">
        <f t="shared" ref="AW230" si="263">SUM(AW227:AW229)</f>
        <v>0</v>
      </c>
      <c r="AX230" s="85">
        <f t="shared" ref="AX230" si="264">SUM(AX227:AX229)</f>
        <v>0</v>
      </c>
      <c r="AY230" s="85">
        <f t="shared" ref="AY230" si="265">SUM(AY227:AY229)</f>
        <v>0</v>
      </c>
      <c r="AZ230" s="85">
        <f t="shared" ref="AZ230" si="266">SUM(AZ227:AZ229)</f>
        <v>0</v>
      </c>
      <c r="BA230" s="129">
        <f t="shared" ref="BA230" si="267">SUM(BA227:BA229)</f>
        <v>-915416.22</v>
      </c>
    </row>
    <row r="231" spans="1:53" x14ac:dyDescent="0.2">
      <c r="B231" s="3" t="s">
        <v>179</v>
      </c>
      <c r="C231" s="20">
        <v>-170446.09</v>
      </c>
      <c r="D231" s="20">
        <v>-46435.61</v>
      </c>
      <c r="E231" s="20">
        <v>-107247.75</v>
      </c>
      <c r="F231" s="24">
        <v>208807.62</v>
      </c>
      <c r="G231" s="24">
        <v>128727.61</v>
      </c>
      <c r="H231" s="20">
        <v>-582077.47</v>
      </c>
      <c r="I231" s="20">
        <v>-17876.14</v>
      </c>
      <c r="J231" s="20">
        <v>601918.57999999996</v>
      </c>
      <c r="K231" s="20">
        <v>-264227.96999999997</v>
      </c>
      <c r="L231" s="83">
        <v>157958.23000000001</v>
      </c>
      <c r="M231" s="83">
        <v>55707.78</v>
      </c>
      <c r="N231" s="83">
        <v>31243.57</v>
      </c>
      <c r="O231" s="83">
        <v>-32721.33</v>
      </c>
      <c r="P231" s="83">
        <v>-32282.6</v>
      </c>
      <c r="Q231" s="83">
        <v>152199.32</v>
      </c>
      <c r="R231" s="83">
        <v>38927.339999999997</v>
      </c>
      <c r="S231" s="83">
        <v>36532.230000000003</v>
      </c>
      <c r="T231" s="83">
        <v>31377.49</v>
      </c>
      <c r="U231" s="83">
        <v>-103148.22</v>
      </c>
      <c r="V231" s="83">
        <v>101434.36</v>
      </c>
      <c r="W231" s="83">
        <v>-20425.419999999998</v>
      </c>
      <c r="X231" s="83">
        <v>-101846.42</v>
      </c>
      <c r="Y231" s="83">
        <v>-69662.06</v>
      </c>
      <c r="Z231" s="83">
        <v>-2263.2399999999998</v>
      </c>
      <c r="AA231" s="31">
        <f t="shared" ref="AA231:AA238" si="268">SUM(O231:Z231)</f>
        <v>-1878.5499999999538</v>
      </c>
      <c r="AB231" s="83">
        <v>33664.29</v>
      </c>
      <c r="AC231" s="83">
        <v>144384.57999999999</v>
      </c>
      <c r="AD231" s="83">
        <v>-36999.71</v>
      </c>
      <c r="AE231" s="83">
        <v>-5295.8</v>
      </c>
      <c r="AF231" s="83">
        <v>-11727.77</v>
      </c>
      <c r="AG231" s="83">
        <v>54723.74</v>
      </c>
      <c r="AH231" s="83">
        <v>-116226.9</v>
      </c>
      <c r="AI231" s="83">
        <v>27314.799999999999</v>
      </c>
      <c r="AJ231" s="83">
        <v>105122.05</v>
      </c>
      <c r="AK231" s="83">
        <v>130465.18</v>
      </c>
      <c r="AL231" s="83">
        <v>-69324.17</v>
      </c>
      <c r="AM231" s="83">
        <v>-77197.75</v>
      </c>
      <c r="AN231" s="31">
        <f t="shared" ref="AN231:AN256" si="269">SUM(AA231:AM231)</f>
        <v>177023.99000000005</v>
      </c>
      <c r="AO231" s="83">
        <v>-14978.69</v>
      </c>
      <c r="AP231" s="83">
        <v>-40144.400000000001</v>
      </c>
      <c r="AQ231" s="83">
        <v>-74765.039999999994</v>
      </c>
      <c r="AR231" s="83">
        <v>103069.51</v>
      </c>
      <c r="AS231" s="83">
        <v>110316.45</v>
      </c>
      <c r="AT231" s="83">
        <v>-46717.9</v>
      </c>
      <c r="AU231" s="83">
        <v>21485.09</v>
      </c>
      <c r="BA231" s="31">
        <f t="shared" ref="BA231:BA256" si="270">SUM(AN231:AZ231)</f>
        <v>235289.01000000007</v>
      </c>
    </row>
    <row r="232" spans="1:53" x14ac:dyDescent="0.2">
      <c r="B232" s="3" t="s">
        <v>457</v>
      </c>
      <c r="O232" s="83">
        <v>-56803.61</v>
      </c>
      <c r="P232" s="83">
        <v>37011.82</v>
      </c>
      <c r="Q232" s="83">
        <v>-198323</v>
      </c>
      <c r="R232" s="83">
        <v>72912.789999999994</v>
      </c>
      <c r="S232" s="83">
        <v>33796.339999999997</v>
      </c>
      <c r="T232" s="83">
        <v>-337637.28</v>
      </c>
      <c r="U232" s="83">
        <v>324724.03999999998</v>
      </c>
      <c r="V232" s="83">
        <v>25749.759999999998</v>
      </c>
      <c r="W232" s="83">
        <v>6174.92</v>
      </c>
      <c r="X232" s="83">
        <v>54769.01</v>
      </c>
      <c r="Y232" s="83">
        <v>-9612.83</v>
      </c>
      <c r="Z232" s="83">
        <v>31837.200000000001</v>
      </c>
      <c r="AA232" s="31">
        <f t="shared" si="268"/>
        <v>-15400.840000000087</v>
      </c>
      <c r="AB232" s="83">
        <v>-8477.3799999999992</v>
      </c>
      <c r="AC232" s="83">
        <v>-13914.93</v>
      </c>
      <c r="AD232" s="83">
        <v>-21146.38</v>
      </c>
      <c r="AE232" s="83">
        <v>29469.75</v>
      </c>
      <c r="AF232" s="83">
        <v>-67879.83</v>
      </c>
      <c r="AG232" s="83">
        <v>77390.41</v>
      </c>
      <c r="AH232" s="83">
        <v>-15631.26</v>
      </c>
      <c r="AI232" s="83">
        <v>-15188.27</v>
      </c>
      <c r="AJ232" s="83">
        <v>-14004.82</v>
      </c>
      <c r="AK232" s="83">
        <v>-4420.2700000000004</v>
      </c>
      <c r="AL232" s="83">
        <v>51180.49</v>
      </c>
      <c r="AM232" s="83">
        <v>-29276.01</v>
      </c>
      <c r="AN232" s="31">
        <f t="shared" si="269"/>
        <v>-47299.340000000084</v>
      </c>
      <c r="AO232" s="83">
        <v>27989.85</v>
      </c>
      <c r="AP232" s="83">
        <v>6236.21</v>
      </c>
      <c r="AQ232" s="83">
        <v>-25021.41</v>
      </c>
      <c r="AR232" s="83">
        <v>26935.65</v>
      </c>
      <c r="AS232" s="83">
        <v>-43530.81</v>
      </c>
      <c r="AT232" s="83">
        <v>-4721.74</v>
      </c>
      <c r="AU232" s="83">
        <v>40245.96</v>
      </c>
      <c r="BA232" s="31">
        <f t="shared" si="270"/>
        <v>-19165.630000000085</v>
      </c>
    </row>
    <row r="233" spans="1:53" x14ac:dyDescent="0.2">
      <c r="B233" s="3" t="s">
        <v>458</v>
      </c>
      <c r="O233" s="83">
        <v>-84218.41</v>
      </c>
      <c r="P233" s="83">
        <v>-45012.69</v>
      </c>
      <c r="Q233" s="83">
        <v>57439.97</v>
      </c>
      <c r="R233" s="83">
        <v>-46259.839999999997</v>
      </c>
      <c r="S233" s="83">
        <v>-28389.71</v>
      </c>
      <c r="T233" s="83">
        <v>4071.81</v>
      </c>
      <c r="U233" s="83">
        <v>33172.33</v>
      </c>
      <c r="V233" s="83">
        <v>-29759.29</v>
      </c>
      <c r="W233" s="83">
        <v>-73777.91</v>
      </c>
      <c r="X233" s="83">
        <v>167509.82999999999</v>
      </c>
      <c r="Y233" s="83">
        <v>-19542.73</v>
      </c>
      <c r="Z233" s="83">
        <v>-363935.09</v>
      </c>
      <c r="AA233" s="31">
        <f t="shared" si="268"/>
        <v>-428701.73000000004</v>
      </c>
      <c r="AB233" s="83">
        <v>33729.93</v>
      </c>
      <c r="AC233" s="83">
        <v>36314.400000000001</v>
      </c>
      <c r="AD233" s="83">
        <v>-164641.26</v>
      </c>
      <c r="AE233" s="83">
        <v>221026.29</v>
      </c>
      <c r="AF233" s="83">
        <v>44772.73</v>
      </c>
      <c r="AG233" s="83">
        <v>-90868.63</v>
      </c>
      <c r="AH233" s="83">
        <v>143843.04</v>
      </c>
      <c r="AI233" s="83">
        <v>-122712.75</v>
      </c>
      <c r="AJ233" s="83">
        <v>206075.5</v>
      </c>
      <c r="AK233" s="83">
        <v>-78019.45</v>
      </c>
      <c r="AL233" s="83">
        <v>-25990.48</v>
      </c>
      <c r="AM233" s="83">
        <v>-160458.96</v>
      </c>
      <c r="AN233" s="31">
        <f t="shared" si="269"/>
        <v>-385631.37</v>
      </c>
      <c r="AO233" s="83">
        <v>10502.59</v>
      </c>
      <c r="AP233" s="83">
        <v>218791.14</v>
      </c>
      <c r="AQ233" s="83">
        <v>-98614.42</v>
      </c>
      <c r="AR233" s="83">
        <v>-56838.68</v>
      </c>
      <c r="AS233" s="83">
        <v>112376.16</v>
      </c>
      <c r="AT233" s="83">
        <v>54893.72</v>
      </c>
      <c r="AU233" s="83">
        <v>-4322.53</v>
      </c>
      <c r="BA233" s="31">
        <f t="shared" si="270"/>
        <v>-148843.38999999993</v>
      </c>
    </row>
    <row r="234" spans="1:53" x14ac:dyDescent="0.2">
      <c r="B234" s="3" t="s">
        <v>180</v>
      </c>
      <c r="C234" s="20">
        <v>5715.5</v>
      </c>
      <c r="D234" s="20">
        <v>-13207.87</v>
      </c>
      <c r="E234" s="20">
        <v>460.82</v>
      </c>
      <c r="F234" s="24">
        <v>10107.67</v>
      </c>
      <c r="G234" s="24">
        <v>-4390.49</v>
      </c>
      <c r="H234" s="20">
        <v>98.96</v>
      </c>
      <c r="I234" s="20">
        <v>-332.51</v>
      </c>
      <c r="J234" s="20">
        <v>-6426.68</v>
      </c>
      <c r="K234" s="20">
        <v>-603.70000000000005</v>
      </c>
      <c r="L234" s="83">
        <v>-24496.48</v>
      </c>
      <c r="M234" s="83">
        <v>16748.75</v>
      </c>
      <c r="N234" s="83">
        <v>-9758.2999999999993</v>
      </c>
      <c r="O234" s="83">
        <v>-13636.47</v>
      </c>
      <c r="P234" s="83">
        <v>4859.42</v>
      </c>
      <c r="Q234" s="83">
        <v>7597.59</v>
      </c>
      <c r="R234" s="83">
        <v>0</v>
      </c>
      <c r="S234" s="83">
        <v>-1290.95</v>
      </c>
      <c r="T234" s="83">
        <v>42.98</v>
      </c>
      <c r="U234" s="83">
        <v>-86.56</v>
      </c>
      <c r="V234" s="83">
        <v>2251.2399999999998</v>
      </c>
      <c r="W234" s="83">
        <v>-555.97</v>
      </c>
      <c r="X234" s="83">
        <v>-2681.09</v>
      </c>
      <c r="Y234" s="83">
        <v>-12891.14</v>
      </c>
      <c r="Z234" s="83">
        <v>-14468.77</v>
      </c>
      <c r="AA234" s="31">
        <f t="shared" si="268"/>
        <v>-30859.719999999998</v>
      </c>
      <c r="AB234" s="83">
        <v>4939.51</v>
      </c>
      <c r="AC234" s="83">
        <v>10217.530000000001</v>
      </c>
      <c r="AD234" s="83">
        <v>11076.6</v>
      </c>
      <c r="AE234" s="83">
        <v>418.45</v>
      </c>
      <c r="AF234" s="83">
        <v>1533</v>
      </c>
      <c r="AG234" s="83">
        <v>-12.2</v>
      </c>
      <c r="AH234" s="83">
        <v>0</v>
      </c>
      <c r="AI234" s="83">
        <v>2674.63</v>
      </c>
      <c r="AJ234" s="83">
        <v>12.2</v>
      </c>
      <c r="AK234" s="83">
        <v>0</v>
      </c>
      <c r="AL234" s="83">
        <v>0</v>
      </c>
      <c r="AM234" s="83">
        <v>-102.62</v>
      </c>
      <c r="AN234" s="31">
        <f t="shared" si="269"/>
        <v>-102.619999999998</v>
      </c>
      <c r="AO234" s="83">
        <v>21.31</v>
      </c>
      <c r="AP234" s="83">
        <v>0</v>
      </c>
      <c r="AQ234" s="83">
        <v>81.31</v>
      </c>
      <c r="AR234" s="83">
        <v>-1343.67</v>
      </c>
      <c r="AS234" s="83">
        <v>1268.03</v>
      </c>
      <c r="AT234" s="83">
        <v>0</v>
      </c>
      <c r="AU234" s="83">
        <v>75.64</v>
      </c>
      <c r="BA234" s="31">
        <f t="shared" si="270"/>
        <v>1.9468870959826745E-12</v>
      </c>
    </row>
    <row r="235" spans="1:53" x14ac:dyDescent="0.2">
      <c r="B235" s="3" t="s">
        <v>181</v>
      </c>
      <c r="C235" s="20">
        <v>1507.09</v>
      </c>
      <c r="D235" s="20">
        <v>0</v>
      </c>
      <c r="E235" s="20">
        <v>0</v>
      </c>
      <c r="F235" s="24">
        <v>0</v>
      </c>
      <c r="G235" s="24">
        <v>-1507.09</v>
      </c>
      <c r="H235" s="20">
        <v>0</v>
      </c>
      <c r="I235" s="20">
        <v>-1.4</v>
      </c>
      <c r="J235" s="20">
        <v>-2000</v>
      </c>
      <c r="K235" s="20">
        <v>-3.4</v>
      </c>
      <c r="L235" s="83">
        <v>1.4</v>
      </c>
      <c r="M235" s="83">
        <v>2003.4</v>
      </c>
      <c r="N235" s="83">
        <v>-135.47999999999999</v>
      </c>
      <c r="O235" s="83">
        <v>-135.47999999999999</v>
      </c>
      <c r="P235" s="83">
        <v>580</v>
      </c>
      <c r="Q235" s="83">
        <v>135.47999999999999</v>
      </c>
      <c r="R235" s="83">
        <v>0</v>
      </c>
      <c r="S235" s="83">
        <v>-580</v>
      </c>
      <c r="T235" s="83">
        <v>0</v>
      </c>
      <c r="U235" s="83">
        <v>0</v>
      </c>
      <c r="V235" s="83">
        <v>0</v>
      </c>
      <c r="W235" s="83">
        <v>-776.7</v>
      </c>
      <c r="X235" s="83">
        <v>0</v>
      </c>
      <c r="Y235" s="83">
        <v>0</v>
      </c>
      <c r="Z235" s="83">
        <v>776.7</v>
      </c>
      <c r="AA235" s="31">
        <f t="shared" si="268"/>
        <v>0</v>
      </c>
      <c r="AB235" s="83">
        <v>0</v>
      </c>
      <c r="AC235" s="83">
        <v>0</v>
      </c>
      <c r="AD235" s="83">
        <v>0</v>
      </c>
      <c r="AE235" s="83">
        <v>0</v>
      </c>
      <c r="AF235" s="83">
        <v>0</v>
      </c>
      <c r="AG235" s="83">
        <v>0</v>
      </c>
      <c r="AH235" s="83">
        <v>0</v>
      </c>
      <c r="AI235" s="83">
        <v>0</v>
      </c>
      <c r="AJ235" s="83">
        <v>0</v>
      </c>
      <c r="AK235" s="83">
        <v>0</v>
      </c>
      <c r="AL235" s="83">
        <v>-0.11</v>
      </c>
      <c r="AM235" s="83">
        <v>-0.56999999999999995</v>
      </c>
      <c r="AN235" s="31">
        <f t="shared" si="269"/>
        <v>-0.67999999999999994</v>
      </c>
      <c r="AO235" s="83">
        <v>0</v>
      </c>
      <c r="AP235" s="83">
        <v>0.11</v>
      </c>
      <c r="AQ235" s="83">
        <v>0.56999999999999995</v>
      </c>
      <c r="AR235" s="83">
        <v>0</v>
      </c>
      <c r="AS235" s="83">
        <v>0</v>
      </c>
      <c r="AT235" s="83">
        <v>0</v>
      </c>
      <c r="AU235" s="83">
        <v>0</v>
      </c>
      <c r="BA235" s="31">
        <f t="shared" si="270"/>
        <v>0</v>
      </c>
    </row>
    <row r="236" spans="1:53" x14ac:dyDescent="0.2">
      <c r="B236" s="3" t="s">
        <v>182</v>
      </c>
      <c r="C236" s="20">
        <v>11502.18</v>
      </c>
      <c r="D236" s="20">
        <v>2299.41</v>
      </c>
      <c r="E236" s="20">
        <v>566.78</v>
      </c>
      <c r="F236" s="24">
        <v>0</v>
      </c>
      <c r="G236" s="24">
        <v>-45551.19</v>
      </c>
      <c r="H236" s="20">
        <v>-19000</v>
      </c>
      <c r="I236" s="20">
        <v>-32344.75</v>
      </c>
      <c r="J236" s="20">
        <v>-15597.92</v>
      </c>
      <c r="K236" s="20">
        <v>42738.69</v>
      </c>
      <c r="L236" s="83">
        <v>0</v>
      </c>
      <c r="M236" s="83">
        <v>55789</v>
      </c>
      <c r="N236" s="83">
        <v>-175040.11</v>
      </c>
      <c r="O236" s="83">
        <v>-179828.6</v>
      </c>
      <c r="P236" s="83">
        <v>-691.47</v>
      </c>
      <c r="Q236" s="83">
        <v>167955.3</v>
      </c>
      <c r="R236" s="83">
        <v>0</v>
      </c>
      <c r="S236" s="83">
        <v>-9888.77</v>
      </c>
      <c r="T236" s="83">
        <v>-2371.52</v>
      </c>
      <c r="U236" s="83">
        <v>-22251.18</v>
      </c>
      <c r="V236" s="83">
        <v>12362.32</v>
      </c>
      <c r="W236" s="83">
        <v>12462.74</v>
      </c>
      <c r="X236" s="83">
        <v>22035.91</v>
      </c>
      <c r="Y236" s="83">
        <v>-175.81</v>
      </c>
      <c r="Z236" s="83">
        <v>-13767.48</v>
      </c>
      <c r="AA236" s="31">
        <f t="shared" si="268"/>
        <v>-14158.560000000021</v>
      </c>
      <c r="AB236" s="83">
        <v>0</v>
      </c>
      <c r="AC236" s="83">
        <v>391.08</v>
      </c>
      <c r="AD236" s="83">
        <v>13767.48</v>
      </c>
      <c r="AE236" s="83">
        <v>0</v>
      </c>
      <c r="AF236" s="83">
        <v>0</v>
      </c>
      <c r="AG236" s="83">
        <v>-13340.77</v>
      </c>
      <c r="AH236" s="83">
        <v>0</v>
      </c>
      <c r="AI236" s="83">
        <v>0</v>
      </c>
      <c r="AJ236" s="83">
        <v>13340.77</v>
      </c>
      <c r="AK236" s="83">
        <v>0</v>
      </c>
      <c r="AL236" s="83">
        <v>-3000</v>
      </c>
      <c r="AM236" s="83">
        <v>-190.42</v>
      </c>
      <c r="AN236" s="31">
        <f t="shared" si="269"/>
        <v>-3190.4200000000219</v>
      </c>
      <c r="AO236" s="83">
        <v>0</v>
      </c>
      <c r="AP236" s="83">
        <v>3000</v>
      </c>
      <c r="AQ236" s="83">
        <v>190.42</v>
      </c>
      <c r="AR236" s="83">
        <v>0</v>
      </c>
      <c r="AS236" s="83">
        <v>0</v>
      </c>
      <c r="AT236" s="83">
        <v>0</v>
      </c>
      <c r="AU236" s="83">
        <v>0</v>
      </c>
      <c r="BA236" s="31">
        <f t="shared" si="270"/>
        <v>-2.191313797084149E-11</v>
      </c>
    </row>
    <row r="237" spans="1:53" x14ac:dyDescent="0.2">
      <c r="B237" s="3" t="s">
        <v>183</v>
      </c>
      <c r="C237" s="20">
        <v>666.4</v>
      </c>
      <c r="D237" s="20">
        <v>-89369.76</v>
      </c>
      <c r="E237" s="20">
        <v>0</v>
      </c>
      <c r="F237" s="24">
        <v>-12763.59</v>
      </c>
      <c r="G237" s="24">
        <v>88703.360000000001</v>
      </c>
      <c r="H237" s="20">
        <v>0</v>
      </c>
      <c r="I237" s="20">
        <v>12395.6</v>
      </c>
      <c r="J237" s="20">
        <v>-13.86</v>
      </c>
      <c r="K237" s="20">
        <v>0</v>
      </c>
      <c r="L237" s="83">
        <v>-137.31</v>
      </c>
      <c r="M237" s="83">
        <v>-397.59</v>
      </c>
      <c r="N237" s="83">
        <v>-230.82</v>
      </c>
      <c r="O237" s="83">
        <v>-642.27</v>
      </c>
      <c r="P237" s="83">
        <v>1731.71</v>
      </c>
      <c r="Q237" s="83">
        <v>230.82</v>
      </c>
      <c r="R237" s="83">
        <v>0</v>
      </c>
      <c r="S237" s="83">
        <v>-1320.26</v>
      </c>
      <c r="T237" s="83">
        <v>0</v>
      </c>
      <c r="U237" s="83">
        <v>0</v>
      </c>
      <c r="V237" s="83">
        <v>0</v>
      </c>
      <c r="W237" s="83">
        <v>-925.65</v>
      </c>
      <c r="X237" s="83">
        <v>-151.61000000000001</v>
      </c>
      <c r="Y237" s="83">
        <v>0</v>
      </c>
      <c r="Z237" s="83">
        <v>-19916.099999999999</v>
      </c>
      <c r="AA237" s="31">
        <f t="shared" si="268"/>
        <v>-20993.359999999997</v>
      </c>
      <c r="AB237" s="83">
        <v>151.61000000000001</v>
      </c>
      <c r="AC237" s="83">
        <v>0</v>
      </c>
      <c r="AD237" s="83">
        <v>20841.75</v>
      </c>
      <c r="AE237" s="83">
        <v>0</v>
      </c>
      <c r="AF237" s="83">
        <v>0</v>
      </c>
      <c r="AG237" s="83">
        <v>-3960.93</v>
      </c>
      <c r="AH237" s="83">
        <v>0</v>
      </c>
      <c r="AI237" s="83">
        <v>0</v>
      </c>
      <c r="AJ237" s="83">
        <v>3960.93</v>
      </c>
      <c r="AK237" s="83">
        <v>0</v>
      </c>
      <c r="AL237" s="83">
        <v>0</v>
      </c>
      <c r="AM237" s="83">
        <v>0</v>
      </c>
      <c r="AN237" s="31">
        <f t="shared" si="269"/>
        <v>3.637978807091713E-12</v>
      </c>
      <c r="AO237" s="83">
        <v>0</v>
      </c>
      <c r="AP237" s="83">
        <v>0</v>
      </c>
      <c r="AQ237" s="83">
        <v>0</v>
      </c>
      <c r="AR237" s="83">
        <v>0</v>
      </c>
      <c r="AS237" s="83">
        <v>0</v>
      </c>
      <c r="AT237" s="83">
        <v>0</v>
      </c>
      <c r="AU237" s="83">
        <v>0</v>
      </c>
      <c r="BA237" s="31">
        <f t="shared" si="270"/>
        <v>3.637978807091713E-12</v>
      </c>
    </row>
    <row r="238" spans="1:53" x14ac:dyDescent="0.2">
      <c r="B238" s="3" t="s">
        <v>184</v>
      </c>
      <c r="C238" s="20">
        <v>-4033.48</v>
      </c>
      <c r="D238" s="20">
        <v>-284.39999999999998</v>
      </c>
      <c r="E238" s="20">
        <v>0.28999999999999998</v>
      </c>
      <c r="F238" s="24">
        <v>-1216.32</v>
      </c>
      <c r="G238" s="24">
        <v>-849.8</v>
      </c>
      <c r="H238" s="20">
        <v>0</v>
      </c>
      <c r="I238" s="20">
        <v>-2512</v>
      </c>
      <c r="J238" s="20">
        <v>1216.32</v>
      </c>
      <c r="K238" s="20">
        <v>327.64</v>
      </c>
      <c r="L238" s="83">
        <v>0</v>
      </c>
      <c r="M238" s="83">
        <v>0</v>
      </c>
      <c r="N238" s="83">
        <v>-112.37</v>
      </c>
      <c r="O238" s="83">
        <v>-7034.02</v>
      </c>
      <c r="P238" s="83">
        <v>3139.13</v>
      </c>
      <c r="Q238" s="83">
        <v>0</v>
      </c>
      <c r="R238" s="83">
        <v>0</v>
      </c>
      <c r="S238" s="83">
        <v>0</v>
      </c>
      <c r="T238" s="83">
        <v>0</v>
      </c>
      <c r="U238" s="83">
        <v>-716.68</v>
      </c>
      <c r="V238" s="83">
        <v>-733.84</v>
      </c>
      <c r="W238" s="83">
        <v>0</v>
      </c>
      <c r="X238" s="83">
        <v>2512</v>
      </c>
      <c r="Y238" s="83">
        <v>0</v>
      </c>
      <c r="Z238" s="83">
        <v>-2984.37</v>
      </c>
      <c r="AA238" s="31">
        <f t="shared" si="268"/>
        <v>-5817.7800000000007</v>
      </c>
      <c r="AB238" s="83">
        <v>240.62</v>
      </c>
      <c r="AC238" s="83">
        <v>448.65</v>
      </c>
      <c r="AD238" s="83">
        <v>931.13</v>
      </c>
      <c r="AE238" s="83">
        <v>0</v>
      </c>
      <c r="AF238" s="83">
        <v>0</v>
      </c>
      <c r="AG238" s="83">
        <v>-713.56</v>
      </c>
      <c r="AH238" s="83">
        <v>0</v>
      </c>
      <c r="AI238" s="83">
        <v>0</v>
      </c>
      <c r="AJ238" s="83">
        <v>0</v>
      </c>
      <c r="AK238" s="83">
        <v>446.01</v>
      </c>
      <c r="AL238" s="83">
        <v>78.150000000000006</v>
      </c>
      <c r="AM238" s="83">
        <v>218.01</v>
      </c>
      <c r="AN238" s="31">
        <f t="shared" si="269"/>
        <v>-4168.7700000000004</v>
      </c>
      <c r="AO238" s="83">
        <v>0</v>
      </c>
      <c r="AP238" s="83">
        <v>0</v>
      </c>
      <c r="AQ238" s="83">
        <v>2571.13</v>
      </c>
      <c r="AR238" s="83">
        <v>123</v>
      </c>
      <c r="AS238" s="83">
        <v>0</v>
      </c>
      <c r="AT238" s="83">
        <v>0</v>
      </c>
      <c r="AU238" s="83">
        <v>0</v>
      </c>
      <c r="BA238" s="31">
        <f t="shared" si="270"/>
        <v>-1474.6400000000003</v>
      </c>
    </row>
    <row r="239" spans="1:53" x14ac:dyDescent="0.2">
      <c r="B239" s="3" t="s">
        <v>1891</v>
      </c>
      <c r="AA239" s="31">
        <v>0</v>
      </c>
      <c r="AB239" s="31">
        <v>0</v>
      </c>
      <c r="AC239" s="31">
        <v>0</v>
      </c>
      <c r="AD239" s="31">
        <v>0</v>
      </c>
      <c r="AE239" s="31">
        <v>0</v>
      </c>
      <c r="AF239" s="31">
        <v>0</v>
      </c>
      <c r="AG239" s="31">
        <v>0</v>
      </c>
      <c r="AH239" s="31">
        <v>0</v>
      </c>
      <c r="AI239" s="31">
        <v>0</v>
      </c>
      <c r="AJ239" s="31">
        <v>0</v>
      </c>
      <c r="AK239" s="31">
        <v>0</v>
      </c>
      <c r="AL239" s="31">
        <v>0</v>
      </c>
      <c r="AM239" s="83">
        <v>-0.95</v>
      </c>
      <c r="AN239" s="31">
        <f t="shared" si="269"/>
        <v>-0.95</v>
      </c>
      <c r="AO239" s="83">
        <v>0.95</v>
      </c>
      <c r="AP239" s="83">
        <v>0</v>
      </c>
      <c r="AQ239" s="83">
        <v>0</v>
      </c>
      <c r="AR239" s="83">
        <v>0</v>
      </c>
      <c r="AS239" s="83">
        <v>0</v>
      </c>
      <c r="AT239" s="83">
        <v>0</v>
      </c>
      <c r="AU239" s="83">
        <v>0</v>
      </c>
      <c r="AV239" s="31"/>
      <c r="AW239" s="31"/>
      <c r="AX239" s="31"/>
      <c r="AY239" s="31"/>
      <c r="BA239" s="31">
        <f t="shared" si="270"/>
        <v>0</v>
      </c>
    </row>
    <row r="240" spans="1:53" x14ac:dyDescent="0.2">
      <c r="B240" s="3" t="s">
        <v>185</v>
      </c>
      <c r="C240" s="4">
        <v>-64696.23</v>
      </c>
      <c r="D240" s="20">
        <v>-18119.310000000001</v>
      </c>
      <c r="E240" s="20">
        <v>-13162.02</v>
      </c>
      <c r="F240" s="24">
        <v>-13580.49</v>
      </c>
      <c r="G240" s="24">
        <v>-9395.42</v>
      </c>
      <c r="H240" s="20">
        <v>-12896.75</v>
      </c>
      <c r="I240" s="20">
        <v>-14091.73</v>
      </c>
      <c r="J240" s="20">
        <v>-8789.69</v>
      </c>
      <c r="K240" s="20">
        <v>-11864.1</v>
      </c>
      <c r="L240" s="83">
        <v>-11982.6</v>
      </c>
      <c r="M240" s="83">
        <v>-10074.280000000001</v>
      </c>
      <c r="N240" s="83">
        <v>-3707.67</v>
      </c>
      <c r="O240" s="83">
        <v>-201107.57</v>
      </c>
      <c r="P240" s="83">
        <v>-10918.26</v>
      </c>
      <c r="Q240" s="83">
        <v>-10795.61</v>
      </c>
      <c r="R240" s="83">
        <v>-10795.61</v>
      </c>
      <c r="S240" s="83">
        <v>-5341.92</v>
      </c>
      <c r="T240" s="83">
        <v>-9246.0499999999993</v>
      </c>
      <c r="U240" s="83">
        <v>-8834.64</v>
      </c>
      <c r="V240" s="83">
        <v>-8452.5</v>
      </c>
      <c r="W240" s="83">
        <v>-4313.5600000000004</v>
      </c>
      <c r="X240" s="83">
        <v>-13942.45</v>
      </c>
      <c r="Y240" s="83">
        <v>-10063.35</v>
      </c>
      <c r="Z240" s="83">
        <v>-9675.6299999999992</v>
      </c>
      <c r="AA240" s="31">
        <f t="shared" ref="AA240:AA256" si="271">SUM(O240:Z240)</f>
        <v>-303487.14999999997</v>
      </c>
      <c r="AB240" s="83">
        <v>-4999.21</v>
      </c>
      <c r="AC240" s="83">
        <v>-9767.32</v>
      </c>
      <c r="AD240" s="83">
        <v>-5486.31</v>
      </c>
      <c r="AE240" s="83">
        <v>-5179.68</v>
      </c>
      <c r="AF240" s="83">
        <v>-5072.28</v>
      </c>
      <c r="AG240" s="83">
        <v>15748.15</v>
      </c>
      <c r="AH240" s="83">
        <v>-12004.63</v>
      </c>
      <c r="AI240" s="83">
        <v>-16248.08</v>
      </c>
      <c r="AJ240" s="83">
        <v>-11047.81</v>
      </c>
      <c r="AK240" s="83">
        <v>-10107.98</v>
      </c>
      <c r="AL240" s="83">
        <v>-9596.39</v>
      </c>
      <c r="AM240" s="83">
        <v>-8741.67</v>
      </c>
      <c r="AN240" s="31">
        <f t="shared" si="269"/>
        <v>-385990.36</v>
      </c>
      <c r="AO240" s="83">
        <v>-6508.89</v>
      </c>
      <c r="AP240" s="83">
        <v>-6037.93</v>
      </c>
      <c r="AQ240" s="83">
        <v>-5771.71</v>
      </c>
      <c r="AR240" s="83">
        <v>-5412.91</v>
      </c>
      <c r="AS240" s="83">
        <v>977.9</v>
      </c>
      <c r="AT240" s="83">
        <v>2414.13</v>
      </c>
      <c r="AU240" s="83">
        <v>2144.34</v>
      </c>
      <c r="BA240" s="31">
        <f t="shared" si="270"/>
        <v>-404185.42999999993</v>
      </c>
    </row>
    <row r="241" spans="2:53" x14ac:dyDescent="0.2">
      <c r="B241" s="3" t="s">
        <v>186</v>
      </c>
      <c r="C241" s="20">
        <v>-2556.2399999999998</v>
      </c>
      <c r="D241" s="20">
        <v>-2364.81</v>
      </c>
      <c r="E241" s="20">
        <v>0</v>
      </c>
      <c r="F241" s="24">
        <v>0</v>
      </c>
      <c r="G241" s="24">
        <v>0</v>
      </c>
      <c r="H241" s="20">
        <v>0</v>
      </c>
      <c r="I241" s="20">
        <v>0</v>
      </c>
      <c r="J241" s="20">
        <v>0</v>
      </c>
      <c r="K241" s="20">
        <v>-565.21</v>
      </c>
      <c r="L241" s="83">
        <v>0</v>
      </c>
      <c r="M241" s="83">
        <v>0</v>
      </c>
      <c r="N241" s="83">
        <v>-205.19</v>
      </c>
      <c r="O241" s="83">
        <v>-5691.45</v>
      </c>
      <c r="P241" s="83">
        <v>0</v>
      </c>
      <c r="Q241" s="83">
        <v>0</v>
      </c>
      <c r="R241" s="83">
        <v>2356.2399999999998</v>
      </c>
      <c r="S241" s="83">
        <v>2364.81</v>
      </c>
      <c r="T241" s="83">
        <v>0</v>
      </c>
      <c r="U241" s="83">
        <v>0</v>
      </c>
      <c r="V241" s="83">
        <v>0</v>
      </c>
      <c r="W241" s="83">
        <v>0</v>
      </c>
      <c r="X241" s="83">
        <v>-506.49</v>
      </c>
      <c r="Y241" s="83">
        <v>565.21</v>
      </c>
      <c r="Z241" s="83">
        <v>0</v>
      </c>
      <c r="AA241" s="31">
        <f t="shared" si="271"/>
        <v>-911.68000000000006</v>
      </c>
      <c r="AB241" s="83">
        <v>0</v>
      </c>
      <c r="AC241" s="83">
        <v>0</v>
      </c>
      <c r="AD241" s="83">
        <v>-1145.28</v>
      </c>
      <c r="AE241" s="83">
        <v>0</v>
      </c>
      <c r="AF241" s="83">
        <v>-876.05</v>
      </c>
      <c r="AG241" s="83">
        <v>0</v>
      </c>
      <c r="AH241" s="83">
        <v>0</v>
      </c>
      <c r="AI241" s="83">
        <v>69.14</v>
      </c>
      <c r="AJ241" s="83">
        <v>0</v>
      </c>
      <c r="AK241" s="83">
        <v>506.49</v>
      </c>
      <c r="AL241" s="83">
        <v>0</v>
      </c>
      <c r="AM241" s="83">
        <v>0</v>
      </c>
      <c r="AN241" s="31">
        <f t="shared" si="269"/>
        <v>-2357.38</v>
      </c>
      <c r="AO241" s="83">
        <v>876.05</v>
      </c>
      <c r="AP241" s="83">
        <v>0</v>
      </c>
      <c r="AQ241" s="83">
        <v>0</v>
      </c>
      <c r="AR241" s="83">
        <v>0</v>
      </c>
      <c r="AS241" s="83">
        <v>-14.25</v>
      </c>
      <c r="AT241" s="83">
        <v>14.25</v>
      </c>
      <c r="AU241" s="83">
        <v>0</v>
      </c>
      <c r="BA241" s="31">
        <f t="shared" si="270"/>
        <v>-1481.3300000000002</v>
      </c>
    </row>
    <row r="242" spans="2:53" x14ac:dyDescent="0.2">
      <c r="B242" s="3" t="s">
        <v>2042</v>
      </c>
      <c r="AA242" s="31"/>
      <c r="AN242" s="31">
        <v>0</v>
      </c>
      <c r="AO242" s="31">
        <v>0</v>
      </c>
      <c r="AP242" s="31">
        <v>0</v>
      </c>
      <c r="AQ242" s="31">
        <v>0</v>
      </c>
      <c r="AR242" s="31">
        <v>0</v>
      </c>
      <c r="AS242" s="31">
        <v>0</v>
      </c>
      <c r="AT242" s="31">
        <v>0</v>
      </c>
      <c r="AU242" s="83">
        <v>4140.92</v>
      </c>
      <c r="BA242" s="31">
        <f t="shared" si="270"/>
        <v>4140.92</v>
      </c>
    </row>
    <row r="243" spans="2:53" x14ac:dyDescent="0.2">
      <c r="B243" s="3" t="s">
        <v>1862</v>
      </c>
      <c r="Z243" s="83">
        <v>0</v>
      </c>
      <c r="AA243" s="31">
        <f t="shared" si="271"/>
        <v>0</v>
      </c>
      <c r="AB243" s="83">
        <v>0</v>
      </c>
      <c r="AC243" s="83">
        <v>-194.66</v>
      </c>
      <c r="AD243" s="83">
        <v>0</v>
      </c>
      <c r="AE243" s="83">
        <v>-187.27</v>
      </c>
      <c r="AF243" s="83">
        <v>0</v>
      </c>
      <c r="AG243" s="83">
        <v>-1556.8</v>
      </c>
      <c r="AH243" s="83">
        <v>-1168.9000000000001</v>
      </c>
      <c r="AI243" s="83">
        <v>-8275.73</v>
      </c>
      <c r="AJ243" s="83">
        <v>-739.19</v>
      </c>
      <c r="AK243" s="83">
        <v>857.76</v>
      </c>
      <c r="AL243" s="83">
        <v>-879.07</v>
      </c>
      <c r="AM243" s="83">
        <v>1834</v>
      </c>
      <c r="AN243" s="31">
        <f t="shared" si="269"/>
        <v>-10309.86</v>
      </c>
      <c r="AO243" s="83">
        <v>0</v>
      </c>
      <c r="AP243" s="83">
        <v>1834</v>
      </c>
      <c r="AQ243" s="83">
        <v>4957.34</v>
      </c>
      <c r="AR243" s="83">
        <v>748.65</v>
      </c>
      <c r="AS243" s="83">
        <v>732.72</v>
      </c>
      <c r="AT243" s="83">
        <v>513.08000000000004</v>
      </c>
      <c r="AU243" s="83">
        <v>997.24</v>
      </c>
      <c r="BA243" s="31">
        <f t="shared" si="270"/>
        <v>-526.83000000000015</v>
      </c>
    </row>
    <row r="244" spans="2:53" x14ac:dyDescent="0.2">
      <c r="B244" s="3" t="s">
        <v>187</v>
      </c>
      <c r="C244" s="20">
        <v>14.54</v>
      </c>
      <c r="D244" s="20">
        <v>0</v>
      </c>
      <c r="E244" s="20">
        <v>-7.41</v>
      </c>
      <c r="F244" s="24">
        <v>-7.13</v>
      </c>
      <c r="G244" s="24">
        <v>0</v>
      </c>
      <c r="H244" s="20">
        <v>96.75</v>
      </c>
      <c r="I244" s="20">
        <v>313.29000000000002</v>
      </c>
      <c r="J244" s="20">
        <v>-400.09</v>
      </c>
      <c r="K244" s="20">
        <v>12.78</v>
      </c>
      <c r="L244" s="83">
        <v>-22.73</v>
      </c>
      <c r="M244" s="83">
        <v>91.75</v>
      </c>
      <c r="N244" s="83">
        <v>7</v>
      </c>
      <c r="O244" s="83">
        <v>330.44</v>
      </c>
      <c r="P244" s="83">
        <v>47.43</v>
      </c>
      <c r="Q244" s="83">
        <v>-882.74</v>
      </c>
      <c r="R244" s="83">
        <v>-121.75</v>
      </c>
      <c r="S244" s="83">
        <v>390.67</v>
      </c>
      <c r="T244" s="83">
        <v>839.18</v>
      </c>
      <c r="U244" s="83">
        <v>-1243.51</v>
      </c>
      <c r="V244" s="83">
        <v>-14.06</v>
      </c>
      <c r="W244" s="83">
        <v>0</v>
      </c>
      <c r="X244" s="83">
        <v>-115.8</v>
      </c>
      <c r="Y244" s="83">
        <v>753.57</v>
      </c>
      <c r="Z244" s="83">
        <v>-696.62</v>
      </c>
      <c r="AA244" s="31">
        <f t="shared" si="271"/>
        <v>-713.18999999999983</v>
      </c>
      <c r="AB244" s="83">
        <v>177.2</v>
      </c>
      <c r="AC244" s="83">
        <v>528.66</v>
      </c>
      <c r="AD244" s="83">
        <v>0</v>
      </c>
      <c r="AE244" s="83">
        <v>0.9</v>
      </c>
      <c r="AF244" s="83">
        <v>-0.9</v>
      </c>
      <c r="AG244" s="83">
        <v>0.01</v>
      </c>
      <c r="AH244" s="83">
        <v>959.49</v>
      </c>
      <c r="AI244" s="83">
        <v>-1536.45</v>
      </c>
      <c r="AJ244" s="83">
        <v>691.59</v>
      </c>
      <c r="AK244" s="83">
        <v>-722.63</v>
      </c>
      <c r="AL244" s="83">
        <v>152.49</v>
      </c>
      <c r="AM244" s="83">
        <v>-268.83999999999997</v>
      </c>
      <c r="AN244" s="31">
        <f t="shared" si="269"/>
        <v>-731.66999999999985</v>
      </c>
      <c r="AO244" s="83">
        <v>1252.68</v>
      </c>
      <c r="AP244" s="83">
        <v>-1421.13</v>
      </c>
      <c r="AQ244" s="83">
        <v>990.26</v>
      </c>
      <c r="AR244" s="83">
        <v>-378.96</v>
      </c>
      <c r="AS244" s="83">
        <v>409.1</v>
      </c>
      <c r="AT244" s="83">
        <v>-641.6</v>
      </c>
      <c r="AU244" s="83">
        <v>-192.76</v>
      </c>
      <c r="BA244" s="31">
        <f t="shared" si="270"/>
        <v>-714.07999999999993</v>
      </c>
    </row>
    <row r="245" spans="2:53" x14ac:dyDescent="0.2">
      <c r="B245" s="3" t="s">
        <v>188</v>
      </c>
      <c r="C245" s="20">
        <v>-2422.25</v>
      </c>
      <c r="D245" s="20">
        <v>-287.56</v>
      </c>
      <c r="E245" s="20">
        <v>0</v>
      </c>
      <c r="F245" s="24">
        <v>0</v>
      </c>
      <c r="G245" s="24">
        <v>-229.83</v>
      </c>
      <c r="H245" s="20">
        <v>53.15</v>
      </c>
      <c r="I245" s="20">
        <v>0</v>
      </c>
      <c r="J245" s="20">
        <v>-263.68</v>
      </c>
      <c r="K245" s="20">
        <v>0</v>
      </c>
      <c r="L245" s="83">
        <v>0</v>
      </c>
      <c r="M245" s="83">
        <v>-235.42</v>
      </c>
      <c r="N245" s="83">
        <v>0</v>
      </c>
      <c r="O245" s="83">
        <v>-3385.59</v>
      </c>
      <c r="P245" s="83">
        <v>0</v>
      </c>
      <c r="Q245" s="83">
        <v>0</v>
      </c>
      <c r="R245" s="83">
        <v>-442.46</v>
      </c>
      <c r="S245" s="83">
        <v>-259.52999999999997</v>
      </c>
      <c r="T245" s="83">
        <v>0</v>
      </c>
      <c r="U245" s="83">
        <v>0</v>
      </c>
      <c r="V245" s="83">
        <v>-720.56</v>
      </c>
      <c r="W245" s="83">
        <v>0</v>
      </c>
      <c r="X245" s="83">
        <v>0</v>
      </c>
      <c r="Y245" s="83">
        <v>0</v>
      </c>
      <c r="Z245" s="83">
        <v>0</v>
      </c>
      <c r="AA245" s="31">
        <f t="shared" si="271"/>
        <v>-4808.1399999999994</v>
      </c>
      <c r="AB245" s="83">
        <v>0</v>
      </c>
      <c r="AC245" s="83">
        <v>0</v>
      </c>
      <c r="AD245" s="83">
        <v>0</v>
      </c>
      <c r="AE245" s="83">
        <v>12.72</v>
      </c>
      <c r="AF245" s="83">
        <v>0</v>
      </c>
      <c r="AG245" s="83">
        <v>0</v>
      </c>
      <c r="AH245" s="83">
        <v>0</v>
      </c>
      <c r="AI245" s="83">
        <v>0</v>
      </c>
      <c r="AJ245" s="83">
        <v>0</v>
      </c>
      <c r="AK245" s="83">
        <v>0</v>
      </c>
      <c r="AL245" s="83">
        <v>0</v>
      </c>
      <c r="AM245" s="83">
        <v>0</v>
      </c>
      <c r="AN245" s="31">
        <f t="shared" si="269"/>
        <v>-4795.4199999999992</v>
      </c>
      <c r="AO245" s="83">
        <v>0</v>
      </c>
      <c r="AP245" s="83">
        <v>0</v>
      </c>
      <c r="AQ245" s="83">
        <v>0</v>
      </c>
      <c r="AR245" s="83">
        <v>0</v>
      </c>
      <c r="AS245" s="83">
        <v>0</v>
      </c>
      <c r="AT245" s="83">
        <v>0</v>
      </c>
      <c r="AU245" s="83">
        <v>0</v>
      </c>
      <c r="BA245" s="31">
        <f t="shared" si="270"/>
        <v>-4795.4199999999992</v>
      </c>
    </row>
    <row r="246" spans="2:53" x14ac:dyDescent="0.2">
      <c r="B246" s="3" t="s">
        <v>189</v>
      </c>
      <c r="C246" s="4">
        <v>166.04</v>
      </c>
      <c r="D246" s="20">
        <v>-89.39</v>
      </c>
      <c r="E246" s="20">
        <v>0</v>
      </c>
      <c r="F246" s="24">
        <v>231.72</v>
      </c>
      <c r="G246" s="24">
        <v>-308.37</v>
      </c>
      <c r="H246" s="20">
        <v>0</v>
      </c>
      <c r="I246" s="20">
        <v>204.51</v>
      </c>
      <c r="J246" s="20">
        <v>-112.08</v>
      </c>
      <c r="K246" s="20">
        <v>0</v>
      </c>
      <c r="L246" s="83">
        <v>-92.43</v>
      </c>
      <c r="M246" s="83">
        <v>239.84</v>
      </c>
      <c r="N246" s="83">
        <v>-150.16</v>
      </c>
      <c r="O246" s="83">
        <v>459.41</v>
      </c>
      <c r="P246" s="83">
        <v>8.02</v>
      </c>
      <c r="Q246" s="83">
        <v>28.81</v>
      </c>
      <c r="R246" s="83">
        <v>70.03</v>
      </c>
      <c r="S246" s="83">
        <v>-203.75</v>
      </c>
      <c r="T246" s="83">
        <v>-159.58000000000001</v>
      </c>
      <c r="U246" s="83">
        <v>-73.13</v>
      </c>
      <c r="V246" s="83">
        <v>279.68</v>
      </c>
      <c r="W246" s="83">
        <v>0</v>
      </c>
      <c r="X246" s="83">
        <v>45.16</v>
      </c>
      <c r="Y246" s="83">
        <v>379.04</v>
      </c>
      <c r="Z246" s="83">
        <v>-791.27</v>
      </c>
      <c r="AA246" s="31">
        <f t="shared" si="271"/>
        <v>42.420000000000073</v>
      </c>
      <c r="AB246" s="83">
        <v>126.17</v>
      </c>
      <c r="AC246" s="83">
        <v>-162.13</v>
      </c>
      <c r="AD246" s="83">
        <v>56.29</v>
      </c>
      <c r="AE246" s="83">
        <v>0</v>
      </c>
      <c r="AF246" s="83">
        <v>144.62</v>
      </c>
      <c r="AG246" s="83">
        <v>90.96</v>
      </c>
      <c r="AH246" s="83">
        <v>-191.5</v>
      </c>
      <c r="AI246" s="83">
        <v>180.09</v>
      </c>
      <c r="AJ246" s="83">
        <v>34.21</v>
      </c>
      <c r="AK246" s="83">
        <v>-235.94</v>
      </c>
      <c r="AL246" s="83">
        <v>262.20999999999998</v>
      </c>
      <c r="AM246" s="83">
        <v>-125.7</v>
      </c>
      <c r="AN246" s="31">
        <f t="shared" si="269"/>
        <v>221.70000000000005</v>
      </c>
      <c r="AO246" s="83">
        <v>152.15</v>
      </c>
      <c r="AP246" s="83">
        <v>91.65</v>
      </c>
      <c r="AQ246" s="83">
        <v>-412.63</v>
      </c>
      <c r="AR246" s="83">
        <v>0</v>
      </c>
      <c r="AS246" s="83">
        <v>-337.72</v>
      </c>
      <c r="AT246" s="83">
        <v>692.62</v>
      </c>
      <c r="AU246" s="83">
        <v>0</v>
      </c>
      <c r="BA246" s="31">
        <f t="shared" si="270"/>
        <v>407.77</v>
      </c>
    </row>
    <row r="247" spans="2:53" x14ac:dyDescent="0.2">
      <c r="B247" s="3" t="s">
        <v>1811</v>
      </c>
      <c r="C247" s="4"/>
      <c r="O247" s="83">
        <v>33.94</v>
      </c>
      <c r="P247" s="83">
        <v>0</v>
      </c>
      <c r="Q247" s="83">
        <v>0</v>
      </c>
      <c r="R247" s="83">
        <v>0</v>
      </c>
      <c r="S247" s="83">
        <v>0</v>
      </c>
      <c r="T247" s="83">
        <v>0</v>
      </c>
      <c r="U247" s="83">
        <v>0</v>
      </c>
      <c r="V247" s="83">
        <v>0</v>
      </c>
      <c r="W247" s="83">
        <v>0</v>
      </c>
      <c r="X247" s="83">
        <v>0</v>
      </c>
      <c r="Y247" s="83">
        <v>-33.94</v>
      </c>
      <c r="Z247" s="83">
        <v>0</v>
      </c>
      <c r="AA247" s="31">
        <f t="shared" si="271"/>
        <v>0</v>
      </c>
      <c r="AB247" s="83">
        <v>0</v>
      </c>
      <c r="AC247" s="83">
        <v>0</v>
      </c>
      <c r="AD247" s="83">
        <v>0</v>
      </c>
      <c r="AE247" s="83">
        <v>0</v>
      </c>
      <c r="AF247" s="83">
        <v>0</v>
      </c>
      <c r="AG247" s="83">
        <v>0</v>
      </c>
      <c r="AH247" s="83">
        <v>0</v>
      </c>
      <c r="AI247" s="83">
        <v>0</v>
      </c>
      <c r="AJ247" s="83">
        <v>0</v>
      </c>
      <c r="AK247" s="83">
        <v>0</v>
      </c>
      <c r="AL247" s="83">
        <v>0</v>
      </c>
      <c r="AM247" s="83">
        <v>0</v>
      </c>
      <c r="AN247" s="31">
        <f t="shared" si="269"/>
        <v>0</v>
      </c>
      <c r="AO247" s="83">
        <v>0</v>
      </c>
      <c r="AP247" s="83">
        <v>0</v>
      </c>
      <c r="AQ247" s="83">
        <v>0</v>
      </c>
      <c r="AR247" s="83">
        <v>0</v>
      </c>
      <c r="AS247" s="83">
        <v>0</v>
      </c>
      <c r="AT247" s="83">
        <v>0</v>
      </c>
      <c r="AU247" s="83">
        <v>0</v>
      </c>
      <c r="BA247" s="31">
        <f t="shared" si="270"/>
        <v>0</v>
      </c>
    </row>
    <row r="248" spans="2:53" x14ac:dyDescent="0.2">
      <c r="B248" s="3" t="s">
        <v>190</v>
      </c>
      <c r="C248" s="20">
        <v>893.79</v>
      </c>
      <c r="D248" s="20">
        <v>-93.03</v>
      </c>
      <c r="E248" s="20">
        <v>731.63</v>
      </c>
      <c r="F248" s="24">
        <v>-163.19</v>
      </c>
      <c r="G248" s="24">
        <v>5.95</v>
      </c>
      <c r="H248" s="20">
        <v>-193.78</v>
      </c>
      <c r="I248" s="20">
        <v>-90.92</v>
      </c>
      <c r="J248" s="20">
        <v>211.5</v>
      </c>
      <c r="K248" s="20">
        <v>920.84</v>
      </c>
      <c r="L248" s="83">
        <v>-22.09</v>
      </c>
      <c r="M248" s="83">
        <v>-372.14</v>
      </c>
      <c r="N248" s="83">
        <v>-340.93</v>
      </c>
      <c r="O248" s="83">
        <v>1247.94</v>
      </c>
      <c r="P248" s="83">
        <v>-270.27999999999997</v>
      </c>
      <c r="Q248" s="83">
        <v>1114.28</v>
      </c>
      <c r="R248" s="83">
        <v>-357.28</v>
      </c>
      <c r="S248" s="83">
        <v>-439.58</v>
      </c>
      <c r="T248" s="83">
        <v>-44.85</v>
      </c>
      <c r="U248" s="83">
        <v>685.76</v>
      </c>
      <c r="V248" s="83">
        <v>-328.89</v>
      </c>
      <c r="W248" s="83">
        <v>-280.86</v>
      </c>
      <c r="X248" s="83">
        <v>-123.85</v>
      </c>
      <c r="Y248" s="83">
        <v>-247</v>
      </c>
      <c r="Z248" s="83">
        <v>-95.52</v>
      </c>
      <c r="AA248" s="31">
        <f t="shared" si="271"/>
        <v>859.87000000000035</v>
      </c>
      <c r="AB248" s="83">
        <v>-206.12</v>
      </c>
      <c r="AC248" s="83">
        <v>-124.8</v>
      </c>
      <c r="AD248" s="83">
        <v>-130.35</v>
      </c>
      <c r="AE248" s="83">
        <v>147.57</v>
      </c>
      <c r="AF248" s="83">
        <v>-224.78</v>
      </c>
      <c r="AG248" s="83">
        <v>-62.41</v>
      </c>
      <c r="AH248" s="83">
        <v>1127.3599999999999</v>
      </c>
      <c r="AI248" s="83">
        <v>680.4</v>
      </c>
      <c r="AJ248" s="83">
        <v>-664.32</v>
      </c>
      <c r="AK248" s="83">
        <v>1028.3599999999999</v>
      </c>
      <c r="AL248" s="83">
        <v>-390.51</v>
      </c>
      <c r="AM248" s="83">
        <v>207.42</v>
      </c>
      <c r="AN248" s="31">
        <f t="shared" si="269"/>
        <v>2247.6899999999996</v>
      </c>
      <c r="AO248" s="83">
        <v>-474.7</v>
      </c>
      <c r="AP248" s="83">
        <v>-411.22</v>
      </c>
      <c r="AQ248" s="83">
        <v>-421.85</v>
      </c>
      <c r="AR248" s="83">
        <v>435.81</v>
      </c>
      <c r="AS248" s="83">
        <v>-1.07</v>
      </c>
      <c r="AT248" s="83">
        <v>-296.3</v>
      </c>
      <c r="AU248" s="83">
        <v>-117.47</v>
      </c>
      <c r="BA248" s="31">
        <f t="shared" si="270"/>
        <v>960.88999999999965</v>
      </c>
    </row>
    <row r="249" spans="2:53" x14ac:dyDescent="0.2">
      <c r="B249" s="3" t="s">
        <v>191</v>
      </c>
      <c r="C249" s="4">
        <v>-253.07</v>
      </c>
      <c r="D249" s="20">
        <v>-85.63</v>
      </c>
      <c r="E249" s="20">
        <v>-55.5</v>
      </c>
      <c r="F249" s="24">
        <v>78.39</v>
      </c>
      <c r="G249" s="24">
        <v>0.47</v>
      </c>
      <c r="H249" s="20">
        <v>0</v>
      </c>
      <c r="I249" s="20">
        <v>0</v>
      </c>
      <c r="J249" s="20">
        <v>-87.07</v>
      </c>
      <c r="K249" s="20">
        <v>-259.81</v>
      </c>
      <c r="L249" s="83">
        <v>257.64999999999998</v>
      </c>
      <c r="M249" s="83">
        <v>-68.349999999999994</v>
      </c>
      <c r="N249" s="83">
        <v>-19.059999999999999</v>
      </c>
      <c r="O249" s="83">
        <v>-888.22</v>
      </c>
      <c r="P249" s="83">
        <v>-9.82</v>
      </c>
      <c r="Q249" s="83">
        <v>0</v>
      </c>
      <c r="R249" s="83">
        <v>-180.62</v>
      </c>
      <c r="S249" s="83">
        <v>448.31</v>
      </c>
      <c r="T249" s="83">
        <v>0</v>
      </c>
      <c r="U249" s="83">
        <v>62.13</v>
      </c>
      <c r="V249" s="83">
        <v>-291.73</v>
      </c>
      <c r="W249" s="83">
        <v>0</v>
      </c>
      <c r="X249" s="83">
        <v>-45.33</v>
      </c>
      <c r="Y249" s="83">
        <v>-332.76</v>
      </c>
      <c r="Z249" s="83">
        <v>833.47</v>
      </c>
      <c r="AA249" s="31">
        <f t="shared" si="271"/>
        <v>-404.57000000000016</v>
      </c>
      <c r="AB249" s="83">
        <v>-160.51</v>
      </c>
      <c r="AC249" s="83">
        <v>154.07</v>
      </c>
      <c r="AD249" s="83">
        <v>-55.9</v>
      </c>
      <c r="AE249" s="83">
        <v>0</v>
      </c>
      <c r="AF249" s="83">
        <v>-146.87</v>
      </c>
      <c r="AG249" s="83">
        <v>-29.71</v>
      </c>
      <c r="AH249" s="83">
        <v>235.02</v>
      </c>
      <c r="AI249" s="83">
        <v>-282.52999999999997</v>
      </c>
      <c r="AJ249" s="83">
        <v>-33.130000000000003</v>
      </c>
      <c r="AK249" s="83">
        <v>234.51</v>
      </c>
      <c r="AL249" s="83">
        <v>-147.53</v>
      </c>
      <c r="AM249" s="83">
        <v>125.28</v>
      </c>
      <c r="AN249" s="31">
        <f t="shared" si="269"/>
        <v>-511.87000000000023</v>
      </c>
      <c r="AO249" s="83">
        <v>-150.51</v>
      </c>
      <c r="AP249" s="83">
        <v>-91.47</v>
      </c>
      <c r="AQ249" s="83">
        <v>349.28</v>
      </c>
      <c r="AR249" s="83">
        <v>-58.27</v>
      </c>
      <c r="AS249" s="83">
        <v>76.62</v>
      </c>
      <c r="AT249" s="83">
        <v>-341</v>
      </c>
      <c r="AU249" s="83">
        <v>-379.4</v>
      </c>
      <c r="BA249" s="31">
        <f t="shared" si="270"/>
        <v>-1106.6200000000003</v>
      </c>
    </row>
    <row r="250" spans="2:53" x14ac:dyDescent="0.2">
      <c r="B250" s="3" t="s">
        <v>192</v>
      </c>
      <c r="C250" s="20">
        <v>19192.98</v>
      </c>
      <c r="D250" s="20">
        <v>-496.82</v>
      </c>
      <c r="E250" s="20">
        <v>-4329.29</v>
      </c>
      <c r="F250" s="24">
        <v>4269.29</v>
      </c>
      <c r="G250" s="24">
        <v>-4186.45</v>
      </c>
      <c r="H250" s="20">
        <v>1815.72</v>
      </c>
      <c r="I250" s="20">
        <v>1380.18</v>
      </c>
      <c r="J250" s="20">
        <v>-1910.85</v>
      </c>
      <c r="K250" s="20">
        <v>-2811.4</v>
      </c>
      <c r="L250" s="83">
        <v>1086.55</v>
      </c>
      <c r="M250" s="83">
        <v>5133.96</v>
      </c>
      <c r="N250" s="83">
        <v>1671.82</v>
      </c>
      <c r="O250" s="83">
        <v>24352.34</v>
      </c>
      <c r="P250" s="83">
        <v>-6557.09</v>
      </c>
      <c r="Q250" s="83">
        <v>5401.17</v>
      </c>
      <c r="R250" s="83">
        <v>-957.99</v>
      </c>
      <c r="S250" s="83">
        <v>8936.1</v>
      </c>
      <c r="T250" s="83">
        <v>53727.61</v>
      </c>
      <c r="U250" s="83">
        <v>16419.37</v>
      </c>
      <c r="V250" s="83">
        <v>18729.169999999998</v>
      </c>
      <c r="W250" s="83">
        <v>17272.599999999999</v>
      </c>
      <c r="X250" s="83">
        <v>25172.41</v>
      </c>
      <c r="Y250" s="83">
        <v>22903.19</v>
      </c>
      <c r="Z250" s="83">
        <v>18516.72</v>
      </c>
      <c r="AA250" s="31">
        <f t="shared" si="271"/>
        <v>203915.6</v>
      </c>
      <c r="AB250" s="83">
        <v>23536.46</v>
      </c>
      <c r="AC250" s="83">
        <v>25569.53</v>
      </c>
      <c r="AD250" s="83">
        <v>17272.43</v>
      </c>
      <c r="AE250" s="83">
        <v>21039.27</v>
      </c>
      <c r="AF250" s="83">
        <v>32094.63</v>
      </c>
      <c r="AG250" s="83">
        <v>18356.64</v>
      </c>
      <c r="AH250" s="83">
        <v>16975.919999999998</v>
      </c>
      <c r="AI250" s="83">
        <v>30625.62</v>
      </c>
      <c r="AJ250" s="83">
        <v>22741.89</v>
      </c>
      <c r="AK250" s="83">
        <v>28733.47</v>
      </c>
      <c r="AL250" s="83">
        <v>24362.83</v>
      </c>
      <c r="AM250" s="83">
        <v>22033.08</v>
      </c>
      <c r="AN250" s="31">
        <f t="shared" si="269"/>
        <v>487257.37000000011</v>
      </c>
      <c r="AO250" s="83">
        <v>18448.259999999998</v>
      </c>
      <c r="AP250" s="83">
        <v>62073.7</v>
      </c>
      <c r="AQ250" s="83">
        <v>55535.22</v>
      </c>
      <c r="AR250" s="83">
        <v>37039.78</v>
      </c>
      <c r="AS250" s="83">
        <v>37529.03</v>
      </c>
      <c r="AT250" s="83">
        <v>49476.66</v>
      </c>
      <c r="AU250" s="83">
        <v>41182.050000000003</v>
      </c>
      <c r="BA250" s="31">
        <f t="shared" si="270"/>
        <v>788542.07000000018</v>
      </c>
    </row>
    <row r="251" spans="2:53" x14ac:dyDescent="0.2">
      <c r="B251" s="3" t="s">
        <v>193</v>
      </c>
      <c r="C251" s="20">
        <v>246.42</v>
      </c>
      <c r="D251" s="20">
        <v>643.25</v>
      </c>
      <c r="E251" s="20">
        <v>324.81</v>
      </c>
      <c r="F251" s="24">
        <v>-558.74</v>
      </c>
      <c r="G251" s="24">
        <v>-488.1</v>
      </c>
      <c r="H251" s="20">
        <v>87.52</v>
      </c>
      <c r="I251" s="20">
        <v>1095.18</v>
      </c>
      <c r="J251" s="20">
        <v>102.7</v>
      </c>
      <c r="K251" s="20">
        <v>185.49</v>
      </c>
      <c r="L251" s="83">
        <v>-1187.45</v>
      </c>
      <c r="M251" s="83">
        <v>-260.08</v>
      </c>
      <c r="N251" s="83">
        <v>771.99</v>
      </c>
      <c r="O251" s="83">
        <v>2267.0100000000002</v>
      </c>
      <c r="P251" s="83">
        <v>752.69</v>
      </c>
      <c r="Q251" s="83">
        <v>-839.91</v>
      </c>
      <c r="R251" s="83">
        <v>196.08</v>
      </c>
      <c r="S251" s="83">
        <v>683.95</v>
      </c>
      <c r="T251" s="83">
        <v>-484.34</v>
      </c>
      <c r="U251" s="83">
        <v>-576.12</v>
      </c>
      <c r="V251" s="83">
        <v>795.93</v>
      </c>
      <c r="W251" s="83">
        <v>1317.64</v>
      </c>
      <c r="X251" s="83">
        <v>-708.47</v>
      </c>
      <c r="Y251" s="83">
        <v>-1205.76</v>
      </c>
      <c r="Z251" s="83">
        <v>-1193.03</v>
      </c>
      <c r="AA251" s="31">
        <f t="shared" si="271"/>
        <v>1005.6699999999998</v>
      </c>
      <c r="AB251" s="83">
        <v>-238.85</v>
      </c>
      <c r="AC251" s="83">
        <v>41.7</v>
      </c>
      <c r="AD251" s="83">
        <v>-228.05</v>
      </c>
      <c r="AE251" s="83">
        <v>414.26</v>
      </c>
      <c r="AF251" s="83">
        <v>-177.86</v>
      </c>
      <c r="AG251" s="83">
        <v>904.07</v>
      </c>
      <c r="AH251" s="83">
        <v>-361.34</v>
      </c>
      <c r="AI251" s="83">
        <v>382.2</v>
      </c>
      <c r="AJ251" s="83">
        <v>239.56</v>
      </c>
      <c r="AK251" s="83">
        <v>461.96</v>
      </c>
      <c r="AL251" s="83">
        <v>-397.37</v>
      </c>
      <c r="AM251" s="83">
        <v>-1347.54</v>
      </c>
      <c r="AN251" s="31">
        <f t="shared" si="269"/>
        <v>698.40999999999985</v>
      </c>
      <c r="AO251" s="83">
        <v>263.66000000000003</v>
      </c>
      <c r="AP251" s="83">
        <v>209.98</v>
      </c>
      <c r="AQ251" s="83">
        <v>-1065.08</v>
      </c>
      <c r="AR251" s="83">
        <v>789.8</v>
      </c>
      <c r="AS251" s="83">
        <v>233.62</v>
      </c>
      <c r="AT251" s="83">
        <v>755.04</v>
      </c>
      <c r="AU251" s="83">
        <v>-351.44</v>
      </c>
      <c r="BA251" s="31">
        <f t="shared" si="270"/>
        <v>1533.9899999999998</v>
      </c>
    </row>
    <row r="252" spans="2:53" x14ac:dyDescent="0.2">
      <c r="B252" s="3" t="s">
        <v>1817</v>
      </c>
      <c r="O252" s="83">
        <v>0</v>
      </c>
      <c r="P252" s="83">
        <v>0</v>
      </c>
      <c r="Q252" s="83">
        <v>633.99</v>
      </c>
      <c r="R252" s="83">
        <v>0</v>
      </c>
      <c r="S252" s="83">
        <v>0</v>
      </c>
      <c r="T252" s="83">
        <v>0</v>
      </c>
      <c r="U252" s="83">
        <v>0</v>
      </c>
      <c r="V252" s="83">
        <v>0</v>
      </c>
      <c r="W252" s="83">
        <v>0</v>
      </c>
      <c r="X252" s="83">
        <v>0</v>
      </c>
      <c r="Y252" s="83">
        <v>-633.99</v>
      </c>
      <c r="Z252" s="83">
        <v>532.51</v>
      </c>
      <c r="AA252" s="31">
        <f t="shared" si="271"/>
        <v>532.51</v>
      </c>
      <c r="AB252" s="83">
        <v>0</v>
      </c>
      <c r="AC252" s="83">
        <v>-532.51</v>
      </c>
      <c r="AD252" s="83">
        <v>0</v>
      </c>
      <c r="AE252" s="83">
        <v>0</v>
      </c>
      <c r="AF252" s="83">
        <v>0</v>
      </c>
      <c r="AG252" s="83">
        <v>0</v>
      </c>
      <c r="AH252" s="83">
        <v>0</v>
      </c>
      <c r="AI252" s="83">
        <v>0</v>
      </c>
      <c r="AJ252" s="83">
        <v>601.11</v>
      </c>
      <c r="AK252" s="83">
        <v>0</v>
      </c>
      <c r="AL252" s="83">
        <v>0</v>
      </c>
      <c r="AM252" s="83">
        <v>0</v>
      </c>
      <c r="AN252" s="31">
        <f t="shared" si="269"/>
        <v>601.11</v>
      </c>
      <c r="AO252" s="83">
        <v>0</v>
      </c>
      <c r="AP252" s="83">
        <v>0</v>
      </c>
      <c r="AQ252" s="83">
        <v>0</v>
      </c>
      <c r="AR252" s="83">
        <v>0</v>
      </c>
      <c r="AS252" s="83">
        <v>0</v>
      </c>
      <c r="AT252" s="83">
        <v>0</v>
      </c>
      <c r="AU252" s="83">
        <v>0</v>
      </c>
      <c r="BA252" s="31">
        <f t="shared" si="270"/>
        <v>601.11</v>
      </c>
    </row>
    <row r="253" spans="2:53" x14ac:dyDescent="0.2">
      <c r="B253" s="3" t="s">
        <v>194</v>
      </c>
      <c r="C253" s="20">
        <v>-23969.25</v>
      </c>
      <c r="D253" s="20">
        <v>0</v>
      </c>
      <c r="E253" s="20">
        <v>0</v>
      </c>
      <c r="F253" s="24">
        <v>0</v>
      </c>
      <c r="G253" s="24">
        <v>0</v>
      </c>
      <c r="H253" s="20">
        <v>58.02</v>
      </c>
      <c r="I253" s="20">
        <v>213.19</v>
      </c>
      <c r="J253" s="20">
        <v>0</v>
      </c>
      <c r="K253" s="20">
        <v>0</v>
      </c>
      <c r="L253" s="83">
        <v>17.989999999999998</v>
      </c>
      <c r="M253" s="83">
        <v>0</v>
      </c>
      <c r="N253" s="83">
        <v>0</v>
      </c>
      <c r="O253" s="83">
        <v>-23680.05</v>
      </c>
      <c r="P253" s="83">
        <v>16.079999999999998</v>
      </c>
      <c r="Q253" s="83">
        <v>5.93</v>
      </c>
      <c r="R253" s="83">
        <v>-275.89999999999998</v>
      </c>
      <c r="S253" s="83">
        <v>0.34</v>
      </c>
      <c r="T253" s="83">
        <v>-54.91</v>
      </c>
      <c r="U253" s="83">
        <v>-210.43</v>
      </c>
      <c r="V253" s="83">
        <v>0</v>
      </c>
      <c r="W253" s="83">
        <v>0</v>
      </c>
      <c r="X253" s="83">
        <v>-535.04</v>
      </c>
      <c r="Y253" s="83">
        <v>-158.46</v>
      </c>
      <c r="Z253" s="83">
        <v>0</v>
      </c>
      <c r="AA253" s="31">
        <f t="shared" si="271"/>
        <v>-24892.44</v>
      </c>
      <c r="AB253" s="83">
        <v>0</v>
      </c>
      <c r="AC253" s="83">
        <v>-264.43</v>
      </c>
      <c r="AD253" s="83">
        <v>0</v>
      </c>
      <c r="AE253" s="83">
        <v>-177.45</v>
      </c>
      <c r="AF253" s="83">
        <v>0</v>
      </c>
      <c r="AG253" s="83">
        <v>106.89</v>
      </c>
      <c r="AH253" s="83">
        <v>-513.15</v>
      </c>
      <c r="AI253" s="83">
        <v>-599.62</v>
      </c>
      <c r="AJ253" s="83">
        <v>0</v>
      </c>
      <c r="AK253" s="83">
        <v>-1395.48</v>
      </c>
      <c r="AL253" s="83">
        <v>-425.37</v>
      </c>
      <c r="AM253" s="83">
        <v>-931.18</v>
      </c>
      <c r="AN253" s="31">
        <f t="shared" si="269"/>
        <v>-29092.23</v>
      </c>
      <c r="AO253" s="83">
        <v>0</v>
      </c>
      <c r="AP253" s="83">
        <v>-60.61</v>
      </c>
      <c r="AQ253" s="83">
        <v>0</v>
      </c>
      <c r="AR253" s="83">
        <v>0</v>
      </c>
      <c r="AS253" s="83">
        <v>0</v>
      </c>
      <c r="AT253" s="83">
        <v>1745.05</v>
      </c>
      <c r="AU253" s="83">
        <v>1318.96</v>
      </c>
      <c r="BA253" s="31">
        <f t="shared" si="270"/>
        <v>-26088.83</v>
      </c>
    </row>
    <row r="254" spans="2:53" x14ac:dyDescent="0.2">
      <c r="B254" s="3" t="s">
        <v>195</v>
      </c>
      <c r="C254" s="20">
        <v>9002.8700000000008</v>
      </c>
      <c r="D254" s="20">
        <v>0</v>
      </c>
      <c r="E254" s="20">
        <v>0</v>
      </c>
      <c r="F254" s="24">
        <v>0</v>
      </c>
      <c r="G254" s="24">
        <v>0</v>
      </c>
      <c r="H254" s="20">
        <v>0</v>
      </c>
      <c r="I254" s="20">
        <v>0</v>
      </c>
      <c r="J254" s="20">
        <v>0</v>
      </c>
      <c r="K254" s="20">
        <v>0</v>
      </c>
      <c r="L254" s="83">
        <v>0</v>
      </c>
      <c r="M254" s="83">
        <v>0</v>
      </c>
      <c r="N254" s="83">
        <v>-279229.36</v>
      </c>
      <c r="O254" s="83">
        <v>-243293.88</v>
      </c>
      <c r="P254" s="83">
        <v>252296.75</v>
      </c>
      <c r="Q254" s="83">
        <v>0</v>
      </c>
      <c r="R254" s="83">
        <v>0</v>
      </c>
      <c r="S254" s="83">
        <v>0</v>
      </c>
      <c r="T254" s="83">
        <v>0</v>
      </c>
      <c r="U254" s="83">
        <v>-71025.149999999994</v>
      </c>
      <c r="V254" s="83">
        <v>71025.149999999994</v>
      </c>
      <c r="W254" s="83">
        <v>0</v>
      </c>
      <c r="X254" s="83">
        <v>0</v>
      </c>
      <c r="Y254" s="83">
        <v>0</v>
      </c>
      <c r="Z254" s="83">
        <v>-449135.85</v>
      </c>
      <c r="AA254" s="31">
        <f t="shared" si="271"/>
        <v>-440132.98</v>
      </c>
      <c r="AB254" s="83">
        <v>37924.01</v>
      </c>
      <c r="AC254" s="83">
        <v>41527.730000000003</v>
      </c>
      <c r="AD254" s="83">
        <v>295582.73</v>
      </c>
      <c r="AE254" s="83">
        <v>40225.99</v>
      </c>
      <c r="AF254" s="83">
        <v>-785.3</v>
      </c>
      <c r="AG254" s="83">
        <v>-146.88999999999999</v>
      </c>
      <c r="AH254" s="83">
        <v>-26853.279999999999</v>
      </c>
      <c r="AI254" s="83">
        <v>-69007.199999999997</v>
      </c>
      <c r="AJ254" s="83">
        <v>32105.45</v>
      </c>
      <c r="AK254" s="83">
        <v>-3541.1</v>
      </c>
      <c r="AL254" s="83">
        <v>-112501.43</v>
      </c>
      <c r="AM254" s="83">
        <v>-1701972.36</v>
      </c>
      <c r="AN254" s="31">
        <f t="shared" si="269"/>
        <v>-1907574.6300000001</v>
      </c>
      <c r="AO254" s="83">
        <v>76514.649999999994</v>
      </c>
      <c r="AP254" s="83">
        <v>-53809.73</v>
      </c>
      <c r="AQ254" s="83">
        <v>-20873.13</v>
      </c>
      <c r="AR254" s="83">
        <v>162806.65</v>
      </c>
      <c r="AS254" s="83">
        <v>70211.570000000007</v>
      </c>
      <c r="AT254" s="83">
        <v>8727.56</v>
      </c>
      <c r="AU254" s="83">
        <v>-2479.4299999999998</v>
      </c>
      <c r="BA254" s="31">
        <f t="shared" si="270"/>
        <v>-1666476.49</v>
      </c>
    </row>
    <row r="255" spans="2:53" x14ac:dyDescent="0.2">
      <c r="B255" s="3" t="s">
        <v>196</v>
      </c>
      <c r="C255" s="20">
        <v>-21449.54</v>
      </c>
      <c r="D255" s="20">
        <v>1986.86</v>
      </c>
      <c r="E255" s="20">
        <v>-2380.88</v>
      </c>
      <c r="F255" s="24">
        <v>-5716.45</v>
      </c>
      <c r="G255" s="24">
        <v>-19622.16</v>
      </c>
      <c r="H255" s="20">
        <v>7600.7</v>
      </c>
      <c r="I255" s="20">
        <v>9297.49</v>
      </c>
      <c r="J255" s="20">
        <v>10668.47</v>
      </c>
      <c r="K255" s="20">
        <v>2167.5</v>
      </c>
      <c r="L255" s="83">
        <v>7314.66</v>
      </c>
      <c r="M255" s="83">
        <v>-6106.91</v>
      </c>
      <c r="N255" s="83">
        <v>-1431.03</v>
      </c>
      <c r="O255" s="83">
        <v>-12054.38</v>
      </c>
      <c r="P255" s="83">
        <v>-945.01</v>
      </c>
      <c r="Q255" s="83">
        <v>1701.01</v>
      </c>
      <c r="R255" s="83">
        <v>3588.05</v>
      </c>
      <c r="S255" s="83">
        <v>-439.81</v>
      </c>
      <c r="T255" s="83">
        <v>1963.63</v>
      </c>
      <c r="U255" s="83">
        <v>688.06</v>
      </c>
      <c r="V255" s="83">
        <v>-8395.94</v>
      </c>
      <c r="W255" s="83">
        <v>-3305.89</v>
      </c>
      <c r="X255" s="83">
        <v>3212.71</v>
      </c>
      <c r="Y255" s="83">
        <v>-525.05999999999995</v>
      </c>
      <c r="Z255" s="83">
        <v>7057.56</v>
      </c>
      <c r="AA255" s="31">
        <f t="shared" si="271"/>
        <v>-7455.0699999999988</v>
      </c>
      <c r="AB255" s="83">
        <v>2274.7600000000002</v>
      </c>
      <c r="AC255" s="83">
        <v>2236.1799999999998</v>
      </c>
      <c r="AD255" s="83">
        <v>-559.82000000000005</v>
      </c>
      <c r="AE255" s="83">
        <v>2407.83</v>
      </c>
      <c r="AF255" s="83">
        <v>-3753.02</v>
      </c>
      <c r="AG255" s="83">
        <v>-702.01</v>
      </c>
      <c r="AH255" s="83">
        <v>2295.02</v>
      </c>
      <c r="AI255" s="83">
        <v>-2520.69</v>
      </c>
      <c r="AJ255" s="83">
        <v>4393.91</v>
      </c>
      <c r="AK255" s="83">
        <v>-226.22</v>
      </c>
      <c r="AL255" s="83">
        <v>351</v>
      </c>
      <c r="AM255" s="83">
        <v>567.01</v>
      </c>
      <c r="AN255" s="31">
        <f t="shared" si="269"/>
        <v>-691.11999999999989</v>
      </c>
      <c r="AO255" s="83">
        <v>729</v>
      </c>
      <c r="AP255" s="83">
        <v>-162.01</v>
      </c>
      <c r="AQ255" s="83">
        <v>-4945.49</v>
      </c>
      <c r="AR255" s="83">
        <v>5853.62</v>
      </c>
      <c r="AS255" s="83">
        <v>-4301.66</v>
      </c>
      <c r="AT255" s="83">
        <v>18772.36</v>
      </c>
      <c r="AU255" s="83">
        <v>1323</v>
      </c>
      <c r="BA255" s="31">
        <f t="shared" si="270"/>
        <v>16577.7</v>
      </c>
    </row>
    <row r="256" spans="2:53" s="105" customFormat="1" x14ac:dyDescent="0.2">
      <c r="B256" s="105" t="s">
        <v>143</v>
      </c>
      <c r="C256" s="110">
        <v>181202.73</v>
      </c>
      <c r="D256" s="110">
        <v>-49660.84</v>
      </c>
      <c r="E256" s="110">
        <v>43369.89</v>
      </c>
      <c r="F256" s="111">
        <v>73314.720000000001</v>
      </c>
      <c r="G256" s="111">
        <v>-99387.77</v>
      </c>
      <c r="H256" s="110">
        <v>-13758.59</v>
      </c>
      <c r="I256" s="110">
        <v>-54676</v>
      </c>
      <c r="J256" s="110">
        <v>15796.5</v>
      </c>
      <c r="K256" s="110">
        <v>-33790.11</v>
      </c>
      <c r="L256" s="112">
        <v>57091.77</v>
      </c>
      <c r="M256" s="112">
        <v>-56145.91</v>
      </c>
      <c r="N256" s="112">
        <v>74450.98</v>
      </c>
      <c r="O256" s="112">
        <v>88406.38</v>
      </c>
      <c r="P256" s="112">
        <v>48469.26</v>
      </c>
      <c r="Q256" s="112">
        <v>-61588.99</v>
      </c>
      <c r="R256" s="112">
        <v>43861.55</v>
      </c>
      <c r="S256" s="112">
        <v>31622.44</v>
      </c>
      <c r="T256" s="112">
        <v>-7196.63</v>
      </c>
      <c r="U256" s="112">
        <v>119008.08</v>
      </c>
      <c r="V256" s="112">
        <v>-120672.39</v>
      </c>
      <c r="W256" s="112">
        <v>71634.960000000006</v>
      </c>
      <c r="X256" s="112">
        <v>-6950.21</v>
      </c>
      <c r="Y256" s="112">
        <v>-141827.81</v>
      </c>
      <c r="Z256" s="112">
        <v>364862.14</v>
      </c>
      <c r="AA256" s="113">
        <f t="shared" si="271"/>
        <v>429628.78</v>
      </c>
      <c r="AB256" s="112">
        <v>-31261.919999999998</v>
      </c>
      <c r="AC256" s="83">
        <v>-37261.4</v>
      </c>
      <c r="AD256" s="83">
        <v>164411.79</v>
      </c>
      <c r="AE256" s="83">
        <v>-219557.09</v>
      </c>
      <c r="AF256" s="83">
        <v>-39513.879999999997</v>
      </c>
      <c r="AG256" s="83">
        <v>83288.789999999994</v>
      </c>
      <c r="AH256" s="83">
        <v>-139459.16</v>
      </c>
      <c r="AI256" s="83">
        <v>119794.65</v>
      </c>
      <c r="AJ256" s="83">
        <v>-207027.87</v>
      </c>
      <c r="AK256" s="83">
        <v>79942.399999999994</v>
      </c>
      <c r="AL256" s="83">
        <v>24981.21</v>
      </c>
      <c r="AM256" s="83">
        <v>160811.79</v>
      </c>
      <c r="AN256" s="113">
        <f t="shared" si="269"/>
        <v>388778.08999999997</v>
      </c>
      <c r="AO256" s="83">
        <v>-12549.86</v>
      </c>
      <c r="AP256" s="83">
        <v>-215252.46</v>
      </c>
      <c r="AQ256" s="83">
        <v>95965.25</v>
      </c>
      <c r="AR256" s="83">
        <v>58419.73</v>
      </c>
      <c r="AS256" s="83">
        <v>-113235.46</v>
      </c>
      <c r="AT256" s="83">
        <v>-54818.7</v>
      </c>
      <c r="AU256" s="83">
        <v>4118.92</v>
      </c>
      <c r="AV256" s="83"/>
      <c r="AW256" s="83"/>
      <c r="AX256" s="83"/>
      <c r="AY256" s="83"/>
      <c r="AZ256" s="83"/>
      <c r="BA256" s="31">
        <f t="shared" si="270"/>
        <v>151425.50999999998</v>
      </c>
    </row>
    <row r="257" spans="1:53" s="47" customFormat="1" ht="12" x14ac:dyDescent="0.2">
      <c r="A257" s="116"/>
      <c r="B257" s="48" t="s">
        <v>1599</v>
      </c>
      <c r="C257" s="49">
        <f t="shared" ref="C257:Z257" si="272">SUM(C231:C255)</f>
        <v>-240918.34</v>
      </c>
      <c r="D257" s="49">
        <f t="shared" si="272"/>
        <v>-165904.67000000004</v>
      </c>
      <c r="E257" s="49">
        <f t="shared" si="272"/>
        <v>-125098.52</v>
      </c>
      <c r="F257" s="49">
        <f t="shared" si="272"/>
        <v>189488.78000000003</v>
      </c>
      <c r="G257" s="49">
        <f t="shared" si="272"/>
        <v>130908.49000000002</v>
      </c>
      <c r="H257" s="49">
        <f t="shared" si="272"/>
        <v>-604357.18000000005</v>
      </c>
      <c r="I257" s="49">
        <f t="shared" si="272"/>
        <v>-42350.01</v>
      </c>
      <c r="J257" s="49">
        <f t="shared" si="272"/>
        <v>578515.64999999991</v>
      </c>
      <c r="K257" s="49">
        <f t="shared" si="272"/>
        <v>-233982.65</v>
      </c>
      <c r="L257" s="89">
        <f t="shared" si="272"/>
        <v>128695.39000000001</v>
      </c>
      <c r="M257" s="89">
        <f t="shared" si="272"/>
        <v>118199.70999999999</v>
      </c>
      <c r="N257" s="89">
        <f t="shared" si="272"/>
        <v>-436666.1</v>
      </c>
      <c r="O257" s="89">
        <f t="shared" si="272"/>
        <v>-836430.25000000012</v>
      </c>
      <c r="P257" s="89">
        <f t="shared" si="272"/>
        <v>203755.83</v>
      </c>
      <c r="Q257" s="89">
        <f t="shared" si="272"/>
        <v>183602.41</v>
      </c>
      <c r="R257" s="89">
        <f t="shared" si="272"/>
        <v>58659.079999999994</v>
      </c>
      <c r="S257" s="89">
        <f t="shared" si="272"/>
        <v>34998.470000000008</v>
      </c>
      <c r="T257" s="89">
        <f t="shared" si="272"/>
        <v>-257975.83000000007</v>
      </c>
      <c r="U257" s="89">
        <f t="shared" si="272"/>
        <v>167586.06999999998</v>
      </c>
      <c r="V257" s="89">
        <f t="shared" si="272"/>
        <v>183930.8</v>
      </c>
      <c r="W257" s="89">
        <f t="shared" si="272"/>
        <v>-67134.06</v>
      </c>
      <c r="X257" s="89">
        <f t="shared" si="272"/>
        <v>154600.47999999998</v>
      </c>
      <c r="Y257" s="89">
        <f t="shared" si="272"/>
        <v>-100483.87999999999</v>
      </c>
      <c r="Z257" s="89">
        <f t="shared" si="272"/>
        <v>-819368.80999999994</v>
      </c>
      <c r="AA257" s="89">
        <f t="shared" ref="AA257:AM257" si="273">SUM(AA231:AA256)</f>
        <v>-664630.90999999992</v>
      </c>
      <c r="AB257" s="89">
        <f t="shared" si="273"/>
        <v>91420.57</v>
      </c>
      <c r="AC257" s="89">
        <f t="shared" si="273"/>
        <v>199591.93</v>
      </c>
      <c r="AD257" s="89">
        <f t="shared" si="273"/>
        <v>293547.14</v>
      </c>
      <c r="AE257" s="89">
        <f t="shared" si="273"/>
        <v>84765.740000000078</v>
      </c>
      <c r="AF257" s="89">
        <f t="shared" si="273"/>
        <v>-51613.56</v>
      </c>
      <c r="AG257" s="89">
        <f t="shared" si="273"/>
        <v>139215.74999999997</v>
      </c>
      <c r="AH257" s="89">
        <f t="shared" si="273"/>
        <v>-146974.26999999999</v>
      </c>
      <c r="AI257" s="89">
        <f t="shared" si="273"/>
        <v>-54649.790000000037</v>
      </c>
      <c r="AJ257" s="89">
        <f t="shared" si="273"/>
        <v>155802.03000000003</v>
      </c>
      <c r="AK257" s="89">
        <f t="shared" si="273"/>
        <v>144007.07</v>
      </c>
      <c r="AL257" s="89">
        <f t="shared" si="273"/>
        <v>-121284.05000000002</v>
      </c>
      <c r="AM257" s="89">
        <f t="shared" si="273"/>
        <v>-1794817.98</v>
      </c>
      <c r="AN257" s="89">
        <f>SUM(AN231:AN256)</f>
        <v>-1725620.3300000005</v>
      </c>
      <c r="AO257" s="89">
        <f t="shared" ref="AO257:AU257" si="274">SUM(AO231:AO256)</f>
        <v>102088.5</v>
      </c>
      <c r="AP257" s="89">
        <f t="shared" si="274"/>
        <v>-25154.170000000013</v>
      </c>
      <c r="AQ257" s="89">
        <f t="shared" si="274"/>
        <v>-71249.979999999952</v>
      </c>
      <c r="AR257" s="89">
        <f t="shared" si="274"/>
        <v>332189.70999999996</v>
      </c>
      <c r="AS257" s="89">
        <f t="shared" si="274"/>
        <v>172710.22999999998</v>
      </c>
      <c r="AT257" s="89">
        <f t="shared" si="274"/>
        <v>30467.23000000001</v>
      </c>
      <c r="AU257" s="89">
        <f t="shared" si="274"/>
        <v>109189.09</v>
      </c>
      <c r="AV257" s="89">
        <f t="shared" ref="AV257" si="275">SUM(AV231:AV256)</f>
        <v>0</v>
      </c>
      <c r="AW257" s="89">
        <f t="shared" ref="AW257" si="276">SUM(AW231:AW256)</f>
        <v>0</v>
      </c>
      <c r="AX257" s="89">
        <f t="shared" ref="AX257" si="277">SUM(AX231:AX256)</f>
        <v>0</v>
      </c>
      <c r="AY257" s="89">
        <f t="shared" ref="AY257" si="278">SUM(AY231:AY256)</f>
        <v>0</v>
      </c>
      <c r="AZ257" s="89">
        <f t="shared" ref="AZ257" si="279">SUM(AZ231:AZ256)</f>
        <v>0</v>
      </c>
      <c r="BA257" s="89">
        <f t="shared" ref="BA257" si="280">SUM(BA231:BA256)</f>
        <v>-1075379.7199999997</v>
      </c>
    </row>
    <row r="258" spans="1:53" s="9" customFormat="1" ht="12.75" x14ac:dyDescent="0.2">
      <c r="A258" s="115"/>
      <c r="B258" s="13" t="s">
        <v>1600</v>
      </c>
      <c r="C258" s="45">
        <f t="shared" ref="C258:AK258" si="281">C213+C223+C226+C230+C257</f>
        <v>-3013068.65</v>
      </c>
      <c r="D258" s="45">
        <f t="shared" si="281"/>
        <v>-154823.38000000003</v>
      </c>
      <c r="E258" s="45">
        <f t="shared" si="281"/>
        <v>-59394.50999999998</v>
      </c>
      <c r="F258" s="45">
        <f t="shared" si="281"/>
        <v>337287.55</v>
      </c>
      <c r="G258" s="45">
        <f t="shared" si="281"/>
        <v>167782.87000000002</v>
      </c>
      <c r="H258" s="45">
        <f t="shared" si="281"/>
        <v>-634809.39</v>
      </c>
      <c r="I258" s="45">
        <f t="shared" si="281"/>
        <v>-80673.72</v>
      </c>
      <c r="J258" s="45">
        <f t="shared" si="281"/>
        <v>563934.74999999988</v>
      </c>
      <c r="K258" s="45">
        <f t="shared" si="281"/>
        <v>-216826.22999999998</v>
      </c>
      <c r="L258" s="90">
        <f t="shared" si="281"/>
        <v>150755.97000000003</v>
      </c>
      <c r="M258" s="90">
        <f t="shared" si="281"/>
        <v>-12033.410000000033</v>
      </c>
      <c r="N258" s="90">
        <f t="shared" si="281"/>
        <v>-501327.67</v>
      </c>
      <c r="O258" s="90">
        <f t="shared" si="281"/>
        <v>-3548633.9</v>
      </c>
      <c r="P258" s="90">
        <f t="shared" si="281"/>
        <v>140501.47999999998</v>
      </c>
      <c r="Q258" s="90">
        <f t="shared" si="281"/>
        <v>319458.25</v>
      </c>
      <c r="R258" s="90">
        <f t="shared" si="281"/>
        <v>256726.25999999998</v>
      </c>
      <c r="S258" s="90">
        <f t="shared" si="281"/>
        <v>-13039.399999999994</v>
      </c>
      <c r="T258" s="90">
        <f t="shared" si="281"/>
        <v>-272970.64000000007</v>
      </c>
      <c r="U258" s="90">
        <f t="shared" si="281"/>
        <v>103204.37999999998</v>
      </c>
      <c r="V258" s="90">
        <f t="shared" si="281"/>
        <v>-36544.010000000009</v>
      </c>
      <c r="W258" s="90">
        <f t="shared" si="281"/>
        <v>-187205.07</v>
      </c>
      <c r="X258" s="90">
        <f t="shared" si="281"/>
        <v>238661.76999999996</v>
      </c>
      <c r="Y258" s="90">
        <f t="shared" si="281"/>
        <v>-108672.73</v>
      </c>
      <c r="Z258" s="90">
        <f t="shared" si="281"/>
        <v>-770982.91999999993</v>
      </c>
      <c r="AA258" s="90">
        <f t="shared" si="281"/>
        <v>-3449867.75</v>
      </c>
      <c r="AB258" s="90">
        <f t="shared" si="281"/>
        <v>145200.14000000001</v>
      </c>
      <c r="AC258" s="90">
        <f t="shared" si="281"/>
        <v>237625.65</v>
      </c>
      <c r="AD258" s="90">
        <f t="shared" si="281"/>
        <v>404204.66000000003</v>
      </c>
      <c r="AE258" s="90">
        <f t="shared" si="281"/>
        <v>233391.16000000006</v>
      </c>
      <c r="AF258" s="90">
        <f t="shared" si="281"/>
        <v>-188388.91999999998</v>
      </c>
      <c r="AG258" s="90">
        <f t="shared" si="281"/>
        <v>74890.079999999958</v>
      </c>
      <c r="AH258" s="90">
        <f t="shared" si="281"/>
        <v>-146590.75</v>
      </c>
      <c r="AI258" s="90">
        <f t="shared" si="281"/>
        <v>-104079.85000000003</v>
      </c>
      <c r="AJ258" s="90">
        <f t="shared" si="281"/>
        <v>156421.18000000002</v>
      </c>
      <c r="AK258" s="90">
        <f t="shared" si="281"/>
        <v>85836.05</v>
      </c>
      <c r="AL258" s="90">
        <f t="shared" ref="AL258:AM258" si="282">AL213+AL223+AL226+AL230+AL257</f>
        <v>-147286.32</v>
      </c>
      <c r="AM258" s="90">
        <f t="shared" si="282"/>
        <v>-1825622.6199999999</v>
      </c>
      <c r="AN258" s="90">
        <f>AN213+AN223+AN226+AN230+AN257</f>
        <v>-4524267.290000001</v>
      </c>
      <c r="AO258" s="90">
        <f t="shared" ref="AO258:AU258" si="283">AO213+AO223+AO226+AO230+AO257</f>
        <v>79365.540000000008</v>
      </c>
      <c r="AP258" s="90">
        <f t="shared" si="283"/>
        <v>-44204.910000000018</v>
      </c>
      <c r="AQ258" s="90">
        <f t="shared" si="283"/>
        <v>62225.120000000024</v>
      </c>
      <c r="AR258" s="90">
        <f t="shared" si="283"/>
        <v>364144.44999999995</v>
      </c>
      <c r="AS258" s="90">
        <f t="shared" si="283"/>
        <v>293108.38999999996</v>
      </c>
      <c r="AT258" s="90">
        <f t="shared" si="283"/>
        <v>-9732.2699999999822</v>
      </c>
      <c r="AU258" s="90">
        <f t="shared" si="283"/>
        <v>95312.56</v>
      </c>
      <c r="AV258" s="90">
        <f t="shared" ref="AV258" si="284">AV213+AV223+AV226+AV230+AV257</f>
        <v>0</v>
      </c>
      <c r="AW258" s="90">
        <f t="shared" ref="AW258" si="285">AW213+AW223+AW226+AW230+AW257</f>
        <v>0</v>
      </c>
      <c r="AX258" s="90">
        <f t="shared" ref="AX258:AZ258" si="286">AX213+AX223+AX226+AX230+AX257</f>
        <v>0</v>
      </c>
      <c r="AY258" s="90">
        <f t="shared" si="286"/>
        <v>0</v>
      </c>
      <c r="AZ258" s="90">
        <f t="shared" si="286"/>
        <v>0</v>
      </c>
      <c r="BA258" s="90">
        <f>BA213+BA223+BA226+BA230+BA257</f>
        <v>-3684048.4099999997</v>
      </c>
    </row>
    <row r="259" spans="1:53" x14ac:dyDescent="0.2">
      <c r="B259" s="3" t="s">
        <v>199</v>
      </c>
      <c r="C259" s="20">
        <v>1085505.9099999999</v>
      </c>
      <c r="D259" s="20">
        <v>-1034343.33</v>
      </c>
      <c r="E259" s="20">
        <v>-151958.26</v>
      </c>
      <c r="F259" s="24">
        <v>88183.13</v>
      </c>
      <c r="G259" s="24">
        <v>-24746.29</v>
      </c>
      <c r="H259" s="20">
        <v>-68897.899999999994</v>
      </c>
      <c r="I259" s="20">
        <v>54220.92</v>
      </c>
      <c r="J259" s="20">
        <v>-238040.39</v>
      </c>
      <c r="K259" s="20">
        <v>94205.49</v>
      </c>
      <c r="L259" s="83">
        <v>-52829.120000000003</v>
      </c>
      <c r="M259" s="83">
        <v>7849.13</v>
      </c>
      <c r="N259" s="83">
        <v>-152327.41</v>
      </c>
      <c r="O259" s="83">
        <v>-480509.7</v>
      </c>
      <c r="P259" s="83">
        <v>26720.720000000001</v>
      </c>
      <c r="Q259" s="83">
        <v>-58268.36</v>
      </c>
      <c r="R259" s="83">
        <v>84571.47</v>
      </c>
      <c r="S259" s="83">
        <v>-81662.02</v>
      </c>
      <c r="T259" s="83">
        <v>107820.39</v>
      </c>
      <c r="U259" s="83">
        <v>-87500.77</v>
      </c>
      <c r="V259" s="83">
        <v>-6759.41</v>
      </c>
      <c r="W259" s="83">
        <v>-118053.32</v>
      </c>
      <c r="X259" s="83">
        <v>-22887.25</v>
      </c>
      <c r="Y259" s="83">
        <v>72343.789999999994</v>
      </c>
      <c r="Z259" s="83">
        <v>-56215.07</v>
      </c>
      <c r="AA259" s="31">
        <f>SUM(O259:Z259)</f>
        <v>-620399.52999999991</v>
      </c>
      <c r="AB259" s="83">
        <v>-91939.45</v>
      </c>
      <c r="AC259" s="83">
        <v>-58629.22</v>
      </c>
      <c r="AD259" s="83">
        <v>-43678.91</v>
      </c>
      <c r="AE259" s="83">
        <v>-7542.18</v>
      </c>
      <c r="AF259" s="83">
        <v>-74097.55</v>
      </c>
      <c r="AG259" s="83">
        <v>-39281.56</v>
      </c>
      <c r="AH259" s="83">
        <v>132973.49</v>
      </c>
      <c r="AI259" s="83">
        <v>-23105.61</v>
      </c>
      <c r="AJ259" s="83">
        <v>-61373.919999999998</v>
      </c>
      <c r="AK259" s="83">
        <v>-59076.480000000003</v>
      </c>
      <c r="AL259" s="83">
        <v>49945.51</v>
      </c>
      <c r="AM259" s="83">
        <v>15629.25</v>
      </c>
      <c r="AN259" s="31">
        <f>SUM(AA259:AM259)</f>
        <v>-880576.15999999992</v>
      </c>
      <c r="AO259" s="83">
        <v>53960.89</v>
      </c>
      <c r="AP259" s="83">
        <v>-60750.26</v>
      </c>
      <c r="AQ259" s="83">
        <v>-5740.78</v>
      </c>
      <c r="AR259" s="83">
        <v>204498.61</v>
      </c>
      <c r="AS259" s="83">
        <v>-67821.2</v>
      </c>
      <c r="AT259" s="83">
        <v>172329.45</v>
      </c>
      <c r="AU259" s="83">
        <v>-10053.84</v>
      </c>
      <c r="BA259" s="31">
        <f>SUM(AN259:AZ259)</f>
        <v>-594153.28999999992</v>
      </c>
    </row>
    <row r="260" spans="1:53" s="34" customFormat="1" ht="12" x14ac:dyDescent="0.2">
      <c r="A260" s="116"/>
      <c r="B260" s="35" t="s">
        <v>1629</v>
      </c>
      <c r="C260" s="36">
        <f t="shared" ref="C260:AM260" si="287">SUM(C259)</f>
        <v>1085505.9099999999</v>
      </c>
      <c r="D260" s="36">
        <f t="shared" si="287"/>
        <v>-1034343.33</v>
      </c>
      <c r="E260" s="36">
        <f t="shared" si="287"/>
        <v>-151958.26</v>
      </c>
      <c r="F260" s="36">
        <f t="shared" si="287"/>
        <v>88183.13</v>
      </c>
      <c r="G260" s="36">
        <f t="shared" si="287"/>
        <v>-24746.29</v>
      </c>
      <c r="H260" s="36">
        <f t="shared" si="287"/>
        <v>-68897.899999999994</v>
      </c>
      <c r="I260" s="36">
        <f t="shared" si="287"/>
        <v>54220.92</v>
      </c>
      <c r="J260" s="36">
        <f t="shared" si="287"/>
        <v>-238040.39</v>
      </c>
      <c r="K260" s="36">
        <f t="shared" si="287"/>
        <v>94205.49</v>
      </c>
      <c r="L260" s="85">
        <f t="shared" si="287"/>
        <v>-52829.120000000003</v>
      </c>
      <c r="M260" s="85">
        <f t="shared" si="287"/>
        <v>7849.13</v>
      </c>
      <c r="N260" s="85">
        <f t="shared" si="287"/>
        <v>-152327.41</v>
      </c>
      <c r="O260" s="85">
        <f t="shared" si="287"/>
        <v>-480509.7</v>
      </c>
      <c r="P260" s="85">
        <f t="shared" si="287"/>
        <v>26720.720000000001</v>
      </c>
      <c r="Q260" s="85">
        <f t="shared" si="287"/>
        <v>-58268.36</v>
      </c>
      <c r="R260" s="85">
        <f t="shared" si="287"/>
        <v>84571.47</v>
      </c>
      <c r="S260" s="85">
        <f t="shared" si="287"/>
        <v>-81662.02</v>
      </c>
      <c r="T260" s="85">
        <f t="shared" si="287"/>
        <v>107820.39</v>
      </c>
      <c r="U260" s="85">
        <f t="shared" si="287"/>
        <v>-87500.77</v>
      </c>
      <c r="V260" s="85">
        <f t="shared" si="287"/>
        <v>-6759.41</v>
      </c>
      <c r="W260" s="85">
        <f t="shared" si="287"/>
        <v>-118053.32</v>
      </c>
      <c r="X260" s="85">
        <f t="shared" si="287"/>
        <v>-22887.25</v>
      </c>
      <c r="Y260" s="85">
        <f t="shared" si="287"/>
        <v>72343.789999999994</v>
      </c>
      <c r="Z260" s="85">
        <f t="shared" si="287"/>
        <v>-56215.07</v>
      </c>
      <c r="AA260" s="85">
        <f t="shared" si="287"/>
        <v>-620399.52999999991</v>
      </c>
      <c r="AB260" s="85">
        <f t="shared" si="287"/>
        <v>-91939.45</v>
      </c>
      <c r="AC260" s="85">
        <f t="shared" si="287"/>
        <v>-58629.22</v>
      </c>
      <c r="AD260" s="85">
        <f t="shared" si="287"/>
        <v>-43678.91</v>
      </c>
      <c r="AE260" s="85">
        <f t="shared" si="287"/>
        <v>-7542.18</v>
      </c>
      <c r="AF260" s="85">
        <f t="shared" si="287"/>
        <v>-74097.55</v>
      </c>
      <c r="AG260" s="85">
        <f t="shared" si="287"/>
        <v>-39281.56</v>
      </c>
      <c r="AH260" s="85">
        <f t="shared" si="287"/>
        <v>132973.49</v>
      </c>
      <c r="AI260" s="85">
        <f t="shared" si="287"/>
        <v>-23105.61</v>
      </c>
      <c r="AJ260" s="85">
        <f t="shared" si="287"/>
        <v>-61373.919999999998</v>
      </c>
      <c r="AK260" s="85">
        <f t="shared" si="287"/>
        <v>-59076.480000000003</v>
      </c>
      <c r="AL260" s="85">
        <f t="shared" si="287"/>
        <v>49945.51</v>
      </c>
      <c r="AM260" s="85">
        <f t="shared" si="287"/>
        <v>15629.25</v>
      </c>
      <c r="AN260" s="129">
        <f>SUM(AN259)</f>
        <v>-880576.15999999992</v>
      </c>
      <c r="AO260" s="85">
        <f t="shared" ref="AO260:AU260" si="288">SUM(AO259)</f>
        <v>53960.89</v>
      </c>
      <c r="AP260" s="85">
        <f t="shared" si="288"/>
        <v>-60750.26</v>
      </c>
      <c r="AQ260" s="85">
        <f t="shared" si="288"/>
        <v>-5740.78</v>
      </c>
      <c r="AR260" s="85">
        <f t="shared" si="288"/>
        <v>204498.61</v>
      </c>
      <c r="AS260" s="85">
        <f t="shared" si="288"/>
        <v>-67821.2</v>
      </c>
      <c r="AT260" s="85">
        <f t="shared" si="288"/>
        <v>172329.45</v>
      </c>
      <c r="AU260" s="85">
        <f t="shared" si="288"/>
        <v>-10053.84</v>
      </c>
      <c r="AV260" s="85">
        <f t="shared" ref="AV260" si="289">SUM(AV259)</f>
        <v>0</v>
      </c>
      <c r="AW260" s="85">
        <f t="shared" ref="AW260" si="290">SUM(AW259)</f>
        <v>0</v>
      </c>
      <c r="AX260" s="85">
        <f t="shared" ref="AX260" si="291">SUM(AX259)</f>
        <v>0</v>
      </c>
      <c r="AY260" s="85">
        <f t="shared" ref="AY260" si="292">SUM(AY259)</f>
        <v>0</v>
      </c>
      <c r="AZ260" s="85">
        <f t="shared" ref="AZ260" si="293">SUM(AZ259)</f>
        <v>0</v>
      </c>
      <c r="BA260" s="129">
        <f t="shared" ref="BA260" si="294">SUM(BA259)</f>
        <v>-594153.28999999992</v>
      </c>
    </row>
    <row r="261" spans="1:53" x14ac:dyDescent="0.2">
      <c r="B261" s="3" t="s">
        <v>206</v>
      </c>
      <c r="C261" s="4">
        <v>-181.75</v>
      </c>
      <c r="D261" s="20">
        <v>181.75</v>
      </c>
      <c r="E261" s="20">
        <v>0</v>
      </c>
      <c r="F261" s="24">
        <v>0</v>
      </c>
      <c r="G261" s="24">
        <v>-16163.97</v>
      </c>
      <c r="H261" s="20">
        <v>0</v>
      </c>
      <c r="I261" s="20">
        <v>16163.97</v>
      </c>
      <c r="J261" s="20">
        <v>-19093.900000000001</v>
      </c>
      <c r="K261" s="20">
        <v>19093.900000000001</v>
      </c>
      <c r="L261" s="83">
        <v>-14.63</v>
      </c>
      <c r="M261" s="83">
        <v>-809968.37</v>
      </c>
      <c r="N261" s="83">
        <v>783834.56</v>
      </c>
      <c r="O261" s="83">
        <v>0</v>
      </c>
      <c r="P261" s="83">
        <v>-2809.59</v>
      </c>
      <c r="Q261" s="83">
        <v>0</v>
      </c>
      <c r="R261" s="83">
        <v>-102.88</v>
      </c>
      <c r="S261" s="83">
        <v>-899897.12</v>
      </c>
      <c r="T261" s="83">
        <v>902809.59</v>
      </c>
      <c r="U261" s="83">
        <v>-6617.86</v>
      </c>
      <c r="V261" s="83">
        <v>27.22</v>
      </c>
      <c r="W261" s="83">
        <v>-824.17</v>
      </c>
      <c r="X261" s="83">
        <v>-9486.74</v>
      </c>
      <c r="Y261" s="83">
        <v>-28555.35</v>
      </c>
      <c r="Z261" s="83">
        <v>26728.65</v>
      </c>
      <c r="AA261" s="31">
        <f t="shared" ref="AA261:AA268" si="295">SUM(O261:Z261)</f>
        <v>-18728.249999999993</v>
      </c>
      <c r="AB261" s="83">
        <v>-1523.95</v>
      </c>
      <c r="AC261" s="83">
        <v>19162.419999999998</v>
      </c>
      <c r="AD261" s="83">
        <v>-415.15</v>
      </c>
      <c r="AE261" s="83">
        <v>1087.25</v>
      </c>
      <c r="AF261" s="83">
        <v>204.42</v>
      </c>
      <c r="AG261" s="83">
        <v>-1182.8599999999999</v>
      </c>
      <c r="AH261" s="83">
        <v>1327.61</v>
      </c>
      <c r="AI261" s="83">
        <v>-2767.43</v>
      </c>
      <c r="AJ261" s="83">
        <v>1389.72</v>
      </c>
      <c r="AK261" s="83">
        <v>0</v>
      </c>
      <c r="AL261" s="83">
        <v>270.43</v>
      </c>
      <c r="AM261" s="83">
        <v>292.43</v>
      </c>
      <c r="AN261" s="31">
        <f t="shared" ref="AN261:AN268" si="296">SUM(AA261:AM261)</f>
        <v>-883.3599999999949</v>
      </c>
      <c r="AO261" s="83">
        <v>-708.69</v>
      </c>
      <c r="AP261" s="83">
        <v>1523.54</v>
      </c>
      <c r="AQ261" s="83">
        <v>-229.91</v>
      </c>
      <c r="AR261" s="83">
        <v>-591.57000000000005</v>
      </c>
      <c r="AS261" s="83">
        <v>-837.4</v>
      </c>
      <c r="AT261" s="83">
        <v>1151.5</v>
      </c>
      <c r="AU261" s="83">
        <v>0</v>
      </c>
      <c r="BA261" s="31">
        <f t="shared" ref="BA261:BA268" si="297">SUM(AN261:AZ261)</f>
        <v>-575.88999999999487</v>
      </c>
    </row>
    <row r="262" spans="1:53" x14ac:dyDescent="0.2">
      <c r="B262" s="3" t="s">
        <v>207</v>
      </c>
      <c r="C262" s="4">
        <v>-7.37</v>
      </c>
      <c r="D262" s="20">
        <v>7.37</v>
      </c>
      <c r="E262" s="20">
        <v>0</v>
      </c>
      <c r="F262" s="24">
        <v>0</v>
      </c>
      <c r="G262" s="24">
        <v>36.78</v>
      </c>
      <c r="H262" s="20">
        <v>60.36</v>
      </c>
      <c r="I262" s="20">
        <v>-97.14</v>
      </c>
      <c r="J262" s="20">
        <v>-99.98</v>
      </c>
      <c r="K262" s="20">
        <v>99.98</v>
      </c>
      <c r="L262" s="83">
        <v>-0.02</v>
      </c>
      <c r="M262" s="83">
        <v>0.02</v>
      </c>
      <c r="N262" s="83">
        <v>-109.67</v>
      </c>
      <c r="O262" s="83">
        <v>0</v>
      </c>
      <c r="P262" s="83">
        <v>-15.58</v>
      </c>
      <c r="Q262" s="83">
        <v>27.97</v>
      </c>
      <c r="R262" s="83">
        <v>69.599999999999994</v>
      </c>
      <c r="S262" s="83">
        <v>-4.33</v>
      </c>
      <c r="T262" s="83">
        <v>-77.66</v>
      </c>
      <c r="U262" s="83">
        <v>-50.84</v>
      </c>
      <c r="V262" s="83">
        <v>-353.1</v>
      </c>
      <c r="W262" s="83">
        <v>243.68</v>
      </c>
      <c r="X262" s="83">
        <v>329.82</v>
      </c>
      <c r="Y262" s="83">
        <v>-168.45</v>
      </c>
      <c r="Z262" s="83">
        <v>356.91</v>
      </c>
      <c r="AA262" s="31">
        <f t="shared" si="295"/>
        <v>358.02</v>
      </c>
      <c r="AB262" s="83">
        <v>153.88999999999999</v>
      </c>
      <c r="AC262" s="83">
        <v>-492.93</v>
      </c>
      <c r="AD262" s="83">
        <v>-0.54</v>
      </c>
      <c r="AE262" s="83">
        <v>-22.15</v>
      </c>
      <c r="AF262" s="83">
        <v>4.0599999999999996</v>
      </c>
      <c r="AG262" s="83">
        <v>-3.93</v>
      </c>
      <c r="AH262" s="83">
        <v>4.2699999999999996</v>
      </c>
      <c r="AI262" s="83">
        <v>14.48</v>
      </c>
      <c r="AJ262" s="83">
        <v>6.5</v>
      </c>
      <c r="AK262" s="83">
        <v>-4.75</v>
      </c>
      <c r="AL262" s="83">
        <v>4.93</v>
      </c>
      <c r="AM262" s="83">
        <v>-18.37</v>
      </c>
      <c r="AN262" s="31">
        <f t="shared" si="296"/>
        <v>3.4799999999999613</v>
      </c>
      <c r="AO262" s="83">
        <v>-1.1599999999999999</v>
      </c>
      <c r="AP262" s="83">
        <v>-0.34</v>
      </c>
      <c r="AQ262" s="83">
        <v>2.25</v>
      </c>
      <c r="AR262" s="83">
        <v>3.56</v>
      </c>
      <c r="AS262" s="83">
        <v>36.42</v>
      </c>
      <c r="AT262" s="83">
        <v>-43.22</v>
      </c>
      <c r="AU262" s="83">
        <v>5.04</v>
      </c>
      <c r="BA262" s="31">
        <f t="shared" si="297"/>
        <v>6.0299999999999665</v>
      </c>
    </row>
    <row r="263" spans="1:53" x14ac:dyDescent="0.2">
      <c r="B263" s="3" t="s">
        <v>208</v>
      </c>
      <c r="C263" s="4">
        <v>-138756.19</v>
      </c>
      <c r="D263" s="20">
        <v>178.41</v>
      </c>
      <c r="E263" s="20">
        <v>230.87</v>
      </c>
      <c r="F263" s="24">
        <v>0</v>
      </c>
      <c r="G263" s="24">
        <v>0</v>
      </c>
      <c r="H263" s="20">
        <v>0</v>
      </c>
      <c r="I263" s="20">
        <v>0</v>
      </c>
      <c r="J263" s="20">
        <v>61497.45</v>
      </c>
      <c r="K263" s="20">
        <v>0</v>
      </c>
      <c r="L263" s="83">
        <v>-59878.98</v>
      </c>
      <c r="M263" s="83">
        <v>1245.5</v>
      </c>
      <c r="N263" s="83">
        <v>84409.3</v>
      </c>
      <c r="O263" s="83">
        <v>-50496.61</v>
      </c>
      <c r="P263" s="83">
        <v>340.37</v>
      </c>
      <c r="Q263" s="83">
        <v>-78698.37</v>
      </c>
      <c r="R263" s="83">
        <v>4187.4799999999996</v>
      </c>
      <c r="S263" s="83">
        <v>1673.57</v>
      </c>
      <c r="T263" s="83">
        <v>103.61</v>
      </c>
      <c r="U263" s="83">
        <v>1796.73</v>
      </c>
      <c r="V263" s="83">
        <v>18492.13</v>
      </c>
      <c r="W263" s="83">
        <v>78.040000000000006</v>
      </c>
      <c r="X263" s="83">
        <v>2131.98</v>
      </c>
      <c r="Y263" s="83">
        <v>1252.8699999999999</v>
      </c>
      <c r="Z263" s="83">
        <v>13888.03</v>
      </c>
      <c r="AA263" s="31">
        <f t="shared" si="295"/>
        <v>-85250.17</v>
      </c>
      <c r="AB263" s="83">
        <v>0</v>
      </c>
      <c r="AC263" s="83">
        <v>4207.88</v>
      </c>
      <c r="AD263" s="83">
        <v>1534.87</v>
      </c>
      <c r="AE263" s="83">
        <v>2172.2800000000002</v>
      </c>
      <c r="AF263" s="83">
        <v>2093.48</v>
      </c>
      <c r="AG263" s="83">
        <v>4424.91</v>
      </c>
      <c r="AH263" s="83">
        <v>-88991.82</v>
      </c>
      <c r="AI263" s="83">
        <v>0</v>
      </c>
      <c r="AJ263" s="83">
        <v>2599.3000000000002</v>
      </c>
      <c r="AK263" s="83">
        <v>2933.71</v>
      </c>
      <c r="AL263" s="83">
        <v>45.69</v>
      </c>
      <c r="AM263" s="83">
        <v>90391.32</v>
      </c>
      <c r="AN263" s="31">
        <f t="shared" si="296"/>
        <v>-63838.550000000017</v>
      </c>
      <c r="AO263" s="83">
        <v>0</v>
      </c>
      <c r="AP263" s="83">
        <v>6304.41</v>
      </c>
      <c r="AQ263" s="83">
        <v>-45974.93</v>
      </c>
      <c r="AR263" s="83">
        <v>889.35</v>
      </c>
      <c r="AS263" s="83">
        <v>0</v>
      </c>
      <c r="AT263" s="83">
        <v>114.76</v>
      </c>
      <c r="AU263" s="83">
        <v>115.56</v>
      </c>
      <c r="BA263" s="31">
        <f t="shared" si="297"/>
        <v>-102389.40000000001</v>
      </c>
    </row>
    <row r="264" spans="1:53" x14ac:dyDescent="0.2">
      <c r="B264" s="3" t="s">
        <v>209</v>
      </c>
      <c r="C264" s="20">
        <v>-0.03</v>
      </c>
      <c r="D264" s="20">
        <v>0</v>
      </c>
      <c r="E264" s="20">
        <v>0</v>
      </c>
      <c r="F264" s="24">
        <v>0</v>
      </c>
      <c r="G264" s="24">
        <v>0</v>
      </c>
      <c r="H264" s="20">
        <v>0</v>
      </c>
      <c r="I264" s="20">
        <v>0</v>
      </c>
      <c r="J264" s="20">
        <v>0</v>
      </c>
      <c r="K264" s="20">
        <v>0</v>
      </c>
      <c r="L264" s="83">
        <v>0</v>
      </c>
      <c r="M264" s="83">
        <v>0</v>
      </c>
      <c r="N264" s="83">
        <v>0</v>
      </c>
      <c r="O264" s="83">
        <v>-0.03</v>
      </c>
      <c r="P264" s="83">
        <v>0</v>
      </c>
      <c r="Q264" s="83">
        <v>0</v>
      </c>
      <c r="R264" s="83">
        <v>0</v>
      </c>
      <c r="S264" s="83">
        <v>0</v>
      </c>
      <c r="T264" s="83">
        <v>0</v>
      </c>
      <c r="U264" s="83">
        <v>0</v>
      </c>
      <c r="V264" s="83">
        <v>0</v>
      </c>
      <c r="W264" s="83">
        <v>0</v>
      </c>
      <c r="X264" s="83">
        <v>0</v>
      </c>
      <c r="Y264" s="83">
        <v>0</v>
      </c>
      <c r="Z264" s="83">
        <v>0</v>
      </c>
      <c r="AA264" s="31">
        <f t="shared" si="295"/>
        <v>-0.03</v>
      </c>
      <c r="AB264" s="83">
        <v>0</v>
      </c>
      <c r="AC264" s="83">
        <v>0</v>
      </c>
      <c r="AD264" s="83">
        <v>0</v>
      </c>
      <c r="AE264" s="83">
        <v>0</v>
      </c>
      <c r="AF264" s="83">
        <v>0</v>
      </c>
      <c r="AG264" s="83">
        <v>0</v>
      </c>
      <c r="AH264" s="83">
        <v>0</v>
      </c>
      <c r="AI264" s="83">
        <v>0</v>
      </c>
      <c r="AJ264" s="83">
        <v>0</v>
      </c>
      <c r="AK264" s="83">
        <v>0</v>
      </c>
      <c r="AL264" s="83">
        <v>0</v>
      </c>
      <c r="AM264" s="83">
        <v>0.03</v>
      </c>
      <c r="AN264" s="31">
        <f t="shared" si="296"/>
        <v>0</v>
      </c>
      <c r="AO264" s="83">
        <v>0</v>
      </c>
      <c r="AP264" s="83">
        <v>0</v>
      </c>
      <c r="AQ264" s="83">
        <v>0</v>
      </c>
      <c r="AR264" s="83">
        <v>0</v>
      </c>
      <c r="AS264" s="83">
        <v>0</v>
      </c>
      <c r="AT264" s="83">
        <v>0</v>
      </c>
      <c r="AU264" s="83">
        <v>0</v>
      </c>
      <c r="BA264" s="31">
        <f t="shared" si="297"/>
        <v>0</v>
      </c>
    </row>
    <row r="265" spans="1:53" x14ac:dyDescent="0.2">
      <c r="B265" s="3" t="s">
        <v>1815</v>
      </c>
      <c r="C265" s="20">
        <v>0</v>
      </c>
      <c r="D265" s="20">
        <v>0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83">
        <v>-2531.16</v>
      </c>
      <c r="Q265" s="83">
        <v>0</v>
      </c>
      <c r="R265" s="83">
        <v>0</v>
      </c>
      <c r="S265" s="83">
        <v>0</v>
      </c>
      <c r="T265" s="83">
        <v>-517.95000000000005</v>
      </c>
      <c r="U265" s="83">
        <v>-5937.52</v>
      </c>
      <c r="V265" s="83">
        <v>0</v>
      </c>
      <c r="W265" s="83">
        <v>-6656.76</v>
      </c>
      <c r="X265" s="83">
        <v>-8569.8799999999992</v>
      </c>
      <c r="Y265" s="83">
        <v>0</v>
      </c>
      <c r="Z265" s="83">
        <v>0</v>
      </c>
      <c r="AA265" s="31">
        <f t="shared" si="295"/>
        <v>-24213.27</v>
      </c>
      <c r="AB265" s="83">
        <v>0</v>
      </c>
      <c r="AC265" s="83">
        <v>0</v>
      </c>
      <c r="AD265" s="83">
        <v>0</v>
      </c>
      <c r="AE265" s="83">
        <v>-3713.1</v>
      </c>
      <c r="AF265" s="83">
        <v>0</v>
      </c>
      <c r="AG265" s="83">
        <v>0</v>
      </c>
      <c r="AH265" s="83">
        <v>0</v>
      </c>
      <c r="AI265" s="83">
        <v>0</v>
      </c>
      <c r="AJ265" s="83">
        <v>0</v>
      </c>
      <c r="AK265" s="83">
        <v>12720.44</v>
      </c>
      <c r="AL265" s="83">
        <v>6762.21</v>
      </c>
      <c r="AM265" s="83">
        <v>8443.7199999999993</v>
      </c>
      <c r="AN265" s="31">
        <f t="shared" si="296"/>
        <v>0</v>
      </c>
      <c r="AO265" s="83">
        <v>0</v>
      </c>
      <c r="AP265" s="83">
        <v>0</v>
      </c>
      <c r="AQ265" s="83">
        <v>0</v>
      </c>
      <c r="AR265" s="83">
        <v>0</v>
      </c>
      <c r="AS265" s="83">
        <v>0</v>
      </c>
      <c r="AT265" s="83">
        <v>0</v>
      </c>
      <c r="AU265" s="83">
        <v>0</v>
      </c>
      <c r="BA265" s="31">
        <f t="shared" si="297"/>
        <v>0</v>
      </c>
    </row>
    <row r="266" spans="1:53" x14ac:dyDescent="0.2">
      <c r="B266" s="3" t="s">
        <v>1816</v>
      </c>
      <c r="C266" s="20">
        <v>0</v>
      </c>
      <c r="D266" s="20">
        <v>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83">
        <v>-14.04</v>
      </c>
      <c r="Q266" s="83">
        <v>25.2</v>
      </c>
      <c r="R266" s="83">
        <v>62.4</v>
      </c>
      <c r="S266" s="83">
        <v>-3.6</v>
      </c>
      <c r="T266" s="83">
        <v>-76.95</v>
      </c>
      <c r="U266" s="83">
        <v>-64.599999999999994</v>
      </c>
      <c r="V266" s="83">
        <v>-481.16</v>
      </c>
      <c r="W266" s="83">
        <v>-350.97</v>
      </c>
      <c r="X266" s="83">
        <v>645.42999999999995</v>
      </c>
      <c r="Y266" s="83">
        <v>230.61</v>
      </c>
      <c r="Z266" s="83">
        <v>453.52</v>
      </c>
      <c r="AA266" s="31">
        <f t="shared" si="295"/>
        <v>425.83999999999992</v>
      </c>
      <c r="AB266" s="83">
        <v>226.76</v>
      </c>
      <c r="AC266" s="83">
        <v>372.83</v>
      </c>
      <c r="AD266" s="83">
        <v>-11.53</v>
      </c>
      <c r="AE266" s="83">
        <v>269.24</v>
      </c>
      <c r="AF266" s="83">
        <v>-617.64</v>
      </c>
      <c r="AG266" s="83">
        <v>-115.54</v>
      </c>
      <c r="AH266" s="83">
        <v>377.7</v>
      </c>
      <c r="AI266" s="83">
        <v>4.45</v>
      </c>
      <c r="AJ266" s="83">
        <v>355.48</v>
      </c>
      <c r="AK266" s="83">
        <v>-687.22</v>
      </c>
      <c r="AL266" s="83">
        <v>-122.44</v>
      </c>
      <c r="AM266" s="83">
        <v>-477.93</v>
      </c>
      <c r="AN266" s="31">
        <f t="shared" si="296"/>
        <v>0</v>
      </c>
      <c r="AO266" s="83">
        <v>0</v>
      </c>
      <c r="AP266" s="83">
        <v>0</v>
      </c>
      <c r="AQ266" s="83">
        <v>0</v>
      </c>
      <c r="AR266" s="83">
        <v>0</v>
      </c>
      <c r="AS266" s="83">
        <v>0</v>
      </c>
      <c r="AT266" s="83">
        <v>0</v>
      </c>
      <c r="AU266" s="83">
        <v>0</v>
      </c>
      <c r="BA266" s="31">
        <f t="shared" si="297"/>
        <v>0</v>
      </c>
    </row>
    <row r="267" spans="1:53" x14ac:dyDescent="0.2">
      <c r="B267" s="3" t="s">
        <v>1784</v>
      </c>
      <c r="C267" s="20">
        <v>0</v>
      </c>
      <c r="D267" s="20">
        <v>0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83">
        <v>-1257.9100000000001</v>
      </c>
      <c r="M267" s="83">
        <v>0</v>
      </c>
      <c r="N267" s="83">
        <v>0</v>
      </c>
      <c r="O267" s="83">
        <v>0</v>
      </c>
      <c r="P267" s="83">
        <v>0</v>
      </c>
      <c r="Q267" s="83">
        <v>0</v>
      </c>
      <c r="R267" s="83">
        <v>0</v>
      </c>
      <c r="S267" s="83">
        <v>0</v>
      </c>
      <c r="T267" s="83">
        <v>0</v>
      </c>
      <c r="U267" s="83">
        <v>0</v>
      </c>
      <c r="V267" s="83">
        <v>0</v>
      </c>
      <c r="W267" s="83">
        <v>0</v>
      </c>
      <c r="X267" s="83">
        <v>0</v>
      </c>
      <c r="Y267" s="83">
        <v>0</v>
      </c>
      <c r="Z267" s="83">
        <v>0</v>
      </c>
      <c r="AA267" s="31">
        <f t="shared" si="295"/>
        <v>0</v>
      </c>
      <c r="AB267" s="83">
        <v>0</v>
      </c>
      <c r="AC267" s="83">
        <v>0</v>
      </c>
      <c r="AD267" s="83">
        <v>0</v>
      </c>
      <c r="AE267" s="83">
        <v>0</v>
      </c>
      <c r="AF267" s="83">
        <v>0</v>
      </c>
      <c r="AG267" s="83">
        <v>0</v>
      </c>
      <c r="AH267" s="83">
        <v>0</v>
      </c>
      <c r="AI267" s="83">
        <v>0</v>
      </c>
      <c r="AJ267" s="83">
        <v>0</v>
      </c>
      <c r="AK267" s="83">
        <v>0</v>
      </c>
      <c r="AL267" s="83">
        <v>0</v>
      </c>
      <c r="AM267" s="83">
        <v>-297.83</v>
      </c>
      <c r="AN267" s="31">
        <f t="shared" si="296"/>
        <v>-297.83</v>
      </c>
      <c r="AO267" s="83">
        <v>0</v>
      </c>
      <c r="AP267" s="83">
        <v>0</v>
      </c>
      <c r="AQ267" s="83">
        <v>0</v>
      </c>
      <c r="AR267" s="83">
        <v>0</v>
      </c>
      <c r="AS267" s="83">
        <v>0</v>
      </c>
      <c r="AT267" s="83">
        <v>0</v>
      </c>
      <c r="AU267" s="83">
        <v>0</v>
      </c>
      <c r="BA267" s="31">
        <f t="shared" si="297"/>
        <v>-297.83</v>
      </c>
    </row>
    <row r="268" spans="1:53" x14ac:dyDescent="0.2">
      <c r="B268" s="3" t="s">
        <v>1785</v>
      </c>
      <c r="C268" s="20">
        <v>0</v>
      </c>
      <c r="D268" s="20">
        <v>0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83">
        <v>1.31</v>
      </c>
      <c r="M268" s="83">
        <v>-35</v>
      </c>
      <c r="N268" s="83">
        <v>-3.8</v>
      </c>
      <c r="O268" s="83">
        <v>0</v>
      </c>
      <c r="P268" s="83">
        <v>0</v>
      </c>
      <c r="Q268" s="83">
        <v>0</v>
      </c>
      <c r="R268" s="83">
        <v>0</v>
      </c>
      <c r="S268" s="83">
        <v>0</v>
      </c>
      <c r="T268" s="83">
        <v>0</v>
      </c>
      <c r="U268" s="83">
        <v>0</v>
      </c>
      <c r="V268" s="83">
        <v>0</v>
      </c>
      <c r="W268" s="83">
        <v>0</v>
      </c>
      <c r="X268" s="83">
        <v>0</v>
      </c>
      <c r="Y268" s="83">
        <v>0</v>
      </c>
      <c r="Z268" s="83">
        <v>0</v>
      </c>
      <c r="AA268" s="31">
        <f t="shared" si="295"/>
        <v>0</v>
      </c>
      <c r="AB268" s="83">
        <v>0</v>
      </c>
      <c r="AC268" s="83">
        <v>0</v>
      </c>
      <c r="AD268" s="83">
        <v>0</v>
      </c>
      <c r="AE268" s="83">
        <v>0</v>
      </c>
      <c r="AF268" s="83">
        <v>0</v>
      </c>
      <c r="AG268" s="83">
        <v>0</v>
      </c>
      <c r="AH268" s="83">
        <v>0</v>
      </c>
      <c r="AI268" s="83">
        <v>0</v>
      </c>
      <c r="AJ268" s="83">
        <v>0</v>
      </c>
      <c r="AK268" s="83">
        <v>0</v>
      </c>
      <c r="AL268" s="83">
        <v>0</v>
      </c>
      <c r="AM268" s="83">
        <v>-1.22</v>
      </c>
      <c r="AN268" s="31">
        <f t="shared" si="296"/>
        <v>-1.22</v>
      </c>
      <c r="AO268" s="83">
        <v>1.35</v>
      </c>
      <c r="AP268" s="83">
        <v>-0.3</v>
      </c>
      <c r="AQ268" s="83">
        <v>3.85</v>
      </c>
      <c r="AR268" s="83">
        <v>6.45</v>
      </c>
      <c r="AS268" s="83">
        <v>8.1</v>
      </c>
      <c r="AT268" s="83">
        <v>0.25</v>
      </c>
      <c r="AU268" s="83">
        <v>2.4500000000000002</v>
      </c>
      <c r="BA268" s="31">
        <f t="shared" si="297"/>
        <v>20.93</v>
      </c>
    </row>
    <row r="269" spans="1:53" s="34" customFormat="1" ht="12" x14ac:dyDescent="0.2">
      <c r="A269" s="116"/>
      <c r="B269" s="35" t="s">
        <v>1630</v>
      </c>
      <c r="C269" s="36">
        <f t="shared" ref="C269:AM269" si="298">SUM(C261:C268)</f>
        <v>-138945.34</v>
      </c>
      <c r="D269" s="36">
        <f t="shared" si="298"/>
        <v>367.53</v>
      </c>
      <c r="E269" s="36">
        <f t="shared" si="298"/>
        <v>230.87</v>
      </c>
      <c r="F269" s="36">
        <f t="shared" si="298"/>
        <v>0</v>
      </c>
      <c r="G269" s="36">
        <f t="shared" si="298"/>
        <v>-16127.189999999999</v>
      </c>
      <c r="H269" s="36">
        <f t="shared" si="298"/>
        <v>60.36</v>
      </c>
      <c r="I269" s="36">
        <f t="shared" si="298"/>
        <v>16066.83</v>
      </c>
      <c r="J269" s="36">
        <f t="shared" si="298"/>
        <v>42303.569999999992</v>
      </c>
      <c r="K269" s="36">
        <f t="shared" si="298"/>
        <v>19193.88</v>
      </c>
      <c r="L269" s="36">
        <f t="shared" si="298"/>
        <v>-61150.23000000001</v>
      </c>
      <c r="M269" s="36">
        <f t="shared" si="298"/>
        <v>-808757.85</v>
      </c>
      <c r="N269" s="36">
        <f t="shared" si="298"/>
        <v>868130.39</v>
      </c>
      <c r="O269" s="36">
        <f t="shared" si="298"/>
        <v>-50496.639999999999</v>
      </c>
      <c r="P269" s="36">
        <f t="shared" si="298"/>
        <v>-5030</v>
      </c>
      <c r="Q269" s="36">
        <f t="shared" si="298"/>
        <v>-78645.2</v>
      </c>
      <c r="R269" s="36">
        <f t="shared" si="298"/>
        <v>4216.5999999999995</v>
      </c>
      <c r="S269" s="36">
        <f t="shared" si="298"/>
        <v>-898231.48</v>
      </c>
      <c r="T269" s="36">
        <f t="shared" si="298"/>
        <v>902240.64</v>
      </c>
      <c r="U269" s="36">
        <f t="shared" si="298"/>
        <v>-10874.09</v>
      </c>
      <c r="V269" s="36">
        <f t="shared" si="298"/>
        <v>17685.09</v>
      </c>
      <c r="W269" s="36">
        <f t="shared" si="298"/>
        <v>-7510.18</v>
      </c>
      <c r="X269" s="36">
        <f t="shared" si="298"/>
        <v>-14949.39</v>
      </c>
      <c r="Y269" s="36">
        <f t="shared" si="298"/>
        <v>-27240.32</v>
      </c>
      <c r="Z269" s="36">
        <f t="shared" si="298"/>
        <v>41427.11</v>
      </c>
      <c r="AA269" s="36">
        <f t="shared" si="298"/>
        <v>-127407.86</v>
      </c>
      <c r="AB269" s="36">
        <f t="shared" si="298"/>
        <v>-1143.3</v>
      </c>
      <c r="AC269" s="36">
        <f t="shared" si="298"/>
        <v>23250.2</v>
      </c>
      <c r="AD269" s="36">
        <f t="shared" si="298"/>
        <v>1107.6499999999999</v>
      </c>
      <c r="AE269" s="36">
        <f t="shared" si="298"/>
        <v>-206.47999999999979</v>
      </c>
      <c r="AF269" s="36">
        <f t="shared" si="298"/>
        <v>1684.3200000000002</v>
      </c>
      <c r="AG269" s="36">
        <f t="shared" si="298"/>
        <v>3122.58</v>
      </c>
      <c r="AH269" s="36">
        <f t="shared" si="298"/>
        <v>-87282.240000000005</v>
      </c>
      <c r="AI269" s="36">
        <f t="shared" si="298"/>
        <v>-2748.5</v>
      </c>
      <c r="AJ269" s="36">
        <f t="shared" si="298"/>
        <v>4351</v>
      </c>
      <c r="AK269" s="36">
        <f t="shared" si="298"/>
        <v>14962.180000000002</v>
      </c>
      <c r="AL269" s="36">
        <f t="shared" si="298"/>
        <v>6960.8200000000006</v>
      </c>
      <c r="AM269" s="36">
        <f t="shared" si="298"/>
        <v>98332.150000000009</v>
      </c>
      <c r="AN269" s="132">
        <f>SUM(AN261:AN268)</f>
        <v>-65017.480000000018</v>
      </c>
      <c r="AO269" s="36">
        <f t="shared" ref="AO269:AU269" si="299">SUM(AO261:AO268)</f>
        <v>-708.5</v>
      </c>
      <c r="AP269" s="36">
        <f t="shared" si="299"/>
        <v>7827.3099999999995</v>
      </c>
      <c r="AQ269" s="36">
        <f t="shared" si="299"/>
        <v>-46198.740000000005</v>
      </c>
      <c r="AR269" s="36">
        <f t="shared" si="299"/>
        <v>307.78999999999991</v>
      </c>
      <c r="AS269" s="36">
        <f t="shared" si="299"/>
        <v>-792.88</v>
      </c>
      <c r="AT269" s="36">
        <f t="shared" si="299"/>
        <v>1223.29</v>
      </c>
      <c r="AU269" s="36">
        <f t="shared" si="299"/>
        <v>123.05000000000001</v>
      </c>
      <c r="AV269" s="36">
        <f t="shared" ref="AV269" si="300">SUM(AV261:AV268)</f>
        <v>0</v>
      </c>
      <c r="AW269" s="36">
        <f t="shared" ref="AW269" si="301">SUM(AW261:AW268)</f>
        <v>0</v>
      </c>
      <c r="AX269" s="36">
        <f t="shared" ref="AX269" si="302">SUM(AX261:AX268)</f>
        <v>0</v>
      </c>
      <c r="AY269" s="36">
        <f t="shared" ref="AY269" si="303">SUM(AY261:AY268)</f>
        <v>0</v>
      </c>
      <c r="AZ269" s="36">
        <f t="shared" ref="AZ269" si="304">SUM(AZ261:AZ268)</f>
        <v>0</v>
      </c>
      <c r="BA269" s="132">
        <f t="shared" ref="BA269" si="305">SUM(BA261:BA268)</f>
        <v>-103236.16000000002</v>
      </c>
    </row>
    <row r="270" spans="1:53" s="9" customFormat="1" ht="12.75" x14ac:dyDescent="0.2">
      <c r="A270" s="115"/>
      <c r="B270" s="13" t="s">
        <v>1601</v>
      </c>
      <c r="C270" s="45">
        <f t="shared" ref="C270:AK270" si="306">C260+C269</f>
        <v>946560.57</v>
      </c>
      <c r="D270" s="45">
        <f t="shared" si="306"/>
        <v>-1033975.7999999999</v>
      </c>
      <c r="E270" s="45">
        <f t="shared" si="306"/>
        <v>-151727.39000000001</v>
      </c>
      <c r="F270" s="45">
        <f t="shared" si="306"/>
        <v>88183.13</v>
      </c>
      <c r="G270" s="45">
        <f t="shared" si="306"/>
        <v>-40873.479999999996</v>
      </c>
      <c r="H270" s="45">
        <f t="shared" si="306"/>
        <v>-68837.539999999994</v>
      </c>
      <c r="I270" s="45">
        <f t="shared" si="306"/>
        <v>70287.75</v>
      </c>
      <c r="J270" s="45">
        <f t="shared" si="306"/>
        <v>-195736.82</v>
      </c>
      <c r="K270" s="45">
        <f t="shared" si="306"/>
        <v>113399.37000000001</v>
      </c>
      <c r="L270" s="90">
        <f t="shared" si="306"/>
        <v>-113979.35</v>
      </c>
      <c r="M270" s="90">
        <f t="shared" si="306"/>
        <v>-800908.72</v>
      </c>
      <c r="N270" s="90">
        <f t="shared" si="306"/>
        <v>715802.98</v>
      </c>
      <c r="O270" s="90">
        <f t="shared" si="306"/>
        <v>-531006.34</v>
      </c>
      <c r="P270" s="90">
        <f t="shared" si="306"/>
        <v>21690.720000000001</v>
      </c>
      <c r="Q270" s="90">
        <f t="shared" si="306"/>
        <v>-136913.56</v>
      </c>
      <c r="R270" s="90">
        <f t="shared" si="306"/>
        <v>88788.07</v>
      </c>
      <c r="S270" s="90">
        <f t="shared" si="306"/>
        <v>-979893.5</v>
      </c>
      <c r="T270" s="90">
        <f t="shared" si="306"/>
        <v>1010061.03</v>
      </c>
      <c r="U270" s="90">
        <f t="shared" si="306"/>
        <v>-98374.86</v>
      </c>
      <c r="V270" s="90">
        <f t="shared" si="306"/>
        <v>10925.68</v>
      </c>
      <c r="W270" s="90">
        <f t="shared" si="306"/>
        <v>-125563.5</v>
      </c>
      <c r="X270" s="90">
        <f t="shared" si="306"/>
        <v>-37836.639999999999</v>
      </c>
      <c r="Y270" s="90">
        <f t="shared" si="306"/>
        <v>45103.469999999994</v>
      </c>
      <c r="Z270" s="90">
        <f t="shared" si="306"/>
        <v>-14787.96</v>
      </c>
      <c r="AA270" s="90">
        <f t="shared" si="306"/>
        <v>-747807.3899999999</v>
      </c>
      <c r="AB270" s="90">
        <f t="shared" si="306"/>
        <v>-93082.75</v>
      </c>
      <c r="AC270" s="90">
        <f t="shared" si="306"/>
        <v>-35379.020000000004</v>
      </c>
      <c r="AD270" s="90">
        <f t="shared" si="306"/>
        <v>-42571.26</v>
      </c>
      <c r="AE270" s="90">
        <f t="shared" si="306"/>
        <v>-7748.66</v>
      </c>
      <c r="AF270" s="90">
        <f t="shared" si="306"/>
        <v>-72413.23</v>
      </c>
      <c r="AG270" s="90">
        <f t="shared" si="306"/>
        <v>-36158.979999999996</v>
      </c>
      <c r="AH270" s="90">
        <f t="shared" si="306"/>
        <v>45691.249999999985</v>
      </c>
      <c r="AI270" s="90">
        <f t="shared" si="306"/>
        <v>-25854.11</v>
      </c>
      <c r="AJ270" s="90">
        <f t="shared" si="306"/>
        <v>-57022.92</v>
      </c>
      <c r="AK270" s="90">
        <f t="shared" si="306"/>
        <v>-44114.3</v>
      </c>
      <c r="AL270" s="90">
        <f t="shared" ref="AL270:AM270" si="307">AL260+AL269</f>
        <v>56906.33</v>
      </c>
      <c r="AM270" s="90">
        <f t="shared" si="307"/>
        <v>113961.40000000001</v>
      </c>
      <c r="AN270" s="138">
        <f>AN260+AN269</f>
        <v>-945593.6399999999</v>
      </c>
      <c r="AO270" s="90">
        <f t="shared" ref="AO270:AZ270" si="308">AO260+AO269</f>
        <v>53252.39</v>
      </c>
      <c r="AP270" s="90">
        <f t="shared" si="308"/>
        <v>-52922.950000000004</v>
      </c>
      <c r="AQ270" s="90">
        <f t="shared" si="308"/>
        <v>-51939.520000000004</v>
      </c>
      <c r="AR270" s="90">
        <f t="shared" si="308"/>
        <v>204806.39999999999</v>
      </c>
      <c r="AS270" s="90">
        <f t="shared" si="308"/>
        <v>-68614.080000000002</v>
      </c>
      <c r="AT270" s="90">
        <f t="shared" si="308"/>
        <v>173552.74000000002</v>
      </c>
      <c r="AU270" s="90">
        <f t="shared" si="308"/>
        <v>-9930.7900000000009</v>
      </c>
      <c r="AV270" s="90">
        <f t="shared" si="308"/>
        <v>0</v>
      </c>
      <c r="AW270" s="90">
        <f t="shared" si="308"/>
        <v>0</v>
      </c>
      <c r="AX270" s="90">
        <f t="shared" si="308"/>
        <v>0</v>
      </c>
      <c r="AY270" s="90">
        <f t="shared" si="308"/>
        <v>0</v>
      </c>
      <c r="AZ270" s="90">
        <f t="shared" si="308"/>
        <v>0</v>
      </c>
      <c r="BA270" s="138">
        <f>BA260+BA269</f>
        <v>-697389.45</v>
      </c>
    </row>
    <row r="271" spans="1:53" x14ac:dyDescent="0.2">
      <c r="B271" s="3" t="s">
        <v>212</v>
      </c>
      <c r="C271" s="20">
        <v>-100538.75</v>
      </c>
      <c r="D271" s="20">
        <v>0</v>
      </c>
      <c r="E271" s="20">
        <v>-619227.28</v>
      </c>
      <c r="F271" s="24">
        <v>60125.01</v>
      </c>
      <c r="G271" s="24">
        <v>63497.21</v>
      </c>
      <c r="H271" s="20">
        <v>69050.289999999994</v>
      </c>
      <c r="I271" s="20">
        <v>69625.710000000006</v>
      </c>
      <c r="J271" s="20">
        <v>70205.919999999998</v>
      </c>
      <c r="K271" s="20">
        <v>60677.97</v>
      </c>
      <c r="L271" s="83">
        <v>61183.62</v>
      </c>
      <c r="M271" s="83">
        <v>61693.49</v>
      </c>
      <c r="N271" s="83">
        <v>62207.61</v>
      </c>
      <c r="O271" s="83">
        <v>-141499.20000000001</v>
      </c>
      <c r="P271" s="83">
        <v>0</v>
      </c>
      <c r="Q271" s="83">
        <v>-558580.03</v>
      </c>
      <c r="R271" s="83">
        <v>61586.080000000002</v>
      </c>
      <c r="S271" s="83">
        <v>60524.42</v>
      </c>
      <c r="T271" s="83">
        <v>61028.82</v>
      </c>
      <c r="U271" s="83">
        <v>61537.38</v>
      </c>
      <c r="V271" s="83">
        <v>62050.18</v>
      </c>
      <c r="W271" s="83">
        <v>72995.16</v>
      </c>
      <c r="X271" s="83">
        <v>63088.67</v>
      </c>
      <c r="Y271" s="83">
        <v>63614.42</v>
      </c>
      <c r="Z271" s="83">
        <v>64144.54</v>
      </c>
      <c r="AA271" s="31">
        <f t="shared" ref="AA271:AA278" si="309">SUM(O271:Z271)</f>
        <v>-129509.55999999997</v>
      </c>
      <c r="AB271" s="83">
        <v>75172.12</v>
      </c>
      <c r="AC271" s="83">
        <v>-619559.76</v>
      </c>
      <c r="AD271" s="83">
        <v>74738.94</v>
      </c>
      <c r="AE271" s="83">
        <v>75227.7</v>
      </c>
      <c r="AF271" s="83">
        <v>48371.91</v>
      </c>
      <c r="AG271" s="83">
        <v>68862.75</v>
      </c>
      <c r="AH271" s="83">
        <v>69994</v>
      </c>
      <c r="AI271" s="83">
        <v>66632.14</v>
      </c>
      <c r="AJ271" s="83">
        <v>72576.789999999994</v>
      </c>
      <c r="AK271" s="83">
        <v>64690.99</v>
      </c>
      <c r="AL271" s="83">
        <v>66452.83</v>
      </c>
      <c r="AM271" s="83">
        <v>66349.149999999994</v>
      </c>
      <c r="AN271" s="31">
        <f t="shared" ref="AN271:AN278" si="310">SUM(AA271:AM271)</f>
        <v>0</v>
      </c>
      <c r="AO271" s="83">
        <v>0</v>
      </c>
      <c r="AP271" s="83">
        <v>-683592.27</v>
      </c>
      <c r="AQ271" s="83">
        <v>72675.06</v>
      </c>
      <c r="AR271" s="83">
        <v>79414.89</v>
      </c>
      <c r="AS271" s="83">
        <v>78604.14</v>
      </c>
      <c r="AT271" s="83">
        <v>66150.06</v>
      </c>
      <c r="AU271" s="83">
        <v>68371.570000000007</v>
      </c>
      <c r="BA271" s="31">
        <f t="shared" ref="BA271:BA278" si="311">SUM(AN271:AZ271)</f>
        <v>-318376.54999999993</v>
      </c>
    </row>
    <row r="272" spans="1:53" x14ac:dyDescent="0.2">
      <c r="B272" s="3" t="s">
        <v>213</v>
      </c>
      <c r="C272" s="20">
        <v>-175878</v>
      </c>
      <c r="D272" s="20">
        <v>10089.969999999999</v>
      </c>
      <c r="E272" s="20">
        <v>11244.23</v>
      </c>
      <c r="F272" s="24">
        <v>5213.4399999999996</v>
      </c>
      <c r="G272" s="24">
        <v>9397.2900000000009</v>
      </c>
      <c r="H272" s="20">
        <v>7396.81</v>
      </c>
      <c r="I272" s="20">
        <v>-24651.49</v>
      </c>
      <c r="J272" s="20">
        <v>14718.51</v>
      </c>
      <c r="K272" s="20">
        <v>-62859.87</v>
      </c>
      <c r="L272" s="83">
        <v>12197.18</v>
      </c>
      <c r="M272" s="83">
        <v>8836.83</v>
      </c>
      <c r="N272" s="83">
        <v>8910.4500000000007</v>
      </c>
      <c r="O272" s="83">
        <v>-166399.95000000001</v>
      </c>
      <c r="P272" s="83">
        <v>-37714.93</v>
      </c>
      <c r="Q272" s="83">
        <v>5865.27</v>
      </c>
      <c r="R272" s="83">
        <v>13233.8</v>
      </c>
      <c r="S272" s="83">
        <v>13005.7</v>
      </c>
      <c r="T272" s="83">
        <v>10234.02</v>
      </c>
      <c r="U272" s="83">
        <v>-71884.7</v>
      </c>
      <c r="V272" s="83">
        <v>6201.23</v>
      </c>
      <c r="W272" s="83">
        <v>6033.58</v>
      </c>
      <c r="X272" s="83">
        <v>6305.07</v>
      </c>
      <c r="Y272" s="83">
        <v>-33738.69</v>
      </c>
      <c r="Z272" s="83">
        <v>5026.4799999999996</v>
      </c>
      <c r="AA272" s="31">
        <f t="shared" si="309"/>
        <v>-243833.12000000002</v>
      </c>
      <c r="AB272" s="83">
        <v>473313.96</v>
      </c>
      <c r="AC272" s="83">
        <v>-469890.97</v>
      </c>
      <c r="AD272" s="83">
        <v>17562.45</v>
      </c>
      <c r="AE272" s="83">
        <v>-37235.46</v>
      </c>
      <c r="AF272" s="83">
        <v>-1923.66</v>
      </c>
      <c r="AG272" s="83">
        <v>8365.74</v>
      </c>
      <c r="AH272" s="83">
        <v>9374.94</v>
      </c>
      <c r="AI272" s="83">
        <v>7097.58</v>
      </c>
      <c r="AJ272" s="83">
        <v>17146.62</v>
      </c>
      <c r="AK272" s="83">
        <v>9414.24</v>
      </c>
      <c r="AL272" s="83">
        <v>11474.52</v>
      </c>
      <c r="AM272" s="83">
        <v>12921.66</v>
      </c>
      <c r="AN272" s="31">
        <f t="shared" si="310"/>
        <v>-186211.5</v>
      </c>
      <c r="AO272" s="83">
        <v>15791.39</v>
      </c>
      <c r="AP272" s="83">
        <v>8000.87</v>
      </c>
      <c r="AQ272" s="83">
        <v>10094.69</v>
      </c>
      <c r="AR272" s="83">
        <v>-10853.53</v>
      </c>
      <c r="AS272" s="83">
        <v>16784.599999999999</v>
      </c>
      <c r="AT272" s="83">
        <v>13016.04</v>
      </c>
      <c r="AU272" s="83">
        <v>13937.16</v>
      </c>
      <c r="BA272" s="31">
        <f t="shared" si="311"/>
        <v>-119440.27999999997</v>
      </c>
    </row>
    <row r="273" spans="1:53" x14ac:dyDescent="0.2">
      <c r="B273" s="3" t="s">
        <v>214</v>
      </c>
      <c r="C273" s="20">
        <v>-94091.520000000004</v>
      </c>
      <c r="D273" s="20">
        <v>17200.43</v>
      </c>
      <c r="E273" s="20">
        <v>-7269.49</v>
      </c>
      <c r="F273" s="24">
        <v>6517.89</v>
      </c>
      <c r="G273" s="24">
        <v>1461.75</v>
      </c>
      <c r="H273" s="20">
        <v>3949.39</v>
      </c>
      <c r="I273" s="20">
        <v>3928.01</v>
      </c>
      <c r="J273" s="20">
        <v>4578.07</v>
      </c>
      <c r="K273" s="20">
        <v>-5751.39</v>
      </c>
      <c r="L273" s="83">
        <v>1182.45</v>
      </c>
      <c r="M273" s="83">
        <v>-325.3</v>
      </c>
      <c r="N273" s="83">
        <v>-35541.43</v>
      </c>
      <c r="O273" s="83">
        <v>-99982.24</v>
      </c>
      <c r="P273" s="83">
        <v>4407.91</v>
      </c>
      <c r="Q273" s="83">
        <v>-1356</v>
      </c>
      <c r="R273" s="83">
        <v>-601.89</v>
      </c>
      <c r="S273" s="83">
        <v>3707.35</v>
      </c>
      <c r="T273" s="83">
        <v>3643.71</v>
      </c>
      <c r="U273" s="83">
        <v>-1054.4000000000001</v>
      </c>
      <c r="V273" s="83">
        <v>2848.78</v>
      </c>
      <c r="W273" s="83">
        <v>-3245.46</v>
      </c>
      <c r="X273" s="83">
        <v>1572.39</v>
      </c>
      <c r="Y273" s="83">
        <v>-15948.31</v>
      </c>
      <c r="Z273" s="83">
        <v>4182.59</v>
      </c>
      <c r="AA273" s="31">
        <f t="shared" si="309"/>
        <v>-101825.56999999999</v>
      </c>
      <c r="AB273" s="83">
        <v>-15400</v>
      </c>
      <c r="AC273" s="83">
        <v>14212.32</v>
      </c>
      <c r="AD273" s="83">
        <v>1454.1</v>
      </c>
      <c r="AE273" s="83">
        <v>3939.29</v>
      </c>
      <c r="AF273" s="83">
        <v>-2545.35</v>
      </c>
      <c r="AG273" s="83">
        <v>3210.49</v>
      </c>
      <c r="AH273" s="83">
        <v>-1959.34</v>
      </c>
      <c r="AI273" s="83">
        <v>-2112.9499999999998</v>
      </c>
      <c r="AJ273" s="83">
        <v>-1391.44</v>
      </c>
      <c r="AK273" s="83">
        <v>-1679.18</v>
      </c>
      <c r="AL273" s="83">
        <v>-2502.21</v>
      </c>
      <c r="AM273" s="83">
        <v>3759.9</v>
      </c>
      <c r="AN273" s="31">
        <f t="shared" si="310"/>
        <v>-102839.94</v>
      </c>
      <c r="AO273" s="83">
        <v>-2710.18</v>
      </c>
      <c r="AP273" s="83">
        <v>2898.31</v>
      </c>
      <c r="AQ273" s="83">
        <v>1517.45</v>
      </c>
      <c r="AR273" s="83">
        <v>1453.4</v>
      </c>
      <c r="AS273" s="83">
        <v>2655</v>
      </c>
      <c r="AT273" s="83">
        <v>525.67999999999995</v>
      </c>
      <c r="AU273" s="83">
        <v>2624.49</v>
      </c>
      <c r="BA273" s="31">
        <f t="shared" si="311"/>
        <v>-93875.790000000008</v>
      </c>
    </row>
    <row r="274" spans="1:53" x14ac:dyDescent="0.2">
      <c r="B274" s="25" t="s">
        <v>201</v>
      </c>
      <c r="C274" s="133">
        <v>-5252.67</v>
      </c>
      <c r="D274" s="133">
        <v>0</v>
      </c>
      <c r="E274" s="133">
        <v>0</v>
      </c>
      <c r="F274" s="134">
        <v>0</v>
      </c>
      <c r="G274" s="134">
        <v>0</v>
      </c>
      <c r="H274" s="133">
        <v>0</v>
      </c>
      <c r="I274" s="133">
        <v>0</v>
      </c>
      <c r="J274" s="133">
        <v>0</v>
      </c>
      <c r="K274" s="133">
        <v>0</v>
      </c>
      <c r="L274" s="135">
        <v>0</v>
      </c>
      <c r="M274" s="135">
        <v>0</v>
      </c>
      <c r="N274" s="135">
        <v>0</v>
      </c>
      <c r="O274" s="135">
        <v>-5252.67</v>
      </c>
      <c r="P274" s="135">
        <v>0</v>
      </c>
      <c r="Q274" s="135">
        <v>0</v>
      </c>
      <c r="R274" s="135">
        <v>0</v>
      </c>
      <c r="S274" s="135">
        <v>0</v>
      </c>
      <c r="T274" s="135">
        <v>0</v>
      </c>
      <c r="U274" s="135">
        <v>0</v>
      </c>
      <c r="V274" s="135">
        <v>0</v>
      </c>
      <c r="W274" s="135">
        <v>0</v>
      </c>
      <c r="X274" s="135">
        <v>0</v>
      </c>
      <c r="Y274" s="135">
        <v>0</v>
      </c>
      <c r="Z274" s="135">
        <v>0</v>
      </c>
      <c r="AA274" s="136">
        <f t="shared" si="309"/>
        <v>-5252.67</v>
      </c>
      <c r="AB274" s="135">
        <v>0</v>
      </c>
      <c r="AC274" s="83">
        <v>0</v>
      </c>
      <c r="AD274" s="83">
        <v>0</v>
      </c>
      <c r="AE274" s="83">
        <v>0</v>
      </c>
      <c r="AF274" s="83">
        <v>0</v>
      </c>
      <c r="AG274" s="83">
        <v>0</v>
      </c>
      <c r="AH274" s="83">
        <v>0</v>
      </c>
      <c r="AI274" s="83">
        <v>0</v>
      </c>
      <c r="AJ274" s="83">
        <v>0</v>
      </c>
      <c r="AK274" s="83">
        <v>0</v>
      </c>
      <c r="AL274" s="83">
        <v>0</v>
      </c>
      <c r="AM274" s="83">
        <v>-299.39999999999998</v>
      </c>
      <c r="AN274" s="136">
        <f t="shared" si="310"/>
        <v>-5552.07</v>
      </c>
      <c r="AO274" s="83">
        <v>0</v>
      </c>
      <c r="AP274" s="83">
        <v>0</v>
      </c>
      <c r="AQ274" s="83">
        <v>0</v>
      </c>
      <c r="AR274" s="83">
        <v>0</v>
      </c>
      <c r="AS274" s="83">
        <v>0</v>
      </c>
      <c r="AT274" s="83">
        <v>0</v>
      </c>
      <c r="AU274" s="83">
        <v>0</v>
      </c>
      <c r="BA274" s="31">
        <f t="shared" si="311"/>
        <v>-5552.07</v>
      </c>
    </row>
    <row r="275" spans="1:53" x14ac:dyDescent="0.2">
      <c r="B275" s="25" t="s">
        <v>202</v>
      </c>
      <c r="C275" s="137">
        <v>-8971.5300000000007</v>
      </c>
      <c r="D275" s="133">
        <v>198.54</v>
      </c>
      <c r="E275" s="133">
        <v>0</v>
      </c>
      <c r="F275" s="134">
        <v>0</v>
      </c>
      <c r="G275" s="134">
        <v>0</v>
      </c>
      <c r="H275" s="133">
        <v>0</v>
      </c>
      <c r="I275" s="133">
        <v>0</v>
      </c>
      <c r="J275" s="133">
        <v>0</v>
      </c>
      <c r="K275" s="133">
        <v>599.25</v>
      </c>
      <c r="L275" s="135">
        <v>743.07</v>
      </c>
      <c r="M275" s="135">
        <v>719.1</v>
      </c>
      <c r="N275" s="135">
        <v>743.07</v>
      </c>
      <c r="O275" s="135">
        <v>-5225.43</v>
      </c>
      <c r="P275" s="135">
        <v>695.13</v>
      </c>
      <c r="Q275" s="135">
        <v>743.07</v>
      </c>
      <c r="R275" s="135">
        <v>719.09</v>
      </c>
      <c r="S275" s="135">
        <v>743.07</v>
      </c>
      <c r="T275" s="135">
        <v>719.09</v>
      </c>
      <c r="U275" s="135">
        <v>743.07</v>
      </c>
      <c r="V275" s="135">
        <v>743.06</v>
      </c>
      <c r="W275" s="135">
        <v>119.85</v>
      </c>
      <c r="X275" s="135">
        <v>0</v>
      </c>
      <c r="Y275" s="135">
        <v>0</v>
      </c>
      <c r="Z275" s="135">
        <v>0</v>
      </c>
      <c r="AA275" s="136">
        <f t="shared" si="309"/>
        <v>4.2632564145606011E-13</v>
      </c>
      <c r="AB275" s="135">
        <v>0</v>
      </c>
      <c r="AC275" s="83">
        <v>0</v>
      </c>
      <c r="AD275" s="83">
        <v>0</v>
      </c>
      <c r="AE275" s="83">
        <v>0</v>
      </c>
      <c r="AF275" s="83">
        <v>0</v>
      </c>
      <c r="AG275" s="83">
        <v>0</v>
      </c>
      <c r="AH275" s="83">
        <v>0</v>
      </c>
      <c r="AI275" s="83">
        <v>0</v>
      </c>
      <c r="AJ275" s="83">
        <v>-99.04</v>
      </c>
      <c r="AK275" s="83">
        <v>99.04</v>
      </c>
      <c r="AL275" s="83">
        <v>0</v>
      </c>
      <c r="AM275" s="83">
        <v>0</v>
      </c>
      <c r="AN275" s="136">
        <f t="shared" si="310"/>
        <v>4.2632564145606011E-13</v>
      </c>
      <c r="AO275" s="83">
        <v>0</v>
      </c>
      <c r="AP275" s="83">
        <v>0</v>
      </c>
      <c r="AQ275" s="83">
        <v>0</v>
      </c>
      <c r="AR275" s="83">
        <v>0</v>
      </c>
      <c r="AS275" s="83">
        <v>0</v>
      </c>
      <c r="AT275" s="83">
        <v>0</v>
      </c>
      <c r="AU275" s="83">
        <v>0</v>
      </c>
      <c r="BA275" s="31">
        <f t="shared" si="311"/>
        <v>4.2632564145606011E-13</v>
      </c>
    </row>
    <row r="276" spans="1:53" x14ac:dyDescent="0.2">
      <c r="B276" s="25" t="s">
        <v>203</v>
      </c>
      <c r="C276" s="133">
        <v>-10671.57</v>
      </c>
      <c r="D276" s="133">
        <v>0</v>
      </c>
      <c r="E276" s="133">
        <v>0</v>
      </c>
      <c r="F276" s="134">
        <v>0</v>
      </c>
      <c r="G276" s="134">
        <v>0</v>
      </c>
      <c r="H276" s="133">
        <v>0</v>
      </c>
      <c r="I276" s="133">
        <v>0</v>
      </c>
      <c r="J276" s="133">
        <v>0</v>
      </c>
      <c r="K276" s="133">
        <v>0</v>
      </c>
      <c r="L276" s="135">
        <v>0</v>
      </c>
      <c r="M276" s="135">
        <v>0</v>
      </c>
      <c r="N276" s="135">
        <v>0</v>
      </c>
      <c r="O276" s="135">
        <v>-10671.57</v>
      </c>
      <c r="P276" s="135">
        <v>0</v>
      </c>
      <c r="Q276" s="135">
        <v>0</v>
      </c>
      <c r="R276" s="135">
        <v>0</v>
      </c>
      <c r="S276" s="135">
        <v>0</v>
      </c>
      <c r="T276" s="135">
        <v>0</v>
      </c>
      <c r="U276" s="135">
        <v>0</v>
      </c>
      <c r="V276" s="135">
        <v>0</v>
      </c>
      <c r="W276" s="135">
        <v>0</v>
      </c>
      <c r="X276" s="135">
        <v>0</v>
      </c>
      <c r="Y276" s="135">
        <v>0</v>
      </c>
      <c r="Z276" s="135">
        <v>0</v>
      </c>
      <c r="AA276" s="136">
        <f t="shared" si="309"/>
        <v>-10671.57</v>
      </c>
      <c r="AB276" s="135">
        <v>0</v>
      </c>
      <c r="AC276" s="83">
        <v>0</v>
      </c>
      <c r="AD276" s="83">
        <v>0</v>
      </c>
      <c r="AE276" s="83">
        <v>0</v>
      </c>
      <c r="AF276" s="83">
        <v>0</v>
      </c>
      <c r="AG276" s="83">
        <v>0</v>
      </c>
      <c r="AH276" s="83">
        <v>0</v>
      </c>
      <c r="AI276" s="83">
        <v>0</v>
      </c>
      <c r="AJ276" s="83">
        <v>0</v>
      </c>
      <c r="AK276" s="83">
        <v>0</v>
      </c>
      <c r="AL276" s="83">
        <v>0</v>
      </c>
      <c r="AM276" s="83">
        <v>-310.61</v>
      </c>
      <c r="AN276" s="136">
        <f t="shared" si="310"/>
        <v>-10982.18</v>
      </c>
      <c r="AO276" s="83">
        <v>0</v>
      </c>
      <c r="AP276" s="83">
        <v>0</v>
      </c>
      <c r="AQ276" s="83">
        <v>0</v>
      </c>
      <c r="AR276" s="83">
        <v>-810.35</v>
      </c>
      <c r="AS276" s="83">
        <v>810.35</v>
      </c>
      <c r="AT276" s="83">
        <v>0</v>
      </c>
      <c r="AU276" s="83">
        <v>0</v>
      </c>
      <c r="BA276" s="31">
        <f t="shared" si="311"/>
        <v>-10982.18</v>
      </c>
    </row>
    <row r="277" spans="1:53" x14ac:dyDescent="0.2">
      <c r="B277" s="25" t="s">
        <v>204</v>
      </c>
      <c r="C277" s="133">
        <v>-20871.29</v>
      </c>
      <c r="D277" s="133">
        <v>0</v>
      </c>
      <c r="E277" s="133">
        <v>0</v>
      </c>
      <c r="F277" s="134">
        <v>0</v>
      </c>
      <c r="G277" s="134">
        <v>0</v>
      </c>
      <c r="H277" s="133">
        <v>0</v>
      </c>
      <c r="I277" s="133">
        <v>0</v>
      </c>
      <c r="J277" s="133">
        <v>0</v>
      </c>
      <c r="K277" s="133">
        <v>0</v>
      </c>
      <c r="L277" s="135">
        <v>0</v>
      </c>
      <c r="M277" s="135">
        <v>0</v>
      </c>
      <c r="N277" s="135">
        <v>0</v>
      </c>
      <c r="O277" s="135">
        <v>-20871.29</v>
      </c>
      <c r="P277" s="135">
        <v>0</v>
      </c>
      <c r="Q277" s="135">
        <v>0</v>
      </c>
      <c r="R277" s="135">
        <v>0</v>
      </c>
      <c r="S277" s="135">
        <v>0</v>
      </c>
      <c r="T277" s="135">
        <v>0</v>
      </c>
      <c r="U277" s="135">
        <v>0</v>
      </c>
      <c r="V277" s="135">
        <v>0</v>
      </c>
      <c r="W277" s="135">
        <v>0</v>
      </c>
      <c r="X277" s="135">
        <v>0</v>
      </c>
      <c r="Y277" s="135">
        <v>0</v>
      </c>
      <c r="Z277" s="135">
        <v>0</v>
      </c>
      <c r="AA277" s="136">
        <f t="shared" si="309"/>
        <v>-20871.29</v>
      </c>
      <c r="AB277" s="135">
        <v>0</v>
      </c>
      <c r="AC277" s="83">
        <v>0</v>
      </c>
      <c r="AD277" s="83">
        <v>0</v>
      </c>
      <c r="AE277" s="83">
        <v>0</v>
      </c>
      <c r="AF277" s="83">
        <v>0</v>
      </c>
      <c r="AG277" s="83">
        <v>0</v>
      </c>
      <c r="AH277" s="83">
        <v>0</v>
      </c>
      <c r="AI277" s="83">
        <v>0</v>
      </c>
      <c r="AJ277" s="83">
        <v>0</v>
      </c>
      <c r="AK277" s="83">
        <v>0</v>
      </c>
      <c r="AL277" s="83">
        <v>1921.06</v>
      </c>
      <c r="AM277" s="83">
        <v>0</v>
      </c>
      <c r="AN277" s="136">
        <f t="shared" si="310"/>
        <v>-18950.23</v>
      </c>
      <c r="AO277" s="83">
        <v>0</v>
      </c>
      <c r="AP277" s="83">
        <v>0</v>
      </c>
      <c r="AQ277" s="83">
        <v>0</v>
      </c>
      <c r="AR277" s="83">
        <v>0</v>
      </c>
      <c r="AS277" s="83">
        <v>0</v>
      </c>
      <c r="AT277" s="83">
        <v>0</v>
      </c>
      <c r="AU277" s="83">
        <v>0</v>
      </c>
      <c r="BA277" s="31">
        <f t="shared" si="311"/>
        <v>-18950.23</v>
      </c>
    </row>
    <row r="278" spans="1:53" x14ac:dyDescent="0.2">
      <c r="B278" s="25" t="s">
        <v>205</v>
      </c>
      <c r="C278" s="133">
        <v>-5.01</v>
      </c>
      <c r="D278" s="133">
        <v>0</v>
      </c>
      <c r="E278" s="133">
        <v>0</v>
      </c>
      <c r="F278" s="134">
        <v>0</v>
      </c>
      <c r="G278" s="134">
        <v>0</v>
      </c>
      <c r="H278" s="133">
        <v>0</v>
      </c>
      <c r="I278" s="133">
        <v>0</v>
      </c>
      <c r="J278" s="133">
        <v>0</v>
      </c>
      <c r="K278" s="133">
        <v>0</v>
      </c>
      <c r="L278" s="135">
        <v>0</v>
      </c>
      <c r="M278" s="135">
        <v>0</v>
      </c>
      <c r="N278" s="135">
        <v>0</v>
      </c>
      <c r="O278" s="135">
        <v>-5.01</v>
      </c>
      <c r="P278" s="135">
        <v>0</v>
      </c>
      <c r="Q278" s="135">
        <v>0</v>
      </c>
      <c r="R278" s="135">
        <v>0</v>
      </c>
      <c r="S278" s="135">
        <v>0</v>
      </c>
      <c r="T278" s="135">
        <v>0</v>
      </c>
      <c r="U278" s="135">
        <v>0</v>
      </c>
      <c r="V278" s="135">
        <v>0</v>
      </c>
      <c r="W278" s="135">
        <v>0</v>
      </c>
      <c r="X278" s="135">
        <v>0</v>
      </c>
      <c r="Y278" s="135">
        <v>0</v>
      </c>
      <c r="Z278" s="135">
        <v>0</v>
      </c>
      <c r="AA278" s="136">
        <f t="shared" si="309"/>
        <v>-5.01</v>
      </c>
      <c r="AB278" s="135">
        <v>0</v>
      </c>
      <c r="AC278" s="83">
        <v>0</v>
      </c>
      <c r="AD278" s="83">
        <v>0</v>
      </c>
      <c r="AE278" s="83">
        <v>0</v>
      </c>
      <c r="AF278" s="83">
        <v>0</v>
      </c>
      <c r="AG278" s="83">
        <v>0</v>
      </c>
      <c r="AH278" s="83">
        <v>0</v>
      </c>
      <c r="AI278" s="83">
        <v>0</v>
      </c>
      <c r="AJ278" s="83">
        <v>0</v>
      </c>
      <c r="AK278" s="83">
        <v>0</v>
      </c>
      <c r="AL278" s="83">
        <v>0</v>
      </c>
      <c r="AM278" s="83">
        <v>0</v>
      </c>
      <c r="AN278" s="136">
        <f t="shared" si="310"/>
        <v>-5.01</v>
      </c>
      <c r="AO278" s="83">
        <v>0</v>
      </c>
      <c r="AP278" s="83">
        <v>0</v>
      </c>
      <c r="AQ278" s="83">
        <v>0</v>
      </c>
      <c r="AR278" s="83">
        <v>0</v>
      </c>
      <c r="AS278" s="83">
        <v>0</v>
      </c>
      <c r="AT278" s="83">
        <v>0</v>
      </c>
      <c r="AU278" s="83">
        <v>0</v>
      </c>
      <c r="BA278" s="31">
        <f t="shared" si="311"/>
        <v>-5.01</v>
      </c>
    </row>
    <row r="279" spans="1:53" s="9" customFormat="1" ht="12.75" x14ac:dyDescent="0.2">
      <c r="A279" s="115"/>
      <c r="B279" s="13" t="s">
        <v>1602</v>
      </c>
      <c r="C279" s="41">
        <f t="shared" ref="C279:Z279" si="312">SUM(C271:C273)</f>
        <v>-370508.27</v>
      </c>
      <c r="D279" s="41">
        <f t="shared" si="312"/>
        <v>27290.400000000001</v>
      </c>
      <c r="E279" s="41">
        <f t="shared" si="312"/>
        <v>-615252.54</v>
      </c>
      <c r="F279" s="41">
        <f t="shared" si="312"/>
        <v>71856.340000000011</v>
      </c>
      <c r="G279" s="41">
        <f t="shared" si="312"/>
        <v>74356.25</v>
      </c>
      <c r="H279" s="41">
        <f t="shared" si="312"/>
        <v>80396.489999999991</v>
      </c>
      <c r="I279" s="41">
        <f t="shared" si="312"/>
        <v>48902.23</v>
      </c>
      <c r="J279" s="41">
        <f t="shared" si="312"/>
        <v>89502.5</v>
      </c>
      <c r="K279" s="41">
        <f t="shared" si="312"/>
        <v>-7933.2900000000018</v>
      </c>
      <c r="L279" s="84">
        <f t="shared" si="312"/>
        <v>74563.25</v>
      </c>
      <c r="M279" s="84">
        <f t="shared" si="312"/>
        <v>70205.01999999999</v>
      </c>
      <c r="N279" s="84">
        <f t="shared" si="312"/>
        <v>35576.629999999997</v>
      </c>
      <c r="O279" s="84">
        <f t="shared" si="312"/>
        <v>-407881.39</v>
      </c>
      <c r="P279" s="84">
        <f t="shared" si="312"/>
        <v>-33307.020000000004</v>
      </c>
      <c r="Q279" s="84">
        <f t="shared" si="312"/>
        <v>-554070.76</v>
      </c>
      <c r="R279" s="84">
        <f t="shared" si="312"/>
        <v>74217.990000000005</v>
      </c>
      <c r="S279" s="84">
        <f t="shared" si="312"/>
        <v>77237.47</v>
      </c>
      <c r="T279" s="84">
        <f t="shared" si="312"/>
        <v>74906.55</v>
      </c>
      <c r="U279" s="84">
        <f t="shared" si="312"/>
        <v>-11401.72</v>
      </c>
      <c r="V279" s="84">
        <f t="shared" si="312"/>
        <v>71100.19</v>
      </c>
      <c r="W279" s="84">
        <f t="shared" si="312"/>
        <v>75783.28</v>
      </c>
      <c r="X279" s="84">
        <f t="shared" si="312"/>
        <v>70966.12999999999</v>
      </c>
      <c r="Y279" s="84">
        <f t="shared" si="312"/>
        <v>13927.419999999996</v>
      </c>
      <c r="Z279" s="84">
        <f t="shared" si="312"/>
        <v>73353.61</v>
      </c>
      <c r="AA279" s="84">
        <f t="shared" ref="AA279:AK279" si="313">SUM(AA271:AA278)</f>
        <v>-511968.79</v>
      </c>
      <c r="AB279" s="84">
        <f t="shared" si="313"/>
        <v>533086.08000000007</v>
      </c>
      <c r="AC279" s="84">
        <f t="shared" si="313"/>
        <v>-1075238.4099999999</v>
      </c>
      <c r="AD279" s="84">
        <f t="shared" si="313"/>
        <v>93755.49</v>
      </c>
      <c r="AE279" s="84">
        <f t="shared" si="313"/>
        <v>41931.53</v>
      </c>
      <c r="AF279" s="84">
        <f t="shared" si="313"/>
        <v>43902.9</v>
      </c>
      <c r="AG279" s="84">
        <f t="shared" si="313"/>
        <v>80438.98000000001</v>
      </c>
      <c r="AH279" s="84">
        <f t="shared" si="313"/>
        <v>77409.600000000006</v>
      </c>
      <c r="AI279" s="84">
        <f t="shared" si="313"/>
        <v>71616.77</v>
      </c>
      <c r="AJ279" s="84">
        <f t="shared" si="313"/>
        <v>88232.93</v>
      </c>
      <c r="AK279" s="84">
        <f t="shared" si="313"/>
        <v>72525.09</v>
      </c>
      <c r="AL279" s="84">
        <f t="shared" ref="AL279:AM279" si="314">SUM(AL271:AL278)</f>
        <v>77346.2</v>
      </c>
      <c r="AM279" s="84">
        <f t="shared" si="314"/>
        <v>82420.7</v>
      </c>
      <c r="AN279" s="127">
        <f>SUM(AN271:AN278)</f>
        <v>-324540.93</v>
      </c>
      <c r="AO279" s="84">
        <f t="shared" ref="AO279:AU279" si="315">SUM(AO271:AO278)</f>
        <v>13081.21</v>
      </c>
      <c r="AP279" s="84">
        <f t="shared" si="315"/>
        <v>-672693.09</v>
      </c>
      <c r="AQ279" s="84">
        <f t="shared" si="315"/>
        <v>84287.2</v>
      </c>
      <c r="AR279" s="84">
        <f t="shared" si="315"/>
        <v>69204.409999999989</v>
      </c>
      <c r="AS279" s="84">
        <f t="shared" si="315"/>
        <v>98854.09</v>
      </c>
      <c r="AT279" s="84">
        <f t="shared" si="315"/>
        <v>79691.78</v>
      </c>
      <c r="AU279" s="84">
        <f t="shared" si="315"/>
        <v>84933.220000000016</v>
      </c>
      <c r="AV279" s="84">
        <f t="shared" ref="AV279" si="316">SUM(AV271:AV278)</f>
        <v>0</v>
      </c>
      <c r="AW279" s="84">
        <f t="shared" ref="AW279" si="317">SUM(AW271:AW278)</f>
        <v>0</v>
      </c>
      <c r="AX279" s="84">
        <f t="shared" ref="AX279:AZ279" si="318">SUM(AX271:AX278)</f>
        <v>0</v>
      </c>
      <c r="AY279" s="84">
        <f t="shared" si="318"/>
        <v>0</v>
      </c>
      <c r="AZ279" s="84">
        <f t="shared" si="318"/>
        <v>0</v>
      </c>
      <c r="BA279" s="127">
        <f>SUM(BA271:BA278)</f>
        <v>-567182.10999999987</v>
      </c>
    </row>
    <row r="280" spans="1:53" x14ac:dyDescent="0.2">
      <c r="B280" s="3" t="s">
        <v>215</v>
      </c>
      <c r="C280" s="20">
        <v>-81661.3</v>
      </c>
      <c r="D280" s="20">
        <v>0</v>
      </c>
      <c r="E280" s="20">
        <v>0</v>
      </c>
      <c r="F280" s="24">
        <v>0</v>
      </c>
      <c r="G280" s="24">
        <v>0</v>
      </c>
      <c r="H280" s="20">
        <v>0</v>
      </c>
      <c r="I280" s="20">
        <v>0</v>
      </c>
      <c r="J280" s="20">
        <v>0</v>
      </c>
      <c r="K280" s="20">
        <v>0</v>
      </c>
      <c r="L280" s="83">
        <v>0</v>
      </c>
      <c r="M280" s="83">
        <v>0</v>
      </c>
      <c r="N280" s="83">
        <v>0</v>
      </c>
      <c r="O280" s="83">
        <v>-81661.3</v>
      </c>
      <c r="P280" s="83">
        <v>0</v>
      </c>
      <c r="Q280" s="83">
        <v>736914.8</v>
      </c>
      <c r="R280" s="83">
        <v>-736914.8</v>
      </c>
      <c r="S280" s="83">
        <v>0</v>
      </c>
      <c r="T280" s="83">
        <v>0</v>
      </c>
      <c r="U280" s="83">
        <v>0</v>
      </c>
      <c r="V280" s="83">
        <v>0</v>
      </c>
      <c r="W280" s="83">
        <v>0</v>
      </c>
      <c r="X280" s="83">
        <v>0</v>
      </c>
      <c r="Y280" s="83">
        <v>0</v>
      </c>
      <c r="Z280" s="83">
        <v>0</v>
      </c>
      <c r="AA280" s="31">
        <f>SUM(O280:Z280)</f>
        <v>-81661.300000000047</v>
      </c>
      <c r="AB280" s="83">
        <v>30242.959999999999</v>
      </c>
      <c r="AC280" s="83">
        <v>51418.34</v>
      </c>
      <c r="AD280" s="83">
        <v>0</v>
      </c>
      <c r="AE280" s="83">
        <v>0</v>
      </c>
      <c r="AF280" s="83">
        <v>0</v>
      </c>
      <c r="AG280" s="83">
        <v>0</v>
      </c>
      <c r="AH280" s="83">
        <v>0</v>
      </c>
      <c r="AI280" s="83">
        <v>0</v>
      </c>
      <c r="AJ280" s="83">
        <v>0</v>
      </c>
      <c r="AK280" s="83">
        <v>0</v>
      </c>
      <c r="AL280" s="83">
        <v>0</v>
      </c>
      <c r="AM280" s="83">
        <v>0</v>
      </c>
      <c r="AN280" s="31">
        <f>SUM(AA280:AM280)</f>
        <v>-5.0931703299283981E-11</v>
      </c>
      <c r="AO280" s="83">
        <v>0</v>
      </c>
      <c r="AP280" s="83">
        <v>0</v>
      </c>
      <c r="AQ280" s="83">
        <v>0</v>
      </c>
      <c r="AR280" s="83">
        <v>0</v>
      </c>
      <c r="AS280" s="83">
        <v>0</v>
      </c>
      <c r="AT280" s="83">
        <v>0</v>
      </c>
      <c r="AU280" s="83">
        <v>0</v>
      </c>
      <c r="BA280" s="31">
        <f t="shared" ref="BA280:BA282" si="319">SUM(AN280:AZ280)</f>
        <v>-5.0931703299283981E-11</v>
      </c>
    </row>
    <row r="281" spans="1:53" x14ac:dyDescent="0.2">
      <c r="B281" s="3" t="s">
        <v>216</v>
      </c>
      <c r="C281" s="20">
        <v>-183264.67</v>
      </c>
      <c r="D281" s="20">
        <v>7761.21</v>
      </c>
      <c r="E281" s="20">
        <v>8205.7099999999991</v>
      </c>
      <c r="F281" s="24">
        <v>8274.09</v>
      </c>
      <c r="G281" s="24">
        <v>8343.0400000000009</v>
      </c>
      <c r="H281" s="20">
        <v>8412.5499999999993</v>
      </c>
      <c r="I281" s="20">
        <v>8482.66</v>
      </c>
      <c r="J281" s="20">
        <v>4447.8599999999997</v>
      </c>
      <c r="K281" s="20">
        <v>-62131.03</v>
      </c>
      <c r="L281" s="83">
        <v>10521.01</v>
      </c>
      <c r="M281" s="83">
        <v>9558.69</v>
      </c>
      <c r="N281" s="83">
        <v>9638.34</v>
      </c>
      <c r="O281" s="83">
        <v>-152031.87</v>
      </c>
      <c r="P281" s="83">
        <v>-82957.149999999994</v>
      </c>
      <c r="Q281" s="83">
        <v>13740.36</v>
      </c>
      <c r="R281" s="83">
        <v>7049.63</v>
      </c>
      <c r="S281" s="83">
        <v>6928.09</v>
      </c>
      <c r="T281" s="83">
        <v>6985.85</v>
      </c>
      <c r="U281" s="83">
        <v>-37231.620000000003</v>
      </c>
      <c r="V281" s="83">
        <v>14329.81</v>
      </c>
      <c r="W281" s="83">
        <v>16857.41</v>
      </c>
      <c r="X281" s="83">
        <v>14569.58</v>
      </c>
      <c r="Y281" s="83">
        <v>-17254.18</v>
      </c>
      <c r="Z281" s="83">
        <v>18246.22</v>
      </c>
      <c r="AA281" s="31">
        <f>SUM(O281:Z281)</f>
        <v>-190767.86999999997</v>
      </c>
      <c r="AB281" s="83">
        <v>414602.85</v>
      </c>
      <c r="AC281" s="83">
        <v>-367375.47</v>
      </c>
      <c r="AD281" s="83">
        <v>13949.76</v>
      </c>
      <c r="AE281" s="83">
        <v>-30216.16</v>
      </c>
      <c r="AF281" s="83">
        <v>10674.34</v>
      </c>
      <c r="AG281" s="83">
        <v>16942.5</v>
      </c>
      <c r="AH281" s="83">
        <v>17358.060000000001</v>
      </c>
      <c r="AI281" s="83">
        <v>16236.77</v>
      </c>
      <c r="AJ281" s="83">
        <v>14913.58</v>
      </c>
      <c r="AK281" s="83">
        <v>11833.9</v>
      </c>
      <c r="AL281" s="83">
        <v>12604.78</v>
      </c>
      <c r="AM281" s="83">
        <v>12949.18</v>
      </c>
      <c r="AN281" s="31">
        <f>SUM(AA281:AM281)</f>
        <v>-46293.779999999962</v>
      </c>
      <c r="AO281" s="83">
        <v>7837.9</v>
      </c>
      <c r="AP281" s="83">
        <v>7792.31</v>
      </c>
      <c r="AQ281" s="83">
        <v>8124.21</v>
      </c>
      <c r="AR281" s="83">
        <v>4155.5600000000004</v>
      </c>
      <c r="AS281" s="83">
        <v>4061.48</v>
      </c>
      <c r="AT281" s="83">
        <v>3620.72</v>
      </c>
      <c r="AU281" s="83">
        <v>3653.84</v>
      </c>
      <c r="BA281" s="31">
        <f t="shared" si="319"/>
        <v>-7047.7599999999602</v>
      </c>
    </row>
    <row r="282" spans="1:53" x14ac:dyDescent="0.2">
      <c r="B282" s="3" t="s">
        <v>217</v>
      </c>
      <c r="C282" s="20">
        <v>-263618.55</v>
      </c>
      <c r="D282" s="20">
        <v>-12563.5</v>
      </c>
      <c r="E282" s="20">
        <v>14821.81</v>
      </c>
      <c r="F282" s="24">
        <v>-6083.24</v>
      </c>
      <c r="G282" s="24">
        <v>13890.61</v>
      </c>
      <c r="H282" s="20">
        <v>-1910.06</v>
      </c>
      <c r="I282" s="20">
        <v>3085.57</v>
      </c>
      <c r="J282" s="20">
        <v>3760.23</v>
      </c>
      <c r="K282" s="20">
        <v>-19868.89</v>
      </c>
      <c r="L282" s="83">
        <v>2506.89</v>
      </c>
      <c r="M282" s="83">
        <v>-265.85000000000002</v>
      </c>
      <c r="N282" s="83">
        <v>-15634.35</v>
      </c>
      <c r="O282" s="83">
        <v>-278149.02</v>
      </c>
      <c r="P282" s="83">
        <v>3996.81</v>
      </c>
      <c r="Q282" s="83">
        <v>-10149.33</v>
      </c>
      <c r="R282" s="83">
        <v>-11064.31</v>
      </c>
      <c r="S282" s="83">
        <v>4877.6099999999997</v>
      </c>
      <c r="T282" s="83">
        <v>4811.12</v>
      </c>
      <c r="U282" s="83">
        <v>-6324.68</v>
      </c>
      <c r="V282" s="83">
        <v>5245.96</v>
      </c>
      <c r="W282" s="83">
        <v>-11620.9</v>
      </c>
      <c r="X282" s="83">
        <v>4581.1899999999996</v>
      </c>
      <c r="Y282" s="83">
        <v>-19839.16</v>
      </c>
      <c r="Z282" s="83">
        <v>-7658.15</v>
      </c>
      <c r="AA282" s="31">
        <f>SUM(O282:Z282)</f>
        <v>-321292.86000000004</v>
      </c>
      <c r="AB282" s="83">
        <v>156184.76</v>
      </c>
      <c r="AC282" s="83">
        <v>22870.6</v>
      </c>
      <c r="AD282" s="83">
        <v>3195.81</v>
      </c>
      <c r="AE282" s="83">
        <v>7545.76</v>
      </c>
      <c r="AF282" s="83">
        <v>-257.93</v>
      </c>
      <c r="AG282" s="83">
        <v>4267.78</v>
      </c>
      <c r="AH282" s="83">
        <v>-2005.34</v>
      </c>
      <c r="AI282" s="83">
        <v>-799.19</v>
      </c>
      <c r="AJ282" s="83">
        <v>-477.07</v>
      </c>
      <c r="AK282" s="83">
        <v>962.88</v>
      </c>
      <c r="AL282" s="83">
        <v>2586.87</v>
      </c>
      <c r="AM282" s="83">
        <v>6606.93</v>
      </c>
      <c r="AN282" s="31">
        <f>SUM(AA282:AM282)</f>
        <v>-120611.00000000003</v>
      </c>
      <c r="AO282" s="83">
        <v>-5382.2</v>
      </c>
      <c r="AP282" s="83">
        <v>6057.3</v>
      </c>
      <c r="AQ282" s="83">
        <v>4591.76</v>
      </c>
      <c r="AR282" s="83">
        <v>5927.36</v>
      </c>
      <c r="AS282" s="83">
        <v>6092.74</v>
      </c>
      <c r="AT282" s="83">
        <v>3807.57</v>
      </c>
      <c r="AU282" s="83">
        <v>6897.78</v>
      </c>
      <c r="BA282" s="31">
        <f t="shared" si="319"/>
        <v>-92618.690000000017</v>
      </c>
    </row>
    <row r="283" spans="1:53" s="9" customFormat="1" ht="12.75" x14ac:dyDescent="0.2">
      <c r="A283" s="115"/>
      <c r="B283" s="13" t="s">
        <v>1603</v>
      </c>
      <c r="C283" s="41">
        <f t="shared" ref="C283:AK283" si="320">SUM(C280:C282)</f>
        <v>-528544.52</v>
      </c>
      <c r="D283" s="41">
        <f t="shared" si="320"/>
        <v>-4802.29</v>
      </c>
      <c r="E283" s="41">
        <f t="shared" si="320"/>
        <v>23027.519999999997</v>
      </c>
      <c r="F283" s="41">
        <f t="shared" si="320"/>
        <v>2190.8500000000004</v>
      </c>
      <c r="G283" s="41">
        <f t="shared" si="320"/>
        <v>22233.65</v>
      </c>
      <c r="H283" s="41">
        <f t="shared" si="320"/>
        <v>6502.49</v>
      </c>
      <c r="I283" s="41">
        <f t="shared" si="320"/>
        <v>11568.23</v>
      </c>
      <c r="J283" s="41">
        <f t="shared" si="320"/>
        <v>8208.09</v>
      </c>
      <c r="K283" s="41">
        <f t="shared" si="320"/>
        <v>-81999.92</v>
      </c>
      <c r="L283" s="84">
        <f t="shared" si="320"/>
        <v>13027.9</v>
      </c>
      <c r="M283" s="84">
        <f t="shared" si="320"/>
        <v>9292.84</v>
      </c>
      <c r="N283" s="84">
        <f t="shared" si="320"/>
        <v>-5996.01</v>
      </c>
      <c r="O283" s="84">
        <f t="shared" si="320"/>
        <v>-511842.19</v>
      </c>
      <c r="P283" s="84">
        <f t="shared" si="320"/>
        <v>-78960.34</v>
      </c>
      <c r="Q283" s="84">
        <f t="shared" si="320"/>
        <v>740505.83000000007</v>
      </c>
      <c r="R283" s="84">
        <f t="shared" si="320"/>
        <v>-740929.4800000001</v>
      </c>
      <c r="S283" s="84">
        <f t="shared" si="320"/>
        <v>11805.7</v>
      </c>
      <c r="T283" s="84">
        <f t="shared" si="320"/>
        <v>11796.970000000001</v>
      </c>
      <c r="U283" s="84">
        <f t="shared" si="320"/>
        <v>-43556.3</v>
      </c>
      <c r="V283" s="84">
        <f t="shared" si="320"/>
        <v>19575.77</v>
      </c>
      <c r="W283" s="84">
        <f t="shared" si="320"/>
        <v>5236.51</v>
      </c>
      <c r="X283" s="84">
        <f t="shared" si="320"/>
        <v>19150.77</v>
      </c>
      <c r="Y283" s="84">
        <f t="shared" si="320"/>
        <v>-37093.339999999997</v>
      </c>
      <c r="Z283" s="84">
        <f t="shared" si="320"/>
        <v>10588.070000000002</v>
      </c>
      <c r="AA283" s="84">
        <f t="shared" si="320"/>
        <v>-593722.03</v>
      </c>
      <c r="AB283" s="84">
        <f t="shared" si="320"/>
        <v>601030.57000000007</v>
      </c>
      <c r="AC283" s="84">
        <f t="shared" si="320"/>
        <v>-293086.53000000003</v>
      </c>
      <c r="AD283" s="84">
        <f t="shared" si="320"/>
        <v>17145.57</v>
      </c>
      <c r="AE283" s="84">
        <f t="shared" si="320"/>
        <v>-22670.400000000001</v>
      </c>
      <c r="AF283" s="84">
        <f t="shared" si="320"/>
        <v>10416.41</v>
      </c>
      <c r="AG283" s="84">
        <f t="shared" si="320"/>
        <v>21210.28</v>
      </c>
      <c r="AH283" s="84">
        <f t="shared" si="320"/>
        <v>15352.720000000001</v>
      </c>
      <c r="AI283" s="84">
        <f t="shared" si="320"/>
        <v>15437.58</v>
      </c>
      <c r="AJ283" s="84">
        <f t="shared" si="320"/>
        <v>14436.51</v>
      </c>
      <c r="AK283" s="84">
        <f t="shared" si="320"/>
        <v>12796.779999999999</v>
      </c>
      <c r="AL283" s="84">
        <f t="shared" ref="AL283:AM283" si="321">SUM(AL280:AL282)</f>
        <v>15191.650000000001</v>
      </c>
      <c r="AM283" s="84">
        <f t="shared" si="321"/>
        <v>19556.11</v>
      </c>
      <c r="AN283" s="127">
        <f>SUM(AN280:AN282)</f>
        <v>-166904.78000000003</v>
      </c>
      <c r="AO283" s="84">
        <f t="shared" ref="AO283:AU283" si="322">SUM(AO280:AO282)</f>
        <v>2455.6999999999998</v>
      </c>
      <c r="AP283" s="84">
        <f t="shared" si="322"/>
        <v>13849.61</v>
      </c>
      <c r="AQ283" s="84">
        <f t="shared" si="322"/>
        <v>12715.970000000001</v>
      </c>
      <c r="AR283" s="84">
        <f t="shared" si="322"/>
        <v>10082.92</v>
      </c>
      <c r="AS283" s="84">
        <f t="shared" si="322"/>
        <v>10154.219999999999</v>
      </c>
      <c r="AT283" s="84">
        <f t="shared" si="322"/>
        <v>7428.29</v>
      </c>
      <c r="AU283" s="84">
        <f t="shared" si="322"/>
        <v>10551.619999999999</v>
      </c>
      <c r="AV283" s="84">
        <f t="shared" ref="AV283" si="323">SUM(AV280:AV282)</f>
        <v>0</v>
      </c>
      <c r="AW283" s="84">
        <f t="shared" ref="AW283" si="324">SUM(AW280:AW282)</f>
        <v>0</v>
      </c>
      <c r="AX283" s="84">
        <f t="shared" ref="AX283:AZ283" si="325">SUM(AX280:AX282)</f>
        <v>0</v>
      </c>
      <c r="AY283" s="84">
        <f t="shared" si="325"/>
        <v>0</v>
      </c>
      <c r="AZ283" s="84">
        <f t="shared" si="325"/>
        <v>0</v>
      </c>
      <c r="BA283" s="127">
        <f>SUM(BA280:BA282)</f>
        <v>-99666.450000000026</v>
      </c>
    </row>
    <row r="284" spans="1:53" x14ac:dyDescent="0.2">
      <c r="B284" s="3" t="s">
        <v>1632</v>
      </c>
      <c r="C284" s="20">
        <v>0</v>
      </c>
      <c r="D284" s="20">
        <v>0</v>
      </c>
      <c r="E284" s="20">
        <v>-16890.13</v>
      </c>
      <c r="F284" s="24">
        <v>-6247.43</v>
      </c>
      <c r="G284" s="24">
        <v>-5186.5200000000004</v>
      </c>
      <c r="H284" s="20">
        <v>-5537.61</v>
      </c>
      <c r="I284" s="20">
        <v>-5495.21</v>
      </c>
      <c r="J284" s="20">
        <v>-5161.09</v>
      </c>
      <c r="K284" s="20">
        <v>-4641.25</v>
      </c>
      <c r="L284" s="83">
        <v>-2834.15</v>
      </c>
      <c r="M284" s="83">
        <v>-9951.6200000000008</v>
      </c>
      <c r="N284" s="83">
        <v>23540.67</v>
      </c>
      <c r="O284" s="83">
        <v>-40599.339999999997</v>
      </c>
      <c r="P284" s="83">
        <v>-3320.05</v>
      </c>
      <c r="Q284" s="83">
        <v>-2629.99</v>
      </c>
      <c r="R284" s="83">
        <v>-1836.3</v>
      </c>
      <c r="S284" s="83">
        <v>-3064.2</v>
      </c>
      <c r="T284" s="83">
        <v>-2524.38</v>
      </c>
      <c r="U284" s="83">
        <v>-3312.93</v>
      </c>
      <c r="V284" s="83">
        <v>-7390.35</v>
      </c>
      <c r="W284" s="83">
        <v>-3384.12</v>
      </c>
      <c r="X284" s="83">
        <v>-664.83</v>
      </c>
      <c r="Y284" s="83">
        <v>-2420.59</v>
      </c>
      <c r="Z284" s="83">
        <v>1331.11</v>
      </c>
      <c r="AA284" s="31">
        <f>SUM(O284:Z284)</f>
        <v>-69815.969999999987</v>
      </c>
      <c r="AB284" s="83">
        <v>-9848.23</v>
      </c>
      <c r="AC284" s="83">
        <v>-8943.2000000000007</v>
      </c>
      <c r="AD284" s="83">
        <v>-10324.77</v>
      </c>
      <c r="AE284" s="83">
        <v>-9556.9599999999991</v>
      </c>
      <c r="AF284" s="83">
        <v>-12964.35</v>
      </c>
      <c r="AG284" s="83">
        <v>-11008.34</v>
      </c>
      <c r="AH284" s="83">
        <v>-8782.82</v>
      </c>
      <c r="AI284" s="83">
        <v>-10062.44</v>
      </c>
      <c r="AJ284" s="83">
        <v>-8218.35</v>
      </c>
      <c r="AK284" s="83">
        <v>-10777.15</v>
      </c>
      <c r="AL284" s="83">
        <v>-9854.73</v>
      </c>
      <c r="AM284" s="83">
        <v>-9058.73</v>
      </c>
      <c r="AN284" s="31">
        <f>SUM(AA284:AM284)</f>
        <v>-189216.04</v>
      </c>
      <c r="AO284" s="83">
        <v>-3708.84</v>
      </c>
      <c r="AP284" s="83">
        <v>-4090.67</v>
      </c>
      <c r="AQ284" s="83">
        <v>-1369.9</v>
      </c>
      <c r="AR284" s="83">
        <v>509.57</v>
      </c>
      <c r="AS284" s="83">
        <v>1838.63</v>
      </c>
      <c r="AT284" s="83">
        <v>-3553.79</v>
      </c>
      <c r="AU284" s="83">
        <v>-1945.91</v>
      </c>
      <c r="BA284" s="31">
        <f>SUM(AN284:AZ284)</f>
        <v>-201536.95</v>
      </c>
    </row>
    <row r="285" spans="1:53" s="9" customFormat="1" ht="12.75" x14ac:dyDescent="0.2">
      <c r="A285" s="115"/>
      <c r="B285" s="13" t="s">
        <v>1633</v>
      </c>
      <c r="C285" s="41">
        <f t="shared" ref="C285:AK285" si="326">SUM(C284)</f>
        <v>0</v>
      </c>
      <c r="D285" s="41">
        <f t="shared" si="326"/>
        <v>0</v>
      </c>
      <c r="E285" s="41">
        <f t="shared" si="326"/>
        <v>-16890.13</v>
      </c>
      <c r="F285" s="41">
        <f t="shared" si="326"/>
        <v>-6247.43</v>
      </c>
      <c r="G285" s="41">
        <f t="shared" si="326"/>
        <v>-5186.5200000000004</v>
      </c>
      <c r="H285" s="41">
        <f t="shared" si="326"/>
        <v>-5537.61</v>
      </c>
      <c r="I285" s="41">
        <f t="shared" si="326"/>
        <v>-5495.21</v>
      </c>
      <c r="J285" s="41">
        <f t="shared" si="326"/>
        <v>-5161.09</v>
      </c>
      <c r="K285" s="41">
        <f t="shared" si="326"/>
        <v>-4641.25</v>
      </c>
      <c r="L285" s="84">
        <f t="shared" si="326"/>
        <v>-2834.15</v>
      </c>
      <c r="M285" s="84">
        <f t="shared" si="326"/>
        <v>-9951.6200000000008</v>
      </c>
      <c r="N285" s="84">
        <f t="shared" si="326"/>
        <v>23540.67</v>
      </c>
      <c r="O285" s="84">
        <f t="shared" si="326"/>
        <v>-40599.339999999997</v>
      </c>
      <c r="P285" s="84">
        <f t="shared" si="326"/>
        <v>-3320.05</v>
      </c>
      <c r="Q285" s="84">
        <f t="shared" si="326"/>
        <v>-2629.99</v>
      </c>
      <c r="R285" s="84">
        <f t="shared" si="326"/>
        <v>-1836.3</v>
      </c>
      <c r="S285" s="84">
        <f t="shared" si="326"/>
        <v>-3064.2</v>
      </c>
      <c r="T285" s="84">
        <f t="shared" si="326"/>
        <v>-2524.38</v>
      </c>
      <c r="U285" s="84">
        <f t="shared" si="326"/>
        <v>-3312.93</v>
      </c>
      <c r="V285" s="84">
        <f t="shared" si="326"/>
        <v>-7390.35</v>
      </c>
      <c r="W285" s="84">
        <f t="shared" si="326"/>
        <v>-3384.12</v>
      </c>
      <c r="X285" s="84">
        <f t="shared" si="326"/>
        <v>-664.83</v>
      </c>
      <c r="Y285" s="84">
        <f t="shared" si="326"/>
        <v>-2420.59</v>
      </c>
      <c r="Z285" s="84">
        <f t="shared" si="326"/>
        <v>1331.11</v>
      </c>
      <c r="AA285" s="84">
        <f t="shared" si="326"/>
        <v>-69815.969999999987</v>
      </c>
      <c r="AB285" s="84">
        <f t="shared" si="326"/>
        <v>-9848.23</v>
      </c>
      <c r="AC285" s="84">
        <f t="shared" si="326"/>
        <v>-8943.2000000000007</v>
      </c>
      <c r="AD285" s="84">
        <f t="shared" si="326"/>
        <v>-10324.77</v>
      </c>
      <c r="AE285" s="84">
        <f t="shared" si="326"/>
        <v>-9556.9599999999991</v>
      </c>
      <c r="AF285" s="84">
        <f t="shared" si="326"/>
        <v>-12964.35</v>
      </c>
      <c r="AG285" s="84">
        <f t="shared" si="326"/>
        <v>-11008.34</v>
      </c>
      <c r="AH285" s="84">
        <f t="shared" si="326"/>
        <v>-8782.82</v>
      </c>
      <c r="AI285" s="84">
        <f t="shared" si="326"/>
        <v>-10062.44</v>
      </c>
      <c r="AJ285" s="84">
        <f t="shared" si="326"/>
        <v>-8218.35</v>
      </c>
      <c r="AK285" s="84">
        <f t="shared" si="326"/>
        <v>-10777.15</v>
      </c>
      <c r="AL285" s="84">
        <f t="shared" ref="AL285:AM285" si="327">SUM(AL284)</f>
        <v>-9854.73</v>
      </c>
      <c r="AM285" s="84">
        <f t="shared" si="327"/>
        <v>-9058.73</v>
      </c>
      <c r="AN285" s="127">
        <f>SUM(AN284)</f>
        <v>-189216.04</v>
      </c>
      <c r="AO285" s="84">
        <f t="shared" ref="AO285:AU285" si="328">SUM(AO284)</f>
        <v>-3708.84</v>
      </c>
      <c r="AP285" s="84">
        <f t="shared" si="328"/>
        <v>-4090.67</v>
      </c>
      <c r="AQ285" s="84">
        <f t="shared" si="328"/>
        <v>-1369.9</v>
      </c>
      <c r="AR285" s="84">
        <f t="shared" si="328"/>
        <v>509.57</v>
      </c>
      <c r="AS285" s="84">
        <f t="shared" si="328"/>
        <v>1838.63</v>
      </c>
      <c r="AT285" s="84">
        <f t="shared" si="328"/>
        <v>-3553.79</v>
      </c>
      <c r="AU285" s="84">
        <f t="shared" si="328"/>
        <v>-1945.91</v>
      </c>
      <c r="AV285" s="84">
        <f t="shared" ref="AV285" si="329">SUM(AV284)</f>
        <v>0</v>
      </c>
      <c r="AW285" s="84">
        <f t="shared" ref="AW285" si="330">SUM(AW284)</f>
        <v>0</v>
      </c>
      <c r="AX285" s="84">
        <f t="shared" ref="AX285:AZ285" si="331">SUM(AX284)</f>
        <v>0</v>
      </c>
      <c r="AY285" s="84">
        <f t="shared" si="331"/>
        <v>0</v>
      </c>
      <c r="AZ285" s="84">
        <f t="shared" si="331"/>
        <v>0</v>
      </c>
      <c r="BA285" s="127">
        <f>SUM(BA284)</f>
        <v>-201536.95</v>
      </c>
    </row>
    <row r="286" spans="1:53" x14ac:dyDescent="0.2">
      <c r="B286" s="3" t="s">
        <v>220</v>
      </c>
      <c r="C286" s="20">
        <v>120.57</v>
      </c>
      <c r="D286" s="20">
        <v>2595.06</v>
      </c>
      <c r="E286" s="20">
        <v>0</v>
      </c>
      <c r="F286" s="24">
        <v>0</v>
      </c>
      <c r="G286" s="24">
        <v>0</v>
      </c>
      <c r="H286" s="20">
        <v>0</v>
      </c>
      <c r="I286" s="20">
        <v>0</v>
      </c>
      <c r="J286" s="20">
        <v>0</v>
      </c>
      <c r="K286" s="20">
        <v>0</v>
      </c>
      <c r="L286" s="83">
        <v>0</v>
      </c>
      <c r="M286" s="83">
        <v>0</v>
      </c>
      <c r="N286" s="83">
        <v>0</v>
      </c>
      <c r="O286" s="83">
        <v>2715.63</v>
      </c>
      <c r="P286" s="83">
        <v>0</v>
      </c>
      <c r="Q286" s="83">
        <v>0</v>
      </c>
      <c r="R286" s="83">
        <v>0</v>
      </c>
      <c r="S286" s="83">
        <v>0</v>
      </c>
      <c r="T286" s="83">
        <v>0</v>
      </c>
      <c r="U286" s="83">
        <v>0</v>
      </c>
      <c r="V286" s="83">
        <v>0</v>
      </c>
      <c r="W286" s="83">
        <v>0</v>
      </c>
      <c r="X286" s="83">
        <v>0</v>
      </c>
      <c r="Y286" s="83">
        <v>0</v>
      </c>
      <c r="Z286" s="83">
        <v>0</v>
      </c>
      <c r="AA286" s="31">
        <f>SUM(O286:Z286)</f>
        <v>2715.63</v>
      </c>
      <c r="AB286" s="83">
        <v>0</v>
      </c>
      <c r="AC286" s="83">
        <v>0</v>
      </c>
      <c r="AD286" s="83">
        <v>0</v>
      </c>
      <c r="AE286" s="83">
        <v>0</v>
      </c>
      <c r="AF286" s="83">
        <v>0</v>
      </c>
      <c r="AG286" s="83">
        <v>0</v>
      </c>
      <c r="AH286" s="83">
        <v>0</v>
      </c>
      <c r="AI286" s="83">
        <v>0</v>
      </c>
      <c r="AJ286" s="83">
        <v>0</v>
      </c>
      <c r="AK286" s="83">
        <v>0</v>
      </c>
      <c r="AL286" s="83">
        <v>0</v>
      </c>
      <c r="AM286" s="83">
        <v>0</v>
      </c>
      <c r="AN286" s="31">
        <f>SUM(AA286:AM286)</f>
        <v>2715.63</v>
      </c>
      <c r="AO286" s="83">
        <v>0</v>
      </c>
      <c r="AP286" s="83">
        <v>0</v>
      </c>
      <c r="AQ286" s="83">
        <v>0</v>
      </c>
      <c r="AR286" s="83">
        <v>0</v>
      </c>
      <c r="AS286" s="83">
        <v>0</v>
      </c>
      <c r="AT286" s="83">
        <v>0</v>
      </c>
      <c r="AU286" s="83">
        <v>0</v>
      </c>
      <c r="BA286" s="31">
        <f t="shared" ref="BA286:BA288" si="332">SUM(AN286:AZ286)</f>
        <v>2715.63</v>
      </c>
    </row>
    <row r="287" spans="1:53" x14ac:dyDescent="0.2">
      <c r="B287" s="3" t="s">
        <v>221</v>
      </c>
      <c r="C287" s="20">
        <v>596.78</v>
      </c>
      <c r="D287" s="20">
        <v>0</v>
      </c>
      <c r="E287" s="20">
        <v>0</v>
      </c>
      <c r="F287" s="24">
        <v>0</v>
      </c>
      <c r="G287" s="24">
        <v>0</v>
      </c>
      <c r="H287" s="20">
        <v>0</v>
      </c>
      <c r="I287" s="20">
        <v>0</v>
      </c>
      <c r="J287" s="20">
        <v>0</v>
      </c>
      <c r="K287" s="20">
        <v>0</v>
      </c>
      <c r="L287" s="83">
        <v>0</v>
      </c>
      <c r="M287" s="83">
        <v>0</v>
      </c>
      <c r="N287" s="83">
        <v>0</v>
      </c>
      <c r="O287" s="83">
        <v>596.78</v>
      </c>
      <c r="P287" s="83">
        <v>0</v>
      </c>
      <c r="Q287" s="83">
        <v>0</v>
      </c>
      <c r="R287" s="83">
        <v>0</v>
      </c>
      <c r="S287" s="83">
        <v>0</v>
      </c>
      <c r="T287" s="83">
        <v>0</v>
      </c>
      <c r="U287" s="83">
        <v>0</v>
      </c>
      <c r="V287" s="83">
        <v>0</v>
      </c>
      <c r="W287" s="83">
        <v>0</v>
      </c>
      <c r="X287" s="83">
        <v>0</v>
      </c>
      <c r="Y287" s="83">
        <v>0</v>
      </c>
      <c r="Z287" s="83">
        <v>0</v>
      </c>
      <c r="AA287" s="31">
        <f>SUM(O287:Z287)</f>
        <v>596.78</v>
      </c>
      <c r="AB287" s="83">
        <v>0</v>
      </c>
      <c r="AC287" s="83">
        <v>0</v>
      </c>
      <c r="AD287" s="83">
        <v>0</v>
      </c>
      <c r="AE287" s="83">
        <v>0</v>
      </c>
      <c r="AF287" s="83">
        <v>0</v>
      </c>
      <c r="AG287" s="83">
        <v>0</v>
      </c>
      <c r="AH287" s="83">
        <v>0</v>
      </c>
      <c r="AI287" s="83">
        <v>0</v>
      </c>
      <c r="AJ287" s="83">
        <v>0</v>
      </c>
      <c r="AK287" s="83">
        <v>0</v>
      </c>
      <c r="AL287" s="83">
        <v>0</v>
      </c>
      <c r="AM287" s="83">
        <v>0</v>
      </c>
      <c r="AN287" s="31">
        <f>SUM(AA287:AM287)</f>
        <v>596.78</v>
      </c>
      <c r="AO287" s="83">
        <v>0</v>
      </c>
      <c r="AP287" s="83">
        <v>0</v>
      </c>
      <c r="AQ287" s="83">
        <v>0</v>
      </c>
      <c r="AR287" s="83">
        <v>0</v>
      </c>
      <c r="AS287" s="83">
        <v>0</v>
      </c>
      <c r="AT287" s="83">
        <v>0</v>
      </c>
      <c r="AU287" s="83">
        <v>0</v>
      </c>
      <c r="BA287" s="31">
        <f t="shared" si="332"/>
        <v>596.78</v>
      </c>
    </row>
    <row r="288" spans="1:53" x14ac:dyDescent="0.2">
      <c r="B288" s="3" t="s">
        <v>222</v>
      </c>
      <c r="C288" s="20">
        <v>51669293.850000001</v>
      </c>
      <c r="D288" s="20">
        <v>2579028.2200000002</v>
      </c>
      <c r="E288" s="20">
        <v>-4151819.94</v>
      </c>
      <c r="F288" s="24">
        <v>-4477660.1900000004</v>
      </c>
      <c r="G288" s="24">
        <v>13703094.34</v>
      </c>
      <c r="H288" s="20">
        <v>4827661.5199999996</v>
      </c>
      <c r="I288" s="20">
        <v>-1369297.48</v>
      </c>
      <c r="J288" s="20">
        <v>5210354.3600000003</v>
      </c>
      <c r="K288" s="20">
        <v>152394.54999999999</v>
      </c>
      <c r="L288" s="83">
        <v>-148824.89000000001</v>
      </c>
      <c r="M288" s="83">
        <v>4364770.9400000004</v>
      </c>
      <c r="N288" s="83">
        <v>2002633.92</v>
      </c>
      <c r="O288" s="83">
        <v>78512058.670000002</v>
      </c>
      <c r="P288" s="83">
        <v>1882398.02</v>
      </c>
      <c r="Q288" s="83">
        <v>1432355.26</v>
      </c>
      <c r="R288" s="83">
        <v>-576672.84</v>
      </c>
      <c r="S288" s="83">
        <v>783306.69</v>
      </c>
      <c r="T288" s="83">
        <v>1033526.01</v>
      </c>
      <c r="U288" s="83">
        <v>1690676.32</v>
      </c>
      <c r="V288" s="83">
        <v>-1145670.01</v>
      </c>
      <c r="W288" s="83">
        <v>1289994.3500000001</v>
      </c>
      <c r="X288" s="83">
        <v>1616915.12</v>
      </c>
      <c r="Y288" s="83">
        <v>2598318.09</v>
      </c>
      <c r="Z288" s="83">
        <v>2032635.28</v>
      </c>
      <c r="AA288" s="31">
        <f>SUM(O288:Z288)</f>
        <v>91149840.959999993</v>
      </c>
      <c r="AB288" s="83">
        <v>2548682.37</v>
      </c>
      <c r="AC288" s="83">
        <v>2905504.19</v>
      </c>
      <c r="AD288" s="83">
        <v>680879.97</v>
      </c>
      <c r="AE288" s="83">
        <v>5362016.2699999996</v>
      </c>
      <c r="AF288" s="83">
        <v>4498015.8600000003</v>
      </c>
      <c r="AG288" s="83">
        <v>3921886.05</v>
      </c>
      <c r="AH288" s="83">
        <v>4011334.14</v>
      </c>
      <c r="AI288" s="83">
        <v>3994956.01</v>
      </c>
      <c r="AJ288" s="83">
        <v>2584936.27</v>
      </c>
      <c r="AK288" s="83">
        <v>1034774.7</v>
      </c>
      <c r="AL288" s="83">
        <v>737143.73</v>
      </c>
      <c r="AM288" s="83">
        <v>-5304148.05</v>
      </c>
      <c r="AN288" s="31">
        <f>SUM(AA288:AM288)</f>
        <v>118125822.47</v>
      </c>
      <c r="AO288" s="83">
        <v>1186879.73</v>
      </c>
      <c r="AP288" s="83">
        <v>2434178.6800000002</v>
      </c>
      <c r="AQ288" s="83">
        <v>-370170.23</v>
      </c>
      <c r="AR288" s="83">
        <v>-351449.86</v>
      </c>
      <c r="AS288" s="83">
        <v>1666465.9</v>
      </c>
      <c r="AT288" s="83">
        <v>960190.78</v>
      </c>
      <c r="AU288" s="83">
        <v>1356167.32</v>
      </c>
      <c r="BA288" s="31">
        <f t="shared" si="332"/>
        <v>125008084.79000001</v>
      </c>
    </row>
    <row r="289" spans="1:53" s="34" customFormat="1" ht="12" x14ac:dyDescent="0.2">
      <c r="A289" s="116"/>
      <c r="B289" s="35" t="s">
        <v>1604</v>
      </c>
      <c r="C289" s="36">
        <f t="shared" ref="C289:AM289" si="333">SUM(C286:C288)</f>
        <v>51670011.200000003</v>
      </c>
      <c r="D289" s="36">
        <f t="shared" si="333"/>
        <v>2581623.2800000003</v>
      </c>
      <c r="E289" s="36">
        <f t="shared" si="333"/>
        <v>-4151819.94</v>
      </c>
      <c r="F289" s="36">
        <f t="shared" si="333"/>
        <v>-4477660.1900000004</v>
      </c>
      <c r="G289" s="36">
        <f t="shared" si="333"/>
        <v>13703094.34</v>
      </c>
      <c r="H289" s="36">
        <f t="shared" si="333"/>
        <v>4827661.5199999996</v>
      </c>
      <c r="I289" s="36">
        <f t="shared" si="333"/>
        <v>-1369297.48</v>
      </c>
      <c r="J289" s="36">
        <f t="shared" si="333"/>
        <v>5210354.3600000003</v>
      </c>
      <c r="K289" s="36">
        <f t="shared" si="333"/>
        <v>152394.54999999999</v>
      </c>
      <c r="L289" s="85">
        <f t="shared" si="333"/>
        <v>-148824.89000000001</v>
      </c>
      <c r="M289" s="85">
        <f t="shared" si="333"/>
        <v>4364770.9400000004</v>
      </c>
      <c r="N289" s="85">
        <f t="shared" si="333"/>
        <v>2002633.92</v>
      </c>
      <c r="O289" s="85">
        <f t="shared" si="333"/>
        <v>78515371.079999998</v>
      </c>
      <c r="P289" s="85">
        <f t="shared" si="333"/>
        <v>1882398.02</v>
      </c>
      <c r="Q289" s="85">
        <f t="shared" si="333"/>
        <v>1432355.26</v>
      </c>
      <c r="R289" s="85">
        <f t="shared" si="333"/>
        <v>-576672.84</v>
      </c>
      <c r="S289" s="85">
        <f t="shared" si="333"/>
        <v>783306.69</v>
      </c>
      <c r="T289" s="85">
        <f t="shared" si="333"/>
        <v>1033526.01</v>
      </c>
      <c r="U289" s="85">
        <f t="shared" si="333"/>
        <v>1690676.32</v>
      </c>
      <c r="V289" s="85">
        <f t="shared" si="333"/>
        <v>-1145670.01</v>
      </c>
      <c r="W289" s="85">
        <f t="shared" si="333"/>
        <v>1289994.3500000001</v>
      </c>
      <c r="X289" s="85">
        <f t="shared" si="333"/>
        <v>1616915.12</v>
      </c>
      <c r="Y289" s="85">
        <f t="shared" si="333"/>
        <v>2598318.09</v>
      </c>
      <c r="Z289" s="85">
        <f t="shared" si="333"/>
        <v>2032635.28</v>
      </c>
      <c r="AA289" s="85">
        <f t="shared" si="333"/>
        <v>91153153.36999999</v>
      </c>
      <c r="AB289" s="85">
        <f t="shared" si="333"/>
        <v>2548682.37</v>
      </c>
      <c r="AC289" s="85">
        <f t="shared" si="333"/>
        <v>2905504.19</v>
      </c>
      <c r="AD289" s="85">
        <f t="shared" si="333"/>
        <v>680879.97</v>
      </c>
      <c r="AE289" s="85">
        <f t="shared" si="333"/>
        <v>5362016.2699999996</v>
      </c>
      <c r="AF289" s="85">
        <f t="shared" si="333"/>
        <v>4498015.8600000003</v>
      </c>
      <c r="AG289" s="85">
        <f t="shared" si="333"/>
        <v>3921886.05</v>
      </c>
      <c r="AH289" s="85">
        <f t="shared" si="333"/>
        <v>4011334.14</v>
      </c>
      <c r="AI289" s="85">
        <f t="shared" si="333"/>
        <v>3994956.01</v>
      </c>
      <c r="AJ289" s="85">
        <f t="shared" si="333"/>
        <v>2584936.27</v>
      </c>
      <c r="AK289" s="85">
        <f t="shared" si="333"/>
        <v>1034774.7</v>
      </c>
      <c r="AL289" s="85">
        <f t="shared" si="333"/>
        <v>737143.73</v>
      </c>
      <c r="AM289" s="85">
        <f t="shared" si="333"/>
        <v>-5304148.05</v>
      </c>
      <c r="AN289" s="142">
        <f>SUM(AN286:AN288)</f>
        <v>118129134.88</v>
      </c>
      <c r="AO289" s="85">
        <f t="shared" ref="AO289:AU289" si="334">SUM(AO286:AO288)</f>
        <v>1186879.73</v>
      </c>
      <c r="AP289" s="85">
        <f t="shared" si="334"/>
        <v>2434178.6800000002</v>
      </c>
      <c r="AQ289" s="85">
        <f t="shared" si="334"/>
        <v>-370170.23</v>
      </c>
      <c r="AR289" s="85">
        <f t="shared" si="334"/>
        <v>-351449.86</v>
      </c>
      <c r="AS289" s="85">
        <f t="shared" si="334"/>
        <v>1666465.9</v>
      </c>
      <c r="AT289" s="85">
        <f t="shared" si="334"/>
        <v>960190.78</v>
      </c>
      <c r="AU289" s="85">
        <f t="shared" si="334"/>
        <v>1356167.32</v>
      </c>
      <c r="AV289" s="85">
        <f t="shared" ref="AV289" si="335">SUM(AV286:AV288)</f>
        <v>0</v>
      </c>
      <c r="AW289" s="85">
        <f t="shared" ref="AW289" si="336">SUM(AW286:AW288)</f>
        <v>0</v>
      </c>
      <c r="AX289" s="85">
        <f t="shared" ref="AX289" si="337">SUM(AX286:AX288)</f>
        <v>0</v>
      </c>
      <c r="AY289" s="85">
        <f t="shared" ref="AY289" si="338">SUM(AY286:AY288)</f>
        <v>0</v>
      </c>
      <c r="AZ289" s="85">
        <f t="shared" ref="AZ289" si="339">SUM(AZ286:AZ288)</f>
        <v>0</v>
      </c>
      <c r="BA289" s="142">
        <f t="shared" ref="BA289" si="340">SUM(BA286:BA288)</f>
        <v>125011397.2</v>
      </c>
    </row>
    <row r="290" spans="1:53" x14ac:dyDescent="0.2">
      <c r="B290" s="3" t="s">
        <v>226</v>
      </c>
      <c r="C290" s="20">
        <v>-108735797.43000001</v>
      </c>
      <c r="D290" s="20">
        <v>0</v>
      </c>
      <c r="E290" s="20">
        <v>0</v>
      </c>
      <c r="F290" s="24">
        <v>0</v>
      </c>
      <c r="G290" s="24">
        <v>0</v>
      </c>
      <c r="H290" s="20">
        <v>0</v>
      </c>
      <c r="I290" s="20">
        <v>0</v>
      </c>
      <c r="J290" s="20">
        <v>0</v>
      </c>
      <c r="K290" s="20">
        <v>0</v>
      </c>
      <c r="L290" s="83">
        <v>0</v>
      </c>
      <c r="M290" s="83">
        <v>0</v>
      </c>
      <c r="N290" s="83">
        <v>0</v>
      </c>
      <c r="O290" s="83">
        <v>-131925661.75</v>
      </c>
      <c r="P290" s="83">
        <v>0</v>
      </c>
      <c r="Q290" s="83">
        <v>0</v>
      </c>
      <c r="R290" s="83">
        <v>0</v>
      </c>
      <c r="S290" s="83">
        <v>0</v>
      </c>
      <c r="T290" s="83">
        <v>0</v>
      </c>
      <c r="U290" s="83">
        <v>0</v>
      </c>
      <c r="V290" s="83">
        <v>0</v>
      </c>
      <c r="W290" s="83">
        <v>0</v>
      </c>
      <c r="X290" s="83">
        <v>0</v>
      </c>
      <c r="Y290" s="83">
        <v>0</v>
      </c>
      <c r="Z290" s="83">
        <v>0</v>
      </c>
      <c r="AA290" s="31">
        <f>SUM(O290:Z290)</f>
        <v>-131925661.75</v>
      </c>
      <c r="AB290" s="83">
        <v>-19466324.739999998</v>
      </c>
      <c r="AC290" s="83">
        <v>0</v>
      </c>
      <c r="AD290" s="83">
        <v>0</v>
      </c>
      <c r="AE290" s="83">
        <v>0</v>
      </c>
      <c r="AF290" s="83">
        <v>0</v>
      </c>
      <c r="AG290" s="83">
        <v>0</v>
      </c>
      <c r="AH290" s="83">
        <v>0</v>
      </c>
      <c r="AI290" s="83">
        <v>0</v>
      </c>
      <c r="AJ290" s="83">
        <v>0</v>
      </c>
      <c r="AK290" s="83">
        <v>0</v>
      </c>
      <c r="AL290" s="83">
        <v>0</v>
      </c>
      <c r="AM290" s="83">
        <v>0</v>
      </c>
      <c r="AN290" s="31">
        <f>SUM(AA290:AM290)</f>
        <v>-151391986.49000001</v>
      </c>
      <c r="AO290" s="83">
        <v>-9177629.25</v>
      </c>
      <c r="AP290" s="83">
        <v>0</v>
      </c>
      <c r="AQ290" s="83">
        <v>0</v>
      </c>
      <c r="AR290" s="83">
        <v>0</v>
      </c>
      <c r="AS290" s="83">
        <v>0</v>
      </c>
      <c r="AT290" s="83">
        <v>0</v>
      </c>
      <c r="AU290" s="83">
        <v>0</v>
      </c>
      <c r="BA290" s="31">
        <f>SUM(AN290:AZ290)</f>
        <v>-160569615.74000001</v>
      </c>
    </row>
    <row r="291" spans="1:53" s="34" customFormat="1" ht="12" x14ac:dyDescent="0.2">
      <c r="A291" s="116"/>
      <c r="B291" s="35" t="s">
        <v>1605</v>
      </c>
      <c r="C291" s="36">
        <f t="shared" ref="C291:AM291" si="341">SUM(C290)</f>
        <v>-108735797.43000001</v>
      </c>
      <c r="D291" s="36">
        <f t="shared" si="341"/>
        <v>0</v>
      </c>
      <c r="E291" s="36">
        <f t="shared" si="341"/>
        <v>0</v>
      </c>
      <c r="F291" s="36">
        <f t="shared" si="341"/>
        <v>0</v>
      </c>
      <c r="G291" s="36">
        <f t="shared" si="341"/>
        <v>0</v>
      </c>
      <c r="H291" s="36">
        <f t="shared" si="341"/>
        <v>0</v>
      </c>
      <c r="I291" s="36">
        <f t="shared" si="341"/>
        <v>0</v>
      </c>
      <c r="J291" s="36">
        <f t="shared" si="341"/>
        <v>0</v>
      </c>
      <c r="K291" s="36">
        <f t="shared" si="341"/>
        <v>0</v>
      </c>
      <c r="L291" s="85">
        <f t="shared" si="341"/>
        <v>0</v>
      </c>
      <c r="M291" s="85">
        <f t="shared" si="341"/>
        <v>0</v>
      </c>
      <c r="N291" s="85">
        <f t="shared" si="341"/>
        <v>0</v>
      </c>
      <c r="O291" s="85">
        <f t="shared" si="341"/>
        <v>-131925661.75</v>
      </c>
      <c r="P291" s="85">
        <f t="shared" si="341"/>
        <v>0</v>
      </c>
      <c r="Q291" s="85">
        <f t="shared" si="341"/>
        <v>0</v>
      </c>
      <c r="R291" s="85">
        <f t="shared" si="341"/>
        <v>0</v>
      </c>
      <c r="S291" s="85">
        <f t="shared" si="341"/>
        <v>0</v>
      </c>
      <c r="T291" s="85">
        <f t="shared" si="341"/>
        <v>0</v>
      </c>
      <c r="U291" s="85">
        <f t="shared" si="341"/>
        <v>0</v>
      </c>
      <c r="V291" s="85">
        <f t="shared" si="341"/>
        <v>0</v>
      </c>
      <c r="W291" s="85">
        <f t="shared" si="341"/>
        <v>0</v>
      </c>
      <c r="X291" s="85">
        <f t="shared" si="341"/>
        <v>0</v>
      </c>
      <c r="Y291" s="85">
        <f t="shared" si="341"/>
        <v>0</v>
      </c>
      <c r="Z291" s="85">
        <f t="shared" si="341"/>
        <v>0</v>
      </c>
      <c r="AA291" s="85">
        <f t="shared" si="341"/>
        <v>-131925661.75</v>
      </c>
      <c r="AB291" s="85">
        <f t="shared" si="341"/>
        <v>-19466324.739999998</v>
      </c>
      <c r="AC291" s="85">
        <f t="shared" si="341"/>
        <v>0</v>
      </c>
      <c r="AD291" s="85">
        <f t="shared" si="341"/>
        <v>0</v>
      </c>
      <c r="AE291" s="85">
        <f t="shared" si="341"/>
        <v>0</v>
      </c>
      <c r="AF291" s="85">
        <f t="shared" si="341"/>
        <v>0</v>
      </c>
      <c r="AG291" s="85">
        <f t="shared" si="341"/>
        <v>0</v>
      </c>
      <c r="AH291" s="85">
        <f t="shared" si="341"/>
        <v>0</v>
      </c>
      <c r="AI291" s="85">
        <f t="shared" si="341"/>
        <v>0</v>
      </c>
      <c r="AJ291" s="85">
        <f t="shared" si="341"/>
        <v>0</v>
      </c>
      <c r="AK291" s="85">
        <f t="shared" si="341"/>
        <v>0</v>
      </c>
      <c r="AL291" s="85">
        <f t="shared" si="341"/>
        <v>0</v>
      </c>
      <c r="AM291" s="85">
        <f t="shared" si="341"/>
        <v>0</v>
      </c>
      <c r="AN291" s="142">
        <f>SUM(AN290)</f>
        <v>-151391986.49000001</v>
      </c>
      <c r="AO291" s="85">
        <f t="shared" ref="AO291:AZ291" si="342">SUM(AO290)</f>
        <v>-9177629.25</v>
      </c>
      <c r="AP291" s="85">
        <f t="shared" si="342"/>
        <v>0</v>
      </c>
      <c r="AQ291" s="85">
        <f t="shared" si="342"/>
        <v>0</v>
      </c>
      <c r="AR291" s="85">
        <f t="shared" si="342"/>
        <v>0</v>
      </c>
      <c r="AS291" s="85">
        <f t="shared" si="342"/>
        <v>0</v>
      </c>
      <c r="AT291" s="85">
        <f t="shared" si="342"/>
        <v>0</v>
      </c>
      <c r="AU291" s="85">
        <f t="shared" si="342"/>
        <v>0</v>
      </c>
      <c r="AV291" s="85">
        <f t="shared" si="342"/>
        <v>0</v>
      </c>
      <c r="AW291" s="85">
        <f t="shared" si="342"/>
        <v>0</v>
      </c>
      <c r="AX291" s="85">
        <f t="shared" si="342"/>
        <v>0</v>
      </c>
      <c r="AY291" s="85">
        <f t="shared" si="342"/>
        <v>0</v>
      </c>
      <c r="AZ291" s="85">
        <f t="shared" si="342"/>
        <v>0</v>
      </c>
      <c r="BA291" s="142">
        <f t="shared" ref="BA291" si="343">SUM(BA290)</f>
        <v>-160569615.74000001</v>
      </c>
    </row>
    <row r="292" spans="1:53" s="53" customFormat="1" ht="12.75" x14ac:dyDescent="0.2">
      <c r="A292" s="115"/>
      <c r="B292" s="50" t="s">
        <v>1628</v>
      </c>
      <c r="C292" s="51">
        <f t="shared" ref="C292:AK292" si="344">C291+C289</f>
        <v>-57065786.230000004</v>
      </c>
      <c r="D292" s="51">
        <f t="shared" si="344"/>
        <v>2581623.2800000003</v>
      </c>
      <c r="E292" s="51">
        <f t="shared" si="344"/>
        <v>-4151819.94</v>
      </c>
      <c r="F292" s="51">
        <f t="shared" si="344"/>
        <v>-4477660.1900000004</v>
      </c>
      <c r="G292" s="51">
        <f t="shared" si="344"/>
        <v>13703094.34</v>
      </c>
      <c r="H292" s="51">
        <f t="shared" si="344"/>
        <v>4827661.5199999996</v>
      </c>
      <c r="I292" s="51">
        <f t="shared" si="344"/>
        <v>-1369297.48</v>
      </c>
      <c r="J292" s="51">
        <f t="shared" si="344"/>
        <v>5210354.3600000003</v>
      </c>
      <c r="K292" s="51">
        <f t="shared" si="344"/>
        <v>152394.54999999999</v>
      </c>
      <c r="L292" s="88">
        <f t="shared" si="344"/>
        <v>-148824.89000000001</v>
      </c>
      <c r="M292" s="88">
        <f t="shared" si="344"/>
        <v>4364770.9400000004</v>
      </c>
      <c r="N292" s="88">
        <f t="shared" si="344"/>
        <v>2002633.92</v>
      </c>
      <c r="O292" s="88">
        <f t="shared" si="344"/>
        <v>-53410290.670000002</v>
      </c>
      <c r="P292" s="88">
        <f t="shared" si="344"/>
        <v>1882398.02</v>
      </c>
      <c r="Q292" s="88">
        <f t="shared" si="344"/>
        <v>1432355.26</v>
      </c>
      <c r="R292" s="88">
        <f t="shared" si="344"/>
        <v>-576672.84</v>
      </c>
      <c r="S292" s="88">
        <f t="shared" si="344"/>
        <v>783306.69</v>
      </c>
      <c r="T292" s="88">
        <f t="shared" si="344"/>
        <v>1033526.01</v>
      </c>
      <c r="U292" s="88">
        <f t="shared" si="344"/>
        <v>1690676.32</v>
      </c>
      <c r="V292" s="88">
        <f t="shared" si="344"/>
        <v>-1145670.01</v>
      </c>
      <c r="W292" s="88">
        <f t="shared" si="344"/>
        <v>1289994.3500000001</v>
      </c>
      <c r="X292" s="88">
        <f t="shared" si="344"/>
        <v>1616915.12</v>
      </c>
      <c r="Y292" s="88">
        <f t="shared" si="344"/>
        <v>2598318.09</v>
      </c>
      <c r="Z292" s="88">
        <f t="shared" si="344"/>
        <v>2032635.28</v>
      </c>
      <c r="AA292" s="88">
        <f t="shared" si="344"/>
        <v>-40772508.38000001</v>
      </c>
      <c r="AB292" s="88">
        <f t="shared" si="344"/>
        <v>-16917642.369999997</v>
      </c>
      <c r="AC292" s="88">
        <f t="shared" si="344"/>
        <v>2905504.19</v>
      </c>
      <c r="AD292" s="88">
        <f t="shared" si="344"/>
        <v>680879.97</v>
      </c>
      <c r="AE292" s="88">
        <f t="shared" si="344"/>
        <v>5362016.2699999996</v>
      </c>
      <c r="AF292" s="88">
        <f t="shared" si="344"/>
        <v>4498015.8600000003</v>
      </c>
      <c r="AG292" s="88">
        <f t="shared" si="344"/>
        <v>3921886.05</v>
      </c>
      <c r="AH292" s="88">
        <f t="shared" si="344"/>
        <v>4011334.14</v>
      </c>
      <c r="AI292" s="88">
        <f t="shared" si="344"/>
        <v>3994956.01</v>
      </c>
      <c r="AJ292" s="88">
        <f t="shared" si="344"/>
        <v>2584936.27</v>
      </c>
      <c r="AK292" s="88">
        <f t="shared" si="344"/>
        <v>1034774.7</v>
      </c>
      <c r="AL292" s="88">
        <f t="shared" ref="AL292:AM292" si="345">AL291+AL289</f>
        <v>737143.73</v>
      </c>
      <c r="AM292" s="88">
        <f t="shared" si="345"/>
        <v>-5304148.05</v>
      </c>
      <c r="AN292" s="143">
        <f>AN291+AN289</f>
        <v>-33262851.610000014</v>
      </c>
      <c r="AO292" s="88">
        <f t="shared" ref="AO292:AU292" si="346">AO291+AO289</f>
        <v>-7990749.5199999996</v>
      </c>
      <c r="AP292" s="88">
        <f t="shared" si="346"/>
        <v>2434178.6800000002</v>
      </c>
      <c r="AQ292" s="88">
        <f t="shared" si="346"/>
        <v>-370170.23</v>
      </c>
      <c r="AR292" s="88">
        <f t="shared" si="346"/>
        <v>-351449.86</v>
      </c>
      <c r="AS292" s="88">
        <f t="shared" si="346"/>
        <v>1666465.9</v>
      </c>
      <c r="AT292" s="88">
        <f t="shared" si="346"/>
        <v>960190.78</v>
      </c>
      <c r="AU292" s="88">
        <f t="shared" si="346"/>
        <v>1356167.32</v>
      </c>
      <c r="AV292" s="88">
        <f t="shared" ref="AV292" si="347">AV291+AV289</f>
        <v>0</v>
      </c>
      <c r="AW292" s="88">
        <f t="shared" ref="AW292" si="348">AW291+AW289</f>
        <v>0</v>
      </c>
      <c r="AX292" s="88">
        <f t="shared" ref="AX292:AZ292" si="349">AX291+AX289</f>
        <v>0</v>
      </c>
      <c r="AY292" s="88">
        <f t="shared" si="349"/>
        <v>0</v>
      </c>
      <c r="AZ292" s="88">
        <f t="shared" si="349"/>
        <v>0</v>
      </c>
      <c r="BA292" s="143">
        <f>BA291+BA289</f>
        <v>-35558218.540000007</v>
      </c>
    </row>
    <row r="293" spans="1:53" x14ac:dyDescent="0.2">
      <c r="B293" s="20" t="s">
        <v>233</v>
      </c>
      <c r="C293" s="20">
        <v>-2805781.93</v>
      </c>
      <c r="D293" s="20">
        <v>-2150289.37</v>
      </c>
      <c r="E293" s="20">
        <v>-3861182.98</v>
      </c>
      <c r="F293" s="24">
        <v>-1667041.94</v>
      </c>
      <c r="G293" s="24">
        <v>-3005883.86</v>
      </c>
      <c r="H293" s="20">
        <v>-1912502.57</v>
      </c>
      <c r="I293" s="20">
        <v>-1433742.28</v>
      </c>
      <c r="J293" s="20">
        <v>-1777352.07</v>
      </c>
      <c r="K293" s="20">
        <v>-1078630.17</v>
      </c>
      <c r="L293" s="83">
        <v>-1579945.83</v>
      </c>
      <c r="M293" s="83">
        <v>-895478.42</v>
      </c>
      <c r="N293" s="83">
        <v>-1089630.44</v>
      </c>
      <c r="O293" s="83">
        <v>-1454330.97</v>
      </c>
      <c r="P293" s="83">
        <v>-2001002.96</v>
      </c>
      <c r="Q293" s="83">
        <v>-1587592.23</v>
      </c>
      <c r="R293" s="83">
        <v>-1121478.69</v>
      </c>
      <c r="S293" s="83">
        <v>-1419946.97</v>
      </c>
      <c r="T293" s="83">
        <v>-1776742.88</v>
      </c>
      <c r="U293" s="83">
        <v>-2378509.25</v>
      </c>
      <c r="V293" s="83">
        <v>-378721.05</v>
      </c>
      <c r="W293" s="83">
        <v>-3762436.6</v>
      </c>
      <c r="X293" s="83">
        <v>-1479480.76</v>
      </c>
      <c r="Y293" s="83">
        <v>-1336067.93</v>
      </c>
      <c r="Z293" s="83">
        <v>-748244.85</v>
      </c>
      <c r="AA293" s="31">
        <f>SUM(O293:Z293)</f>
        <v>-19444555.140000001</v>
      </c>
      <c r="AB293" s="83">
        <v>18069926.539999999</v>
      </c>
      <c r="AC293" s="83">
        <v>-919711.51</v>
      </c>
      <c r="AD293" s="83">
        <v>-208404.26</v>
      </c>
      <c r="AE293" s="83">
        <v>-975139.79</v>
      </c>
      <c r="AF293" s="83">
        <v>-1039147.41</v>
      </c>
      <c r="AG293" s="83">
        <v>-992036.69</v>
      </c>
      <c r="AH293" s="83">
        <v>-994382.41</v>
      </c>
      <c r="AI293" s="83">
        <v>-1248270.75</v>
      </c>
      <c r="AJ293" s="83">
        <v>-863686.07</v>
      </c>
      <c r="AK293" s="83">
        <v>-981565.13</v>
      </c>
      <c r="AL293" s="83">
        <v>-940044.44</v>
      </c>
      <c r="AM293" s="83">
        <v>1461578.81</v>
      </c>
      <c r="AN293" s="31">
        <f>SUM(AA293:AM293)</f>
        <v>-9075438.2500000019</v>
      </c>
      <c r="AO293" s="83">
        <v>8112973.6900000004</v>
      </c>
      <c r="AP293" s="83">
        <v>-722705.41</v>
      </c>
      <c r="AQ293" s="83">
        <v>-615305.01</v>
      </c>
      <c r="AR293" s="83">
        <v>-743940.09</v>
      </c>
      <c r="AS293" s="83">
        <v>-528251.61</v>
      </c>
      <c r="AT293" s="83">
        <v>-406775.61</v>
      </c>
      <c r="AU293" s="83">
        <v>-957474.85</v>
      </c>
      <c r="BA293" s="31">
        <f>SUM(AN293:AZ293)</f>
        <v>-4936917.1400000006</v>
      </c>
    </row>
    <row r="294" spans="1:53" s="53" customFormat="1" ht="12.75" x14ac:dyDescent="0.2">
      <c r="A294" s="115"/>
      <c r="B294" s="50" t="s">
        <v>233</v>
      </c>
      <c r="C294" s="51">
        <f t="shared" ref="C294:AK294" si="350">SUM(C293)</f>
        <v>-2805781.93</v>
      </c>
      <c r="D294" s="51">
        <f t="shared" si="350"/>
        <v>-2150289.37</v>
      </c>
      <c r="E294" s="51">
        <f t="shared" si="350"/>
        <v>-3861182.98</v>
      </c>
      <c r="F294" s="51">
        <f t="shared" si="350"/>
        <v>-1667041.94</v>
      </c>
      <c r="G294" s="51">
        <f t="shared" si="350"/>
        <v>-3005883.86</v>
      </c>
      <c r="H294" s="51">
        <f t="shared" si="350"/>
        <v>-1912502.57</v>
      </c>
      <c r="I294" s="51">
        <f t="shared" si="350"/>
        <v>-1433742.28</v>
      </c>
      <c r="J294" s="51">
        <f t="shared" si="350"/>
        <v>-1777352.07</v>
      </c>
      <c r="K294" s="51">
        <f t="shared" si="350"/>
        <v>-1078630.17</v>
      </c>
      <c r="L294" s="88">
        <f t="shared" si="350"/>
        <v>-1579945.83</v>
      </c>
      <c r="M294" s="88">
        <f t="shared" si="350"/>
        <v>-895478.42</v>
      </c>
      <c r="N294" s="88">
        <f t="shared" si="350"/>
        <v>-1089630.44</v>
      </c>
      <c r="O294" s="88">
        <f t="shared" si="350"/>
        <v>-1454330.97</v>
      </c>
      <c r="P294" s="88">
        <f t="shared" si="350"/>
        <v>-2001002.96</v>
      </c>
      <c r="Q294" s="88">
        <f t="shared" si="350"/>
        <v>-1587592.23</v>
      </c>
      <c r="R294" s="88">
        <f t="shared" si="350"/>
        <v>-1121478.69</v>
      </c>
      <c r="S294" s="88">
        <f t="shared" si="350"/>
        <v>-1419946.97</v>
      </c>
      <c r="T294" s="88">
        <f t="shared" si="350"/>
        <v>-1776742.88</v>
      </c>
      <c r="U294" s="88">
        <f t="shared" si="350"/>
        <v>-2378509.25</v>
      </c>
      <c r="V294" s="88">
        <f t="shared" si="350"/>
        <v>-378721.05</v>
      </c>
      <c r="W294" s="88">
        <f t="shared" si="350"/>
        <v>-3762436.6</v>
      </c>
      <c r="X294" s="88">
        <f t="shared" si="350"/>
        <v>-1479480.76</v>
      </c>
      <c r="Y294" s="88">
        <f t="shared" si="350"/>
        <v>-1336067.93</v>
      </c>
      <c r="Z294" s="88">
        <f t="shared" si="350"/>
        <v>-748244.85</v>
      </c>
      <c r="AA294" s="88">
        <f t="shared" si="350"/>
        <v>-19444555.140000001</v>
      </c>
      <c r="AB294" s="88">
        <f t="shared" si="350"/>
        <v>18069926.539999999</v>
      </c>
      <c r="AC294" s="88">
        <f t="shared" si="350"/>
        <v>-919711.51</v>
      </c>
      <c r="AD294" s="88">
        <f t="shared" si="350"/>
        <v>-208404.26</v>
      </c>
      <c r="AE294" s="88">
        <f t="shared" si="350"/>
        <v>-975139.79</v>
      </c>
      <c r="AF294" s="88">
        <f t="shared" si="350"/>
        <v>-1039147.41</v>
      </c>
      <c r="AG294" s="88">
        <f t="shared" si="350"/>
        <v>-992036.69</v>
      </c>
      <c r="AH294" s="88">
        <f t="shared" si="350"/>
        <v>-994382.41</v>
      </c>
      <c r="AI294" s="88">
        <f t="shared" si="350"/>
        <v>-1248270.75</v>
      </c>
      <c r="AJ294" s="88">
        <f t="shared" si="350"/>
        <v>-863686.07</v>
      </c>
      <c r="AK294" s="88">
        <f t="shared" si="350"/>
        <v>-981565.13</v>
      </c>
      <c r="AL294" s="88">
        <f t="shared" ref="AL294:AM294" si="351">SUM(AL293)</f>
        <v>-940044.44</v>
      </c>
      <c r="AM294" s="88">
        <f t="shared" si="351"/>
        <v>1461578.81</v>
      </c>
      <c r="AN294" s="88">
        <f>SUM(AN293)</f>
        <v>-9075438.2500000019</v>
      </c>
      <c r="AO294" s="88">
        <f t="shared" ref="AO294:AU294" si="352">SUM(AO293)</f>
        <v>8112973.6900000004</v>
      </c>
      <c r="AP294" s="88">
        <f t="shared" si="352"/>
        <v>-722705.41</v>
      </c>
      <c r="AQ294" s="88">
        <f t="shared" si="352"/>
        <v>-615305.01</v>
      </c>
      <c r="AR294" s="88">
        <f t="shared" si="352"/>
        <v>-743940.09</v>
      </c>
      <c r="AS294" s="88">
        <f t="shared" si="352"/>
        <v>-528251.61</v>
      </c>
      <c r="AT294" s="88">
        <f t="shared" si="352"/>
        <v>-406775.61</v>
      </c>
      <c r="AU294" s="88">
        <f t="shared" si="352"/>
        <v>-957474.85</v>
      </c>
      <c r="AV294" s="88">
        <f t="shared" ref="AV294" si="353">SUM(AV293)</f>
        <v>0</v>
      </c>
      <c r="AW294" s="88">
        <f t="shared" ref="AW294" si="354">SUM(AW293)</f>
        <v>0</v>
      </c>
      <c r="AX294" s="88">
        <f t="shared" ref="AX294:AZ294" si="355">SUM(AX293)</f>
        <v>0</v>
      </c>
      <c r="AY294" s="88">
        <f t="shared" si="355"/>
        <v>0</v>
      </c>
      <c r="AZ294" s="88">
        <f t="shared" si="355"/>
        <v>0</v>
      </c>
      <c r="BA294" s="88">
        <f>SUM(BA293)</f>
        <v>-4936917.1400000006</v>
      </c>
    </row>
    <row r="295" spans="1:53" s="52" customFormat="1" ht="15" x14ac:dyDescent="0.2">
      <c r="A295" s="118"/>
      <c r="B295" s="33" t="s">
        <v>235</v>
      </c>
      <c r="C295" s="54">
        <f t="shared" ref="C295:AA295" si="356">C168+C201+C207+C258+C270+C283+C292+C294+C279+C285</f>
        <v>-66420457.470000006</v>
      </c>
      <c r="D295" s="54">
        <f t="shared" si="356"/>
        <v>-617526.06000000041</v>
      </c>
      <c r="E295" s="54">
        <f t="shared" si="356"/>
        <v>-9052216.8100000005</v>
      </c>
      <c r="F295" s="54">
        <f t="shared" si="356"/>
        <v>-5939242.8300000001</v>
      </c>
      <c r="G295" s="54">
        <f t="shared" si="356"/>
        <v>10730857.420000002</v>
      </c>
      <c r="H295" s="54">
        <f t="shared" si="356"/>
        <v>2467277.9</v>
      </c>
      <c r="I295" s="54">
        <f t="shared" si="356"/>
        <v>-2886995.5900000003</v>
      </c>
      <c r="J295" s="54">
        <f t="shared" si="356"/>
        <v>3894821.24</v>
      </c>
      <c r="K295" s="54">
        <f t="shared" si="356"/>
        <v>-1034888.75</v>
      </c>
      <c r="L295" s="87">
        <f t="shared" si="356"/>
        <v>-1536132.32</v>
      </c>
      <c r="M295" s="87">
        <f t="shared" si="356"/>
        <v>2489395.4900000002</v>
      </c>
      <c r="N295" s="87">
        <f t="shared" si="356"/>
        <v>1011377.7300000002</v>
      </c>
      <c r="O295" s="87">
        <f t="shared" si="356"/>
        <v>-64251939.940000005</v>
      </c>
      <c r="P295" s="87">
        <f t="shared" si="356"/>
        <v>34178.500000000058</v>
      </c>
      <c r="Q295" s="87">
        <f t="shared" si="356"/>
        <v>-667484.16999999993</v>
      </c>
      <c r="R295" s="87">
        <f t="shared" si="356"/>
        <v>-1365965.28</v>
      </c>
      <c r="S295" s="87">
        <f t="shared" si="356"/>
        <v>-1652712.3499999999</v>
      </c>
      <c r="T295" s="87">
        <f t="shared" si="356"/>
        <v>162161.97000000003</v>
      </c>
      <c r="U295" s="87">
        <f t="shared" si="356"/>
        <v>-1123854.77</v>
      </c>
      <c r="V295" s="87">
        <f t="shared" si="356"/>
        <v>-1607833.7900000003</v>
      </c>
      <c r="W295" s="87">
        <f t="shared" si="356"/>
        <v>-2864411.4200000004</v>
      </c>
      <c r="X295" s="87">
        <f t="shared" si="356"/>
        <v>414099.62000000005</v>
      </c>
      <c r="Y295" s="87">
        <f t="shared" si="356"/>
        <v>1375954.0799999996</v>
      </c>
      <c r="Z295" s="87">
        <f t="shared" si="356"/>
        <v>166456.99000000011</v>
      </c>
      <c r="AA295" s="87">
        <f t="shared" si="356"/>
        <v>-70988522.320000008</v>
      </c>
      <c r="AB295" s="87">
        <f t="shared" ref="AB295:BA295" si="357">AB168+AB201+AB207+AB258+AB270+AB283+AB292+AB294+AB279+AB285</f>
        <v>2618757.350000002</v>
      </c>
      <c r="AC295" s="87">
        <f t="shared" si="357"/>
        <v>532752.44999999995</v>
      </c>
      <c r="AD295" s="87">
        <f t="shared" si="357"/>
        <v>673794.92</v>
      </c>
      <c r="AE295" s="87">
        <f t="shared" si="357"/>
        <v>4962016.3099999996</v>
      </c>
      <c r="AF295" s="87">
        <f t="shared" si="357"/>
        <v>3082038.07</v>
      </c>
      <c r="AG295" s="87">
        <f t="shared" si="357"/>
        <v>2884813.84</v>
      </c>
      <c r="AH295" s="87">
        <f t="shared" si="357"/>
        <v>3102723.6500000004</v>
      </c>
      <c r="AI295" s="87">
        <f t="shared" si="357"/>
        <v>2750340.11</v>
      </c>
      <c r="AJ295" s="87">
        <f t="shared" si="357"/>
        <v>1928425.45</v>
      </c>
      <c r="AK295" s="87">
        <f t="shared" si="357"/>
        <v>158358.77999999997</v>
      </c>
      <c r="AL295" s="87">
        <f t="shared" si="357"/>
        <v>-340300.08</v>
      </c>
      <c r="AM295" s="87">
        <f t="shared" si="357"/>
        <v>-292708.14000000077</v>
      </c>
      <c r="AN295" s="87">
        <f t="shared" si="357"/>
        <v>-48927509.610000014</v>
      </c>
      <c r="AO295" s="87">
        <f t="shared" si="357"/>
        <v>739477.87000000093</v>
      </c>
      <c r="AP295" s="87">
        <f t="shared" si="357"/>
        <v>824014.3600000001</v>
      </c>
      <c r="AQ295" s="87">
        <f t="shared" si="357"/>
        <v>-792702.78999999992</v>
      </c>
      <c r="AR295" s="87">
        <f t="shared" si="357"/>
        <v>-323533.62</v>
      </c>
      <c r="AS295" s="87">
        <f t="shared" si="357"/>
        <v>1853492.8499999999</v>
      </c>
      <c r="AT295" s="87">
        <f t="shared" si="357"/>
        <v>800947.83000000019</v>
      </c>
      <c r="AU295" s="87">
        <f t="shared" si="357"/>
        <v>717600.28</v>
      </c>
      <c r="AV295" s="87">
        <f t="shared" si="357"/>
        <v>0</v>
      </c>
      <c r="AW295" s="87">
        <f t="shared" si="357"/>
        <v>0</v>
      </c>
      <c r="AX295" s="87">
        <f t="shared" si="357"/>
        <v>0</v>
      </c>
      <c r="AY295" s="87">
        <f t="shared" si="357"/>
        <v>0</v>
      </c>
      <c r="AZ295" s="87">
        <f t="shared" si="357"/>
        <v>0</v>
      </c>
      <c r="BA295" s="87">
        <f t="shared" si="357"/>
        <v>-45108212.830000013</v>
      </c>
    </row>
    <row r="296" spans="1:53" x14ac:dyDescent="0.2">
      <c r="C296" s="20">
        <f>C295+C161</f>
        <v>-262209.4300000146</v>
      </c>
      <c r="D296" s="20">
        <f t="shared" ref="D296:AA296" si="358">D295+D161</f>
        <v>53788.369999998133</v>
      </c>
      <c r="E296" s="20">
        <f t="shared" si="358"/>
        <v>-39384.110000001267</v>
      </c>
      <c r="F296" s="20">
        <f t="shared" si="358"/>
        <v>-70001.039999999106</v>
      </c>
      <c r="G296" s="20">
        <f t="shared" si="358"/>
        <v>114706.40999999829</v>
      </c>
      <c r="H296" s="20">
        <f t="shared" si="358"/>
        <v>15606.750000000466</v>
      </c>
      <c r="I296" s="20">
        <f t="shared" si="358"/>
        <v>61842.409999999218</v>
      </c>
      <c r="J296" s="20">
        <f t="shared" si="358"/>
        <v>-8875.3399999989197</v>
      </c>
      <c r="K296" s="20">
        <f t="shared" si="358"/>
        <v>9061.1600000010803</v>
      </c>
      <c r="L296" s="20">
        <f t="shared" si="358"/>
        <v>-55353.360000000568</v>
      </c>
      <c r="M296" s="83">
        <f t="shared" si="358"/>
        <v>58012.320000000298</v>
      </c>
      <c r="N296" s="83">
        <f t="shared" si="358"/>
        <v>-124933.2100000002</v>
      </c>
      <c r="O296" s="83">
        <f t="shared" si="358"/>
        <v>-190796.45000000298</v>
      </c>
      <c r="P296" s="83">
        <f t="shared" si="358"/>
        <v>-39770.059999999896</v>
      </c>
      <c r="Q296" s="83">
        <f t="shared" si="358"/>
        <v>50543.720000000205</v>
      </c>
      <c r="R296" s="83">
        <f t="shared" si="358"/>
        <v>-54388.610000000102</v>
      </c>
      <c r="S296" s="83">
        <f t="shared" si="358"/>
        <v>-22890.469999999972</v>
      </c>
      <c r="T296" s="83">
        <f t="shared" si="358"/>
        <v>15832.090000000142</v>
      </c>
      <c r="U296" s="83">
        <f t="shared" si="358"/>
        <v>-126954.79000000015</v>
      </c>
      <c r="V296" s="83">
        <f t="shared" si="358"/>
        <v>128598.6399999999</v>
      </c>
      <c r="W296" s="83">
        <f t="shared" si="358"/>
        <v>-88068.919999999925</v>
      </c>
      <c r="X296" s="83">
        <f t="shared" si="358"/>
        <v>13341.359999999928</v>
      </c>
      <c r="Y296" s="83">
        <f t="shared" si="358"/>
        <v>105460.4599999995</v>
      </c>
      <c r="Z296" s="83">
        <f t="shared" si="358"/>
        <v>-363397.3899999999</v>
      </c>
      <c r="AA296" s="83">
        <f t="shared" si="358"/>
        <v>0</v>
      </c>
      <c r="AB296" s="83">
        <f>AB295+AB161</f>
        <v>0</v>
      </c>
      <c r="AC296" s="83">
        <f t="shared" ref="AC296:AK296" si="359">AC295+AC161</f>
        <v>0</v>
      </c>
      <c r="AD296" s="83">
        <f t="shared" si="359"/>
        <v>0</v>
      </c>
      <c r="AE296" s="83">
        <f t="shared" si="359"/>
        <v>0</v>
      </c>
      <c r="AF296" s="83">
        <f t="shared" si="359"/>
        <v>0</v>
      </c>
      <c r="AG296" s="83">
        <f t="shared" si="359"/>
        <v>0</v>
      </c>
      <c r="AH296" s="83">
        <f t="shared" si="359"/>
        <v>0</v>
      </c>
      <c r="AI296" s="83">
        <f t="shared" si="359"/>
        <v>0</v>
      </c>
      <c r="AJ296" s="83">
        <f t="shared" si="359"/>
        <v>0</v>
      </c>
      <c r="AK296" s="83">
        <f t="shared" si="359"/>
        <v>0</v>
      </c>
      <c r="AL296" s="83">
        <f>AL295+AL161</f>
        <v>0</v>
      </c>
      <c r="AM296" s="83">
        <f t="shared" ref="AM296:AN296" si="360">AM295+AM161</f>
        <v>-6.9849193096160889E-10</v>
      </c>
      <c r="AN296" s="83">
        <f t="shared" si="360"/>
        <v>0</v>
      </c>
      <c r="AO296" s="83">
        <f t="shared" ref="AO296" si="361">AO295+AO161</f>
        <v>9.3132257461547852E-10</v>
      </c>
      <c r="AP296" s="83">
        <f t="shared" ref="AP296" si="362">AP295+AP161</f>
        <v>0</v>
      </c>
      <c r="AQ296" s="83">
        <f t="shared" ref="AQ296" si="363">AQ295+AQ161</f>
        <v>0</v>
      </c>
      <c r="AR296" s="83">
        <f t="shared" ref="AR296" si="364">AR295+AR161</f>
        <v>0</v>
      </c>
      <c r="AS296" s="83">
        <f t="shared" ref="AS296:AZ296" si="365">AS295+AS161</f>
        <v>0</v>
      </c>
      <c r="AT296" s="83">
        <f t="shared" si="365"/>
        <v>0</v>
      </c>
      <c r="AU296" s="83">
        <v>0</v>
      </c>
      <c r="AV296" s="83">
        <f t="shared" si="365"/>
        <v>0</v>
      </c>
      <c r="AW296" s="83">
        <f t="shared" si="365"/>
        <v>0</v>
      </c>
      <c r="AX296" s="83">
        <f t="shared" si="365"/>
        <v>0</v>
      </c>
      <c r="AY296" s="83">
        <f t="shared" si="365"/>
        <v>0</v>
      </c>
      <c r="AZ296" s="83">
        <f t="shared" si="365"/>
        <v>0</v>
      </c>
      <c r="BA296" s="83">
        <v>0</v>
      </c>
    </row>
    <row r="297" spans="1:53" x14ac:dyDescent="0.2">
      <c r="AB297" s="80">
        <v>68369764.969999999</v>
      </c>
      <c r="AC297" s="80">
        <v>67837012.519999996</v>
      </c>
      <c r="AD297" s="83">
        <v>67163217.599999994</v>
      </c>
      <c r="AE297" s="83">
        <v>62201201.289999999</v>
      </c>
      <c r="AF297" s="83">
        <v>59119163.219999999</v>
      </c>
      <c r="AG297" s="83">
        <v>56234349.380000003</v>
      </c>
      <c r="AH297" s="83">
        <v>53131625.729999997</v>
      </c>
      <c r="AI297" s="83">
        <v>50381285.619999997</v>
      </c>
      <c r="AJ297" s="83">
        <v>48452860.170000002</v>
      </c>
      <c r="AK297" s="83">
        <v>48294501.390000001</v>
      </c>
      <c r="AL297" s="83">
        <v>48634801.469999999</v>
      </c>
      <c r="AM297" s="80">
        <v>48927180.530000001</v>
      </c>
      <c r="AN297" s="80">
        <v>48927180.530000001</v>
      </c>
      <c r="AO297" s="80"/>
      <c r="AP297" s="80"/>
      <c r="AZ297" s="80"/>
      <c r="BA297" s="80">
        <v>45108212.829999998</v>
      </c>
    </row>
    <row r="298" spans="1:53" x14ac:dyDescent="0.2">
      <c r="AA298" s="80"/>
      <c r="AB298" s="83">
        <f>$AA$295+SUM(AB295)+AB297</f>
        <v>0</v>
      </c>
      <c r="AC298" s="83">
        <f>$AA$295+SUM(AB295:AC295)+AC297</f>
        <v>0</v>
      </c>
      <c r="AD298" s="83">
        <f>$AA$295+SUM(AB295:AD295)+AD297</f>
        <v>0</v>
      </c>
      <c r="AE298" s="83">
        <f>$AA$295+SUM(AB295:AE295)+AE297</f>
        <v>0</v>
      </c>
      <c r="AF298" s="83">
        <f>$AA$295+SUM(AB295:AF295)+AF297</f>
        <v>0</v>
      </c>
      <c r="AG298" s="83">
        <f>$AA$295+SUM(AB295:AG295)+AG297</f>
        <v>0</v>
      </c>
      <c r="AH298" s="83">
        <f>$AA$295+SUM(AB295:AH295)+AH297</f>
        <v>0</v>
      </c>
      <c r="AI298" s="83">
        <f>$AA$295+SUM(AB295:AI295)+AI297</f>
        <v>0</v>
      </c>
      <c r="AJ298" s="83">
        <f>$AA$295+SUM(AB295:AJ295)+AJ297</f>
        <v>0</v>
      </c>
      <c r="AK298" s="83">
        <f>$AA$295+SUM(AB295:AK295)+AK297</f>
        <v>0</v>
      </c>
      <c r="AL298" s="83">
        <f>$AA$295+SUM(AB295:AL295)+AL297</f>
        <v>0</v>
      </c>
      <c r="AM298" s="83">
        <f>$AA$295+SUM(AB295:AM295)+AM297</f>
        <v>-329.07999999821186</v>
      </c>
      <c r="AN298" s="80">
        <f>AN295+AN297</f>
        <v>-329.08000001311302</v>
      </c>
      <c r="BA298" s="80">
        <f>BA295+BA297</f>
        <v>0</v>
      </c>
    </row>
    <row r="299" spans="1:53" x14ac:dyDescent="0.2">
      <c r="AN299" s="93"/>
      <c r="BA299" s="93"/>
    </row>
  </sheetData>
  <autoFilter ref="A1:BA298" xr:uid="{CC98AB2F-00A4-42E4-A7AF-1C8167345549}"/>
  <conditionalFormatting sqref="B1:B1048576">
    <cfRule type="duplicateValues" dxfId="46" priority="1"/>
  </conditionalFormatting>
  <conditionalFormatting sqref="B294:B1048576 B1:B48 B98:B292 B50:B96">
    <cfRule type="duplicateValues" dxfId="45" priority="2"/>
  </conditionalFormatting>
  <pageMargins left="0.7" right="0.7" top="0.75" bottom="0.75" header="0.3" footer="0.3"/>
  <customProperties>
    <customPr name="FPMExcelClientCellBasedFunctionStatus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B2A3-0502-4F22-8CB7-6B312277A0F2}">
  <dimension ref="A2:N17"/>
  <sheetViews>
    <sheetView workbookViewId="0">
      <selection activeCell="N18" sqref="N18"/>
    </sheetView>
  </sheetViews>
  <sheetFormatPr defaultColWidth="8.7109375" defaultRowHeight="11.25" x14ac:dyDescent="0.2"/>
  <cols>
    <col min="1" max="1" width="34.5703125" style="3" bestFit="1" customWidth="1"/>
    <col min="2" max="2" width="8.28515625" style="3" bestFit="1" customWidth="1"/>
    <col min="3" max="3" width="7.42578125" style="3" bestFit="1" customWidth="1"/>
    <col min="4" max="4" width="8.85546875" style="3" bestFit="1" customWidth="1"/>
    <col min="5" max="5" width="6.5703125" style="3" bestFit="1" customWidth="1"/>
    <col min="6" max="7" width="7.140625" style="3" bestFit="1" customWidth="1"/>
    <col min="8" max="8" width="4.140625" style="3" bestFit="1" customWidth="1"/>
    <col min="9" max="9" width="5" style="3" bestFit="1" customWidth="1"/>
    <col min="10" max="10" width="5.42578125" style="3" bestFit="1" customWidth="1"/>
    <col min="11" max="11" width="4.7109375" style="3" bestFit="1" customWidth="1"/>
    <col min="12" max="12" width="5.140625" style="3" bestFit="1" customWidth="1"/>
    <col min="13" max="13" width="4.7109375" style="3" bestFit="1" customWidth="1"/>
    <col min="14" max="14" width="8.28515625" style="3" bestFit="1" customWidth="1"/>
    <col min="15" max="16384" width="8.7109375" style="3"/>
  </cols>
  <sheetData>
    <row r="2" spans="1:14" ht="22.5" x14ac:dyDescent="0.2">
      <c r="A2" s="37" t="s">
        <v>464</v>
      </c>
      <c r="B2" s="61" t="s">
        <v>1807</v>
      </c>
      <c r="C2" s="61" t="s">
        <v>1808</v>
      </c>
      <c r="D2" s="61" t="s">
        <v>1809</v>
      </c>
      <c r="E2" s="59" t="s">
        <v>1798</v>
      </c>
      <c r="F2" s="59" t="s">
        <v>1799</v>
      </c>
      <c r="G2" s="61" t="s">
        <v>1800</v>
      </c>
      <c r="H2" s="61" t="s">
        <v>1801</v>
      </c>
      <c r="I2" s="61" t="s">
        <v>1802</v>
      </c>
      <c r="J2" s="61" t="s">
        <v>1803</v>
      </c>
      <c r="K2" s="81" t="s">
        <v>1804</v>
      </c>
      <c r="L2" s="81" t="s">
        <v>1805</v>
      </c>
      <c r="M2" s="81" t="s">
        <v>1806</v>
      </c>
      <c r="N2" s="38" t="s">
        <v>1572</v>
      </c>
    </row>
    <row r="3" spans="1:14" x14ac:dyDescent="0.2">
      <c r="A3" s="3" t="s">
        <v>33</v>
      </c>
      <c r="B3" s="83">
        <v>104384.55</v>
      </c>
      <c r="C3" s="83">
        <v>15068.45</v>
      </c>
      <c r="D3" s="83">
        <v>-1661.31</v>
      </c>
      <c r="E3" s="83">
        <v>-1543.65</v>
      </c>
      <c r="F3" s="83">
        <v>-1991.43</v>
      </c>
      <c r="G3" s="83">
        <v>-6052.87</v>
      </c>
      <c r="H3" s="83"/>
      <c r="I3" s="83"/>
      <c r="J3" s="83"/>
      <c r="K3" s="83"/>
      <c r="L3" s="83"/>
      <c r="M3" s="83"/>
      <c r="N3" s="31">
        <f>SUM(B3:M3)</f>
        <v>108203.74000000002</v>
      </c>
    </row>
    <row r="4" spans="1:14" x14ac:dyDescent="0.2">
      <c r="A4" s="3" t="s">
        <v>34</v>
      </c>
      <c r="B4" s="83">
        <v>-1217.69</v>
      </c>
      <c r="C4" s="83">
        <v>487.62</v>
      </c>
      <c r="D4" s="83">
        <v>-779.94</v>
      </c>
      <c r="E4" s="83">
        <v>-2007.02</v>
      </c>
      <c r="F4" s="83">
        <v>905.34</v>
      </c>
      <c r="G4" s="83">
        <v>626.51</v>
      </c>
      <c r="H4" s="83"/>
      <c r="I4" s="83"/>
      <c r="J4" s="83"/>
      <c r="K4" s="83"/>
      <c r="L4" s="83"/>
      <c r="M4" s="83"/>
      <c r="N4" s="31">
        <f t="shared" ref="N4:N14" si="0">SUM(B4:M4)</f>
        <v>-1985.18</v>
      </c>
    </row>
    <row r="5" spans="1:14" x14ac:dyDescent="0.2">
      <c r="A5" s="3" t="s">
        <v>35</v>
      </c>
      <c r="B5" s="83">
        <v>583232.68999999994</v>
      </c>
      <c r="C5" s="83">
        <v>3003.32</v>
      </c>
      <c r="D5" s="83">
        <v>-586236.01</v>
      </c>
      <c r="E5" s="83">
        <v>0</v>
      </c>
      <c r="F5" s="83">
        <v>0</v>
      </c>
      <c r="G5" s="83">
        <v>0</v>
      </c>
      <c r="H5" s="83"/>
      <c r="I5" s="83"/>
      <c r="J5" s="83"/>
      <c r="K5" s="83"/>
      <c r="L5" s="83"/>
      <c r="M5" s="83"/>
      <c r="N5" s="31">
        <f t="shared" si="0"/>
        <v>-1.1641532182693481E-10</v>
      </c>
    </row>
    <row r="6" spans="1:14" x14ac:dyDescent="0.2">
      <c r="A6" s="3" t="s">
        <v>971</v>
      </c>
      <c r="B6" s="83">
        <v>0</v>
      </c>
      <c r="C6" s="83">
        <v>0</v>
      </c>
      <c r="D6" s="83">
        <v>0</v>
      </c>
      <c r="E6" s="83">
        <v>0</v>
      </c>
      <c r="F6" s="83">
        <v>0</v>
      </c>
      <c r="G6" s="83">
        <v>0</v>
      </c>
      <c r="H6" s="83"/>
      <c r="I6" s="83"/>
      <c r="J6" s="83"/>
      <c r="K6" s="83"/>
      <c r="L6" s="83"/>
      <c r="M6" s="83"/>
      <c r="N6" s="31">
        <f t="shared" si="0"/>
        <v>0</v>
      </c>
    </row>
    <row r="7" spans="1:14" x14ac:dyDescent="0.2">
      <c r="A7" s="3" t="s">
        <v>972</v>
      </c>
      <c r="B7" s="83">
        <v>0</v>
      </c>
      <c r="C7" s="83">
        <v>0</v>
      </c>
      <c r="D7" s="83">
        <v>0</v>
      </c>
      <c r="E7" s="83">
        <v>0</v>
      </c>
      <c r="F7" s="83">
        <v>0</v>
      </c>
      <c r="G7" s="83">
        <v>0</v>
      </c>
      <c r="H7" s="83"/>
      <c r="I7" s="83"/>
      <c r="J7" s="83"/>
      <c r="K7" s="83"/>
      <c r="L7" s="83"/>
      <c r="M7" s="83"/>
      <c r="N7" s="31">
        <f t="shared" si="0"/>
        <v>0</v>
      </c>
    </row>
    <row r="8" spans="1:14" x14ac:dyDescent="0.2">
      <c r="A8" s="3" t="s">
        <v>477</v>
      </c>
      <c r="B8" s="83">
        <v>0</v>
      </c>
      <c r="C8" s="83">
        <v>0</v>
      </c>
      <c r="D8" s="83">
        <v>3672.41</v>
      </c>
      <c r="E8" s="83">
        <v>5577.87</v>
      </c>
      <c r="F8" s="83">
        <v>0</v>
      </c>
      <c r="G8" s="83">
        <v>-1748.38</v>
      </c>
      <c r="H8" s="83"/>
      <c r="I8" s="83"/>
      <c r="J8" s="83"/>
      <c r="K8" s="83"/>
      <c r="L8" s="83"/>
      <c r="M8" s="83"/>
      <c r="N8" s="31">
        <f t="shared" si="0"/>
        <v>7501.8999999999987</v>
      </c>
    </row>
    <row r="9" spans="1:14" x14ac:dyDescent="0.2">
      <c r="A9" s="3" t="s">
        <v>478</v>
      </c>
      <c r="B9" s="83">
        <v>0</v>
      </c>
      <c r="C9" s="83">
        <v>0</v>
      </c>
      <c r="D9" s="83">
        <v>-27.07</v>
      </c>
      <c r="E9" s="83">
        <v>-110.67</v>
      </c>
      <c r="F9" s="83">
        <v>13.33</v>
      </c>
      <c r="G9" s="83">
        <v>84.63</v>
      </c>
      <c r="H9" s="83"/>
      <c r="I9" s="83"/>
      <c r="J9" s="83"/>
      <c r="K9" s="83"/>
      <c r="L9" s="83"/>
      <c r="M9" s="83"/>
      <c r="N9" s="31">
        <f t="shared" si="0"/>
        <v>-39.780000000000015</v>
      </c>
    </row>
    <row r="10" spans="1:14" x14ac:dyDescent="0.2">
      <c r="A10" s="3" t="s">
        <v>36</v>
      </c>
      <c r="B10" s="83">
        <v>1006.07</v>
      </c>
      <c r="C10" s="83">
        <v>2787.49</v>
      </c>
      <c r="D10" s="83">
        <v>-2832.04</v>
      </c>
      <c r="E10" s="83">
        <v>4964.97</v>
      </c>
      <c r="F10" s="83">
        <v>-3125.31</v>
      </c>
      <c r="G10" s="83">
        <v>-287.76</v>
      </c>
      <c r="H10" s="83"/>
      <c r="I10" s="83"/>
      <c r="J10" s="83"/>
      <c r="K10" s="83"/>
      <c r="L10" s="83"/>
      <c r="M10" s="83"/>
      <c r="N10" s="31">
        <f t="shared" si="0"/>
        <v>2513.42</v>
      </c>
    </row>
    <row r="11" spans="1:14" x14ac:dyDescent="0.2">
      <c r="A11" s="3" t="s">
        <v>39</v>
      </c>
      <c r="B11" s="83">
        <v>0</v>
      </c>
      <c r="C11" s="83">
        <v>0</v>
      </c>
      <c r="D11" s="83">
        <v>0</v>
      </c>
      <c r="E11" s="83">
        <v>538.29</v>
      </c>
      <c r="F11" s="83">
        <v>36.200000000000003</v>
      </c>
      <c r="G11" s="83">
        <v>0</v>
      </c>
      <c r="H11" s="83"/>
      <c r="I11" s="83"/>
      <c r="J11" s="83"/>
      <c r="K11" s="83"/>
      <c r="L11" s="83"/>
      <c r="M11" s="83"/>
      <c r="N11" s="31">
        <f t="shared" si="0"/>
        <v>574.49</v>
      </c>
    </row>
    <row r="12" spans="1:14" x14ac:dyDescent="0.2">
      <c r="A12" s="3" t="s">
        <v>40</v>
      </c>
      <c r="B12" s="83">
        <v>0</v>
      </c>
      <c r="C12" s="83">
        <v>0</v>
      </c>
      <c r="D12" s="83">
        <v>0</v>
      </c>
      <c r="E12" s="83">
        <v>0</v>
      </c>
      <c r="F12" s="83">
        <v>0</v>
      </c>
      <c r="G12" s="83">
        <v>0</v>
      </c>
      <c r="H12" s="83"/>
      <c r="I12" s="83"/>
      <c r="J12" s="83"/>
      <c r="K12" s="83"/>
      <c r="L12" s="83"/>
      <c r="M12" s="83"/>
      <c r="N12" s="31">
        <f t="shared" si="0"/>
        <v>0</v>
      </c>
    </row>
    <row r="13" spans="1:14" x14ac:dyDescent="0.2">
      <c r="A13" s="3" t="s">
        <v>41</v>
      </c>
      <c r="B13" s="83">
        <v>1225.31</v>
      </c>
      <c r="C13" s="83">
        <v>0</v>
      </c>
      <c r="D13" s="83">
        <v>0</v>
      </c>
      <c r="E13" s="83">
        <v>0</v>
      </c>
      <c r="F13" s="83">
        <v>0</v>
      </c>
      <c r="G13" s="83">
        <v>0</v>
      </c>
      <c r="H13" s="83"/>
      <c r="I13" s="83"/>
      <c r="J13" s="83"/>
      <c r="K13" s="83"/>
      <c r="L13" s="83"/>
      <c r="M13" s="83"/>
      <c r="N13" s="31">
        <f t="shared" si="0"/>
        <v>1225.31</v>
      </c>
    </row>
    <row r="14" spans="1:14" x14ac:dyDescent="0.2">
      <c r="A14" s="3" t="s">
        <v>42</v>
      </c>
      <c r="B14" s="83">
        <v>60.73</v>
      </c>
      <c r="C14" s="83">
        <v>-1.1399999999999999</v>
      </c>
      <c r="D14" s="83">
        <v>2.0499999999999998</v>
      </c>
      <c r="E14" s="83">
        <v>5.07</v>
      </c>
      <c r="F14" s="83">
        <v>-0.28999999999999998</v>
      </c>
      <c r="G14" s="83">
        <v>1.72</v>
      </c>
      <c r="H14" s="83"/>
      <c r="I14" s="83"/>
      <c r="J14" s="83"/>
      <c r="K14" s="83"/>
      <c r="L14" s="83"/>
      <c r="M14" s="83"/>
      <c r="N14" s="31">
        <f t="shared" si="0"/>
        <v>68.139999999999986</v>
      </c>
    </row>
    <row r="15" spans="1:14" ht="12" x14ac:dyDescent="0.2">
      <c r="A15" s="55" t="s">
        <v>1562</v>
      </c>
      <c r="B15" s="85">
        <f>SUM(B3:B14)</f>
        <v>688691.65999999992</v>
      </c>
      <c r="C15" s="85">
        <f t="shared" ref="C15:M15" si="1">SUM(C3:C14)</f>
        <v>21345.740000000005</v>
      </c>
      <c r="D15" s="85">
        <f t="shared" si="1"/>
        <v>-587861.90999999992</v>
      </c>
      <c r="E15" s="85">
        <f t="shared" si="1"/>
        <v>7424.86</v>
      </c>
      <c r="F15" s="85">
        <f t="shared" si="1"/>
        <v>-4162.16</v>
      </c>
      <c r="G15" s="85">
        <f t="shared" si="1"/>
        <v>-7376.15</v>
      </c>
      <c r="H15" s="85">
        <f t="shared" si="1"/>
        <v>0</v>
      </c>
      <c r="I15" s="85">
        <f t="shared" si="1"/>
        <v>0</v>
      </c>
      <c r="J15" s="85">
        <f t="shared" si="1"/>
        <v>0</v>
      </c>
      <c r="K15" s="85">
        <f t="shared" si="1"/>
        <v>0</v>
      </c>
      <c r="L15" s="85">
        <f t="shared" si="1"/>
        <v>0</v>
      </c>
      <c r="M15" s="85">
        <f t="shared" si="1"/>
        <v>0</v>
      </c>
      <c r="N15" s="107">
        <f>SUM(N3:N14)</f>
        <v>118062.03999999991</v>
      </c>
    </row>
    <row r="17" spans="1:14" x14ac:dyDescent="0.2">
      <c r="A17" s="3" t="s">
        <v>46</v>
      </c>
      <c r="B17" s="3">
        <v>-4187.97</v>
      </c>
      <c r="C17" s="3">
        <v>4112.17</v>
      </c>
      <c r="D17" s="3">
        <v>0</v>
      </c>
      <c r="E17" s="3">
        <v>0</v>
      </c>
      <c r="F17" s="3">
        <v>0</v>
      </c>
      <c r="G17" s="3">
        <v>0</v>
      </c>
      <c r="N17" s="3">
        <f>SUM(B17:M17)</f>
        <v>-75.800000000000182</v>
      </c>
    </row>
  </sheetData>
  <conditionalFormatting sqref="A2">
    <cfRule type="duplicateValues" dxfId="44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B331-D721-4853-A9B0-A5F63F609FE6}">
  <dimension ref="C4:F12"/>
  <sheetViews>
    <sheetView showGridLines="0" workbookViewId="0">
      <selection activeCell="E16" sqref="E16"/>
    </sheetView>
  </sheetViews>
  <sheetFormatPr defaultRowHeight="12.75" x14ac:dyDescent="0.2"/>
  <cols>
    <col min="3" max="3" width="16.85546875" bestFit="1" customWidth="1"/>
    <col min="4" max="5" width="12.140625" bestFit="1" customWidth="1"/>
    <col min="6" max="6" width="17.42578125" customWidth="1"/>
  </cols>
  <sheetData>
    <row r="4" spans="3:6" ht="13.5" thickBot="1" x14ac:dyDescent="0.25"/>
    <row r="5" spans="3:6" ht="24.75" thickTop="1" thickBot="1" x14ac:dyDescent="0.25">
      <c r="C5" s="67" t="s">
        <v>1643</v>
      </c>
      <c r="D5" s="68" t="s">
        <v>1757</v>
      </c>
      <c r="E5" s="68" t="s">
        <v>1759</v>
      </c>
      <c r="F5" s="68" t="s">
        <v>1758</v>
      </c>
    </row>
    <row r="6" spans="3:6" ht="30.75" customHeight="1" thickTop="1" thickBot="1" x14ac:dyDescent="0.25">
      <c r="C6" s="69" t="s">
        <v>1609</v>
      </c>
      <c r="D6" s="71">
        <v>22030.5</v>
      </c>
      <c r="E6" s="71">
        <v>25880</v>
      </c>
      <c r="F6" s="70" t="s">
        <v>1760</v>
      </c>
    </row>
    <row r="7" spans="3:6" ht="30.75" customHeight="1" thickTop="1" thickBot="1" x14ac:dyDescent="0.25">
      <c r="C7" s="69" t="s">
        <v>1585</v>
      </c>
      <c r="D7" s="71">
        <v>267.3</v>
      </c>
      <c r="E7" s="71">
        <v>849.6</v>
      </c>
      <c r="F7" s="70" t="s">
        <v>1761</v>
      </c>
    </row>
    <row r="8" spans="3:6" ht="30.75" customHeight="1" thickTop="1" thickBot="1" x14ac:dyDescent="0.25">
      <c r="C8" s="69" t="s">
        <v>1608</v>
      </c>
      <c r="D8" s="71">
        <v>0.6</v>
      </c>
      <c r="E8" s="71">
        <v>96.4</v>
      </c>
      <c r="F8" s="70" t="s">
        <v>1762</v>
      </c>
    </row>
    <row r="9" spans="3:6" ht="13.5" thickTop="1" x14ac:dyDescent="0.2"/>
    <row r="10" spans="3:6" x14ac:dyDescent="0.2">
      <c r="F10" s="72">
        <f>E6-D6</f>
        <v>3849.5</v>
      </c>
    </row>
    <row r="11" spans="3:6" x14ac:dyDescent="0.2">
      <c r="F11" s="72">
        <f>E7-D7</f>
        <v>582.29999999999995</v>
      </c>
    </row>
    <row r="12" spans="3:6" x14ac:dyDescent="0.2">
      <c r="F12" s="72">
        <f t="shared" ref="F12" si="0">E8-D8</f>
        <v>95.800000000000011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979C2-878D-463B-93DB-5887306F95F6}">
  <dimension ref="B1:O65"/>
  <sheetViews>
    <sheetView showGridLines="0" workbookViewId="0">
      <selection activeCell="BS336" sqref="BS336"/>
    </sheetView>
  </sheetViews>
  <sheetFormatPr defaultColWidth="5.140625" defaultRowHeight="11.25" x14ac:dyDescent="0.2"/>
  <cols>
    <col min="1" max="1" width="1.5703125" style="3" customWidth="1"/>
    <col min="2" max="2" width="21.5703125" style="3" bestFit="1" customWidth="1"/>
    <col min="3" max="3" width="5.140625" style="3"/>
    <col min="4" max="4" width="6.5703125" style="3" bestFit="1" customWidth="1"/>
    <col min="5" max="5" width="5.5703125" style="3" bestFit="1" customWidth="1"/>
    <col min="6" max="6" width="6.5703125" style="3" bestFit="1" customWidth="1"/>
    <col min="7" max="7" width="5.5703125" style="3" bestFit="1" customWidth="1"/>
    <col min="8" max="8" width="7.42578125" style="3" bestFit="1" customWidth="1"/>
    <col min="9" max="9" width="5.5703125" style="3" bestFit="1" customWidth="1"/>
    <col min="10" max="10" width="7.42578125" style="3" bestFit="1" customWidth="1"/>
    <col min="11" max="11" width="5.5703125" style="3" bestFit="1" customWidth="1"/>
    <col min="12" max="12" width="7.42578125" style="3" bestFit="1" customWidth="1"/>
    <col min="13" max="13" width="5.5703125" style="3" bestFit="1" customWidth="1"/>
    <col min="14" max="14" width="7.42578125" style="3" bestFit="1" customWidth="1"/>
    <col min="15" max="15" width="5.5703125" style="3" bestFit="1" customWidth="1"/>
    <col min="16" max="16384" width="5.140625" style="3"/>
  </cols>
  <sheetData>
    <row r="1" spans="2:15" ht="12" thickBot="1" x14ac:dyDescent="0.25"/>
    <row r="2" spans="2:15" x14ac:dyDescent="0.2">
      <c r="B2" s="263" t="s">
        <v>1643</v>
      </c>
      <c r="C2" s="259"/>
      <c r="D2" s="259" t="s">
        <v>1865</v>
      </c>
      <c r="E2" s="259"/>
      <c r="F2" s="259"/>
      <c r="G2" s="259"/>
      <c r="H2" s="259" t="s">
        <v>1866</v>
      </c>
      <c r="I2" s="259"/>
      <c r="J2" s="259"/>
      <c r="K2" s="259"/>
      <c r="L2" s="259" t="s">
        <v>1867</v>
      </c>
      <c r="M2" s="259"/>
      <c r="N2" s="259"/>
      <c r="O2" s="260"/>
    </row>
    <row r="3" spans="2:15" x14ac:dyDescent="0.2">
      <c r="B3" s="264"/>
      <c r="C3" s="261"/>
      <c r="D3" s="261" t="s">
        <v>1868</v>
      </c>
      <c r="E3" s="261"/>
      <c r="F3" s="261" t="s">
        <v>1869</v>
      </c>
      <c r="G3" s="261"/>
      <c r="H3" s="261" t="s">
        <v>1868</v>
      </c>
      <c r="I3" s="261"/>
      <c r="J3" s="261" t="s">
        <v>1869</v>
      </c>
      <c r="K3" s="261"/>
      <c r="L3" s="261" t="s">
        <v>1870</v>
      </c>
      <c r="M3" s="261"/>
      <c r="N3" s="261" t="s">
        <v>1869</v>
      </c>
      <c r="O3" s="262"/>
    </row>
    <row r="4" spans="2:15" ht="12" thickBot="1" x14ac:dyDescent="0.25">
      <c r="B4" s="265"/>
      <c r="C4" s="266"/>
      <c r="D4" s="144" t="s">
        <v>1871</v>
      </c>
      <c r="E4" s="144" t="s">
        <v>1872</v>
      </c>
      <c r="F4" s="144" t="s">
        <v>1871</v>
      </c>
      <c r="G4" s="144" t="s">
        <v>1872</v>
      </c>
      <c r="H4" s="144" t="s">
        <v>1871</v>
      </c>
      <c r="I4" s="144" t="s">
        <v>1872</v>
      </c>
      <c r="J4" s="144" t="s">
        <v>1871</v>
      </c>
      <c r="K4" s="144" t="s">
        <v>1872</v>
      </c>
      <c r="L4" s="144" t="s">
        <v>1871</v>
      </c>
      <c r="M4" s="144" t="s">
        <v>1872</v>
      </c>
      <c r="N4" s="144" t="s">
        <v>1871</v>
      </c>
      <c r="O4" s="145" t="s">
        <v>1872</v>
      </c>
    </row>
    <row r="5" spans="2:15" x14ac:dyDescent="0.2">
      <c r="B5" s="99" t="s">
        <v>1644</v>
      </c>
      <c r="C5" s="96"/>
      <c r="D5" s="96">
        <v>0</v>
      </c>
      <c r="E5" s="96">
        <v>0</v>
      </c>
      <c r="F5" s="96">
        <v>0</v>
      </c>
      <c r="G5" s="96">
        <v>0</v>
      </c>
      <c r="H5" s="96">
        <v>117.31831</v>
      </c>
      <c r="I5" s="96">
        <v>0.4030756012946628</v>
      </c>
      <c r="J5" s="96">
        <v>0</v>
      </c>
      <c r="K5" s="96">
        <v>0</v>
      </c>
      <c r="L5" s="96">
        <v>117.31831</v>
      </c>
      <c r="M5" s="96">
        <v>0.18423983555487614</v>
      </c>
      <c r="N5" s="96">
        <v>0</v>
      </c>
      <c r="O5" s="189">
        <v>0</v>
      </c>
    </row>
    <row r="6" spans="2:15" x14ac:dyDescent="0.2">
      <c r="B6" s="100" t="s">
        <v>1644</v>
      </c>
      <c r="C6" s="96"/>
      <c r="D6" s="96"/>
      <c r="E6" s="96">
        <v>0</v>
      </c>
      <c r="F6" s="96"/>
      <c r="G6" s="96">
        <v>0</v>
      </c>
      <c r="H6" s="96">
        <v>114.65691</v>
      </c>
      <c r="I6" s="96">
        <v>0.39393171399109</v>
      </c>
      <c r="J6" s="96"/>
      <c r="K6" s="96">
        <v>0</v>
      </c>
      <c r="L6" s="96">
        <v>114.65691</v>
      </c>
      <c r="M6" s="96">
        <v>0.18006030127462824</v>
      </c>
      <c r="N6" s="96">
        <v>0</v>
      </c>
      <c r="O6" s="189">
        <v>0</v>
      </c>
    </row>
    <row r="7" spans="2:15" x14ac:dyDescent="0.2">
      <c r="B7" s="100" t="s">
        <v>1645</v>
      </c>
      <c r="C7" s="96"/>
      <c r="D7" s="96"/>
      <c r="E7" s="96">
        <v>0</v>
      </c>
      <c r="F7" s="96"/>
      <c r="G7" s="96">
        <v>0</v>
      </c>
      <c r="H7" s="96"/>
      <c r="I7" s="96">
        <v>0</v>
      </c>
      <c r="J7" s="96"/>
      <c r="K7" s="96">
        <v>0</v>
      </c>
      <c r="L7" s="96">
        <v>0</v>
      </c>
      <c r="M7" s="96">
        <v>0</v>
      </c>
      <c r="N7" s="96">
        <v>0</v>
      </c>
      <c r="O7" s="189">
        <v>0</v>
      </c>
    </row>
    <row r="8" spans="2:15" x14ac:dyDescent="0.2">
      <c r="B8" s="100" t="s">
        <v>1646</v>
      </c>
      <c r="C8" s="96"/>
      <c r="D8" s="96"/>
      <c r="E8" s="96">
        <v>0</v>
      </c>
      <c r="F8" s="96"/>
      <c r="G8" s="96">
        <v>0</v>
      </c>
      <c r="H8" s="96">
        <v>2.6614</v>
      </c>
      <c r="I8" s="96">
        <v>9.1438873035727813E-3</v>
      </c>
      <c r="J8" s="96"/>
      <c r="K8" s="96">
        <v>0</v>
      </c>
      <c r="L8" s="96">
        <v>2.6614</v>
      </c>
      <c r="M8" s="96">
        <v>4.1795342802478774E-3</v>
      </c>
      <c r="N8" s="96">
        <v>0</v>
      </c>
      <c r="O8" s="189">
        <v>0</v>
      </c>
    </row>
    <row r="9" spans="2:15" x14ac:dyDescent="0.2">
      <c r="B9" s="99" t="s">
        <v>1647</v>
      </c>
      <c r="C9" s="96"/>
      <c r="D9" s="96">
        <v>0.11476</v>
      </c>
      <c r="E9" s="96">
        <v>2.5287435409976854E-3</v>
      </c>
      <c r="F9" s="96">
        <v>0</v>
      </c>
      <c r="G9" s="96">
        <v>0</v>
      </c>
      <c r="H9" s="96">
        <v>20.256620000000002</v>
      </c>
      <c r="I9" s="96">
        <v>6.959654709224411E-2</v>
      </c>
      <c r="J9" s="96">
        <v>0</v>
      </c>
      <c r="K9" s="96">
        <v>0</v>
      </c>
      <c r="L9" s="96">
        <v>20.256620000000002</v>
      </c>
      <c r="M9" s="96">
        <v>3.1811541929794379E-2</v>
      </c>
      <c r="N9" s="96">
        <v>500</v>
      </c>
      <c r="O9" s="189">
        <v>0.83327369446984711</v>
      </c>
    </row>
    <row r="10" spans="2:15" x14ac:dyDescent="0.2">
      <c r="B10" s="100" t="s">
        <v>1648</v>
      </c>
      <c r="C10" s="96"/>
      <c r="D10" s="96"/>
      <c r="E10" s="96">
        <v>0</v>
      </c>
      <c r="F10" s="96"/>
      <c r="G10" s="96">
        <v>0</v>
      </c>
      <c r="H10" s="96"/>
      <c r="I10" s="96">
        <v>0</v>
      </c>
      <c r="J10" s="96"/>
      <c r="K10" s="96">
        <v>0</v>
      </c>
      <c r="L10" s="96">
        <v>0</v>
      </c>
      <c r="M10" s="96">
        <v>0</v>
      </c>
      <c r="N10" s="96">
        <v>0</v>
      </c>
      <c r="O10" s="189">
        <v>0</v>
      </c>
    </row>
    <row r="11" spans="2:15" x14ac:dyDescent="0.2">
      <c r="B11" s="100" t="s">
        <v>1649</v>
      </c>
      <c r="C11" s="96"/>
      <c r="D11" s="96">
        <v>0.11476</v>
      </c>
      <c r="E11" s="96">
        <v>2.5287435409976854E-3</v>
      </c>
      <c r="F11" s="96"/>
      <c r="G11" s="96">
        <v>0</v>
      </c>
      <c r="H11" s="96">
        <v>20.256620000000002</v>
      </c>
      <c r="I11" s="96">
        <v>6.959654709224411E-2</v>
      </c>
      <c r="J11" s="96"/>
      <c r="K11" s="96">
        <v>0</v>
      </c>
      <c r="L11" s="96">
        <v>20.256620000000002</v>
      </c>
      <c r="M11" s="96">
        <v>3.1811541929794379E-2</v>
      </c>
      <c r="N11" s="96">
        <v>500</v>
      </c>
      <c r="O11" s="189">
        <v>0.83327369446984711</v>
      </c>
    </row>
    <row r="12" spans="2:15" x14ac:dyDescent="0.2">
      <c r="B12" s="100" t="s">
        <v>1650</v>
      </c>
      <c r="C12" s="96"/>
      <c r="D12" s="96"/>
      <c r="E12" s="96">
        <v>0</v>
      </c>
      <c r="F12" s="96"/>
      <c r="G12" s="96">
        <v>0</v>
      </c>
      <c r="H12" s="96"/>
      <c r="I12" s="96">
        <v>0</v>
      </c>
      <c r="J12" s="96"/>
      <c r="K12" s="96">
        <v>0</v>
      </c>
      <c r="L12" s="96">
        <v>0</v>
      </c>
      <c r="M12" s="96">
        <v>0</v>
      </c>
      <c r="N12" s="96">
        <v>0</v>
      </c>
      <c r="O12" s="189">
        <v>0</v>
      </c>
    </row>
    <row r="13" spans="2:15" x14ac:dyDescent="0.2">
      <c r="B13" s="99" t="s">
        <v>1651</v>
      </c>
      <c r="C13" s="96"/>
      <c r="D13" s="96">
        <v>60</v>
      </c>
      <c r="E13" s="96">
        <v>1.3221036289635859</v>
      </c>
      <c r="F13" s="96"/>
      <c r="G13" s="96">
        <v>0</v>
      </c>
      <c r="H13" s="96">
        <v>152.15333999999999</v>
      </c>
      <c r="I13" s="96">
        <v>0.52275982333440763</v>
      </c>
      <c r="J13" s="96">
        <v>120</v>
      </c>
      <c r="K13" s="96">
        <v>0.42288416413893998</v>
      </c>
      <c r="L13" s="96">
        <v>152.15334000000001</v>
      </c>
      <c r="M13" s="96">
        <v>0.23894570541226823</v>
      </c>
      <c r="N13" s="96">
        <v>416.85599999999999</v>
      </c>
      <c r="O13" s="189">
        <v>0.69471027836384514</v>
      </c>
    </row>
    <row r="14" spans="2:15" x14ac:dyDescent="0.2">
      <c r="B14" s="99" t="s">
        <v>1652</v>
      </c>
      <c r="C14" s="96"/>
      <c r="D14" s="96"/>
      <c r="E14" s="96">
        <v>0</v>
      </c>
      <c r="F14" s="96"/>
      <c r="G14" s="96">
        <v>0</v>
      </c>
      <c r="H14" s="96"/>
      <c r="I14" s="96">
        <v>0</v>
      </c>
      <c r="J14" s="96"/>
      <c r="K14" s="96">
        <v>0</v>
      </c>
      <c r="L14" s="96">
        <v>0</v>
      </c>
      <c r="M14" s="96">
        <v>0</v>
      </c>
      <c r="N14" s="96">
        <v>0</v>
      </c>
      <c r="O14" s="189">
        <v>0</v>
      </c>
    </row>
    <row r="15" spans="2:15" x14ac:dyDescent="0.2">
      <c r="B15" s="99" t="s">
        <v>1653</v>
      </c>
      <c r="C15" s="96"/>
      <c r="D15" s="96">
        <v>3630.1376700000001</v>
      </c>
      <c r="E15" s="96">
        <v>79.990303119073616</v>
      </c>
      <c r="F15" s="96">
        <v>4338.4448241999999</v>
      </c>
      <c r="G15" s="96">
        <v>77.783109101850002</v>
      </c>
      <c r="H15" s="96">
        <v>23513.079890000001</v>
      </c>
      <c r="I15" s="96">
        <v>80.784907444977634</v>
      </c>
      <c r="J15" s="96">
        <v>22483.964836800002</v>
      </c>
      <c r="K15" s="96">
        <v>79.234272304495718</v>
      </c>
      <c r="L15" s="96">
        <v>56588.51195220001</v>
      </c>
      <c r="M15" s="96">
        <v>88.86812413483004</v>
      </c>
      <c r="N15" s="96">
        <v>47653.655133200002</v>
      </c>
      <c r="O15" s="189">
        <v>79.417074535667112</v>
      </c>
    </row>
    <row r="16" spans="2:15" x14ac:dyDescent="0.2">
      <c r="B16" s="190" t="s">
        <v>1654</v>
      </c>
      <c r="C16" s="188"/>
      <c r="D16" s="188">
        <v>3690.25243</v>
      </c>
      <c r="E16" s="188">
        <v>81.314935491578183</v>
      </c>
      <c r="F16" s="188">
        <v>4338.4448241999999</v>
      </c>
      <c r="G16" s="188">
        <v>77.783109101850002</v>
      </c>
      <c r="H16" s="188">
        <v>23802.80816</v>
      </c>
      <c r="I16" s="188">
        <v>81.780339416698951</v>
      </c>
      <c r="J16" s="188">
        <v>22603.964836800002</v>
      </c>
      <c r="K16" s="188">
        <v>79.657156468634653</v>
      </c>
      <c r="L16" s="188">
        <v>56878.240222200009</v>
      </c>
      <c r="M16" s="188">
        <v>89.323121217726978</v>
      </c>
      <c r="N16" s="188">
        <v>48570.511133200001</v>
      </c>
      <c r="O16" s="191">
        <v>80.945058508500807</v>
      </c>
    </row>
    <row r="17" spans="2:15" x14ac:dyDescent="0.2">
      <c r="B17" s="99" t="s">
        <v>1655</v>
      </c>
      <c r="C17" s="96"/>
      <c r="D17" s="96">
        <v>244.6277</v>
      </c>
      <c r="E17" s="96">
        <v>5.3903861652502574</v>
      </c>
      <c r="F17" s="96">
        <v>233.62130529999999</v>
      </c>
      <c r="G17" s="96">
        <v>4.188549633569985</v>
      </c>
      <c r="H17" s="96">
        <v>1333.3317999999999</v>
      </c>
      <c r="I17" s="96">
        <v>4.5809858410873376</v>
      </c>
      <c r="J17" s="96">
        <v>1173.8934357999999</v>
      </c>
      <c r="K17" s="96">
        <v>4.1368412032205946</v>
      </c>
      <c r="L17" s="96">
        <v>2829.0678016000002</v>
      </c>
      <c r="M17" s="96">
        <v>4.4428443142453977</v>
      </c>
      <c r="N17" s="96">
        <v>2669.9577747999997</v>
      </c>
      <c r="O17" s="189">
        <v>4.4496111581721749</v>
      </c>
    </row>
    <row r="18" spans="2:15" x14ac:dyDescent="0.2">
      <c r="B18" s="99" t="s">
        <v>1656</v>
      </c>
      <c r="C18" s="96"/>
      <c r="D18" s="96">
        <v>249.53632999999999</v>
      </c>
      <c r="E18" s="96">
        <v>5.4985481241875824</v>
      </c>
      <c r="F18" s="96">
        <v>398.93342999999999</v>
      </c>
      <c r="G18" s="96">
        <v>7.1523976372771232</v>
      </c>
      <c r="H18" s="96">
        <v>897.46972000000005</v>
      </c>
      <c r="I18" s="96">
        <v>3.0834756060904112</v>
      </c>
      <c r="J18" s="96">
        <v>958.99514999999997</v>
      </c>
      <c r="K18" s="96">
        <v>3.3795321868420611</v>
      </c>
      <c r="L18" s="96">
        <v>897.46972000000005</v>
      </c>
      <c r="M18" s="96">
        <v>1.4094106335855054</v>
      </c>
      <c r="N18" s="96">
        <v>1484.3452763</v>
      </c>
      <c r="O18" s="189">
        <v>2.4737317445027336</v>
      </c>
    </row>
    <row r="19" spans="2:15" x14ac:dyDescent="0.2">
      <c r="B19" s="190" t="s">
        <v>1657</v>
      </c>
      <c r="C19" s="188"/>
      <c r="D19" s="188">
        <v>494.16403000000003</v>
      </c>
      <c r="E19" s="188">
        <v>10.88893428943784</v>
      </c>
      <c r="F19" s="188">
        <v>632.55473529999995</v>
      </c>
      <c r="G19" s="188">
        <v>11.340947270847106</v>
      </c>
      <c r="H19" s="188">
        <v>2230.80152</v>
      </c>
      <c r="I19" s="188">
        <v>7.6644614471777492</v>
      </c>
      <c r="J19" s="188">
        <v>2132.8885857999999</v>
      </c>
      <c r="K19" s="188">
        <v>7.5163733900626557</v>
      </c>
      <c r="L19" s="188">
        <v>3726.5375216000002</v>
      </c>
      <c r="M19" s="188">
        <v>5.8522549478309029</v>
      </c>
      <c r="N19" s="188">
        <v>4154.3030510999997</v>
      </c>
      <c r="O19" s="191">
        <v>6.9233429026749089</v>
      </c>
    </row>
    <row r="20" spans="2:15" x14ac:dyDescent="0.2">
      <c r="B20" s="99" t="s">
        <v>1658</v>
      </c>
      <c r="C20" s="96"/>
      <c r="D20" s="96">
        <v>353.80570999999998</v>
      </c>
      <c r="E20" s="96">
        <v>7.7961302189839685</v>
      </c>
      <c r="F20" s="96">
        <v>606.61860760000002</v>
      </c>
      <c r="G20" s="96">
        <v>10.875943627302878</v>
      </c>
      <c r="H20" s="96">
        <v>3072.1733599999998</v>
      </c>
      <c r="I20" s="96">
        <v>10.555199136123292</v>
      </c>
      <c r="J20" s="96">
        <v>3639.7116455999999</v>
      </c>
      <c r="K20" s="96">
        <v>12.826470141302682</v>
      </c>
      <c r="L20" s="96">
        <v>3072.1733599999998</v>
      </c>
      <c r="M20" s="96">
        <v>4.8246238344421366</v>
      </c>
      <c r="N20" s="96">
        <v>7279.4801212000011</v>
      </c>
      <c r="O20" s="189">
        <v>12.13159858882427</v>
      </c>
    </row>
    <row r="21" spans="2:15" x14ac:dyDescent="0.2">
      <c r="B21" s="190" t="s">
        <v>1659</v>
      </c>
      <c r="C21" s="188"/>
      <c r="D21" s="188">
        <v>353.80570999999998</v>
      </c>
      <c r="E21" s="188">
        <v>7.7961302189839685</v>
      </c>
      <c r="F21" s="188">
        <v>606.61860760000002</v>
      </c>
      <c r="G21" s="188">
        <v>10.875943627302878</v>
      </c>
      <c r="H21" s="188">
        <v>3072.1733599999998</v>
      </c>
      <c r="I21" s="188">
        <v>10.555199136123292</v>
      </c>
      <c r="J21" s="188">
        <v>3639.7116455999999</v>
      </c>
      <c r="K21" s="188">
        <v>12.826470141302682</v>
      </c>
      <c r="L21" s="188">
        <v>3072.1733599999998</v>
      </c>
      <c r="M21" s="188">
        <v>4.8246238344421366</v>
      </c>
      <c r="N21" s="188">
        <v>7279.4801212000011</v>
      </c>
      <c r="O21" s="191">
        <v>12.13159858882427</v>
      </c>
    </row>
    <row r="22" spans="2:15" x14ac:dyDescent="0.2">
      <c r="B22" s="190" t="s">
        <v>1660</v>
      </c>
      <c r="C22" s="188"/>
      <c r="D22" s="188">
        <v>4538.22217</v>
      </c>
      <c r="E22" s="188">
        <v>100</v>
      </c>
      <c r="F22" s="188">
        <v>5577.6181671000004</v>
      </c>
      <c r="G22" s="188">
        <v>100</v>
      </c>
      <c r="H22" s="188">
        <v>29105.783040000002</v>
      </c>
      <c r="I22" s="188">
        <v>100</v>
      </c>
      <c r="J22" s="188">
        <v>28376.565068200001</v>
      </c>
      <c r="K22" s="188">
        <v>100</v>
      </c>
      <c r="L22" s="188">
        <v>63676.951103799998</v>
      </c>
      <c r="M22" s="188">
        <v>100</v>
      </c>
      <c r="N22" s="188">
        <v>60004.294305500014</v>
      </c>
      <c r="O22" s="191">
        <v>100</v>
      </c>
    </row>
    <row r="23" spans="2:15" x14ac:dyDescent="0.2">
      <c r="B23" s="99" t="s">
        <v>1661</v>
      </c>
      <c r="C23" s="96"/>
      <c r="D23" s="96">
        <v>0.78383999999999998</v>
      </c>
      <c r="E23" s="96">
        <v>0</v>
      </c>
      <c r="F23" s="96">
        <v>0</v>
      </c>
      <c r="G23" s="96">
        <v>0</v>
      </c>
      <c r="H23" s="96">
        <v>4.4310399999999994</v>
      </c>
      <c r="I23" s="96">
        <v>3.7769381437560763</v>
      </c>
      <c r="J23" s="96">
        <v>0</v>
      </c>
      <c r="K23" s="96">
        <v>0</v>
      </c>
      <c r="L23" s="96">
        <v>4.4310400000000003</v>
      </c>
      <c r="M23" s="96">
        <v>3.7769381437560772</v>
      </c>
      <c r="N23" s="96">
        <v>0</v>
      </c>
      <c r="O23" s="189">
        <v>0</v>
      </c>
    </row>
    <row r="24" spans="2:15" x14ac:dyDescent="0.2">
      <c r="B24" s="100" t="s">
        <v>1662</v>
      </c>
      <c r="C24" s="96"/>
      <c r="D24" s="96">
        <v>0.37539</v>
      </c>
      <c r="E24" s="96">
        <v>0</v>
      </c>
      <c r="F24" s="96"/>
      <c r="G24" s="96">
        <v>0</v>
      </c>
      <c r="H24" s="96">
        <v>3.6537099999999998</v>
      </c>
      <c r="I24" s="96">
        <v>3.1866461428273269</v>
      </c>
      <c r="J24" s="96"/>
      <c r="K24" s="96">
        <v>0</v>
      </c>
      <c r="L24" s="96">
        <v>3.6537100000000002</v>
      </c>
      <c r="M24" s="96">
        <v>3.1866461428273278</v>
      </c>
      <c r="N24" s="96">
        <v>0</v>
      </c>
      <c r="O24" s="189">
        <v>0</v>
      </c>
    </row>
    <row r="25" spans="2:15" x14ac:dyDescent="0.2">
      <c r="B25" s="100" t="s">
        <v>1663</v>
      </c>
      <c r="C25" s="96"/>
      <c r="D25" s="96">
        <v>0.40844999999999998</v>
      </c>
      <c r="E25" s="96">
        <v>0</v>
      </c>
      <c r="F25" s="96"/>
      <c r="G25" s="96">
        <v>0</v>
      </c>
      <c r="H25" s="96">
        <v>0.40844999999999998</v>
      </c>
      <c r="I25" s="96">
        <v>0</v>
      </c>
      <c r="J25" s="96"/>
      <c r="K25" s="96">
        <v>0</v>
      </c>
      <c r="L25" s="96">
        <v>0.40844999999999998</v>
      </c>
      <c r="M25" s="96">
        <v>0</v>
      </c>
      <c r="N25" s="96">
        <v>0</v>
      </c>
      <c r="O25" s="189">
        <v>0</v>
      </c>
    </row>
    <row r="26" spans="2:15" x14ac:dyDescent="0.2">
      <c r="B26" s="100" t="s">
        <v>1664</v>
      </c>
      <c r="C26" s="96"/>
      <c r="D26" s="96"/>
      <c r="E26" s="96">
        <v>0</v>
      </c>
      <c r="F26" s="96"/>
      <c r="G26" s="96">
        <v>0</v>
      </c>
      <c r="H26" s="96">
        <v>0.36887999999999999</v>
      </c>
      <c r="I26" s="96">
        <v>13.860374239122267</v>
      </c>
      <c r="J26" s="96"/>
      <c r="K26" s="96">
        <v>0</v>
      </c>
      <c r="L26" s="96">
        <v>0.36887999999999999</v>
      </c>
      <c r="M26" s="96">
        <v>13.860374239122267</v>
      </c>
      <c r="N26" s="96">
        <v>0</v>
      </c>
      <c r="O26" s="189">
        <v>0</v>
      </c>
    </row>
    <row r="27" spans="2:15" x14ac:dyDescent="0.2">
      <c r="B27" s="99" t="s">
        <v>1665</v>
      </c>
      <c r="C27" s="96"/>
      <c r="D27" s="96">
        <v>-0.13994999999999999</v>
      </c>
      <c r="E27" s="96">
        <v>-121.95015684907634</v>
      </c>
      <c r="F27" s="96">
        <v>0</v>
      </c>
      <c r="G27" s="96">
        <v>0</v>
      </c>
      <c r="H27" s="96">
        <v>8.2059999999999995</v>
      </c>
      <c r="I27" s="96">
        <v>40.510213451207548</v>
      </c>
      <c r="J27" s="96">
        <v>0</v>
      </c>
      <c r="K27" s="96">
        <v>0</v>
      </c>
      <c r="L27" s="96">
        <v>8.2059999999999995</v>
      </c>
      <c r="M27" s="96">
        <v>40.510213451207548</v>
      </c>
      <c r="N27" s="96">
        <v>65</v>
      </c>
      <c r="O27" s="189">
        <v>13</v>
      </c>
    </row>
    <row r="28" spans="2:15" x14ac:dyDescent="0.2">
      <c r="B28" s="100" t="s">
        <v>1665</v>
      </c>
      <c r="C28" s="96"/>
      <c r="D28" s="96">
        <v>-0.14384</v>
      </c>
      <c r="E28" s="96">
        <v>0</v>
      </c>
      <c r="F28" s="96"/>
      <c r="G28" s="96">
        <v>0</v>
      </c>
      <c r="H28" s="96">
        <v>5.94407</v>
      </c>
      <c r="I28" s="96">
        <v>0</v>
      </c>
      <c r="J28" s="96"/>
      <c r="K28" s="96">
        <v>0</v>
      </c>
      <c r="L28" s="96">
        <v>5.94407</v>
      </c>
      <c r="M28" s="96">
        <v>0</v>
      </c>
      <c r="N28" s="96">
        <v>0</v>
      </c>
      <c r="O28" s="189">
        <v>0</v>
      </c>
    </row>
    <row r="29" spans="2:15" x14ac:dyDescent="0.2">
      <c r="B29" s="100" t="s">
        <v>1666</v>
      </c>
      <c r="C29" s="96"/>
      <c r="D29" s="96">
        <v>3.8899999999999998E-3</v>
      </c>
      <c r="E29" s="96">
        <v>3.3896828163123041</v>
      </c>
      <c r="F29" s="96"/>
      <c r="G29" s="96">
        <v>0</v>
      </c>
      <c r="H29" s="96">
        <v>2.26193</v>
      </c>
      <c r="I29" s="96">
        <v>11.166374251972934</v>
      </c>
      <c r="J29" s="96"/>
      <c r="K29" s="96">
        <v>0</v>
      </c>
      <c r="L29" s="96">
        <v>2.26193</v>
      </c>
      <c r="M29" s="96">
        <v>11.166374251972934</v>
      </c>
      <c r="N29" s="96">
        <v>65</v>
      </c>
      <c r="O29" s="189">
        <v>13</v>
      </c>
    </row>
    <row r="30" spans="2:15" x14ac:dyDescent="0.2">
      <c r="B30" s="100" t="s">
        <v>1667</v>
      </c>
      <c r="C30" s="96"/>
      <c r="D30" s="96"/>
      <c r="E30" s="96">
        <v>0</v>
      </c>
      <c r="F30" s="96"/>
      <c r="G30" s="96">
        <v>0</v>
      </c>
      <c r="H30" s="96"/>
      <c r="I30" s="96">
        <v>0</v>
      </c>
      <c r="J30" s="96"/>
      <c r="K30" s="96">
        <v>0</v>
      </c>
      <c r="L30" s="96">
        <v>0</v>
      </c>
      <c r="M30" s="96">
        <v>0</v>
      </c>
      <c r="N30" s="96">
        <v>0</v>
      </c>
      <c r="O30" s="189">
        <v>0</v>
      </c>
    </row>
    <row r="31" spans="2:15" x14ac:dyDescent="0.2">
      <c r="B31" s="99" t="s">
        <v>1668</v>
      </c>
      <c r="C31" s="96"/>
      <c r="D31" s="96">
        <v>-12.669879999999999</v>
      </c>
      <c r="E31" s="96">
        <v>-21.116466666666664</v>
      </c>
      <c r="F31" s="96"/>
      <c r="G31" s="96">
        <v>0</v>
      </c>
      <c r="H31" s="96">
        <v>-24.56897</v>
      </c>
      <c r="I31" s="96">
        <v>-16.14750619342303</v>
      </c>
      <c r="J31" s="96">
        <v>6</v>
      </c>
      <c r="K31" s="96">
        <v>5</v>
      </c>
      <c r="L31" s="96">
        <v>-24.56897</v>
      </c>
      <c r="M31" s="96">
        <v>-16.147506193423027</v>
      </c>
      <c r="N31" s="96">
        <v>20.8428</v>
      </c>
      <c r="O31" s="189">
        <v>5</v>
      </c>
    </row>
    <row r="32" spans="2:15" x14ac:dyDescent="0.2">
      <c r="B32" s="99" t="s">
        <v>1669</v>
      </c>
      <c r="C32" s="96"/>
      <c r="D32" s="96"/>
      <c r="E32" s="96">
        <v>0</v>
      </c>
      <c r="F32" s="96"/>
      <c r="G32" s="96">
        <v>0</v>
      </c>
      <c r="H32" s="96"/>
      <c r="I32" s="96">
        <v>0</v>
      </c>
      <c r="J32" s="96"/>
      <c r="K32" s="96">
        <v>0</v>
      </c>
      <c r="L32" s="96">
        <v>0</v>
      </c>
      <c r="M32" s="96">
        <v>0</v>
      </c>
      <c r="N32" s="96">
        <v>0</v>
      </c>
      <c r="O32" s="189">
        <v>0</v>
      </c>
    </row>
    <row r="33" spans="2:15" x14ac:dyDescent="0.2">
      <c r="B33" s="99" t="s">
        <v>1670</v>
      </c>
      <c r="C33" s="96"/>
      <c r="D33" s="96">
        <v>1083.8247699999999</v>
      </c>
      <c r="E33" s="96">
        <v>29.856299361781502</v>
      </c>
      <c r="F33" s="96">
        <v>1215.3278388000001</v>
      </c>
      <c r="G33" s="96">
        <v>28.012983639226157</v>
      </c>
      <c r="H33" s="96">
        <v>6982.0472200000004</v>
      </c>
      <c r="I33" s="96">
        <v>29.694311645534071</v>
      </c>
      <c r="J33" s="96">
        <v>6298.4788704000002</v>
      </c>
      <c r="K33" s="96">
        <v>28.013203703695272</v>
      </c>
      <c r="L33" s="96">
        <v>16904.676838200001</v>
      </c>
      <c r="M33" s="96">
        <v>29.872983499688566</v>
      </c>
      <c r="N33" s="96">
        <v>13349.461011999998</v>
      </c>
      <c r="O33" s="189">
        <v>28.0135090890426</v>
      </c>
    </row>
    <row r="34" spans="2:15" x14ac:dyDescent="0.2">
      <c r="B34" s="190" t="s">
        <v>1671</v>
      </c>
      <c r="C34" s="188"/>
      <c r="D34" s="188">
        <v>1071.7987799999999</v>
      </c>
      <c r="E34" s="188">
        <v>29.044050517704012</v>
      </c>
      <c r="F34" s="188">
        <v>1215.3278388000001</v>
      </c>
      <c r="G34" s="188">
        <v>28.012983639226157</v>
      </c>
      <c r="H34" s="188">
        <v>6970.1152900000006</v>
      </c>
      <c r="I34" s="188">
        <v>29.282743629018942</v>
      </c>
      <c r="J34" s="188">
        <v>6304.4788704000002</v>
      </c>
      <c r="K34" s="188">
        <v>27.891031135104672</v>
      </c>
      <c r="L34" s="188">
        <v>16892.744908199998</v>
      </c>
      <c r="M34" s="188">
        <v>29.699837481270443</v>
      </c>
      <c r="N34" s="188">
        <v>13435.303811999998</v>
      </c>
      <c r="O34" s="191">
        <v>27.66144209426777</v>
      </c>
    </row>
    <row r="35" spans="2:15" x14ac:dyDescent="0.2">
      <c r="B35" s="99" t="s">
        <v>1672</v>
      </c>
      <c r="C35" s="96"/>
      <c r="D35" s="96">
        <v>106.9375</v>
      </c>
      <c r="E35" s="96">
        <v>43.714387209625073</v>
      </c>
      <c r="F35" s="96">
        <v>81.493779500000002</v>
      </c>
      <c r="G35" s="96">
        <v>34.882854282211738</v>
      </c>
      <c r="H35" s="96">
        <v>599.46367999999995</v>
      </c>
      <c r="I35" s="96">
        <v>44.959827703801857</v>
      </c>
      <c r="J35" s="96">
        <v>409.4875366</v>
      </c>
      <c r="K35" s="96">
        <v>34.882854278926708</v>
      </c>
      <c r="L35" s="96">
        <v>1122.9712802000004</v>
      </c>
      <c r="M35" s="96">
        <v>39.694039130659775</v>
      </c>
      <c r="N35" s="96">
        <v>931.35747960000003</v>
      </c>
      <c r="O35" s="189">
        <v>34.882854267976796</v>
      </c>
    </row>
    <row r="36" spans="2:15" x14ac:dyDescent="0.2">
      <c r="B36" s="99" t="s">
        <v>1673</v>
      </c>
      <c r="C36" s="96"/>
      <c r="D36" s="96">
        <v>68.975579999999994</v>
      </c>
      <c r="E36" s="96">
        <v>27.64149813375872</v>
      </c>
      <c r="F36" s="96">
        <v>110.16735</v>
      </c>
      <c r="G36" s="96">
        <v>27.615472085154657</v>
      </c>
      <c r="H36" s="96">
        <v>262.06835999999998</v>
      </c>
      <c r="I36" s="96">
        <v>29.200802451585773</v>
      </c>
      <c r="J36" s="96">
        <v>266.62329</v>
      </c>
      <c r="K36" s="96">
        <v>27.802360627162713</v>
      </c>
      <c r="L36" s="96">
        <v>262.06835999999998</v>
      </c>
      <c r="M36" s="96">
        <v>29.200802451585773</v>
      </c>
      <c r="N36" s="96">
        <v>416.19288869999997</v>
      </c>
      <c r="O36" s="189">
        <v>28.038819225230149</v>
      </c>
    </row>
    <row r="37" spans="2:15" x14ac:dyDescent="0.2">
      <c r="B37" s="190" t="s">
        <v>1672</v>
      </c>
      <c r="C37" s="188"/>
      <c r="D37" s="188">
        <v>175.91307999999998</v>
      </c>
      <c r="E37" s="188">
        <v>35.598115063129946</v>
      </c>
      <c r="F37" s="188">
        <v>191.66112950000002</v>
      </c>
      <c r="G37" s="188">
        <v>30.299532799972074</v>
      </c>
      <c r="H37" s="188">
        <v>861.53203999999994</v>
      </c>
      <c r="I37" s="188">
        <v>38.619842790854833</v>
      </c>
      <c r="J37" s="188">
        <v>676.1108266</v>
      </c>
      <c r="K37" s="188">
        <v>31.699303522054606</v>
      </c>
      <c r="L37" s="188">
        <v>1385.0396402000003</v>
      </c>
      <c r="M37" s="188">
        <v>37.16693129136479</v>
      </c>
      <c r="N37" s="188">
        <v>1347.5503683000002</v>
      </c>
      <c r="O37" s="191">
        <v>32.437459466111605</v>
      </c>
    </row>
    <row r="38" spans="2:15" x14ac:dyDescent="0.2">
      <c r="B38" s="99" t="s">
        <v>1674</v>
      </c>
      <c r="C38" s="96"/>
      <c r="D38" s="96">
        <v>-221.47926000000001</v>
      </c>
      <c r="E38" s="96">
        <v>-62.599119725908338</v>
      </c>
      <c r="F38" s="96">
        <v>181.9855823</v>
      </c>
      <c r="G38" s="96">
        <v>30.000000003296961</v>
      </c>
      <c r="H38" s="96">
        <v>-18.427489999999999</v>
      </c>
      <c r="I38" s="96">
        <v>-0.59981934092417233</v>
      </c>
      <c r="J38" s="96">
        <v>1091.9134938</v>
      </c>
      <c r="K38" s="96">
        <v>30.000000003296968</v>
      </c>
      <c r="L38" s="96">
        <v>-18.427490000000006</v>
      </c>
      <c r="M38" s="96">
        <v>-0.59981934092417255</v>
      </c>
      <c r="N38" s="96">
        <v>2183.8440366</v>
      </c>
      <c r="O38" s="189">
        <v>30.000000003296933</v>
      </c>
    </row>
    <row r="39" spans="2:15" x14ac:dyDescent="0.2">
      <c r="B39" s="190" t="s">
        <v>1674</v>
      </c>
      <c r="C39" s="188"/>
      <c r="D39" s="188">
        <v>-221.47926000000001</v>
      </c>
      <c r="E39" s="188">
        <v>-62.599119725908338</v>
      </c>
      <c r="F39" s="188">
        <v>181.9855823</v>
      </c>
      <c r="G39" s="188">
        <v>30.000000003296961</v>
      </c>
      <c r="H39" s="188">
        <v>-18.427489999999999</v>
      </c>
      <c r="I39" s="188">
        <v>-0.59981934092417233</v>
      </c>
      <c r="J39" s="188">
        <v>1091.9134938</v>
      </c>
      <c r="K39" s="188">
        <v>30.000000003296968</v>
      </c>
      <c r="L39" s="188">
        <v>-18.427490000000006</v>
      </c>
      <c r="M39" s="188">
        <v>-0.59981934092417255</v>
      </c>
      <c r="N39" s="188">
        <v>2183.8440366</v>
      </c>
      <c r="O39" s="191">
        <v>30.000000003296933</v>
      </c>
    </row>
    <row r="40" spans="2:15" x14ac:dyDescent="0.2">
      <c r="B40" s="190" t="s">
        <v>1675</v>
      </c>
      <c r="C40" s="188"/>
      <c r="D40" s="188">
        <v>1026.2325999999998</v>
      </c>
      <c r="E40" s="188">
        <v>22.613097410345599</v>
      </c>
      <c r="F40" s="188">
        <v>1588.9745506000002</v>
      </c>
      <c r="G40" s="188">
        <v>28.488406753489976</v>
      </c>
      <c r="H40" s="188">
        <v>7813.2198400000007</v>
      </c>
      <c r="I40" s="188">
        <v>26.844217966107674</v>
      </c>
      <c r="J40" s="188">
        <v>8072.5031908000001</v>
      </c>
      <c r="K40" s="188">
        <v>28.447781369586533</v>
      </c>
      <c r="L40" s="188">
        <v>18259.357058399997</v>
      </c>
      <c r="M40" s="188">
        <v>28.674986383433094</v>
      </c>
      <c r="N40" s="188">
        <v>16966.6982169</v>
      </c>
      <c r="O40" s="191">
        <v>28.275806612302457</v>
      </c>
    </row>
    <row r="41" spans="2:15" x14ac:dyDescent="0.2">
      <c r="B41" s="99" t="s">
        <v>1676</v>
      </c>
      <c r="C41" s="96"/>
      <c r="D41" s="96">
        <v>-90.127980000000008</v>
      </c>
      <c r="E41" s="96">
        <v>-1.9859754904859583</v>
      </c>
      <c r="F41" s="96">
        <v>-124.6560942</v>
      </c>
      <c r="G41" s="96">
        <v>-2.2349341684106907</v>
      </c>
      <c r="H41" s="96">
        <v>-478.20725000000004</v>
      </c>
      <c r="I41" s="96">
        <v>-1.6429973704634611</v>
      </c>
      <c r="J41" s="96">
        <v>-764.43762720000007</v>
      </c>
      <c r="K41" s="96">
        <v>-2.6939047251235553</v>
      </c>
      <c r="L41" s="96">
        <v>-1023.1103051</v>
      </c>
      <c r="M41" s="96">
        <v>-1.6067199942287198</v>
      </c>
      <c r="N41" s="96">
        <v>-1496.0675459000001</v>
      </c>
      <c r="O41" s="189">
        <v>-2.493267462297061</v>
      </c>
    </row>
    <row r="42" spans="2:15" x14ac:dyDescent="0.2">
      <c r="B42" s="100" t="s">
        <v>1677</v>
      </c>
      <c r="C42" s="96"/>
      <c r="D42" s="96"/>
      <c r="E42" s="96">
        <v>0</v>
      </c>
      <c r="F42" s="96">
        <v>0</v>
      </c>
      <c r="G42" s="96">
        <v>0</v>
      </c>
      <c r="H42" s="96">
        <v>-3.0805699999999998</v>
      </c>
      <c r="I42" s="96">
        <v>-1.0584047836013827E-2</v>
      </c>
      <c r="J42" s="96">
        <v>-3.6867081000000002</v>
      </c>
      <c r="K42" s="96">
        <v>-1.2992087277439664E-2</v>
      </c>
      <c r="L42" s="96">
        <v>-11.0545709</v>
      </c>
      <c r="M42" s="96">
        <v>-1.7360396043428507E-2</v>
      </c>
      <c r="N42" s="96">
        <v>-17.551619299999999</v>
      </c>
      <c r="O42" s="189">
        <v>-2.9250605316078541E-2</v>
      </c>
    </row>
    <row r="43" spans="2:15" x14ac:dyDescent="0.2">
      <c r="B43" s="100" t="s">
        <v>1678</v>
      </c>
      <c r="C43" s="96"/>
      <c r="D43" s="96">
        <v>-10.65887</v>
      </c>
      <c r="E43" s="96">
        <v>-0.23486884512751829</v>
      </c>
      <c r="F43" s="96">
        <v>-5.0232209000000001</v>
      </c>
      <c r="G43" s="96">
        <v>-9.0060322336689258E-2</v>
      </c>
      <c r="H43" s="96">
        <v>12.35533</v>
      </c>
      <c r="I43" s="96">
        <v>4.244974266117528E-2</v>
      </c>
      <c r="J43" s="96">
        <v>-30.139325400000001</v>
      </c>
      <c r="K43" s="96">
        <v>-0.10621202857908771</v>
      </c>
      <c r="L43" s="96">
        <v>3.3558110999999986</v>
      </c>
      <c r="M43" s="96">
        <v>5.2700561848975465E-3</v>
      </c>
      <c r="N43" s="96">
        <v>-60.278650799999987</v>
      </c>
      <c r="O43" s="189">
        <v>-0.10045722809954759</v>
      </c>
    </row>
    <row r="44" spans="2:15" x14ac:dyDescent="0.2">
      <c r="B44" s="100" t="s">
        <v>1679</v>
      </c>
      <c r="C44" s="96"/>
      <c r="D44" s="96">
        <v>-7.6202100000000002</v>
      </c>
      <c r="E44" s="96">
        <v>-0.16791178824107678</v>
      </c>
      <c r="F44" s="96">
        <v>-13.5000029</v>
      </c>
      <c r="G44" s="96">
        <v>-0.2420388505550771</v>
      </c>
      <c r="H44" s="96">
        <v>-51.121560000000002</v>
      </c>
      <c r="I44" s="96">
        <v>-0.17564055888736535</v>
      </c>
      <c r="J44" s="96">
        <v>-81.000017400000004</v>
      </c>
      <c r="K44" s="96">
        <v>-0.28544687211198833</v>
      </c>
      <c r="L44" s="96">
        <v>-107.94035230000001</v>
      </c>
      <c r="M44" s="96">
        <v>-0.16951243806262978</v>
      </c>
      <c r="N44" s="96">
        <v>-162.00003480000001</v>
      </c>
      <c r="O44" s="189">
        <v>-0.26998073500407954</v>
      </c>
    </row>
    <row r="45" spans="2:15" x14ac:dyDescent="0.2">
      <c r="B45" s="100" t="s">
        <v>1680</v>
      </c>
      <c r="C45" s="96"/>
      <c r="D45" s="96">
        <v>-71.8489</v>
      </c>
      <c r="E45" s="96">
        <v>-1.5831948571173631</v>
      </c>
      <c r="F45" s="96">
        <v>-106.1328704</v>
      </c>
      <c r="G45" s="96">
        <v>-1.9028349955189243</v>
      </c>
      <c r="H45" s="96">
        <v>-436.36045000000001</v>
      </c>
      <c r="I45" s="96">
        <v>-1.499222506401257</v>
      </c>
      <c r="J45" s="96">
        <v>-649.61157630000002</v>
      </c>
      <c r="K45" s="96">
        <v>-2.2892537371550397</v>
      </c>
      <c r="L45" s="96">
        <v>-907.47119299999986</v>
      </c>
      <c r="M45" s="96">
        <v>-1.4251172163075587</v>
      </c>
      <c r="N45" s="96">
        <v>-1256.2372410000003</v>
      </c>
      <c r="O45" s="189">
        <v>-2.0935788938773556</v>
      </c>
    </row>
    <row r="46" spans="2:15" x14ac:dyDescent="0.2">
      <c r="B46" s="99" t="s">
        <v>1681</v>
      </c>
      <c r="C46" s="96"/>
      <c r="D46" s="96">
        <v>-499.14013999999997</v>
      </c>
      <c r="E46" s="96">
        <v>-10.99858317425654</v>
      </c>
      <c r="F46" s="96">
        <v>-467.46705159999999</v>
      </c>
      <c r="G46" s="96">
        <v>-8.3811232249168555</v>
      </c>
      <c r="H46" s="96">
        <v>-2905.4417800000001</v>
      </c>
      <c r="I46" s="96">
        <v>-9.9823522219177505</v>
      </c>
      <c r="J46" s="96">
        <v>-2815.6630705000002</v>
      </c>
      <c r="K46" s="96">
        <v>-9.9224943672106161</v>
      </c>
      <c r="L46" s="96">
        <v>-5687.720671099999</v>
      </c>
      <c r="M46" s="96">
        <v>-8.9321498163887085</v>
      </c>
      <c r="N46" s="96">
        <v>-5597.9419615999996</v>
      </c>
      <c r="O46" s="189">
        <v>-9.3292355595404288</v>
      </c>
    </row>
    <row r="47" spans="2:15" x14ac:dyDescent="0.2">
      <c r="B47" s="100" t="s">
        <v>1682</v>
      </c>
      <c r="C47" s="96"/>
      <c r="D47" s="96">
        <v>-134.71185</v>
      </c>
      <c r="E47" s="96">
        <v>-2.9683837624899709</v>
      </c>
      <c r="F47" s="96">
        <v>-141.6792002</v>
      </c>
      <c r="G47" s="96">
        <v>-2.5401380294496563</v>
      </c>
      <c r="H47" s="96">
        <v>-800.39013</v>
      </c>
      <c r="I47" s="96">
        <v>-2.7499350520823507</v>
      </c>
      <c r="J47" s="96">
        <v>-852.4572604</v>
      </c>
      <c r="K47" s="96">
        <v>-3.0040889669035389</v>
      </c>
      <c r="L47" s="96">
        <v>-1651.1493804000002</v>
      </c>
      <c r="M47" s="96">
        <v>-2.5930094826752246</v>
      </c>
      <c r="N47" s="96">
        <v>-1703.2165107999999</v>
      </c>
      <c r="O47" s="189">
        <v>-2.8384910288727161</v>
      </c>
    </row>
    <row r="48" spans="2:15" x14ac:dyDescent="0.2">
      <c r="B48" s="100" t="s">
        <v>1683</v>
      </c>
      <c r="C48" s="96"/>
      <c r="D48" s="96">
        <v>-449.28451999999999</v>
      </c>
      <c r="E48" s="96">
        <v>-9.9000115721527138</v>
      </c>
      <c r="F48" s="96">
        <v>-411.2818327</v>
      </c>
      <c r="G48" s="96">
        <v>-7.3737896782891443</v>
      </c>
      <c r="H48" s="96">
        <v>-2691.8408199999999</v>
      </c>
      <c r="I48" s="96">
        <v>-9.2484741479059682</v>
      </c>
      <c r="J48" s="96">
        <v>-2465.6852265000002</v>
      </c>
      <c r="K48" s="96">
        <v>-8.6891603003182123</v>
      </c>
      <c r="L48" s="96">
        <v>-5161.2813356000006</v>
      </c>
      <c r="M48" s="96">
        <v>-8.1054152972660063</v>
      </c>
      <c r="N48" s="96">
        <v>-4935.1257421000009</v>
      </c>
      <c r="O48" s="189">
        <v>-8.224620919585826</v>
      </c>
    </row>
    <row r="49" spans="2:15" x14ac:dyDescent="0.2">
      <c r="B49" s="100" t="s">
        <v>1684</v>
      </c>
      <c r="C49" s="96"/>
      <c r="D49" s="96">
        <v>84.856229999999996</v>
      </c>
      <c r="E49" s="96">
        <v>1.8698121603861453</v>
      </c>
      <c r="F49" s="96">
        <v>85.493981300000002</v>
      </c>
      <c r="G49" s="96">
        <v>1.5328044828219449</v>
      </c>
      <c r="H49" s="96">
        <v>586.78917000000001</v>
      </c>
      <c r="I49" s="96">
        <v>2.0160569780705684</v>
      </c>
      <c r="J49" s="96">
        <v>502.47941639999999</v>
      </c>
      <c r="K49" s="96">
        <v>1.7707549000111364</v>
      </c>
      <c r="L49" s="96">
        <v>1124.7100449000002</v>
      </c>
      <c r="M49" s="96">
        <v>1.766274963552521</v>
      </c>
      <c r="N49" s="96">
        <v>1040.4002913000002</v>
      </c>
      <c r="O49" s="189">
        <v>1.7338763889181124</v>
      </c>
    </row>
    <row r="50" spans="2:15" x14ac:dyDescent="0.2">
      <c r="B50" s="99" t="s">
        <v>1685</v>
      </c>
      <c r="C50" s="96"/>
      <c r="D50" s="96">
        <v>0</v>
      </c>
      <c r="E50" s="96">
        <v>0</v>
      </c>
      <c r="F50" s="96">
        <v>0</v>
      </c>
      <c r="G50" s="96">
        <v>0</v>
      </c>
      <c r="H50" s="96">
        <v>-1.0030000000000001E-2</v>
      </c>
      <c r="I50" s="96">
        <v>-3.4460505619160966E-5</v>
      </c>
      <c r="J50" s="96">
        <v>0</v>
      </c>
      <c r="K50" s="96">
        <v>0</v>
      </c>
      <c r="L50" s="96">
        <v>-1.0030000000000001E-2</v>
      </c>
      <c r="M50" s="96">
        <v>-1.5751382291608253E-5</v>
      </c>
      <c r="N50" s="96">
        <v>0</v>
      </c>
      <c r="O50" s="189">
        <v>0</v>
      </c>
    </row>
    <row r="51" spans="2:15" x14ac:dyDescent="0.2">
      <c r="B51" s="100" t="s">
        <v>1686</v>
      </c>
      <c r="C51" s="96"/>
      <c r="D51" s="96"/>
      <c r="E51" s="96">
        <v>0</v>
      </c>
      <c r="F51" s="96"/>
      <c r="G51" s="96">
        <v>0</v>
      </c>
      <c r="H51" s="96"/>
      <c r="I51" s="96">
        <v>0</v>
      </c>
      <c r="J51" s="96"/>
      <c r="K51" s="96">
        <v>0</v>
      </c>
      <c r="L51" s="96">
        <v>0</v>
      </c>
      <c r="M51" s="96">
        <v>0</v>
      </c>
      <c r="N51" s="96">
        <v>0</v>
      </c>
      <c r="O51" s="189">
        <v>0</v>
      </c>
    </row>
    <row r="52" spans="2:15" x14ac:dyDescent="0.2">
      <c r="B52" s="100" t="s">
        <v>1687</v>
      </c>
      <c r="C52" s="96"/>
      <c r="D52" s="96"/>
      <c r="E52" s="96">
        <v>0</v>
      </c>
      <c r="F52" s="96"/>
      <c r="G52" s="96">
        <v>0</v>
      </c>
      <c r="H52" s="96">
        <v>-1.0030000000000001E-2</v>
      </c>
      <c r="I52" s="96">
        <v>-3.4460505619160966E-5</v>
      </c>
      <c r="J52" s="96"/>
      <c r="K52" s="96">
        <v>0</v>
      </c>
      <c r="L52" s="96">
        <v>-1.0030000000000001E-2</v>
      </c>
      <c r="M52" s="96">
        <v>-1.5751382291608253E-5</v>
      </c>
      <c r="N52" s="96">
        <v>0</v>
      </c>
      <c r="O52" s="189">
        <v>0</v>
      </c>
    </row>
    <row r="53" spans="2:15" x14ac:dyDescent="0.2">
      <c r="B53" s="99" t="s">
        <v>1688</v>
      </c>
      <c r="C53" s="96"/>
      <c r="D53" s="96">
        <v>1.37815</v>
      </c>
      <c r="E53" s="96">
        <v>3.0367618604269432E-2</v>
      </c>
      <c r="F53" s="96">
        <v>3.3625988000000002</v>
      </c>
      <c r="G53" s="96">
        <v>6.0287361007150715E-2</v>
      </c>
      <c r="H53" s="96">
        <v>11.939909999999999</v>
      </c>
      <c r="I53" s="96">
        <v>4.1022466166228927E-2</v>
      </c>
      <c r="J53" s="96">
        <v>20.1755928</v>
      </c>
      <c r="K53" s="96">
        <v>7.1099489143630137E-2</v>
      </c>
      <c r="L53" s="96">
        <v>20.9651076</v>
      </c>
      <c r="M53" s="96">
        <v>3.2924169949382014E-2</v>
      </c>
      <c r="N53" s="96">
        <v>58.533005600000003</v>
      </c>
      <c r="O53" s="189">
        <v>9.7548027649472499E-2</v>
      </c>
    </row>
    <row r="54" spans="2:15" x14ac:dyDescent="0.2">
      <c r="B54" s="99" t="s">
        <v>1689</v>
      </c>
      <c r="C54" s="96"/>
      <c r="D54" s="96">
        <v>-19.403590000000001</v>
      </c>
      <c r="E54" s="96">
        <v>-0.4275592792320258</v>
      </c>
      <c r="F54" s="96">
        <v>-27.0339852</v>
      </c>
      <c r="G54" s="96">
        <v>-0.48468691097325367</v>
      </c>
      <c r="H54" s="96">
        <v>-306.58758999999998</v>
      </c>
      <c r="I54" s="96">
        <v>-1.0533562679920256</v>
      </c>
      <c r="J54" s="96">
        <v>-182.97191119999999</v>
      </c>
      <c r="K54" s="96">
        <v>-0.64479936440596952</v>
      </c>
      <c r="L54" s="96">
        <v>-497.4889172</v>
      </c>
      <c r="M54" s="96">
        <v>-0.78127000205936648</v>
      </c>
      <c r="N54" s="96">
        <v>-389.50582240000006</v>
      </c>
      <c r="O54" s="189">
        <v>-0.64912991129752828</v>
      </c>
    </row>
    <row r="55" spans="2:15" x14ac:dyDescent="0.2">
      <c r="B55" s="190" t="s">
        <v>1690</v>
      </c>
      <c r="C55" s="188"/>
      <c r="D55" s="188">
        <v>-607.29355999999996</v>
      </c>
      <c r="E55" s="188">
        <v>-13.381750325370254</v>
      </c>
      <c r="F55" s="188">
        <v>-615.79453219999994</v>
      </c>
      <c r="G55" s="188">
        <v>-11.040456943293648</v>
      </c>
      <c r="H55" s="188">
        <v>-3678.30674</v>
      </c>
      <c r="I55" s="188">
        <v>-12.637717854712626</v>
      </c>
      <c r="J55" s="188">
        <v>-3742.8970161000002</v>
      </c>
      <c r="K55" s="188">
        <v>-13.190098967596509</v>
      </c>
      <c r="L55" s="188">
        <v>-7187.3648157999996</v>
      </c>
      <c r="M55" s="188">
        <v>-11.287231394109705</v>
      </c>
      <c r="N55" s="188">
        <v>-7424.9823243000001</v>
      </c>
      <c r="O55" s="191">
        <v>-12.374084905485546</v>
      </c>
    </row>
    <row r="56" spans="2:15" x14ac:dyDescent="0.2">
      <c r="B56" s="190" t="s">
        <v>1570</v>
      </c>
      <c r="C56" s="188"/>
      <c r="D56" s="188">
        <v>418.93903999999986</v>
      </c>
      <c r="E56" s="188">
        <v>9.2313470849753454</v>
      </c>
      <c r="F56" s="188">
        <v>973.18001840000022</v>
      </c>
      <c r="G56" s="188">
        <v>17.447949810196324</v>
      </c>
      <c r="H56" s="188">
        <v>4134.9131000000007</v>
      </c>
      <c r="I56" s="188">
        <v>14.206500111395046</v>
      </c>
      <c r="J56" s="188">
        <v>4329.6061747000003</v>
      </c>
      <c r="K56" s="188">
        <v>15.257682401990024</v>
      </c>
      <c r="L56" s="188">
        <v>11071.992242599998</v>
      </c>
      <c r="M56" s="188">
        <v>17.387754989323387</v>
      </c>
      <c r="N56" s="188">
        <v>9541.7158926000011</v>
      </c>
      <c r="O56" s="191">
        <v>15.901721706816913</v>
      </c>
    </row>
    <row r="57" spans="2:15" x14ac:dyDescent="0.2">
      <c r="B57" s="99" t="s">
        <v>1577</v>
      </c>
      <c r="C57" s="96"/>
      <c r="D57" s="96">
        <v>-372.79901419999999</v>
      </c>
      <c r="E57" s="96">
        <v>-8.2146488257977914</v>
      </c>
      <c r="F57" s="96">
        <v>-406.30214960000001</v>
      </c>
      <c r="G57" s="96">
        <v>-7.2845099364564572</v>
      </c>
      <c r="H57" s="96">
        <v>-2310.7921067000002</v>
      </c>
      <c r="I57" s="96">
        <v>-7.939288572048671</v>
      </c>
      <c r="J57" s="96">
        <v>-2422.5238472000001</v>
      </c>
      <c r="K57" s="96">
        <v>-8.5370581019151768</v>
      </c>
      <c r="L57" s="96">
        <v>-4378.4422670000004</v>
      </c>
      <c r="M57" s="96">
        <v>-6.8760237277420639</v>
      </c>
      <c r="N57" s="96">
        <v>-4116.1824126000001</v>
      </c>
      <c r="O57" s="189">
        <v>-6.8598130521180201</v>
      </c>
    </row>
    <row r="58" spans="2:15" x14ac:dyDescent="0.2">
      <c r="B58" s="99" t="s">
        <v>1691</v>
      </c>
      <c r="C58" s="96"/>
      <c r="D58" s="96">
        <v>2.4000000000000001E-4</v>
      </c>
      <c r="E58" s="96">
        <v>5.288414515854344E-6</v>
      </c>
      <c r="F58" s="96"/>
      <c r="G58" s="96">
        <v>0</v>
      </c>
      <c r="H58" s="96">
        <v>6.9699999999999996E-3</v>
      </c>
      <c r="I58" s="96">
        <v>2.3947131023484735E-5</v>
      </c>
      <c r="J58" s="96"/>
      <c r="K58" s="96">
        <v>0</v>
      </c>
      <c r="L58" s="96">
        <v>6.9700000000000005E-3</v>
      </c>
      <c r="M58" s="96">
        <v>1.0945875829761669E-5</v>
      </c>
      <c r="N58" s="96">
        <v>0</v>
      </c>
      <c r="O58" s="189">
        <v>0</v>
      </c>
    </row>
    <row r="59" spans="2:15" x14ac:dyDescent="0.2">
      <c r="B59" s="99" t="s">
        <v>1692</v>
      </c>
      <c r="C59" s="96"/>
      <c r="D59" s="96">
        <v>-6.1043700000000003</v>
      </c>
      <c r="E59" s="96">
        <v>-0.13451016215894077</v>
      </c>
      <c r="F59" s="96">
        <v>-4.9149089000000004</v>
      </c>
      <c r="G59" s="96">
        <v>-8.8118418162630052E-2</v>
      </c>
      <c r="H59" s="96">
        <v>-47.85971</v>
      </c>
      <c r="I59" s="96">
        <v>-0.16443367950014101</v>
      </c>
      <c r="J59" s="96">
        <v>-37.875506100000003</v>
      </c>
      <c r="K59" s="96">
        <v>-0.13347459782031521</v>
      </c>
      <c r="L59" s="96">
        <v>-73.712142900000003</v>
      </c>
      <c r="M59" s="96">
        <v>-0.1157595356282709</v>
      </c>
      <c r="N59" s="96">
        <v>-55.227939000000006</v>
      </c>
      <c r="O59" s="189">
        <v>-9.2039977536970699E-2</v>
      </c>
    </row>
    <row r="60" spans="2:15" x14ac:dyDescent="0.2">
      <c r="B60" s="190" t="s">
        <v>1693</v>
      </c>
      <c r="C60" s="188"/>
      <c r="D60" s="188">
        <v>40.035895799999871</v>
      </c>
      <c r="E60" s="188">
        <v>0.88219338543313019</v>
      </c>
      <c r="F60" s="188">
        <v>561.96295990000021</v>
      </c>
      <c r="G60" s="188">
        <v>10.075321455577239</v>
      </c>
      <c r="H60" s="188">
        <v>1776.2682533000004</v>
      </c>
      <c r="I60" s="188">
        <v>6.1028018069772578</v>
      </c>
      <c r="J60" s="188">
        <v>1869.2068214000003</v>
      </c>
      <c r="K60" s="188">
        <v>6.5871497022545329</v>
      </c>
      <c r="L60" s="188">
        <v>6619.8448026999995</v>
      </c>
      <c r="M60" s="188">
        <v>10.395982671828886</v>
      </c>
      <c r="N60" s="188">
        <v>5370.3055410000006</v>
      </c>
      <c r="O60" s="191">
        <v>8.9498686771619216</v>
      </c>
    </row>
    <row r="61" spans="2:15" x14ac:dyDescent="0.2">
      <c r="B61" s="99" t="s">
        <v>1694</v>
      </c>
      <c r="C61" s="96"/>
      <c r="D61" s="96"/>
      <c r="E61" s="96">
        <v>0</v>
      </c>
      <c r="F61" s="96"/>
      <c r="G61" s="96">
        <v>0</v>
      </c>
      <c r="H61" s="96"/>
      <c r="I61" s="96">
        <v>0</v>
      </c>
      <c r="J61" s="96"/>
      <c r="K61" s="96">
        <v>0</v>
      </c>
      <c r="L61" s="96">
        <v>0</v>
      </c>
      <c r="M61" s="96">
        <v>0</v>
      </c>
      <c r="N61" s="96">
        <v>0</v>
      </c>
      <c r="O61" s="189">
        <v>0</v>
      </c>
    </row>
    <row r="62" spans="2:15" x14ac:dyDescent="0.2">
      <c r="B62" s="190" t="s">
        <v>1695</v>
      </c>
      <c r="C62" s="188"/>
      <c r="D62" s="188">
        <v>40.035895799999871</v>
      </c>
      <c r="E62" s="188">
        <v>0.88219338543313019</v>
      </c>
      <c r="F62" s="188">
        <v>561.96295990000021</v>
      </c>
      <c r="G62" s="188">
        <v>10.075321455577239</v>
      </c>
      <c r="H62" s="188">
        <v>1776.2682533000004</v>
      </c>
      <c r="I62" s="188">
        <v>6.1028018069772578</v>
      </c>
      <c r="J62" s="188">
        <v>1869.2068214000003</v>
      </c>
      <c r="K62" s="188">
        <v>6.5871497022545329</v>
      </c>
      <c r="L62" s="188">
        <v>6619.8448026999995</v>
      </c>
      <c r="M62" s="188">
        <v>10.395982671828886</v>
      </c>
      <c r="N62" s="188">
        <v>5370.3055410000006</v>
      </c>
      <c r="O62" s="191">
        <v>8.9498686771619216</v>
      </c>
    </row>
    <row r="63" spans="2:15" x14ac:dyDescent="0.2">
      <c r="B63" s="99" t="s">
        <v>1696</v>
      </c>
      <c r="C63" s="96"/>
      <c r="D63" s="96"/>
      <c r="E63" s="96">
        <v>0</v>
      </c>
      <c r="F63" s="96"/>
      <c r="G63" s="96">
        <v>0</v>
      </c>
      <c r="H63" s="96"/>
      <c r="I63" s="96">
        <v>0</v>
      </c>
      <c r="J63" s="96"/>
      <c r="K63" s="96">
        <v>0</v>
      </c>
      <c r="L63" s="96">
        <v>0</v>
      </c>
      <c r="M63" s="96">
        <v>0</v>
      </c>
      <c r="N63" s="96">
        <v>0</v>
      </c>
      <c r="O63" s="189">
        <v>0</v>
      </c>
    </row>
    <row r="64" spans="2:15" x14ac:dyDescent="0.2">
      <c r="B64" s="190" t="s">
        <v>1697</v>
      </c>
      <c r="C64" s="188"/>
      <c r="D64" s="188">
        <v>40.035895799999871</v>
      </c>
      <c r="E64" s="188">
        <v>0.88219338543313019</v>
      </c>
      <c r="F64" s="188">
        <v>561.96295990000021</v>
      </c>
      <c r="G64" s="188">
        <v>10.075321455577239</v>
      </c>
      <c r="H64" s="188">
        <v>1776.2682533000004</v>
      </c>
      <c r="I64" s="188">
        <v>6.1028018069772578</v>
      </c>
      <c r="J64" s="188">
        <v>1869.2068214000003</v>
      </c>
      <c r="K64" s="188">
        <v>6.5871497022545329</v>
      </c>
      <c r="L64" s="188">
        <v>6619.8448026999995</v>
      </c>
      <c r="M64" s="188">
        <v>10.395982671828886</v>
      </c>
      <c r="N64" s="188">
        <v>5370.3055410000006</v>
      </c>
      <c r="O64" s="191">
        <v>8.9498686771619216</v>
      </c>
    </row>
    <row r="65" spans="2:15" ht="12" thickBot="1" x14ac:dyDescent="0.25">
      <c r="B65" s="192" t="s">
        <v>1698</v>
      </c>
      <c r="C65" s="193"/>
      <c r="D65" s="193">
        <v>991.58954000000006</v>
      </c>
      <c r="E65" s="193">
        <v>21.849735487938883</v>
      </c>
      <c r="F65" s="193">
        <v>2339.4632827999999</v>
      </c>
      <c r="G65" s="193">
        <v>41.943769055391776</v>
      </c>
      <c r="H65" s="193">
        <v>7418.0328300000001</v>
      </c>
      <c r="I65" s="193">
        <v>25.486456831638638</v>
      </c>
      <c r="J65" s="193">
        <v>9650.8903790999993</v>
      </c>
      <c r="K65" s="193">
        <v>34.010072593018677</v>
      </c>
      <c r="L65" s="193">
        <v>18525.47392</v>
      </c>
      <c r="M65" s="193">
        <v>29.092903474290981</v>
      </c>
      <c r="N65" s="193">
        <v>22805.196911799998</v>
      </c>
      <c r="O65" s="194">
        <v>38.005941367615861</v>
      </c>
    </row>
  </sheetData>
  <mergeCells count="10">
    <mergeCell ref="L2:O2"/>
    <mergeCell ref="L3:M3"/>
    <mergeCell ref="N3:O3"/>
    <mergeCell ref="B2:C4"/>
    <mergeCell ref="D2:G2"/>
    <mergeCell ref="H2:K2"/>
    <mergeCell ref="D3:E3"/>
    <mergeCell ref="F3:G3"/>
    <mergeCell ref="H3:I3"/>
    <mergeCell ref="J3:K3"/>
  </mergeCells>
  <pageMargins left="0.7" right="0.7" top="0.75" bottom="0.75" header="0.3" footer="0.3"/>
  <customProperties>
    <customPr name="FPMExcelClientCellBasedFunctionStatus" r:id="rId1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F3B6-545B-430C-A9F9-581DC1067972}">
  <dimension ref="B1:Y101"/>
  <sheetViews>
    <sheetView showGridLines="0" topLeftCell="Q1" workbookViewId="0">
      <selection activeCell="BS336" sqref="BS336"/>
    </sheetView>
  </sheetViews>
  <sheetFormatPr defaultColWidth="4" defaultRowHeight="11.45" customHeight="1" x14ac:dyDescent="0.2"/>
  <cols>
    <col min="1" max="1" width="1.7109375" style="3" customWidth="1"/>
    <col min="2" max="2" width="28.5703125" style="3" hidden="1" customWidth="1"/>
    <col min="3" max="3" width="4.28515625" style="3" hidden="1" customWidth="1"/>
    <col min="4" max="4" width="7.42578125" style="3" hidden="1" customWidth="1"/>
    <col min="5" max="5" width="3.42578125" style="3" hidden="1" customWidth="1"/>
    <col min="6" max="6" width="7.42578125" style="3" hidden="1" customWidth="1"/>
    <col min="7" max="7" width="3.42578125" style="3" hidden="1" customWidth="1"/>
    <col min="8" max="9" width="7.42578125" style="3" hidden="1" customWidth="1"/>
    <col min="10" max="10" width="0" style="3" hidden="1" customWidth="1"/>
    <col min="11" max="11" width="4" style="3"/>
    <col min="12" max="12" width="28.5703125" style="3" hidden="1" customWidth="1"/>
    <col min="13" max="13" width="7.42578125" style="3" hidden="1" customWidth="1"/>
    <col min="14" max="14" width="9.85546875" style="3" hidden="1" customWidth="1"/>
    <col min="15" max="15" width="10.5703125" style="80" hidden="1" customWidth="1"/>
    <col min="16" max="16" width="9.140625" style="80" hidden="1" customWidth="1"/>
    <col min="17" max="17" width="4" style="3"/>
    <col min="18" max="18" width="28.5703125" style="3" bestFit="1" customWidth="1"/>
    <col min="19" max="19" width="1.7109375" style="3" customWidth="1"/>
    <col min="20" max="20" width="7.42578125" style="3" bestFit="1" customWidth="1"/>
    <col min="21" max="21" width="3.42578125" style="3" bestFit="1" customWidth="1"/>
    <col min="22" max="22" width="7.42578125" style="3" bestFit="1" customWidth="1"/>
    <col min="23" max="23" width="3.42578125" style="3" bestFit="1" customWidth="1"/>
    <col min="24" max="25" width="7.42578125" style="3" bestFit="1" customWidth="1"/>
    <col min="26" max="16384" width="4" style="3"/>
  </cols>
  <sheetData>
    <row r="1" spans="2:25" ht="11.45" customHeight="1" thickBot="1" x14ac:dyDescent="0.25"/>
    <row r="2" spans="2:25" ht="11.45" customHeight="1" thickBot="1" x14ac:dyDescent="0.25">
      <c r="B2" s="263" t="s">
        <v>1643</v>
      </c>
      <c r="C2" s="259"/>
      <c r="D2" s="259" t="s">
        <v>1873</v>
      </c>
      <c r="E2" s="259"/>
      <c r="F2" s="259"/>
      <c r="G2" s="259" t="s">
        <v>1867</v>
      </c>
      <c r="H2" s="259"/>
      <c r="I2" s="260"/>
      <c r="L2" s="267" t="s">
        <v>1643</v>
      </c>
      <c r="M2" s="165"/>
      <c r="R2" s="263" t="s">
        <v>1643</v>
      </c>
      <c r="S2" s="259"/>
      <c r="T2" s="259" t="s">
        <v>1873</v>
      </c>
      <c r="U2" s="259"/>
      <c r="V2" s="259"/>
      <c r="W2" s="259" t="s">
        <v>1867</v>
      </c>
      <c r="X2" s="259"/>
      <c r="Y2" s="260"/>
    </row>
    <row r="3" spans="2:25" ht="11.45" customHeight="1" thickBot="1" x14ac:dyDescent="0.25">
      <c r="B3" s="265"/>
      <c r="C3" s="266"/>
      <c r="D3" s="144" t="s">
        <v>1868</v>
      </c>
      <c r="E3" s="144"/>
      <c r="F3" s="144" t="s">
        <v>1869</v>
      </c>
      <c r="G3" s="144"/>
      <c r="H3" s="144" t="s">
        <v>1870</v>
      </c>
      <c r="I3" s="145" t="s">
        <v>1869</v>
      </c>
      <c r="L3" s="268"/>
      <c r="M3" s="165" t="s">
        <v>1868</v>
      </c>
      <c r="R3" s="265"/>
      <c r="S3" s="266"/>
      <c r="T3" s="144" t="s">
        <v>1868</v>
      </c>
      <c r="U3" s="144"/>
      <c r="V3" s="144" t="s">
        <v>1869</v>
      </c>
      <c r="W3" s="144"/>
      <c r="X3" s="144" t="s">
        <v>1870</v>
      </c>
      <c r="Y3" s="145" t="s">
        <v>1869</v>
      </c>
    </row>
    <row r="4" spans="2:25" ht="11.45" customHeight="1" x14ac:dyDescent="0.2">
      <c r="B4" s="99" t="s">
        <v>1699</v>
      </c>
      <c r="C4" s="97"/>
      <c r="D4" s="96">
        <v>8.4216800000000003</v>
      </c>
      <c r="E4" s="146"/>
      <c r="F4" s="146">
        <v>9.9906900000000007</v>
      </c>
      <c r="G4" s="146"/>
      <c r="H4" s="146">
        <v>3.45</v>
      </c>
      <c r="I4" s="149">
        <v>3.45</v>
      </c>
      <c r="L4" s="99" t="s">
        <v>1699</v>
      </c>
      <c r="M4" s="96">
        <v>8.4216800000000003</v>
      </c>
      <c r="N4" s="93">
        <f>M4*1000</f>
        <v>8421.68</v>
      </c>
      <c r="O4" s="80">
        <v>8421.6800000000057</v>
      </c>
      <c r="P4" s="80">
        <f>N4-O4</f>
        <v>0</v>
      </c>
      <c r="R4" s="99" t="s">
        <v>1699</v>
      </c>
      <c r="S4" s="97"/>
      <c r="T4" s="96">
        <v>5.82864</v>
      </c>
      <c r="U4" s="146"/>
      <c r="V4" s="146">
        <v>8.4216800000000003</v>
      </c>
      <c r="W4" s="146"/>
      <c r="X4" s="146">
        <v>3.45</v>
      </c>
      <c r="Y4" s="149">
        <v>3.45</v>
      </c>
    </row>
    <row r="5" spans="2:25" ht="11.45" customHeight="1" x14ac:dyDescent="0.2">
      <c r="B5" s="99" t="s">
        <v>1700</v>
      </c>
      <c r="C5" s="97"/>
      <c r="D5" s="96">
        <v>27724.814140000002</v>
      </c>
      <c r="E5" s="146">
        <v>0</v>
      </c>
      <c r="F5" s="146">
        <v>34346.692849999999</v>
      </c>
      <c r="G5" s="146">
        <v>0</v>
      </c>
      <c r="H5" s="146">
        <v>28250.725720000002</v>
      </c>
      <c r="I5" s="149">
        <v>32544.21572</v>
      </c>
      <c r="L5" s="99" t="s">
        <v>1700</v>
      </c>
      <c r="M5" s="96">
        <v>27724.814140000002</v>
      </c>
      <c r="N5" s="93">
        <f t="shared" ref="N5:N68" si="0">M5*1000</f>
        <v>27724814.140000001</v>
      </c>
      <c r="O5" s="80">
        <v>27724814.139999989</v>
      </c>
      <c r="P5" s="80">
        <f>N5-O5</f>
        <v>0</v>
      </c>
      <c r="R5" s="99" t="s">
        <v>1700</v>
      </c>
      <c r="S5" s="97"/>
      <c r="T5" s="96">
        <v>21468.596820000002</v>
      </c>
      <c r="U5" s="146">
        <v>0</v>
      </c>
      <c r="V5" s="146">
        <v>29824.814140000002</v>
      </c>
      <c r="W5" s="146">
        <v>0</v>
      </c>
      <c r="X5" s="146">
        <v>21730.94572</v>
      </c>
      <c r="Y5" s="149">
        <v>23553.14572</v>
      </c>
    </row>
    <row r="6" spans="2:25" ht="11.45" customHeight="1" x14ac:dyDescent="0.2">
      <c r="B6" s="100" t="s">
        <v>1608</v>
      </c>
      <c r="C6" s="97"/>
      <c r="D6" s="96">
        <v>205.03286</v>
      </c>
      <c r="E6" s="146"/>
      <c r="F6" s="146"/>
      <c r="G6" s="146"/>
      <c r="H6" s="146">
        <v>1854.2</v>
      </c>
      <c r="I6" s="149">
        <v>654.20000000000005</v>
      </c>
      <c r="L6" s="171" t="s">
        <v>1608</v>
      </c>
      <c r="M6" s="96">
        <v>205.03286</v>
      </c>
      <c r="N6" s="93">
        <f t="shared" si="0"/>
        <v>205032.86</v>
      </c>
      <c r="R6" s="100" t="s">
        <v>1608</v>
      </c>
      <c r="S6" s="97"/>
      <c r="T6" s="96"/>
      <c r="U6" s="146"/>
      <c r="V6" s="146">
        <v>205.03286</v>
      </c>
      <c r="W6" s="146"/>
      <c r="X6" s="146"/>
      <c r="Y6" s="149">
        <v>127.2</v>
      </c>
    </row>
    <row r="7" spans="2:25" ht="11.45" customHeight="1" x14ac:dyDescent="0.2">
      <c r="B7" s="100" t="s">
        <v>1701</v>
      </c>
      <c r="C7" s="97"/>
      <c r="D7" s="96">
        <v>101.85422</v>
      </c>
      <c r="E7" s="146"/>
      <c r="F7" s="146">
        <v>100</v>
      </c>
      <c r="G7" s="146"/>
      <c r="H7" s="146">
        <v>205</v>
      </c>
      <c r="I7" s="149">
        <v>805</v>
      </c>
      <c r="L7" s="171" t="s">
        <v>1701</v>
      </c>
      <c r="M7" s="96">
        <v>101.85422</v>
      </c>
      <c r="N7" s="93">
        <f t="shared" si="0"/>
        <v>101854.22</v>
      </c>
      <c r="R7" s="100" t="s">
        <v>1701</v>
      </c>
      <c r="S7" s="97"/>
      <c r="T7" s="96">
        <v>597.95655999999997</v>
      </c>
      <c r="U7" s="146"/>
      <c r="V7" s="146">
        <v>152.63221999999999</v>
      </c>
      <c r="W7" s="146"/>
      <c r="X7" s="146"/>
      <c r="Y7" s="149">
        <v>135</v>
      </c>
    </row>
    <row r="8" spans="2:25" ht="11.45" customHeight="1" x14ac:dyDescent="0.2">
      <c r="B8" s="100" t="s">
        <v>1702</v>
      </c>
      <c r="C8" s="97"/>
      <c r="D8" s="96"/>
      <c r="E8" s="146"/>
      <c r="F8" s="146">
        <v>84.5</v>
      </c>
      <c r="G8" s="146"/>
      <c r="H8" s="146"/>
      <c r="I8" s="149">
        <v>69.5</v>
      </c>
      <c r="L8" s="171" t="s">
        <v>1702</v>
      </c>
      <c r="M8" s="96"/>
      <c r="N8" s="93">
        <f t="shared" si="0"/>
        <v>0</v>
      </c>
      <c r="R8" s="100" t="s">
        <v>1702</v>
      </c>
      <c r="S8" s="97"/>
      <c r="T8" s="96"/>
      <c r="U8" s="146"/>
      <c r="V8" s="146"/>
      <c r="W8" s="146"/>
      <c r="X8" s="146"/>
      <c r="Y8" s="149"/>
    </row>
    <row r="9" spans="2:25" ht="11.45" customHeight="1" x14ac:dyDescent="0.2">
      <c r="B9" s="100" t="s">
        <v>1609</v>
      </c>
      <c r="C9" s="97"/>
      <c r="D9" s="96">
        <v>19258.38464</v>
      </c>
      <c r="E9" s="146"/>
      <c r="F9" s="146">
        <v>22050.674470000002</v>
      </c>
      <c r="G9" s="146"/>
      <c r="H9" s="146">
        <v>18094.73</v>
      </c>
      <c r="I9" s="149">
        <v>20038.3</v>
      </c>
      <c r="L9" s="171" t="s">
        <v>1609</v>
      </c>
      <c r="M9" s="96">
        <v>19258.38464</v>
      </c>
      <c r="N9" s="93">
        <f t="shared" si="0"/>
        <v>19258384.640000001</v>
      </c>
      <c r="R9" s="100" t="s">
        <v>1609</v>
      </c>
      <c r="S9" s="97"/>
      <c r="T9" s="96">
        <v>17174.812470000001</v>
      </c>
      <c r="U9" s="146"/>
      <c r="V9" s="146">
        <v>19558.38464</v>
      </c>
      <c r="W9" s="146"/>
      <c r="X9" s="146">
        <v>17394.73</v>
      </c>
      <c r="Y9" s="149">
        <v>17394.73</v>
      </c>
    </row>
    <row r="10" spans="2:25" ht="11.45" customHeight="1" x14ac:dyDescent="0.2">
      <c r="B10" s="100" t="s">
        <v>1703</v>
      </c>
      <c r="C10" s="97"/>
      <c r="D10" s="96">
        <v>5990.9100900000003</v>
      </c>
      <c r="E10" s="146"/>
      <c r="F10" s="146">
        <v>7343.6469100000004</v>
      </c>
      <c r="G10" s="146"/>
      <c r="H10" s="146">
        <v>6884.41</v>
      </c>
      <c r="I10" s="149">
        <v>6884.41</v>
      </c>
      <c r="L10" s="171" t="s">
        <v>1703</v>
      </c>
      <c r="M10" s="96">
        <v>5990.9100900000003</v>
      </c>
      <c r="N10" s="93">
        <f t="shared" si="0"/>
        <v>5990910.0899999999</v>
      </c>
      <c r="R10" s="100" t="s">
        <v>1703</v>
      </c>
      <c r="S10" s="97"/>
      <c r="T10" s="96">
        <v>3017.4630900000002</v>
      </c>
      <c r="U10" s="146"/>
      <c r="V10" s="146">
        <v>7990.9100900000003</v>
      </c>
      <c r="W10" s="146"/>
      <c r="X10" s="146">
        <v>2484.41</v>
      </c>
      <c r="Y10" s="149">
        <v>4184.41</v>
      </c>
    </row>
    <row r="11" spans="2:25" ht="11.45" customHeight="1" x14ac:dyDescent="0.2">
      <c r="B11" s="100" t="s">
        <v>1704</v>
      </c>
      <c r="C11" s="97"/>
      <c r="D11" s="96">
        <v>684.88203999999996</v>
      </c>
      <c r="E11" s="146"/>
      <c r="F11" s="146">
        <v>260.66669000000002</v>
      </c>
      <c r="G11" s="146"/>
      <c r="H11" s="146">
        <v>598.19500000000005</v>
      </c>
      <c r="I11" s="149">
        <v>259.19499999999999</v>
      </c>
      <c r="L11" s="171" t="s">
        <v>1704</v>
      </c>
      <c r="M11" s="96">
        <v>684.88203999999996</v>
      </c>
      <c r="N11" s="93">
        <f t="shared" si="0"/>
        <v>684882.03999999992</v>
      </c>
      <c r="R11" s="100" t="s">
        <v>1704</v>
      </c>
      <c r="S11" s="97"/>
      <c r="T11" s="96">
        <v>423.71257000000003</v>
      </c>
      <c r="U11" s="146"/>
      <c r="V11" s="146">
        <v>684.88203999999996</v>
      </c>
      <c r="W11" s="146"/>
      <c r="X11" s="146">
        <v>478.19499999999999</v>
      </c>
      <c r="Y11" s="149">
        <v>478.19499999999999</v>
      </c>
    </row>
    <row r="12" spans="2:25" ht="11.45" customHeight="1" x14ac:dyDescent="0.2">
      <c r="B12" s="100" t="s">
        <v>1705</v>
      </c>
      <c r="C12" s="97"/>
      <c r="D12" s="96">
        <v>1414.0707399999999</v>
      </c>
      <c r="E12" s="146"/>
      <c r="F12" s="146">
        <v>3019.41156</v>
      </c>
      <c r="G12" s="146"/>
      <c r="H12" s="146">
        <v>1281.1099999999999</v>
      </c>
      <c r="I12" s="149">
        <v>2581.11</v>
      </c>
      <c r="L12" s="171" t="s">
        <v>1705</v>
      </c>
      <c r="M12" s="96">
        <v>1414.0707399999999</v>
      </c>
      <c r="N12" s="93">
        <f t="shared" si="0"/>
        <v>1414070.74</v>
      </c>
      <c r="R12" s="100" t="s">
        <v>1705</v>
      </c>
      <c r="S12" s="97"/>
      <c r="T12" s="96">
        <v>919.48600999999996</v>
      </c>
      <c r="U12" s="146"/>
      <c r="V12" s="146">
        <v>1414.0707399999999</v>
      </c>
      <c r="W12" s="146"/>
      <c r="X12" s="146">
        <v>1281.1099999999999</v>
      </c>
      <c r="Y12" s="149">
        <v>1281.1099999999999</v>
      </c>
    </row>
    <row r="13" spans="2:25" ht="11.45" customHeight="1" x14ac:dyDescent="0.2">
      <c r="B13" s="100" t="s">
        <v>1584</v>
      </c>
      <c r="C13" s="97"/>
      <c r="D13" s="96">
        <v>427.82718999999997</v>
      </c>
      <c r="E13" s="146"/>
      <c r="F13" s="146">
        <v>1655.07897</v>
      </c>
      <c r="G13" s="146"/>
      <c r="H13" s="146">
        <v>-359.71</v>
      </c>
      <c r="I13" s="149">
        <v>1359.71</v>
      </c>
      <c r="L13" s="171" t="s">
        <v>1584</v>
      </c>
      <c r="M13" s="96">
        <v>427.82718999999997</v>
      </c>
      <c r="N13" s="93">
        <f t="shared" si="0"/>
        <v>427827.18999999994</v>
      </c>
      <c r="R13" s="100" t="s">
        <v>1584</v>
      </c>
      <c r="S13" s="97"/>
      <c r="T13" s="96">
        <v>-509.17286000000001</v>
      </c>
      <c r="U13" s="146"/>
      <c r="V13" s="146">
        <v>177.04919000000001</v>
      </c>
      <c r="W13" s="146"/>
      <c r="X13" s="146">
        <v>259.70999999999998</v>
      </c>
      <c r="Y13" s="149">
        <v>259.70999999999998</v>
      </c>
    </row>
    <row r="14" spans="2:25" ht="11.45" customHeight="1" x14ac:dyDescent="0.2">
      <c r="B14" s="100" t="s">
        <v>1706</v>
      </c>
      <c r="C14" s="97"/>
      <c r="D14" s="96">
        <v>-358.14764000000002</v>
      </c>
      <c r="E14" s="146"/>
      <c r="F14" s="146">
        <v>-167.28575000000001</v>
      </c>
      <c r="G14" s="146"/>
      <c r="H14" s="146">
        <v>-307.20927999999998</v>
      </c>
      <c r="I14" s="149">
        <v>-107.20928000000001</v>
      </c>
      <c r="L14" s="171" t="s">
        <v>1706</v>
      </c>
      <c r="M14" s="96">
        <v>-358.14764000000002</v>
      </c>
      <c r="N14" s="93">
        <f t="shared" si="0"/>
        <v>-358147.64</v>
      </c>
      <c r="R14" s="100" t="s">
        <v>1706</v>
      </c>
      <c r="S14" s="97"/>
      <c r="T14" s="96">
        <v>-155.66102000000001</v>
      </c>
      <c r="U14" s="146"/>
      <c r="V14" s="146">
        <v>-358.14764000000002</v>
      </c>
      <c r="W14" s="146"/>
      <c r="X14" s="146">
        <v>-167.20928000000001</v>
      </c>
      <c r="Y14" s="149">
        <v>-307.20927999999998</v>
      </c>
    </row>
    <row r="15" spans="2:25" ht="11.45" customHeight="1" x14ac:dyDescent="0.2">
      <c r="B15" s="99" t="s">
        <v>1607</v>
      </c>
      <c r="C15" s="97"/>
      <c r="D15" s="96">
        <v>258.27805999999998</v>
      </c>
      <c r="E15" s="146">
        <v>0</v>
      </c>
      <c r="F15" s="146">
        <v>516.48880000000008</v>
      </c>
      <c r="G15" s="146">
        <v>0</v>
      </c>
      <c r="H15" s="146">
        <v>320.76</v>
      </c>
      <c r="I15" s="149">
        <v>500.76</v>
      </c>
      <c r="L15" s="99" t="s">
        <v>1607</v>
      </c>
      <c r="M15" s="96">
        <v>258.27805999999998</v>
      </c>
      <c r="N15" s="93">
        <f t="shared" si="0"/>
        <v>258278.05999999997</v>
      </c>
      <c r="O15" s="80">
        <v>258278.05999999997</v>
      </c>
      <c r="P15" s="80">
        <f t="shared" ref="P15:P17" si="1">N15-O15</f>
        <v>0</v>
      </c>
      <c r="R15" s="99" t="s">
        <v>1607</v>
      </c>
      <c r="S15" s="97"/>
      <c r="T15" s="96">
        <v>193.51746</v>
      </c>
      <c r="U15" s="146">
        <v>0</v>
      </c>
      <c r="V15" s="146">
        <v>258.01513999999997</v>
      </c>
      <c r="W15" s="146">
        <v>0</v>
      </c>
      <c r="X15" s="146">
        <v>258.76</v>
      </c>
      <c r="Y15" s="149">
        <v>565.76</v>
      </c>
    </row>
    <row r="16" spans="2:25" ht="11.45" customHeight="1" x14ac:dyDescent="0.2">
      <c r="B16" s="100" t="s">
        <v>1582</v>
      </c>
      <c r="C16" s="97"/>
      <c r="D16" s="96">
        <v>102.19126</v>
      </c>
      <c r="E16" s="146"/>
      <c r="F16" s="146">
        <v>155.238</v>
      </c>
      <c r="G16" s="146"/>
      <c r="H16" s="146">
        <v>113.54</v>
      </c>
      <c r="I16" s="149">
        <v>163.54</v>
      </c>
      <c r="L16" s="100" t="s">
        <v>1582</v>
      </c>
      <c r="M16" s="96">
        <v>102.19126</v>
      </c>
      <c r="N16" s="93">
        <f t="shared" si="0"/>
        <v>102191.26</v>
      </c>
      <c r="O16" s="80">
        <v>102191.26000000002</v>
      </c>
      <c r="P16" s="80">
        <f t="shared" si="1"/>
        <v>0</v>
      </c>
      <c r="R16" s="100" t="s">
        <v>1582</v>
      </c>
      <c r="S16" s="97"/>
      <c r="T16" s="96">
        <v>62.382350000000002</v>
      </c>
      <c r="U16" s="146"/>
      <c r="V16" s="146">
        <v>102.19126</v>
      </c>
      <c r="W16" s="146"/>
      <c r="X16" s="146">
        <v>83.54</v>
      </c>
      <c r="Y16" s="149">
        <v>183.54</v>
      </c>
    </row>
    <row r="17" spans="2:25" ht="11.45" customHeight="1" x14ac:dyDescent="0.2">
      <c r="B17" s="100" t="s">
        <v>1583</v>
      </c>
      <c r="C17" s="97"/>
      <c r="D17" s="96">
        <v>33.434660000000001</v>
      </c>
      <c r="E17" s="146"/>
      <c r="F17" s="146">
        <v>224.21190000000001</v>
      </c>
      <c r="G17" s="146"/>
      <c r="H17" s="146">
        <v>75.13</v>
      </c>
      <c r="I17" s="149">
        <v>205.13</v>
      </c>
      <c r="L17" s="100" t="s">
        <v>1583</v>
      </c>
      <c r="M17" s="96">
        <v>33.434660000000001</v>
      </c>
      <c r="N17" s="93">
        <f t="shared" si="0"/>
        <v>33434.660000000003</v>
      </c>
      <c r="O17" s="80">
        <v>33434.659999999982</v>
      </c>
      <c r="P17" s="80">
        <f t="shared" si="1"/>
        <v>0</v>
      </c>
      <c r="R17" s="100" t="s">
        <v>1583</v>
      </c>
      <c r="S17" s="97"/>
      <c r="T17" s="96">
        <v>69.097309999999993</v>
      </c>
      <c r="U17" s="146"/>
      <c r="V17" s="146">
        <v>33.434660000000001</v>
      </c>
      <c r="W17" s="146"/>
      <c r="X17" s="146">
        <v>73.13</v>
      </c>
      <c r="Y17" s="149">
        <v>73.13</v>
      </c>
    </row>
    <row r="18" spans="2:25" ht="11.45" customHeight="1" x14ac:dyDescent="0.2">
      <c r="B18" s="100" t="s">
        <v>1707</v>
      </c>
      <c r="C18" s="97"/>
      <c r="D18" s="96"/>
      <c r="E18" s="146"/>
      <c r="F18" s="146"/>
      <c r="G18" s="146"/>
      <c r="H18" s="146"/>
      <c r="I18" s="149"/>
      <c r="L18" s="100" t="s">
        <v>1707</v>
      </c>
      <c r="M18" s="96"/>
      <c r="N18" s="93">
        <f t="shared" si="0"/>
        <v>0</v>
      </c>
      <c r="O18" s="80">
        <v>0</v>
      </c>
      <c r="R18" s="100" t="s">
        <v>1707</v>
      </c>
      <c r="S18" s="97"/>
      <c r="T18" s="96"/>
      <c r="U18" s="146"/>
      <c r="V18" s="146"/>
      <c r="W18" s="146"/>
      <c r="X18" s="146"/>
      <c r="Y18" s="149"/>
    </row>
    <row r="19" spans="2:25" ht="11.45" customHeight="1" x14ac:dyDescent="0.2">
      <c r="B19" s="100" t="s">
        <v>1626</v>
      </c>
      <c r="C19" s="97"/>
      <c r="D19" s="96">
        <v>0.26291999999999999</v>
      </c>
      <c r="E19" s="146"/>
      <c r="F19" s="146"/>
      <c r="G19" s="146"/>
      <c r="H19" s="146"/>
      <c r="I19" s="149"/>
      <c r="L19" s="100" t="s">
        <v>1626</v>
      </c>
      <c r="M19" s="96">
        <v>0.26291999999999999</v>
      </c>
      <c r="N19" s="93">
        <f t="shared" si="0"/>
        <v>262.91999999999996</v>
      </c>
      <c r="O19" s="80">
        <v>262.92000000002821</v>
      </c>
      <c r="P19" s="80">
        <f>N19-O19</f>
        <v>-2.8251179173821583E-11</v>
      </c>
      <c r="R19" s="100" t="s">
        <v>1626</v>
      </c>
      <c r="S19" s="97"/>
      <c r="T19" s="96"/>
      <c r="U19" s="146"/>
      <c r="V19" s="146">
        <v>0</v>
      </c>
      <c r="W19" s="146"/>
      <c r="X19" s="146"/>
      <c r="Y19" s="149">
        <v>207</v>
      </c>
    </row>
    <row r="20" spans="2:25" ht="11.45" customHeight="1" x14ac:dyDescent="0.2">
      <c r="B20" s="100" t="s">
        <v>1708</v>
      </c>
      <c r="C20" s="97"/>
      <c r="D20" s="96"/>
      <c r="E20" s="146"/>
      <c r="F20" s="146"/>
      <c r="G20" s="146"/>
      <c r="H20" s="146"/>
      <c r="I20" s="149"/>
      <c r="L20" s="100" t="s">
        <v>1708</v>
      </c>
      <c r="M20" s="96"/>
      <c r="N20" s="93">
        <f t="shared" si="0"/>
        <v>0</v>
      </c>
      <c r="R20" s="100" t="s">
        <v>1708</v>
      </c>
      <c r="S20" s="97"/>
      <c r="T20" s="96"/>
      <c r="U20" s="146"/>
      <c r="V20" s="146"/>
      <c r="W20" s="146"/>
      <c r="X20" s="146"/>
      <c r="Y20" s="149"/>
    </row>
    <row r="21" spans="2:25" ht="11.45" customHeight="1" x14ac:dyDescent="0.2">
      <c r="B21" s="100" t="s">
        <v>1584</v>
      </c>
      <c r="C21" s="97"/>
      <c r="D21" s="96">
        <v>122.38921999999999</v>
      </c>
      <c r="E21" s="146"/>
      <c r="F21" s="146">
        <v>137.03890000000001</v>
      </c>
      <c r="G21" s="146"/>
      <c r="H21" s="146">
        <v>132.09</v>
      </c>
      <c r="I21" s="149">
        <v>132.09</v>
      </c>
      <c r="L21" s="100" t="s">
        <v>1584</v>
      </c>
      <c r="M21" s="96">
        <v>122.38921999999999</v>
      </c>
      <c r="N21" s="93">
        <f t="shared" si="0"/>
        <v>122389.22</v>
      </c>
      <c r="O21" s="80">
        <v>122389.21999999991</v>
      </c>
      <c r="P21" s="80">
        <f>N21-O21</f>
        <v>0</v>
      </c>
      <c r="R21" s="100" t="s">
        <v>1584</v>
      </c>
      <c r="S21" s="97"/>
      <c r="T21" s="96">
        <v>62.037799999999997</v>
      </c>
      <c r="U21" s="146"/>
      <c r="V21" s="146">
        <v>122.38921999999999</v>
      </c>
      <c r="W21" s="146"/>
      <c r="X21" s="146">
        <v>102.09</v>
      </c>
      <c r="Y21" s="149">
        <v>102.09</v>
      </c>
    </row>
    <row r="22" spans="2:25" ht="11.45" customHeight="1" x14ac:dyDescent="0.2">
      <c r="B22" s="99" t="s">
        <v>1709</v>
      </c>
      <c r="C22" s="97"/>
      <c r="D22" s="96">
        <v>0</v>
      </c>
      <c r="E22" s="146">
        <v>0</v>
      </c>
      <c r="F22" s="146">
        <v>0</v>
      </c>
      <c r="G22" s="146">
        <v>0</v>
      </c>
      <c r="H22" s="146">
        <v>0</v>
      </c>
      <c r="I22" s="149">
        <v>0</v>
      </c>
      <c r="L22" s="99" t="s">
        <v>1709</v>
      </c>
      <c r="M22" s="96">
        <v>0</v>
      </c>
      <c r="N22" s="93">
        <f t="shared" si="0"/>
        <v>0</v>
      </c>
      <c r="R22" s="99" t="s">
        <v>1709</v>
      </c>
      <c r="S22" s="97"/>
      <c r="T22" s="96">
        <v>0</v>
      </c>
      <c r="U22" s="146">
        <v>0</v>
      </c>
      <c r="V22" s="146">
        <v>0</v>
      </c>
      <c r="W22" s="146">
        <v>0</v>
      </c>
      <c r="X22" s="146">
        <v>0</v>
      </c>
      <c r="Y22" s="149">
        <v>0</v>
      </c>
    </row>
    <row r="23" spans="2:25" ht="11.45" customHeight="1" x14ac:dyDescent="0.2">
      <c r="B23" s="100" t="s">
        <v>1710</v>
      </c>
      <c r="C23" s="97"/>
      <c r="D23" s="96"/>
      <c r="E23" s="146"/>
      <c r="F23" s="146"/>
      <c r="G23" s="146"/>
      <c r="H23" s="146"/>
      <c r="I23" s="149"/>
      <c r="L23" s="100" t="s">
        <v>1710</v>
      </c>
      <c r="M23" s="96"/>
      <c r="N23" s="93">
        <f t="shared" si="0"/>
        <v>0</v>
      </c>
      <c r="R23" s="100" t="s">
        <v>1710</v>
      </c>
      <c r="S23" s="97"/>
      <c r="T23" s="96"/>
      <c r="U23" s="146"/>
      <c r="V23" s="146"/>
      <c r="W23" s="146"/>
      <c r="X23" s="146"/>
      <c r="Y23" s="149"/>
    </row>
    <row r="24" spans="2:25" ht="11.45" customHeight="1" x14ac:dyDescent="0.2">
      <c r="B24" s="100" t="s">
        <v>1706</v>
      </c>
      <c r="C24" s="97"/>
      <c r="D24" s="96"/>
      <c r="E24" s="146"/>
      <c r="F24" s="146"/>
      <c r="G24" s="146"/>
      <c r="H24" s="146"/>
      <c r="I24" s="149"/>
      <c r="L24" s="100" t="s">
        <v>1706</v>
      </c>
      <c r="M24" s="96"/>
      <c r="N24" s="93">
        <f t="shared" si="0"/>
        <v>0</v>
      </c>
      <c r="R24" s="100" t="s">
        <v>1706</v>
      </c>
      <c r="S24" s="97"/>
      <c r="T24" s="96"/>
      <c r="U24" s="146"/>
      <c r="V24" s="146"/>
      <c r="W24" s="146"/>
      <c r="X24" s="146"/>
      <c r="Y24" s="149"/>
    </row>
    <row r="25" spans="2:25" ht="11.45" customHeight="1" x14ac:dyDescent="0.2">
      <c r="B25" s="99" t="s">
        <v>1586</v>
      </c>
      <c r="C25" s="97"/>
      <c r="D25" s="96">
        <v>12512.069749999999</v>
      </c>
      <c r="E25" s="146">
        <v>0</v>
      </c>
      <c r="F25" s="146">
        <v>22314.438554499997</v>
      </c>
      <c r="G25" s="146">
        <v>0</v>
      </c>
      <c r="H25" s="146">
        <v>14862.561090200001</v>
      </c>
      <c r="I25" s="149">
        <v>22020.511011500002</v>
      </c>
      <c r="L25" s="99" t="s">
        <v>1586</v>
      </c>
      <c r="M25" s="96">
        <v>12512.069749999999</v>
      </c>
      <c r="N25" s="93">
        <f t="shared" si="0"/>
        <v>12512069.749999998</v>
      </c>
      <c r="O25" s="80">
        <v>12512069.75</v>
      </c>
      <c r="P25" s="80">
        <f>N25-O25</f>
        <v>0</v>
      </c>
      <c r="R25" s="99" t="s">
        <v>1586</v>
      </c>
      <c r="S25" s="97"/>
      <c r="T25" s="96">
        <v>9359.9823799999995</v>
      </c>
      <c r="U25" s="146">
        <v>0</v>
      </c>
      <c r="V25" s="146">
        <v>13263.296337400001</v>
      </c>
      <c r="W25" s="146">
        <v>0</v>
      </c>
      <c r="X25" s="146">
        <v>9990.4688612000009</v>
      </c>
      <c r="Y25" s="149">
        <v>13025.4463333</v>
      </c>
    </row>
    <row r="26" spans="2:25" ht="11.45" customHeight="1" x14ac:dyDescent="0.2">
      <c r="B26" s="100" t="s">
        <v>1608</v>
      </c>
      <c r="C26" s="97"/>
      <c r="D26" s="96">
        <v>-3.4610000000000002E-2</v>
      </c>
      <c r="E26" s="146">
        <v>0</v>
      </c>
      <c r="F26" s="146">
        <v>71.175534100000007</v>
      </c>
      <c r="G26" s="146">
        <v>0</v>
      </c>
      <c r="H26" s="146">
        <v>0</v>
      </c>
      <c r="I26" s="149">
        <v>73.9231956</v>
      </c>
      <c r="L26" s="100" t="s">
        <v>1608</v>
      </c>
      <c r="M26" s="96">
        <v>-3.4610000000000002E-2</v>
      </c>
      <c r="N26" s="93">
        <f t="shared" si="0"/>
        <v>-34.61</v>
      </c>
      <c r="O26" s="80">
        <v>-34.609999999996489</v>
      </c>
      <c r="P26" s="80">
        <f>N26-O26</f>
        <v>-3.5100811146548949E-12</v>
      </c>
      <c r="R26" s="100" t="s">
        <v>1608</v>
      </c>
      <c r="S26" s="97"/>
      <c r="T26" s="96">
        <v>-3.4610000000000002E-2</v>
      </c>
      <c r="U26" s="146">
        <v>0</v>
      </c>
      <c r="V26" s="146">
        <v>0</v>
      </c>
      <c r="W26" s="146">
        <v>0</v>
      </c>
      <c r="X26" s="146">
        <v>0</v>
      </c>
      <c r="Y26" s="149">
        <v>0</v>
      </c>
    </row>
    <row r="27" spans="2:25" ht="11.45" customHeight="1" x14ac:dyDescent="0.2">
      <c r="B27" s="101" t="s">
        <v>1711</v>
      </c>
      <c r="C27" s="97"/>
      <c r="D27" s="96"/>
      <c r="E27" s="146"/>
      <c r="F27" s="146">
        <v>69.898842900000005</v>
      </c>
      <c r="G27" s="146"/>
      <c r="H27" s="146"/>
      <c r="I27" s="149">
        <v>72.632627299999996</v>
      </c>
      <c r="L27" s="101" t="s">
        <v>1711</v>
      </c>
      <c r="M27" s="96"/>
      <c r="N27" s="93">
        <f t="shared" si="0"/>
        <v>0</v>
      </c>
      <c r="R27" s="101" t="s">
        <v>1711</v>
      </c>
      <c r="S27" s="97"/>
      <c r="T27" s="96"/>
      <c r="U27" s="146"/>
      <c r="V27" s="146"/>
      <c r="W27" s="146"/>
      <c r="X27" s="146"/>
      <c r="Y27" s="149"/>
    </row>
    <row r="28" spans="2:25" ht="11.45" customHeight="1" x14ac:dyDescent="0.2">
      <c r="B28" s="101" t="s">
        <v>1712</v>
      </c>
      <c r="C28" s="97"/>
      <c r="D28" s="96"/>
      <c r="E28" s="146"/>
      <c r="F28" s="146"/>
      <c r="G28" s="146"/>
      <c r="H28" s="146"/>
      <c r="I28" s="149"/>
      <c r="L28" s="101" t="s">
        <v>1712</v>
      </c>
      <c r="M28" s="96"/>
      <c r="N28" s="93">
        <f t="shared" si="0"/>
        <v>0</v>
      </c>
      <c r="R28" s="101" t="s">
        <v>1712</v>
      </c>
      <c r="S28" s="97"/>
      <c r="T28" s="96"/>
      <c r="U28" s="146"/>
      <c r="V28" s="146"/>
      <c r="W28" s="146"/>
      <c r="X28" s="146"/>
      <c r="Y28" s="149"/>
    </row>
    <row r="29" spans="2:25" ht="11.45" customHeight="1" x14ac:dyDescent="0.2">
      <c r="B29" s="101" t="s">
        <v>1713</v>
      </c>
      <c r="C29" s="97"/>
      <c r="D29" s="96">
        <v>-3.4610000000000002E-2</v>
      </c>
      <c r="E29" s="146"/>
      <c r="F29" s="146">
        <v>1.2766911999999999</v>
      </c>
      <c r="G29" s="146"/>
      <c r="H29" s="146"/>
      <c r="I29" s="149">
        <v>1.2905682999999999</v>
      </c>
      <c r="L29" s="101" t="s">
        <v>1713</v>
      </c>
      <c r="M29" s="96">
        <v>-3.4610000000000002E-2</v>
      </c>
      <c r="N29" s="93">
        <f t="shared" si="0"/>
        <v>-34.61</v>
      </c>
      <c r="R29" s="101" t="s">
        <v>1713</v>
      </c>
      <c r="S29" s="97"/>
      <c r="T29" s="96">
        <v>-3.4610000000000002E-2</v>
      </c>
      <c r="U29" s="146"/>
      <c r="V29" s="146"/>
      <c r="W29" s="146"/>
      <c r="X29" s="146"/>
      <c r="Y29" s="149"/>
    </row>
    <row r="30" spans="2:25" ht="11.45" customHeight="1" x14ac:dyDescent="0.2">
      <c r="B30" s="101" t="s">
        <v>1584</v>
      </c>
      <c r="C30" s="97"/>
      <c r="D30" s="96"/>
      <c r="E30" s="146"/>
      <c r="F30" s="146"/>
      <c r="G30" s="146"/>
      <c r="H30" s="146"/>
      <c r="I30" s="149"/>
      <c r="L30" s="101" t="s">
        <v>1584</v>
      </c>
      <c r="M30" s="96"/>
      <c r="N30" s="93">
        <f t="shared" si="0"/>
        <v>0</v>
      </c>
      <c r="R30" s="101" t="s">
        <v>1584</v>
      </c>
      <c r="S30" s="97"/>
      <c r="T30" s="96"/>
      <c r="U30" s="146"/>
      <c r="V30" s="146"/>
      <c r="W30" s="146"/>
      <c r="X30" s="146"/>
      <c r="Y30" s="149"/>
    </row>
    <row r="31" spans="2:25" ht="11.45" customHeight="1" x14ac:dyDescent="0.2">
      <c r="B31" s="101" t="s">
        <v>1714</v>
      </c>
      <c r="C31" s="97"/>
      <c r="D31" s="96"/>
      <c r="E31" s="146"/>
      <c r="F31" s="146"/>
      <c r="G31" s="146"/>
      <c r="H31" s="146"/>
      <c r="I31" s="149"/>
      <c r="L31" s="101" t="s">
        <v>1714</v>
      </c>
      <c r="M31" s="96"/>
      <c r="N31" s="93">
        <f t="shared" si="0"/>
        <v>0</v>
      </c>
      <c r="R31" s="101" t="s">
        <v>1714</v>
      </c>
      <c r="S31" s="97"/>
      <c r="T31" s="96"/>
      <c r="U31" s="146"/>
      <c r="V31" s="146"/>
      <c r="W31" s="146"/>
      <c r="X31" s="146"/>
      <c r="Y31" s="149"/>
    </row>
    <row r="32" spans="2:25" ht="11.45" customHeight="1" x14ac:dyDescent="0.2">
      <c r="B32" s="100" t="s">
        <v>1701</v>
      </c>
      <c r="C32" s="97"/>
      <c r="D32" s="96">
        <v>0</v>
      </c>
      <c r="E32" s="146">
        <v>0</v>
      </c>
      <c r="F32" s="146">
        <v>13.3115044</v>
      </c>
      <c r="G32" s="146">
        <v>0</v>
      </c>
      <c r="H32" s="146">
        <v>0</v>
      </c>
      <c r="I32" s="149">
        <v>184.02672569999999</v>
      </c>
      <c r="L32" s="100" t="s">
        <v>1701</v>
      </c>
      <c r="M32" s="96">
        <v>0</v>
      </c>
      <c r="N32" s="93">
        <f t="shared" si="0"/>
        <v>0</v>
      </c>
      <c r="R32" s="100" t="s">
        <v>1701</v>
      </c>
      <c r="S32" s="97"/>
      <c r="T32" s="96">
        <v>0</v>
      </c>
      <c r="U32" s="146">
        <v>0</v>
      </c>
      <c r="V32" s="146">
        <v>2.9641926000000001</v>
      </c>
      <c r="W32" s="146">
        <v>0</v>
      </c>
      <c r="X32" s="146">
        <v>0</v>
      </c>
      <c r="Y32" s="149">
        <v>34.9774721</v>
      </c>
    </row>
    <row r="33" spans="2:25" ht="11.45" customHeight="1" x14ac:dyDescent="0.2">
      <c r="B33" s="101" t="s">
        <v>1711</v>
      </c>
      <c r="C33" s="97"/>
      <c r="D33" s="96"/>
      <c r="E33" s="146"/>
      <c r="F33" s="146">
        <v>13.3115044</v>
      </c>
      <c r="G33" s="146"/>
      <c r="H33" s="146"/>
      <c r="I33" s="149">
        <v>184.02672569999999</v>
      </c>
      <c r="L33" s="101" t="s">
        <v>1711</v>
      </c>
      <c r="M33" s="96"/>
      <c r="N33" s="93">
        <f t="shared" si="0"/>
        <v>0</v>
      </c>
      <c r="R33" s="101" t="s">
        <v>1711</v>
      </c>
      <c r="S33" s="97"/>
      <c r="T33" s="96"/>
      <c r="U33" s="146"/>
      <c r="V33" s="146">
        <v>2.9641926000000001</v>
      </c>
      <c r="W33" s="146"/>
      <c r="X33" s="146"/>
      <c r="Y33" s="149">
        <v>34.9774721</v>
      </c>
    </row>
    <row r="34" spans="2:25" ht="11.45" customHeight="1" x14ac:dyDescent="0.2">
      <c r="B34" s="101" t="s">
        <v>1715</v>
      </c>
      <c r="C34" s="97"/>
      <c r="D34" s="96"/>
      <c r="E34" s="146"/>
      <c r="F34" s="146"/>
      <c r="G34" s="146"/>
      <c r="H34" s="146"/>
      <c r="I34" s="149"/>
      <c r="L34" s="101" t="s">
        <v>1715</v>
      </c>
      <c r="M34" s="96"/>
      <c r="N34" s="93">
        <f t="shared" si="0"/>
        <v>0</v>
      </c>
      <c r="R34" s="101" t="s">
        <v>1715</v>
      </c>
      <c r="S34" s="97"/>
      <c r="T34" s="96"/>
      <c r="U34" s="146"/>
      <c r="V34" s="146"/>
      <c r="W34" s="146"/>
      <c r="X34" s="146"/>
      <c r="Y34" s="149"/>
    </row>
    <row r="35" spans="2:25" ht="11.45" customHeight="1" x14ac:dyDescent="0.2">
      <c r="B35" s="101" t="s">
        <v>1713</v>
      </c>
      <c r="C35" s="97"/>
      <c r="D35" s="96"/>
      <c r="E35" s="146"/>
      <c r="F35" s="146"/>
      <c r="G35" s="146"/>
      <c r="H35" s="146"/>
      <c r="I35" s="149"/>
      <c r="L35" s="101" t="s">
        <v>1713</v>
      </c>
      <c r="M35" s="96"/>
      <c r="N35" s="93">
        <f t="shared" si="0"/>
        <v>0</v>
      </c>
      <c r="R35" s="101" t="s">
        <v>1713</v>
      </c>
      <c r="S35" s="97"/>
      <c r="T35" s="96"/>
      <c r="U35" s="146"/>
      <c r="V35" s="146"/>
      <c r="W35" s="146"/>
      <c r="X35" s="146"/>
      <c r="Y35" s="149"/>
    </row>
    <row r="36" spans="2:25" ht="11.45" customHeight="1" x14ac:dyDescent="0.2">
      <c r="B36" s="101" t="s">
        <v>1584</v>
      </c>
      <c r="C36" s="97"/>
      <c r="D36" s="96"/>
      <c r="E36" s="146"/>
      <c r="F36" s="146"/>
      <c r="G36" s="146"/>
      <c r="H36" s="146"/>
      <c r="I36" s="149"/>
      <c r="L36" s="101" t="s">
        <v>1584</v>
      </c>
      <c r="M36" s="96"/>
      <c r="N36" s="93">
        <f t="shared" si="0"/>
        <v>0</v>
      </c>
      <c r="R36" s="101" t="s">
        <v>1584</v>
      </c>
      <c r="S36" s="97"/>
      <c r="T36" s="96"/>
      <c r="U36" s="146"/>
      <c r="V36" s="146"/>
      <c r="W36" s="146"/>
      <c r="X36" s="146"/>
      <c r="Y36" s="149"/>
    </row>
    <row r="37" spans="2:25" ht="11.45" customHeight="1" x14ac:dyDescent="0.2">
      <c r="B37" s="101" t="s">
        <v>1714</v>
      </c>
      <c r="C37" s="97"/>
      <c r="D37" s="96"/>
      <c r="E37" s="146"/>
      <c r="F37" s="146"/>
      <c r="G37" s="146"/>
      <c r="H37" s="146"/>
      <c r="I37" s="149"/>
      <c r="L37" s="101" t="s">
        <v>1714</v>
      </c>
      <c r="M37" s="96"/>
      <c r="N37" s="93">
        <f t="shared" si="0"/>
        <v>0</v>
      </c>
      <c r="R37" s="101" t="s">
        <v>1714</v>
      </c>
      <c r="S37" s="97"/>
      <c r="T37" s="96"/>
      <c r="U37" s="146"/>
      <c r="V37" s="146"/>
      <c r="W37" s="146"/>
      <c r="X37" s="146"/>
      <c r="Y37" s="149"/>
    </row>
    <row r="38" spans="2:25" ht="11.45" customHeight="1" x14ac:dyDescent="0.2">
      <c r="B38" s="100" t="s">
        <v>1702</v>
      </c>
      <c r="C38" s="97"/>
      <c r="D38" s="96"/>
      <c r="E38" s="146"/>
      <c r="F38" s="146"/>
      <c r="G38" s="146"/>
      <c r="H38" s="146"/>
      <c r="I38" s="149"/>
      <c r="L38" s="100" t="s">
        <v>1702</v>
      </c>
      <c r="M38" s="96"/>
      <c r="N38" s="93">
        <f t="shared" si="0"/>
        <v>0</v>
      </c>
      <c r="R38" s="100" t="s">
        <v>1702</v>
      </c>
      <c r="S38" s="97"/>
      <c r="T38" s="96"/>
      <c r="U38" s="146"/>
      <c r="V38" s="146"/>
      <c r="W38" s="146"/>
      <c r="X38" s="146"/>
      <c r="Y38" s="149"/>
    </row>
    <row r="39" spans="2:25" ht="11.45" customHeight="1" x14ac:dyDescent="0.2">
      <c r="B39" s="100" t="s">
        <v>1609</v>
      </c>
      <c r="C39" s="97"/>
      <c r="D39" s="96">
        <v>12010.392099999999</v>
      </c>
      <c r="E39" s="146">
        <v>0</v>
      </c>
      <c r="F39" s="146">
        <v>20645.800845999998</v>
      </c>
      <c r="G39" s="146">
        <v>0</v>
      </c>
      <c r="H39" s="146">
        <v>13938.3810902</v>
      </c>
      <c r="I39" s="149">
        <v>20038.3810902</v>
      </c>
      <c r="L39" s="100" t="s">
        <v>1609</v>
      </c>
      <c r="M39" s="96">
        <v>12010.392099999999</v>
      </c>
      <c r="N39" s="93">
        <f t="shared" si="0"/>
        <v>12010392.1</v>
      </c>
      <c r="O39" s="80">
        <v>12010392.1</v>
      </c>
      <c r="P39" s="80">
        <f>N39-O39</f>
        <v>0</v>
      </c>
      <c r="R39" s="100" t="s">
        <v>1609</v>
      </c>
      <c r="S39" s="97"/>
      <c r="T39" s="96">
        <v>8701.9934900000007</v>
      </c>
      <c r="U39" s="146">
        <v>0</v>
      </c>
      <c r="V39" s="146">
        <v>12658.6198848</v>
      </c>
      <c r="W39" s="146">
        <v>0</v>
      </c>
      <c r="X39" s="146">
        <v>9366.2888612000006</v>
      </c>
      <c r="Y39" s="149">
        <v>12366.288861200001</v>
      </c>
    </row>
    <row r="40" spans="2:25" ht="11.45" customHeight="1" x14ac:dyDescent="0.2">
      <c r="B40" s="101" t="s">
        <v>1609</v>
      </c>
      <c r="C40" s="97"/>
      <c r="D40" s="96">
        <v>12010.392099999999</v>
      </c>
      <c r="E40" s="146"/>
      <c r="F40" s="146">
        <v>20645.800845999998</v>
      </c>
      <c r="G40" s="146"/>
      <c r="H40" s="146">
        <v>13938.3810902</v>
      </c>
      <c r="I40" s="149">
        <v>20038.3810902</v>
      </c>
      <c r="L40" s="101" t="s">
        <v>1609</v>
      </c>
      <c r="M40" s="96">
        <v>12010.392099999999</v>
      </c>
      <c r="N40" s="93">
        <f t="shared" si="0"/>
        <v>12010392.1</v>
      </c>
      <c r="R40" s="101" t="s">
        <v>1609</v>
      </c>
      <c r="S40" s="97"/>
      <c r="T40" s="96">
        <v>8701.9934900000007</v>
      </c>
      <c r="U40" s="146"/>
      <c r="V40" s="146">
        <v>12658.6198848</v>
      </c>
      <c r="W40" s="146"/>
      <c r="X40" s="146">
        <v>9366.2888612000006</v>
      </c>
      <c r="Y40" s="149">
        <v>12366.288861200001</v>
      </c>
    </row>
    <row r="41" spans="2:25" ht="11.45" customHeight="1" x14ac:dyDescent="0.2">
      <c r="B41" s="101" t="s">
        <v>1714</v>
      </c>
      <c r="C41" s="97"/>
      <c r="D41" s="96"/>
      <c r="E41" s="146"/>
      <c r="F41" s="146"/>
      <c r="G41" s="146"/>
      <c r="H41" s="146"/>
      <c r="I41" s="149"/>
      <c r="L41" s="101" t="s">
        <v>1714</v>
      </c>
      <c r="M41" s="96"/>
      <c r="N41" s="93">
        <f t="shared" si="0"/>
        <v>0</v>
      </c>
      <c r="R41" s="101" t="s">
        <v>1714</v>
      </c>
      <c r="S41" s="97"/>
      <c r="T41" s="96"/>
      <c r="U41" s="146"/>
      <c r="V41" s="146"/>
      <c r="W41" s="146"/>
      <c r="X41" s="146"/>
      <c r="Y41" s="149"/>
    </row>
    <row r="42" spans="2:25" ht="11.45" customHeight="1" x14ac:dyDescent="0.2">
      <c r="B42" s="100" t="s">
        <v>1716</v>
      </c>
      <c r="C42" s="97"/>
      <c r="D42" s="96">
        <v>501.71226000000001</v>
      </c>
      <c r="E42" s="146">
        <v>0</v>
      </c>
      <c r="F42" s="146">
        <v>1584.15067</v>
      </c>
      <c r="G42" s="146">
        <v>0</v>
      </c>
      <c r="H42" s="146">
        <v>924.18</v>
      </c>
      <c r="I42" s="149">
        <v>1724.18</v>
      </c>
      <c r="L42" s="100" t="s">
        <v>1716</v>
      </c>
      <c r="M42" s="96">
        <v>501.71226000000001</v>
      </c>
      <c r="N42" s="93">
        <f t="shared" si="0"/>
        <v>501712.26</v>
      </c>
      <c r="O42" s="80">
        <v>501712.26000000007</v>
      </c>
      <c r="P42" s="80">
        <f>N42-O42</f>
        <v>0</v>
      </c>
      <c r="R42" s="100" t="s">
        <v>1716</v>
      </c>
      <c r="S42" s="97"/>
      <c r="T42" s="96">
        <v>658.02350000000001</v>
      </c>
      <c r="U42" s="146">
        <v>0</v>
      </c>
      <c r="V42" s="146">
        <v>601.71226000000001</v>
      </c>
      <c r="W42" s="146">
        <v>0</v>
      </c>
      <c r="X42" s="146">
        <v>624.17999999999995</v>
      </c>
      <c r="Y42" s="149">
        <v>624.17999999999995</v>
      </c>
    </row>
    <row r="43" spans="2:25" ht="11.45" customHeight="1" x14ac:dyDescent="0.2">
      <c r="B43" s="101" t="s">
        <v>1585</v>
      </c>
      <c r="C43" s="97"/>
      <c r="D43" s="96">
        <v>501.71226000000001</v>
      </c>
      <c r="E43" s="146"/>
      <c r="F43" s="146">
        <v>1584.15067</v>
      </c>
      <c r="G43" s="146"/>
      <c r="H43" s="146">
        <v>924.18</v>
      </c>
      <c r="I43" s="149">
        <v>1724.18</v>
      </c>
      <c r="L43" s="101" t="s">
        <v>1585</v>
      </c>
      <c r="M43" s="96">
        <v>501.71226000000001</v>
      </c>
      <c r="N43" s="93">
        <f t="shared" si="0"/>
        <v>501712.26</v>
      </c>
      <c r="R43" s="101" t="s">
        <v>1585</v>
      </c>
      <c r="S43" s="97"/>
      <c r="T43" s="96">
        <v>658.02350000000001</v>
      </c>
      <c r="U43" s="146"/>
      <c r="V43" s="146">
        <v>601.71226000000001</v>
      </c>
      <c r="W43" s="146"/>
      <c r="X43" s="146">
        <v>624.17999999999995</v>
      </c>
      <c r="Y43" s="149">
        <v>624.17999999999995</v>
      </c>
    </row>
    <row r="44" spans="2:25" ht="11.45" customHeight="1" x14ac:dyDescent="0.2">
      <c r="B44" s="101" t="s">
        <v>1717</v>
      </c>
      <c r="C44" s="97"/>
      <c r="D44" s="96"/>
      <c r="E44" s="146"/>
      <c r="F44" s="146">
        <v>0</v>
      </c>
      <c r="G44" s="146"/>
      <c r="H44" s="146"/>
      <c r="I44" s="149"/>
      <c r="L44" s="101" t="s">
        <v>1717</v>
      </c>
      <c r="M44" s="96"/>
      <c r="N44" s="93">
        <f t="shared" si="0"/>
        <v>0</v>
      </c>
      <c r="R44" s="101" t="s">
        <v>1717</v>
      </c>
      <c r="S44" s="97"/>
      <c r="T44" s="96"/>
      <c r="U44" s="146"/>
      <c r="V44" s="146"/>
      <c r="W44" s="146"/>
      <c r="X44" s="146"/>
      <c r="Y44" s="149"/>
    </row>
    <row r="45" spans="2:25" ht="11.45" customHeight="1" x14ac:dyDescent="0.2">
      <c r="B45" s="99" t="s">
        <v>1718</v>
      </c>
      <c r="C45" s="97"/>
      <c r="D45" s="96">
        <v>0.11287999999999999</v>
      </c>
      <c r="E45" s="146"/>
      <c r="F45" s="146">
        <v>0.11287999999999999</v>
      </c>
      <c r="G45" s="146"/>
      <c r="H45" s="146">
        <v>0.11287999999999999</v>
      </c>
      <c r="I45" s="149">
        <v>0.11287999999999999</v>
      </c>
      <c r="L45" s="99" t="s">
        <v>1718</v>
      </c>
      <c r="M45" s="96">
        <v>0.11287999999999999</v>
      </c>
      <c r="N45" s="93">
        <f t="shared" si="0"/>
        <v>112.88</v>
      </c>
      <c r="O45" s="80">
        <v>112.88</v>
      </c>
      <c r="P45" s="80">
        <f>N45-O45</f>
        <v>0</v>
      </c>
      <c r="R45" s="99" t="s">
        <v>1718</v>
      </c>
      <c r="S45" s="97"/>
      <c r="T45" s="96">
        <v>0.11287999999999999</v>
      </c>
      <c r="U45" s="146"/>
      <c r="V45" s="146"/>
      <c r="W45" s="146"/>
      <c r="X45" s="146"/>
      <c r="Y45" s="149"/>
    </row>
    <row r="46" spans="2:25" ht="11.45" customHeight="1" x14ac:dyDescent="0.2">
      <c r="B46" s="99" t="s">
        <v>1610</v>
      </c>
      <c r="C46" s="97"/>
      <c r="D46" s="96">
        <v>287.95488</v>
      </c>
      <c r="E46" s="146"/>
      <c r="F46" s="146">
        <v>615.55332580000004</v>
      </c>
      <c r="G46" s="146"/>
      <c r="H46" s="146">
        <v>1112.5255491</v>
      </c>
      <c r="I46" s="149">
        <v>1112.5255491</v>
      </c>
      <c r="L46" s="99" t="s">
        <v>1610</v>
      </c>
      <c r="M46" s="96">
        <v>287.95488</v>
      </c>
      <c r="N46" s="93">
        <f t="shared" si="0"/>
        <v>287954.88</v>
      </c>
      <c r="O46" s="80">
        <v>287954.87999999989</v>
      </c>
      <c r="P46" s="80">
        <f>N46-O46</f>
        <v>0</v>
      </c>
      <c r="R46" s="99" t="s">
        <v>1610</v>
      </c>
      <c r="S46" s="97"/>
      <c r="T46" s="96">
        <v>232.97811999999999</v>
      </c>
      <c r="U46" s="146"/>
      <c r="V46" s="146">
        <v>1498.2198599999999</v>
      </c>
      <c r="W46" s="146"/>
      <c r="X46" s="146">
        <v>1426.3511346</v>
      </c>
      <c r="Y46" s="149">
        <v>1426.3511346</v>
      </c>
    </row>
    <row r="47" spans="2:25" ht="11.45" customHeight="1" x14ac:dyDescent="0.2">
      <c r="B47" s="99" t="s">
        <v>1591</v>
      </c>
      <c r="C47" s="97"/>
      <c r="D47" s="96">
        <v>-68.280869999999993</v>
      </c>
      <c r="E47" s="146"/>
      <c r="F47" s="146">
        <v>-68.280869999999993</v>
      </c>
      <c r="G47" s="146"/>
      <c r="H47" s="146">
        <v>-68.280869999999993</v>
      </c>
      <c r="I47" s="149">
        <v>-68.280869999999993</v>
      </c>
      <c r="L47" s="99" t="s">
        <v>1591</v>
      </c>
      <c r="M47" s="96">
        <v>-68.280869999999993</v>
      </c>
      <c r="N47" s="93">
        <f t="shared" si="0"/>
        <v>-68280.87</v>
      </c>
      <c r="O47" s="80">
        <v>-68280.87</v>
      </c>
      <c r="P47" s="80">
        <f>N47-O47</f>
        <v>0</v>
      </c>
      <c r="R47" s="99" t="s">
        <v>1591</v>
      </c>
      <c r="S47" s="97"/>
      <c r="T47" s="96">
        <v>-69.68262</v>
      </c>
      <c r="U47" s="146"/>
      <c r="V47" s="146">
        <v>-68.280869999999993</v>
      </c>
      <c r="W47" s="146"/>
      <c r="X47" s="146">
        <v>-69.68262</v>
      </c>
      <c r="Y47" s="149">
        <v>-68.280869999999993</v>
      </c>
    </row>
    <row r="48" spans="2:25" ht="11.45" customHeight="1" x14ac:dyDescent="0.2">
      <c r="B48" s="102" t="s">
        <v>1719</v>
      </c>
      <c r="C48" s="98"/>
      <c r="D48" s="147">
        <v>40723.370519999997</v>
      </c>
      <c r="E48" s="148">
        <v>0</v>
      </c>
      <c r="F48" s="148">
        <v>57734.996230299992</v>
      </c>
      <c r="G48" s="147">
        <v>0</v>
      </c>
      <c r="H48" s="148">
        <v>44481.854369299996</v>
      </c>
      <c r="I48" s="150">
        <v>56113.294290599995</v>
      </c>
      <c r="L48" s="166" t="s">
        <v>1719</v>
      </c>
      <c r="M48" s="167">
        <v>40723.370519999997</v>
      </c>
      <c r="N48" s="93">
        <f t="shared" si="0"/>
        <v>40723370.519999996</v>
      </c>
      <c r="R48" s="102" t="s">
        <v>1719</v>
      </c>
      <c r="S48" s="98"/>
      <c r="T48" s="147">
        <v>31191.333680000003</v>
      </c>
      <c r="U48" s="148">
        <v>0</v>
      </c>
      <c r="V48" s="148">
        <v>44784.486287399995</v>
      </c>
      <c r="W48" s="147">
        <v>0</v>
      </c>
      <c r="X48" s="148">
        <v>33340.2930958</v>
      </c>
      <c r="Y48" s="150">
        <v>38505.872317900001</v>
      </c>
    </row>
    <row r="49" spans="2:25" ht="11.45" customHeight="1" x14ac:dyDescent="0.2">
      <c r="B49" s="99" t="s">
        <v>1720</v>
      </c>
      <c r="C49" s="97"/>
      <c r="D49" s="96"/>
      <c r="E49" s="146"/>
      <c r="F49" s="146"/>
      <c r="G49" s="146"/>
      <c r="H49" s="146"/>
      <c r="I49" s="149"/>
      <c r="L49" s="99" t="s">
        <v>1720</v>
      </c>
      <c r="M49" s="96"/>
      <c r="N49" s="93">
        <f t="shared" si="0"/>
        <v>0</v>
      </c>
      <c r="R49" s="99" t="s">
        <v>1720</v>
      </c>
      <c r="S49" s="97"/>
      <c r="T49" s="96"/>
      <c r="U49" s="146"/>
      <c r="V49" s="146"/>
      <c r="W49" s="146"/>
      <c r="X49" s="146"/>
      <c r="Y49" s="149"/>
    </row>
    <row r="50" spans="2:25" ht="11.45" customHeight="1" x14ac:dyDescent="0.2">
      <c r="B50" s="99" t="s">
        <v>1721</v>
      </c>
      <c r="C50" s="97"/>
      <c r="D50" s="96"/>
      <c r="E50" s="146"/>
      <c r="F50" s="146"/>
      <c r="G50" s="146"/>
      <c r="H50" s="146"/>
      <c r="I50" s="149"/>
      <c r="L50" s="99" t="s">
        <v>1721</v>
      </c>
      <c r="M50" s="96"/>
      <c r="N50" s="93">
        <f t="shared" si="0"/>
        <v>0</v>
      </c>
      <c r="R50" s="99" t="s">
        <v>1721</v>
      </c>
      <c r="S50" s="97"/>
      <c r="T50" s="96"/>
      <c r="U50" s="146"/>
      <c r="V50" s="146"/>
      <c r="W50" s="146"/>
      <c r="X50" s="146"/>
      <c r="Y50" s="149"/>
    </row>
    <row r="51" spans="2:25" ht="11.45" customHeight="1" x14ac:dyDescent="0.2">
      <c r="B51" s="99" t="s">
        <v>1722</v>
      </c>
      <c r="C51" s="97"/>
      <c r="D51" s="96">
        <v>14593.52967</v>
      </c>
      <c r="E51" s="146">
        <v>0</v>
      </c>
      <c r="F51" s="146">
        <v>15086.042891999998</v>
      </c>
      <c r="G51" s="146">
        <v>0</v>
      </c>
      <c r="H51" s="146">
        <v>12279.803516600001</v>
      </c>
      <c r="I51" s="149">
        <v>13139.6325674</v>
      </c>
      <c r="L51" s="99" t="s">
        <v>1722</v>
      </c>
      <c r="M51" s="96">
        <v>14593.52967</v>
      </c>
      <c r="N51" s="93">
        <f t="shared" si="0"/>
        <v>14593529.67</v>
      </c>
      <c r="O51" s="80">
        <v>14593529.669999998</v>
      </c>
      <c r="P51" s="80">
        <f>N51-O51</f>
        <v>0</v>
      </c>
      <c r="R51" s="99" t="s">
        <v>1722</v>
      </c>
      <c r="S51" s="97"/>
      <c r="T51" s="96">
        <v>13918.808009999999</v>
      </c>
      <c r="U51" s="146">
        <v>0</v>
      </c>
      <c r="V51" s="146">
        <v>9805.3996994000008</v>
      </c>
      <c r="W51" s="146">
        <v>0</v>
      </c>
      <c r="X51" s="146">
        <v>11321.033879999999</v>
      </c>
      <c r="Y51" s="149">
        <v>7678.5712827999996</v>
      </c>
    </row>
    <row r="52" spans="2:25" ht="11.45" customHeight="1" x14ac:dyDescent="0.2">
      <c r="B52" s="100" t="s">
        <v>1611</v>
      </c>
      <c r="C52" s="97"/>
      <c r="D52" s="96">
        <v>78.679230000000004</v>
      </c>
      <c r="E52" s="146"/>
      <c r="F52" s="146">
        <v>78.677430000000001</v>
      </c>
      <c r="G52" s="146"/>
      <c r="H52" s="146">
        <v>71.602350000000001</v>
      </c>
      <c r="I52" s="149">
        <v>71.601129999999998</v>
      </c>
      <c r="L52" s="100" t="s">
        <v>1611</v>
      </c>
      <c r="M52" s="96">
        <v>78.679230000000004</v>
      </c>
      <c r="N52" s="93">
        <f t="shared" si="0"/>
        <v>78679.23000000001</v>
      </c>
      <c r="O52" s="80">
        <v>78679.229999999981</v>
      </c>
      <c r="P52" s="80">
        <f>N52-O52</f>
        <v>0</v>
      </c>
      <c r="R52" s="100" t="s">
        <v>1611</v>
      </c>
      <c r="S52" s="97"/>
      <c r="T52" s="96">
        <v>64.526610000000005</v>
      </c>
      <c r="U52" s="146"/>
      <c r="V52" s="146">
        <v>64.525989999999993</v>
      </c>
      <c r="W52" s="146"/>
      <c r="X52" s="146">
        <v>57.449649999999998</v>
      </c>
      <c r="Y52" s="149">
        <v>57.449640000000002</v>
      </c>
    </row>
    <row r="53" spans="2:25" ht="11.45" customHeight="1" x14ac:dyDescent="0.2">
      <c r="B53" s="100" t="s">
        <v>1723</v>
      </c>
      <c r="C53" s="97"/>
      <c r="D53" s="96"/>
      <c r="E53" s="146"/>
      <c r="F53" s="146"/>
      <c r="G53" s="146"/>
      <c r="H53" s="146"/>
      <c r="I53" s="149"/>
      <c r="L53" s="100" t="s">
        <v>1723</v>
      </c>
      <c r="M53" s="96"/>
      <c r="N53" s="93">
        <f t="shared" si="0"/>
        <v>0</v>
      </c>
      <c r="R53" s="100" t="s">
        <v>1723</v>
      </c>
      <c r="S53" s="97"/>
      <c r="T53" s="96"/>
      <c r="U53" s="146"/>
      <c r="V53" s="146"/>
      <c r="W53" s="146"/>
      <c r="X53" s="146"/>
      <c r="Y53" s="149"/>
    </row>
    <row r="54" spans="2:25" ht="11.45" customHeight="1" x14ac:dyDescent="0.2">
      <c r="B54" s="100" t="s">
        <v>1588</v>
      </c>
      <c r="C54" s="97"/>
      <c r="D54" s="96">
        <v>1004.45527</v>
      </c>
      <c r="E54" s="146"/>
      <c r="F54" s="146">
        <v>938.13059390000001</v>
      </c>
      <c r="G54" s="146"/>
      <c r="H54" s="146">
        <v>1150.9877766</v>
      </c>
      <c r="I54" s="149">
        <v>1326.4214793000001</v>
      </c>
      <c r="L54" s="100" t="s">
        <v>1588</v>
      </c>
      <c r="M54" s="96">
        <v>1004.45527</v>
      </c>
      <c r="N54" s="93">
        <f t="shared" si="0"/>
        <v>1004455.27</v>
      </c>
      <c r="O54" s="80">
        <v>1004455.2699999997</v>
      </c>
      <c r="P54" s="80">
        <f>N54-O54</f>
        <v>0</v>
      </c>
      <c r="R54" s="100" t="s">
        <v>1588</v>
      </c>
      <c r="S54" s="97"/>
      <c r="T54" s="96">
        <v>1143.8054999999999</v>
      </c>
      <c r="U54" s="146"/>
      <c r="V54" s="146">
        <v>1025.9958687000001</v>
      </c>
      <c r="W54" s="146"/>
      <c r="X54" s="146">
        <v>1003.1875945</v>
      </c>
      <c r="Y54" s="149">
        <v>1078.2337934</v>
      </c>
    </row>
    <row r="55" spans="2:25" ht="11.45" customHeight="1" x14ac:dyDescent="0.2">
      <c r="B55" s="100" t="s">
        <v>1589</v>
      </c>
      <c r="C55" s="97"/>
      <c r="D55" s="96">
        <v>12580.24611</v>
      </c>
      <c r="E55" s="146"/>
      <c r="F55" s="146">
        <v>13120.978296699999</v>
      </c>
      <c r="G55" s="146"/>
      <c r="H55" s="146">
        <v>10433.36355</v>
      </c>
      <c r="I55" s="149">
        <v>11019.541753899999</v>
      </c>
      <c r="L55" s="100" t="s">
        <v>1589</v>
      </c>
      <c r="M55" s="96">
        <v>12580.24611</v>
      </c>
      <c r="N55" s="93">
        <f t="shared" si="0"/>
        <v>12580246.109999999</v>
      </c>
      <c r="O55" s="80">
        <v>12580246.109999998</v>
      </c>
      <c r="P55" s="80">
        <f>N55-O55</f>
        <v>0</v>
      </c>
      <c r="R55" s="100" t="s">
        <v>1589</v>
      </c>
      <c r="S55" s="97"/>
      <c r="T55" s="96">
        <v>11931.161539999999</v>
      </c>
      <c r="U55" s="146"/>
      <c r="V55" s="146">
        <v>8055.3775200999999</v>
      </c>
      <c r="W55" s="146"/>
      <c r="X55" s="146">
        <v>9559.9019754000001</v>
      </c>
      <c r="Y55" s="149">
        <v>6013.117741</v>
      </c>
    </row>
    <row r="56" spans="2:25" ht="11.45" customHeight="1" x14ac:dyDescent="0.2">
      <c r="B56" s="100" t="s">
        <v>1612</v>
      </c>
      <c r="C56" s="97"/>
      <c r="D56" s="96">
        <v>602.52323000000001</v>
      </c>
      <c r="E56" s="146"/>
      <c r="F56" s="146">
        <v>389.0643895</v>
      </c>
      <c r="G56" s="146"/>
      <c r="H56" s="146">
        <v>256.68029000000001</v>
      </c>
      <c r="I56" s="149">
        <v>198.36681350000001</v>
      </c>
      <c r="L56" s="100" t="s">
        <v>1612</v>
      </c>
      <c r="M56" s="96">
        <v>602.52323000000001</v>
      </c>
      <c r="N56" s="93">
        <f t="shared" si="0"/>
        <v>602523.23</v>
      </c>
      <c r="O56" s="80">
        <v>602523.23000000033</v>
      </c>
      <c r="P56" s="80">
        <f t="shared" ref="P56:P59" si="2">N56-O56</f>
        <v>0</v>
      </c>
      <c r="R56" s="100" t="s">
        <v>1612</v>
      </c>
      <c r="S56" s="97"/>
      <c r="T56" s="96">
        <v>508.89706000000001</v>
      </c>
      <c r="U56" s="146"/>
      <c r="V56" s="146">
        <v>372.04016000000001</v>
      </c>
      <c r="W56" s="146"/>
      <c r="X56" s="146">
        <v>360.89317</v>
      </c>
      <c r="Y56" s="149">
        <v>269.34964000000002</v>
      </c>
    </row>
    <row r="57" spans="2:25" ht="11.45" customHeight="1" x14ac:dyDescent="0.2">
      <c r="B57" s="100" t="s">
        <v>1590</v>
      </c>
      <c r="C57" s="97"/>
      <c r="D57" s="96">
        <v>0.24378</v>
      </c>
      <c r="E57" s="146"/>
      <c r="F57" s="146">
        <v>0.22715279999999999</v>
      </c>
      <c r="G57" s="146"/>
      <c r="H57" s="146">
        <v>-0.50922999999999996</v>
      </c>
      <c r="I57" s="149">
        <v>-1.6627200000000002E-2</v>
      </c>
      <c r="L57" s="100" t="s">
        <v>1590</v>
      </c>
      <c r="M57" s="96">
        <v>0.24378</v>
      </c>
      <c r="N57" s="93">
        <f t="shared" si="0"/>
        <v>243.78</v>
      </c>
      <c r="O57" s="80">
        <v>243.78000000000065</v>
      </c>
      <c r="P57" s="80">
        <f t="shared" si="2"/>
        <v>-6.5369931689929217E-13</v>
      </c>
      <c r="R57" s="100" t="s">
        <v>1590</v>
      </c>
      <c r="S57" s="97"/>
      <c r="T57" s="96"/>
      <c r="U57" s="146"/>
      <c r="V57" s="146">
        <v>-1.1939999999999999E-2</v>
      </c>
      <c r="W57" s="146"/>
      <c r="X57" s="146"/>
      <c r="Y57" s="149">
        <v>-1.1939999999999999E-2</v>
      </c>
    </row>
    <row r="58" spans="2:25" ht="11.45" customHeight="1" x14ac:dyDescent="0.2">
      <c r="B58" s="100" t="s">
        <v>1613</v>
      </c>
      <c r="C58" s="97"/>
      <c r="D58" s="96">
        <v>246.92738</v>
      </c>
      <c r="E58" s="146"/>
      <c r="F58" s="146">
        <v>417.86613</v>
      </c>
      <c r="G58" s="146"/>
      <c r="H58" s="146">
        <v>207.92847</v>
      </c>
      <c r="I58" s="149">
        <v>350.83141999999998</v>
      </c>
      <c r="L58" s="100" t="s">
        <v>1613</v>
      </c>
      <c r="M58" s="96">
        <v>246.92738</v>
      </c>
      <c r="N58" s="93">
        <f t="shared" si="0"/>
        <v>246927.38</v>
      </c>
      <c r="O58" s="80">
        <v>246927.38000000041</v>
      </c>
      <c r="P58" s="80">
        <f t="shared" si="2"/>
        <v>-4.0745362639427185E-10</v>
      </c>
      <c r="R58" s="100" t="s">
        <v>1613</v>
      </c>
      <c r="S58" s="97"/>
      <c r="T58" s="96">
        <v>174.52842999999999</v>
      </c>
      <c r="U58" s="146"/>
      <c r="V58" s="146">
        <v>217.55966000000001</v>
      </c>
      <c r="W58" s="146"/>
      <c r="X58" s="146">
        <v>218.38138000000001</v>
      </c>
      <c r="Y58" s="149">
        <v>189.50852</v>
      </c>
    </row>
    <row r="59" spans="2:25" ht="11.45" customHeight="1" x14ac:dyDescent="0.2">
      <c r="B59" s="100" t="s">
        <v>1584</v>
      </c>
      <c r="C59" s="97"/>
      <c r="D59" s="96">
        <v>80.454669999999993</v>
      </c>
      <c r="E59" s="146"/>
      <c r="F59" s="146">
        <v>141.09889910000001</v>
      </c>
      <c r="G59" s="146"/>
      <c r="H59" s="146">
        <v>159.75031000000001</v>
      </c>
      <c r="I59" s="149">
        <v>172.8865979</v>
      </c>
      <c r="L59" s="100" t="s">
        <v>1584</v>
      </c>
      <c r="M59" s="96">
        <v>80.454669999999993</v>
      </c>
      <c r="N59" s="93">
        <f t="shared" si="0"/>
        <v>80454.67</v>
      </c>
      <c r="O59" s="80">
        <v>80454.669999999955</v>
      </c>
      <c r="P59" s="80">
        <f t="shared" si="2"/>
        <v>0</v>
      </c>
      <c r="R59" s="100" t="s">
        <v>1584</v>
      </c>
      <c r="S59" s="97"/>
      <c r="T59" s="96">
        <v>95.888869999999997</v>
      </c>
      <c r="U59" s="146"/>
      <c r="V59" s="146">
        <v>69.912440599999996</v>
      </c>
      <c r="W59" s="146"/>
      <c r="X59" s="146">
        <v>121.2201101</v>
      </c>
      <c r="Y59" s="149">
        <v>70.923888399999996</v>
      </c>
    </row>
    <row r="60" spans="2:25" ht="11.45" customHeight="1" x14ac:dyDescent="0.2">
      <c r="B60" s="99" t="s">
        <v>1724</v>
      </c>
      <c r="C60" s="97"/>
      <c r="D60" s="96"/>
      <c r="E60" s="146"/>
      <c r="F60" s="146"/>
      <c r="G60" s="146"/>
      <c r="H60" s="146"/>
      <c r="I60" s="149"/>
      <c r="L60" s="99" t="s">
        <v>1724</v>
      </c>
      <c r="M60" s="96"/>
      <c r="N60" s="93">
        <f t="shared" si="0"/>
        <v>0</v>
      </c>
      <c r="R60" s="99" t="s">
        <v>1724</v>
      </c>
      <c r="S60" s="97"/>
      <c r="T60" s="96"/>
      <c r="U60" s="146"/>
      <c r="V60" s="146"/>
      <c r="W60" s="146"/>
      <c r="X60" s="146"/>
      <c r="Y60" s="149"/>
    </row>
    <row r="61" spans="2:25" ht="11.45" customHeight="1" x14ac:dyDescent="0.2">
      <c r="B61" s="99" t="s">
        <v>1725</v>
      </c>
      <c r="C61" s="97"/>
      <c r="D61" s="96"/>
      <c r="E61" s="146"/>
      <c r="F61" s="146"/>
      <c r="G61" s="146"/>
      <c r="H61" s="146"/>
      <c r="I61" s="149"/>
      <c r="L61" s="99" t="s">
        <v>1725</v>
      </c>
      <c r="M61" s="96"/>
      <c r="N61" s="93">
        <f t="shared" si="0"/>
        <v>0</v>
      </c>
      <c r="R61" s="99" t="s">
        <v>1725</v>
      </c>
      <c r="S61" s="97"/>
      <c r="T61" s="96"/>
      <c r="U61" s="146"/>
      <c r="V61" s="146"/>
      <c r="W61" s="146"/>
      <c r="X61" s="146"/>
      <c r="Y61" s="149"/>
    </row>
    <row r="62" spans="2:25" ht="11.45" customHeight="1" x14ac:dyDescent="0.2">
      <c r="B62" s="99" t="s">
        <v>1726</v>
      </c>
      <c r="C62" s="97"/>
      <c r="D62" s="96"/>
      <c r="E62" s="146"/>
      <c r="F62" s="146"/>
      <c r="G62" s="146"/>
      <c r="H62" s="146"/>
      <c r="I62" s="149"/>
      <c r="L62" s="99" t="s">
        <v>1726</v>
      </c>
      <c r="M62" s="96"/>
      <c r="N62" s="93">
        <f t="shared" si="0"/>
        <v>0</v>
      </c>
      <c r="R62" s="99" t="s">
        <v>1726</v>
      </c>
      <c r="S62" s="97"/>
      <c r="T62" s="96"/>
      <c r="U62" s="146"/>
      <c r="V62" s="146"/>
      <c r="W62" s="146"/>
      <c r="X62" s="146"/>
      <c r="Y62" s="149"/>
    </row>
    <row r="63" spans="2:25" ht="11.45" customHeight="1" x14ac:dyDescent="0.2">
      <c r="B63" s="99" t="s">
        <v>1627</v>
      </c>
      <c r="C63" s="97"/>
      <c r="D63" s="96">
        <v>917.44919000000004</v>
      </c>
      <c r="E63" s="146"/>
      <c r="F63" s="146">
        <v>873.88108999999997</v>
      </c>
      <c r="G63" s="146"/>
      <c r="H63" s="146">
        <v>842.4</v>
      </c>
      <c r="I63" s="149">
        <v>842.4</v>
      </c>
      <c r="L63" s="99" t="s">
        <v>1627</v>
      </c>
      <c r="M63" s="96">
        <v>917.44919000000004</v>
      </c>
      <c r="N63" s="93">
        <f t="shared" si="0"/>
        <v>917449.19000000006</v>
      </c>
      <c r="O63" s="80">
        <v>917449.19000000041</v>
      </c>
      <c r="P63" s="80">
        <f t="shared" ref="P63" si="3">N63-O63</f>
        <v>0</v>
      </c>
      <c r="R63" s="99" t="s">
        <v>1627</v>
      </c>
      <c r="S63" s="97"/>
      <c r="T63" s="96">
        <v>715.67142000000001</v>
      </c>
      <c r="U63" s="146"/>
      <c r="V63" s="146"/>
      <c r="W63" s="146"/>
      <c r="X63" s="146"/>
      <c r="Y63" s="149"/>
    </row>
    <row r="64" spans="2:25" ht="11.45" customHeight="1" x14ac:dyDescent="0.2">
      <c r="B64" s="99" t="s">
        <v>1727</v>
      </c>
      <c r="C64" s="97"/>
      <c r="D64" s="96"/>
      <c r="E64" s="146"/>
      <c r="F64" s="146"/>
      <c r="G64" s="146"/>
      <c r="H64" s="146"/>
      <c r="I64" s="149"/>
      <c r="L64" s="99" t="s">
        <v>1727</v>
      </c>
      <c r="M64" s="96"/>
      <c r="N64" s="93">
        <f t="shared" si="0"/>
        <v>0</v>
      </c>
      <c r="R64" s="99" t="s">
        <v>1727</v>
      </c>
      <c r="S64" s="97"/>
      <c r="T64" s="96"/>
      <c r="U64" s="146"/>
      <c r="V64" s="146"/>
      <c r="W64" s="146"/>
      <c r="X64" s="146"/>
      <c r="Y64" s="149"/>
    </row>
    <row r="65" spans="2:25" ht="11.45" customHeight="1" x14ac:dyDescent="0.2">
      <c r="B65" s="102" t="s">
        <v>1728</v>
      </c>
      <c r="C65" s="98"/>
      <c r="D65" s="147">
        <v>15510.978859999999</v>
      </c>
      <c r="E65" s="148">
        <v>0</v>
      </c>
      <c r="F65" s="148">
        <v>15959.923981999998</v>
      </c>
      <c r="G65" s="147">
        <v>0</v>
      </c>
      <c r="H65" s="148">
        <v>13122.203516600001</v>
      </c>
      <c r="I65" s="150">
        <v>13982.0325674</v>
      </c>
      <c r="L65" s="166" t="s">
        <v>1728</v>
      </c>
      <c r="M65" s="167">
        <v>15510.978859999999</v>
      </c>
      <c r="N65" s="168">
        <f t="shared" si="0"/>
        <v>15510978.859999999</v>
      </c>
      <c r="R65" s="102" t="s">
        <v>1728</v>
      </c>
      <c r="S65" s="98"/>
      <c r="T65" s="147">
        <v>14634.479429999999</v>
      </c>
      <c r="U65" s="148">
        <v>0</v>
      </c>
      <c r="V65" s="148">
        <v>9805.3996994000008</v>
      </c>
      <c r="W65" s="147">
        <v>0</v>
      </c>
      <c r="X65" s="148">
        <v>11321.033879999999</v>
      </c>
      <c r="Y65" s="150">
        <v>7678.5712827999996</v>
      </c>
    </row>
    <row r="66" spans="2:25" ht="11.45" customHeight="1" x14ac:dyDescent="0.2">
      <c r="B66" s="102" t="s">
        <v>1729</v>
      </c>
      <c r="C66" s="98"/>
      <c r="D66" s="147">
        <v>56234.34938</v>
      </c>
      <c r="E66" s="148">
        <v>0</v>
      </c>
      <c r="F66" s="148">
        <v>73694.920212299985</v>
      </c>
      <c r="G66" s="147">
        <v>0</v>
      </c>
      <c r="H66" s="148">
        <v>57604.057885899994</v>
      </c>
      <c r="I66" s="150">
        <v>70095.326858</v>
      </c>
      <c r="L66" s="166" t="s">
        <v>1729</v>
      </c>
      <c r="M66" s="167">
        <v>56234.34938</v>
      </c>
      <c r="N66" s="168">
        <f t="shared" si="0"/>
        <v>56234349.380000003</v>
      </c>
      <c r="R66" s="102" t="s">
        <v>1729</v>
      </c>
      <c r="S66" s="98"/>
      <c r="T66" s="147">
        <v>45825.813110000003</v>
      </c>
      <c r="U66" s="148">
        <v>0</v>
      </c>
      <c r="V66" s="148">
        <v>54589.8859868</v>
      </c>
      <c r="W66" s="147">
        <v>0</v>
      </c>
      <c r="X66" s="148">
        <v>44661.326975799995</v>
      </c>
      <c r="Y66" s="150">
        <v>46184.443600700004</v>
      </c>
    </row>
    <row r="67" spans="2:25" ht="11.25" x14ac:dyDescent="0.2">
      <c r="B67" s="99" t="s">
        <v>1730</v>
      </c>
      <c r="C67" s="97"/>
      <c r="D67" s="96"/>
      <c r="E67" s="146"/>
      <c r="F67" s="146"/>
      <c r="G67" s="146"/>
      <c r="H67" s="146"/>
      <c r="I67" s="149"/>
      <c r="L67" s="99" t="s">
        <v>1730</v>
      </c>
      <c r="M67" s="96"/>
      <c r="N67" s="93">
        <f t="shared" si="0"/>
        <v>0</v>
      </c>
      <c r="R67" s="99" t="s">
        <v>1730</v>
      </c>
      <c r="S67" s="97"/>
      <c r="T67" s="96"/>
      <c r="U67" s="146"/>
      <c r="V67" s="146"/>
      <c r="W67" s="146"/>
      <c r="X67" s="146"/>
      <c r="Y67" s="149"/>
    </row>
    <row r="68" spans="2:25" ht="11.25" x14ac:dyDescent="0.2">
      <c r="B68" s="99" t="s">
        <v>1731</v>
      </c>
      <c r="C68" s="97"/>
      <c r="D68" s="96">
        <v>173.64738</v>
      </c>
      <c r="E68" s="146">
        <v>0</v>
      </c>
      <c r="F68" s="146">
        <v>76.140050000000016</v>
      </c>
      <c r="G68" s="146">
        <v>0</v>
      </c>
      <c r="H68" s="146">
        <v>239.76999999999998</v>
      </c>
      <c r="I68" s="149">
        <v>239.76999999999998</v>
      </c>
      <c r="L68" s="99" t="s">
        <v>1731</v>
      </c>
      <c r="M68" s="96">
        <v>173.64738</v>
      </c>
      <c r="N68" s="93">
        <f t="shared" si="0"/>
        <v>173647.38</v>
      </c>
      <c r="R68" s="99" t="s">
        <v>1731</v>
      </c>
      <c r="S68" s="97"/>
      <c r="T68" s="96">
        <v>-96.804679999999991</v>
      </c>
      <c r="U68" s="146">
        <v>0</v>
      </c>
      <c r="V68" s="146">
        <v>486.73581999999999</v>
      </c>
      <c r="W68" s="146">
        <v>0</v>
      </c>
      <c r="X68" s="146">
        <v>129.77000000000001</v>
      </c>
      <c r="Y68" s="149">
        <v>369.77</v>
      </c>
    </row>
    <row r="69" spans="2:25" ht="11.45" customHeight="1" x14ac:dyDescent="0.2">
      <c r="B69" s="100" t="s">
        <v>1732</v>
      </c>
      <c r="C69" s="97"/>
      <c r="D69" s="96">
        <v>-156.54422</v>
      </c>
      <c r="E69" s="146"/>
      <c r="F69" s="146">
        <v>-79.498949999999994</v>
      </c>
      <c r="G69" s="146"/>
      <c r="H69" s="146">
        <v>94.55</v>
      </c>
      <c r="I69" s="149">
        <v>94.55</v>
      </c>
      <c r="L69" s="171" t="s">
        <v>1732</v>
      </c>
      <c r="M69" s="96">
        <v>-156.54422</v>
      </c>
      <c r="N69" s="93">
        <f t="shared" ref="N69:N101" si="4">M69*1000</f>
        <v>-156544.22</v>
      </c>
      <c r="R69" s="100" t="s">
        <v>1732</v>
      </c>
      <c r="S69" s="97"/>
      <c r="T69" s="96">
        <v>-154.39232999999999</v>
      </c>
      <c r="U69" s="146"/>
      <c r="V69" s="146">
        <v>156.54422</v>
      </c>
      <c r="W69" s="146"/>
      <c r="X69" s="146">
        <v>24.55</v>
      </c>
      <c r="Y69" s="149">
        <v>124.55</v>
      </c>
    </row>
    <row r="70" spans="2:25" s="179" customFormat="1" ht="11.25" x14ac:dyDescent="0.2">
      <c r="B70" s="174" t="s">
        <v>1733</v>
      </c>
      <c r="C70" s="175"/>
      <c r="D70" s="176">
        <v>330.19159999999999</v>
      </c>
      <c r="E70" s="177"/>
      <c r="F70" s="177">
        <v>155.63900000000001</v>
      </c>
      <c r="G70" s="177"/>
      <c r="H70" s="177">
        <v>145.22</v>
      </c>
      <c r="I70" s="178">
        <v>145.22</v>
      </c>
      <c r="L70" s="174" t="s">
        <v>1733</v>
      </c>
      <c r="M70" s="176">
        <v>330.19159999999999</v>
      </c>
      <c r="N70" s="180">
        <f t="shared" si="4"/>
        <v>330191.59999999998</v>
      </c>
      <c r="O70" s="181">
        <v>-330558.96000000008</v>
      </c>
      <c r="P70" s="181">
        <f t="shared" ref="P70:P82" si="5">N70+O70</f>
        <v>-367.36000000010245</v>
      </c>
      <c r="R70" s="100" t="s">
        <v>1733</v>
      </c>
      <c r="S70" s="97"/>
      <c r="T70" s="96">
        <v>57.587649999999996</v>
      </c>
      <c r="U70" s="146"/>
      <c r="V70" s="146">
        <v>330.19159999999999</v>
      </c>
      <c r="W70" s="146"/>
      <c r="X70" s="146">
        <v>105.22</v>
      </c>
      <c r="Y70" s="149">
        <v>245.22</v>
      </c>
    </row>
    <row r="71" spans="2:25" ht="11.45" customHeight="1" x14ac:dyDescent="0.2">
      <c r="B71" s="99" t="s">
        <v>1734</v>
      </c>
      <c r="C71" s="97"/>
      <c r="D71" s="96">
        <v>5312.4578000000001</v>
      </c>
      <c r="E71" s="146"/>
      <c r="F71" s="146">
        <v>5020.5557900000003</v>
      </c>
      <c r="G71" s="146"/>
      <c r="H71" s="146">
        <v>5704.11</v>
      </c>
      <c r="I71" s="149">
        <v>4704.1099999999997</v>
      </c>
      <c r="L71" s="99" t="s">
        <v>1734</v>
      </c>
      <c r="M71" s="96">
        <v>5312.4578000000001</v>
      </c>
      <c r="N71" s="93">
        <f t="shared" si="4"/>
        <v>5312457.8</v>
      </c>
      <c r="O71" s="80">
        <v>-5312457.8</v>
      </c>
      <c r="P71" s="80">
        <f t="shared" si="5"/>
        <v>0</v>
      </c>
      <c r="R71" s="99" t="s">
        <v>1734</v>
      </c>
      <c r="S71" s="97"/>
      <c r="T71" s="96">
        <v>-574.94336999999996</v>
      </c>
      <c r="U71" s="146"/>
      <c r="V71" s="146">
        <v>5312.4578000000001</v>
      </c>
      <c r="W71" s="146"/>
      <c r="X71" s="146">
        <v>-291.54707999999999</v>
      </c>
      <c r="Y71" s="149">
        <v>5304.11</v>
      </c>
    </row>
    <row r="72" spans="2:25" ht="11.45" customHeight="1" x14ac:dyDescent="0.2">
      <c r="B72" s="99" t="s">
        <v>1735</v>
      </c>
      <c r="C72" s="97"/>
      <c r="D72" s="96">
        <v>-3.92049</v>
      </c>
      <c r="E72" s="146"/>
      <c r="F72" s="146">
        <v>-6.1055200000000003</v>
      </c>
      <c r="G72" s="146"/>
      <c r="H72" s="146">
        <v>-7.17</v>
      </c>
      <c r="I72" s="149">
        <v>-7.17</v>
      </c>
      <c r="L72" s="99" t="s">
        <v>1735</v>
      </c>
      <c r="M72" s="96">
        <v>-3.92049</v>
      </c>
      <c r="N72" s="93">
        <f t="shared" si="4"/>
        <v>-3920.4900000000002</v>
      </c>
      <c r="O72" s="80">
        <v>3920.4900000000007</v>
      </c>
      <c r="P72" s="80">
        <f t="shared" si="5"/>
        <v>0</v>
      </c>
      <c r="R72" s="99" t="s">
        <v>1735</v>
      </c>
      <c r="S72" s="97"/>
      <c r="T72" s="96">
        <v>20.604769999999998</v>
      </c>
      <c r="U72" s="146"/>
      <c r="V72" s="146">
        <v>-3.92049</v>
      </c>
      <c r="W72" s="146"/>
      <c r="X72" s="146">
        <v>5.17</v>
      </c>
      <c r="Y72" s="149">
        <v>-5.17</v>
      </c>
    </row>
    <row r="73" spans="2:25" ht="11.45" customHeight="1" x14ac:dyDescent="0.2">
      <c r="B73" s="99" t="s">
        <v>1736</v>
      </c>
      <c r="C73" s="97"/>
      <c r="D73" s="96">
        <v>2713.5821299999998</v>
      </c>
      <c r="E73" s="146">
        <v>0</v>
      </c>
      <c r="F73" s="146">
        <v>3127.44281</v>
      </c>
      <c r="G73" s="146">
        <v>0</v>
      </c>
      <c r="H73" s="146">
        <v>2930.7299999999996</v>
      </c>
      <c r="I73" s="149">
        <v>2930.7299999999996</v>
      </c>
      <c r="L73" s="99" t="s">
        <v>1736</v>
      </c>
      <c r="M73" s="96">
        <v>2713.5821299999998</v>
      </c>
      <c r="N73" s="93">
        <f t="shared" si="4"/>
        <v>2713582.13</v>
      </c>
      <c r="O73" s="80">
        <v>-2542944.9799999995</v>
      </c>
      <c r="P73" s="80">
        <f t="shared" si="5"/>
        <v>170637.15000000037</v>
      </c>
      <c r="R73" s="99" t="s">
        <v>1736</v>
      </c>
      <c r="S73" s="97"/>
      <c r="T73" s="96">
        <v>3940.7069000000001</v>
      </c>
      <c r="U73" s="146">
        <v>0</v>
      </c>
      <c r="V73" s="146">
        <v>2755.1271499999998</v>
      </c>
      <c r="W73" s="146">
        <v>0</v>
      </c>
      <c r="X73" s="146">
        <v>2980.4996000000001</v>
      </c>
      <c r="Y73" s="149">
        <v>3044.7395999999999</v>
      </c>
    </row>
    <row r="74" spans="2:25" ht="11.45" customHeight="1" x14ac:dyDescent="0.2">
      <c r="B74" s="100" t="s">
        <v>1737</v>
      </c>
      <c r="C74" s="97"/>
      <c r="D74" s="96">
        <v>-20.27251</v>
      </c>
      <c r="E74" s="146"/>
      <c r="F74" s="146">
        <v>27.49973</v>
      </c>
      <c r="G74" s="146"/>
      <c r="H74" s="146">
        <v>22.12</v>
      </c>
      <c r="I74" s="149">
        <v>22.12</v>
      </c>
      <c r="L74" s="100" t="s">
        <v>1737</v>
      </c>
      <c r="M74" s="96">
        <v>-20.27251</v>
      </c>
      <c r="N74" s="93">
        <f t="shared" si="4"/>
        <v>-20272.510000000002</v>
      </c>
      <c r="O74" s="80">
        <v>20272.509999999991</v>
      </c>
      <c r="P74" s="80">
        <f t="shared" si="5"/>
        <v>0</v>
      </c>
      <c r="R74" s="100" t="s">
        <v>1737</v>
      </c>
      <c r="S74" s="97"/>
      <c r="T74" s="96">
        <v>-32.606630000000003</v>
      </c>
      <c r="U74" s="146"/>
      <c r="V74" s="146">
        <v>21.27251</v>
      </c>
      <c r="W74" s="146"/>
      <c r="X74" s="146">
        <v>-32.119999999999997</v>
      </c>
      <c r="Y74" s="149">
        <v>32.119999999999997</v>
      </c>
    </row>
    <row r="75" spans="2:25" ht="11.45" customHeight="1" x14ac:dyDescent="0.2">
      <c r="B75" s="100" t="s">
        <v>1738</v>
      </c>
      <c r="C75" s="97"/>
      <c r="D75" s="96">
        <v>1773.42554</v>
      </c>
      <c r="E75" s="146"/>
      <c r="F75" s="146">
        <v>1934.9233200000001</v>
      </c>
      <c r="G75" s="146"/>
      <c r="H75" s="146">
        <v>1790.11</v>
      </c>
      <c r="I75" s="149">
        <v>1790.11</v>
      </c>
      <c r="L75" s="100" t="s">
        <v>1738</v>
      </c>
      <c r="M75" s="96">
        <v>1773.42554</v>
      </c>
      <c r="N75" s="93">
        <f t="shared" si="4"/>
        <v>1773425.54</v>
      </c>
      <c r="O75" s="80">
        <v>-1773425.5399999998</v>
      </c>
      <c r="P75" s="80">
        <f t="shared" si="5"/>
        <v>0</v>
      </c>
      <c r="R75" s="100" t="s">
        <v>1738</v>
      </c>
      <c r="S75" s="97"/>
      <c r="T75" s="96">
        <v>1743.8251299999999</v>
      </c>
      <c r="U75" s="146"/>
      <c r="V75" s="146">
        <v>1773.42554</v>
      </c>
      <c r="W75" s="146"/>
      <c r="X75" s="146">
        <v>1890.11</v>
      </c>
      <c r="Y75" s="149">
        <v>1890.11</v>
      </c>
    </row>
    <row r="76" spans="2:25" ht="11.45" customHeight="1" x14ac:dyDescent="0.2">
      <c r="B76" s="100" t="s">
        <v>1739</v>
      </c>
      <c r="C76" s="97"/>
      <c r="D76" s="96">
        <v>-64.570400000000006</v>
      </c>
      <c r="E76" s="146"/>
      <c r="F76" s="146">
        <v>0.80625000000000002</v>
      </c>
      <c r="G76" s="146"/>
      <c r="H76" s="146">
        <v>1.42</v>
      </c>
      <c r="I76" s="149">
        <v>1.42</v>
      </c>
      <c r="L76" s="100" t="s">
        <v>1739</v>
      </c>
      <c r="M76" s="96">
        <v>-64.570400000000006</v>
      </c>
      <c r="N76" s="93">
        <f t="shared" si="4"/>
        <v>-64570.400000000009</v>
      </c>
      <c r="O76" s="80">
        <v>64570.400000000016</v>
      </c>
      <c r="P76" s="80">
        <f t="shared" si="5"/>
        <v>0</v>
      </c>
      <c r="R76" s="100" t="s">
        <v>1739</v>
      </c>
      <c r="S76" s="97"/>
      <c r="T76" s="96">
        <v>-35.383920000000003</v>
      </c>
      <c r="U76" s="146"/>
      <c r="V76" s="146">
        <v>-64.570400000000006</v>
      </c>
      <c r="W76" s="146"/>
      <c r="X76" s="146">
        <v>-54.570399999999999</v>
      </c>
      <c r="Y76" s="149">
        <v>-54.570399999999999</v>
      </c>
    </row>
    <row r="77" spans="2:25" ht="11.45" customHeight="1" x14ac:dyDescent="0.2">
      <c r="B77" s="100" t="s">
        <v>1740</v>
      </c>
      <c r="C77" s="97"/>
      <c r="D77" s="96">
        <v>946.65900999999997</v>
      </c>
      <c r="E77" s="146"/>
      <c r="F77" s="146">
        <v>946.26586999999995</v>
      </c>
      <c r="G77" s="146"/>
      <c r="H77" s="146">
        <v>869.09</v>
      </c>
      <c r="I77" s="149">
        <v>869.09</v>
      </c>
      <c r="L77" s="100" t="s">
        <v>1740</v>
      </c>
      <c r="M77" s="96">
        <v>946.65900999999997</v>
      </c>
      <c r="N77" s="93">
        <f t="shared" si="4"/>
        <v>946659.01</v>
      </c>
      <c r="O77" s="80">
        <v>-946659.01</v>
      </c>
      <c r="P77" s="80">
        <f t="shared" si="5"/>
        <v>0</v>
      </c>
      <c r="R77" s="100" t="s">
        <v>1740</v>
      </c>
      <c r="S77" s="97"/>
      <c r="T77" s="96">
        <v>918.95758000000001</v>
      </c>
      <c r="U77" s="146"/>
      <c r="V77" s="146">
        <v>946.65900999999997</v>
      </c>
      <c r="W77" s="146"/>
      <c r="X77" s="146">
        <v>929.09</v>
      </c>
      <c r="Y77" s="149">
        <v>929.09</v>
      </c>
    </row>
    <row r="78" spans="2:25" ht="11.45" customHeight="1" x14ac:dyDescent="0.2">
      <c r="B78" s="100" t="s">
        <v>1741</v>
      </c>
      <c r="C78" s="97"/>
      <c r="D78" s="96">
        <v>78.340490000000003</v>
      </c>
      <c r="E78" s="146"/>
      <c r="F78" s="146">
        <v>217.94764000000001</v>
      </c>
      <c r="G78" s="146"/>
      <c r="H78" s="146">
        <v>247.99</v>
      </c>
      <c r="I78" s="149">
        <v>247.99</v>
      </c>
      <c r="L78" s="171" t="s">
        <v>1741</v>
      </c>
      <c r="M78" s="96">
        <v>78.340490000000003</v>
      </c>
      <c r="N78" s="93">
        <f t="shared" si="4"/>
        <v>78340.490000000005</v>
      </c>
      <c r="O78" s="164">
        <v>92296.659999999945</v>
      </c>
      <c r="P78" s="80">
        <f t="shared" si="5"/>
        <v>170637.14999999997</v>
      </c>
      <c r="R78" s="100" t="s">
        <v>1741</v>
      </c>
      <c r="S78" s="97"/>
      <c r="T78" s="96">
        <v>1345.9147399999999</v>
      </c>
      <c r="U78" s="146"/>
      <c r="V78" s="146">
        <v>78.340490000000003</v>
      </c>
      <c r="W78" s="146"/>
      <c r="X78" s="146">
        <v>247.99</v>
      </c>
      <c r="Y78" s="149">
        <v>247.99</v>
      </c>
    </row>
    <row r="79" spans="2:25" ht="11.45" customHeight="1" x14ac:dyDescent="0.2">
      <c r="B79" s="99" t="s">
        <v>1601</v>
      </c>
      <c r="C79" s="97"/>
      <c r="D79" s="96">
        <v>1035.16129</v>
      </c>
      <c r="E79" s="146">
        <v>0</v>
      </c>
      <c r="F79" s="146">
        <v>1434.0514235000001</v>
      </c>
      <c r="G79" s="146">
        <v>0</v>
      </c>
      <c r="H79" s="146">
        <v>1023.835994</v>
      </c>
      <c r="I79" s="149">
        <v>1463.4961346999999</v>
      </c>
      <c r="L79" s="99" t="s">
        <v>1601</v>
      </c>
      <c r="M79" s="96">
        <v>1035.16129</v>
      </c>
      <c r="N79" s="93">
        <f t="shared" si="4"/>
        <v>1035161.29</v>
      </c>
      <c r="O79" s="80">
        <v>-1035161.2899999999</v>
      </c>
      <c r="P79" s="80">
        <f t="shared" si="5"/>
        <v>0</v>
      </c>
      <c r="R79" s="99" t="s">
        <v>1601</v>
      </c>
      <c r="S79" s="97"/>
      <c r="T79" s="96">
        <v>687.45866000000001</v>
      </c>
      <c r="U79" s="146">
        <v>0</v>
      </c>
      <c r="V79" s="146">
        <v>1035.16129</v>
      </c>
      <c r="W79" s="146">
        <v>0</v>
      </c>
      <c r="X79" s="146">
        <v>1023.835994</v>
      </c>
      <c r="Y79" s="149">
        <v>1023.835994</v>
      </c>
    </row>
    <row r="80" spans="2:25" ht="11.45" customHeight="1" x14ac:dyDescent="0.2">
      <c r="B80" s="100" t="s">
        <v>1629</v>
      </c>
      <c r="C80" s="97"/>
      <c r="D80" s="96">
        <v>935.5684</v>
      </c>
      <c r="E80" s="146"/>
      <c r="F80" s="146">
        <v>1307.4061635</v>
      </c>
      <c r="G80" s="146"/>
      <c r="H80" s="146">
        <v>891.21599400000002</v>
      </c>
      <c r="I80" s="149">
        <v>1330.8761347</v>
      </c>
      <c r="L80" s="100" t="s">
        <v>1629</v>
      </c>
      <c r="M80" s="96">
        <v>935.5684</v>
      </c>
      <c r="N80" s="93">
        <f t="shared" si="4"/>
        <v>935568.4</v>
      </c>
      <c r="O80" s="80">
        <v>-935568.39999999991</v>
      </c>
      <c r="P80" s="80">
        <f t="shared" si="5"/>
        <v>0</v>
      </c>
      <c r="R80" s="100" t="s">
        <v>1629</v>
      </c>
      <c r="S80" s="97"/>
      <c r="T80" s="96">
        <v>584.09945000000005</v>
      </c>
      <c r="U80" s="146"/>
      <c r="V80" s="146">
        <v>935.5684</v>
      </c>
      <c r="W80" s="146"/>
      <c r="X80" s="146">
        <v>891.21599400000002</v>
      </c>
      <c r="Y80" s="149">
        <v>891.21599400000002</v>
      </c>
    </row>
    <row r="81" spans="2:25" ht="11.45" customHeight="1" x14ac:dyDescent="0.2">
      <c r="B81" s="100" t="s">
        <v>1630</v>
      </c>
      <c r="C81" s="97"/>
      <c r="D81" s="96">
        <v>99.592889999999997</v>
      </c>
      <c r="E81" s="146"/>
      <c r="F81" s="146">
        <v>126.64525999999999</v>
      </c>
      <c r="G81" s="146"/>
      <c r="H81" s="146">
        <v>132.62</v>
      </c>
      <c r="I81" s="149">
        <v>132.62</v>
      </c>
      <c r="L81" s="100" t="s">
        <v>1630</v>
      </c>
      <c r="M81" s="96">
        <v>99.592889999999997</v>
      </c>
      <c r="N81" s="93">
        <f t="shared" si="4"/>
        <v>99592.89</v>
      </c>
      <c r="O81" s="80">
        <v>-99592.889999999985</v>
      </c>
      <c r="P81" s="80">
        <f t="shared" si="5"/>
        <v>0</v>
      </c>
      <c r="R81" s="100" t="s">
        <v>1630</v>
      </c>
      <c r="S81" s="97"/>
      <c r="T81" s="96">
        <v>103.35921</v>
      </c>
      <c r="U81" s="146"/>
      <c r="V81" s="146">
        <v>99.592889999999997</v>
      </c>
      <c r="W81" s="146"/>
      <c r="X81" s="146">
        <v>132.62</v>
      </c>
      <c r="Y81" s="149">
        <v>132.62</v>
      </c>
    </row>
    <row r="82" spans="2:25" ht="11.45" customHeight="1" x14ac:dyDescent="0.2">
      <c r="B82" s="99" t="s">
        <v>1602</v>
      </c>
      <c r="C82" s="97"/>
      <c r="D82" s="96">
        <v>794.09222</v>
      </c>
      <c r="E82" s="146"/>
      <c r="F82" s="146">
        <v>817.96232999999995</v>
      </c>
      <c r="G82" s="146"/>
      <c r="H82" s="146">
        <v>907.14</v>
      </c>
      <c r="I82" s="149">
        <v>907.14</v>
      </c>
      <c r="L82" s="99" t="s">
        <v>1602</v>
      </c>
      <c r="M82" s="96">
        <v>794.09222</v>
      </c>
      <c r="N82" s="93">
        <f t="shared" si="4"/>
        <v>794092.22</v>
      </c>
      <c r="O82" s="80">
        <v>-794092.22</v>
      </c>
      <c r="P82" s="80">
        <f t="shared" si="5"/>
        <v>0</v>
      </c>
      <c r="R82" s="99" t="s">
        <v>1602</v>
      </c>
      <c r="S82" s="97"/>
      <c r="T82" s="96">
        <v>652.11532999999997</v>
      </c>
      <c r="U82" s="146"/>
      <c r="V82" s="146">
        <v>794.09222</v>
      </c>
      <c r="W82" s="146"/>
      <c r="X82" s="146">
        <v>937.14</v>
      </c>
      <c r="Y82" s="149">
        <v>937.14</v>
      </c>
    </row>
    <row r="83" spans="2:25" ht="11.45" customHeight="1" x14ac:dyDescent="0.2">
      <c r="B83" s="99" t="s">
        <v>1742</v>
      </c>
      <c r="C83" s="97"/>
      <c r="D83" s="96"/>
      <c r="E83" s="146"/>
      <c r="F83" s="146">
        <v>0</v>
      </c>
      <c r="G83" s="146"/>
      <c r="H83" s="146"/>
      <c r="I83" s="149">
        <v>0</v>
      </c>
      <c r="L83" s="99" t="s">
        <v>1742</v>
      </c>
      <c r="M83" s="96"/>
      <c r="N83" s="93">
        <f t="shared" si="4"/>
        <v>0</v>
      </c>
      <c r="R83" s="99" t="s">
        <v>1742</v>
      </c>
      <c r="S83" s="97"/>
      <c r="T83" s="96"/>
      <c r="U83" s="146"/>
      <c r="V83" s="146"/>
      <c r="W83" s="146"/>
      <c r="X83" s="146"/>
      <c r="Y83" s="149"/>
    </row>
    <row r="84" spans="2:25" ht="11.45" customHeight="1" x14ac:dyDescent="0.2">
      <c r="B84" s="102" t="s">
        <v>1743</v>
      </c>
      <c r="C84" s="98"/>
      <c r="D84" s="147">
        <v>10025.020330000001</v>
      </c>
      <c r="E84" s="148">
        <v>0</v>
      </c>
      <c r="F84" s="148">
        <v>10470.046883500001</v>
      </c>
      <c r="G84" s="147">
        <v>0</v>
      </c>
      <c r="H84" s="148">
        <v>10798.415993999999</v>
      </c>
      <c r="I84" s="150">
        <v>10238.076134699997</v>
      </c>
      <c r="L84" s="166" t="s">
        <v>1743</v>
      </c>
      <c r="M84" s="167">
        <v>10025.020330000001</v>
      </c>
      <c r="N84" s="168">
        <f t="shared" si="4"/>
        <v>10025020.330000002</v>
      </c>
      <c r="R84" s="102" t="s">
        <v>1743</v>
      </c>
      <c r="S84" s="98"/>
      <c r="T84" s="147">
        <v>4629.1376099999998</v>
      </c>
      <c r="U84" s="148">
        <v>0</v>
      </c>
      <c r="V84" s="148">
        <v>10379.65379</v>
      </c>
      <c r="W84" s="147">
        <v>0</v>
      </c>
      <c r="X84" s="148">
        <v>4784.8685140000007</v>
      </c>
      <c r="Y84" s="150">
        <v>10674.425594</v>
      </c>
    </row>
    <row r="85" spans="2:25" ht="11.45" customHeight="1" x14ac:dyDescent="0.2">
      <c r="B85" s="99" t="s">
        <v>1603</v>
      </c>
      <c r="C85" s="97"/>
      <c r="D85" s="96">
        <v>259.67613</v>
      </c>
      <c r="E85" s="146"/>
      <c r="F85" s="146">
        <v>591.60404000000005</v>
      </c>
      <c r="G85" s="146"/>
      <c r="H85" s="146">
        <v>593.12</v>
      </c>
      <c r="I85" s="149">
        <v>593.12</v>
      </c>
      <c r="L85" s="99" t="s">
        <v>1603</v>
      </c>
      <c r="M85" s="96">
        <v>259.67613</v>
      </c>
      <c r="N85" s="93">
        <f t="shared" si="4"/>
        <v>259676.13</v>
      </c>
      <c r="O85" s="80">
        <v>-259676.13000000003</v>
      </c>
      <c r="P85" s="80">
        <f>N85+O85</f>
        <v>0</v>
      </c>
      <c r="R85" s="99" t="s">
        <v>1603</v>
      </c>
      <c r="S85" s="97"/>
      <c r="T85" s="96">
        <v>110.21807</v>
      </c>
      <c r="U85" s="146"/>
      <c r="V85" s="146"/>
      <c r="W85" s="146"/>
      <c r="X85" s="146"/>
      <c r="Y85" s="149"/>
    </row>
    <row r="86" spans="2:25" ht="11.45" customHeight="1" x14ac:dyDescent="0.2">
      <c r="B86" s="99" t="s">
        <v>1744</v>
      </c>
      <c r="C86" s="97"/>
      <c r="D86" s="96"/>
      <c r="E86" s="146"/>
      <c r="F86" s="146"/>
      <c r="G86" s="146"/>
      <c r="H86" s="146"/>
      <c r="I86" s="149"/>
      <c r="L86" s="99" t="s">
        <v>1744</v>
      </c>
      <c r="M86" s="96"/>
      <c r="N86" s="93">
        <f t="shared" si="4"/>
        <v>0</v>
      </c>
      <c r="R86" s="99" t="s">
        <v>1744</v>
      </c>
      <c r="S86" s="97"/>
      <c r="T86" s="96"/>
      <c r="U86" s="146"/>
      <c r="V86" s="146"/>
      <c r="W86" s="146"/>
      <c r="X86" s="146"/>
      <c r="Y86" s="149"/>
    </row>
    <row r="87" spans="2:25" ht="11.45" customHeight="1" x14ac:dyDescent="0.2">
      <c r="B87" s="99" t="s">
        <v>1628</v>
      </c>
      <c r="C87" s="97"/>
      <c r="D87" s="96">
        <v>43220.747969600001</v>
      </c>
      <c r="E87" s="146"/>
      <c r="F87" s="146">
        <v>59186.037361100003</v>
      </c>
      <c r="G87" s="146"/>
      <c r="H87" s="146">
        <v>39102.7444713</v>
      </c>
      <c r="I87" s="149">
        <v>49433.924503900002</v>
      </c>
      <c r="L87" s="173" t="s">
        <v>1628</v>
      </c>
      <c r="M87" s="96">
        <v>43220.747969600001</v>
      </c>
      <c r="N87" s="93">
        <f t="shared" si="4"/>
        <v>43220747.969599999</v>
      </c>
      <c r="O87" s="172">
        <v>-40321848.410000026</v>
      </c>
      <c r="P87" s="80">
        <f>N87+O87</f>
        <v>2898899.5595999733</v>
      </c>
      <c r="R87" s="99" t="s">
        <v>1628</v>
      </c>
      <c r="S87" s="97"/>
      <c r="T87" s="96">
        <v>39110.598136699999</v>
      </c>
      <c r="U87" s="146"/>
      <c r="V87" s="146">
        <v>42341.0253754</v>
      </c>
      <c r="W87" s="146"/>
      <c r="X87" s="146">
        <v>31937.641139700001</v>
      </c>
      <c r="Y87" s="149">
        <v>30139.712465699999</v>
      </c>
    </row>
    <row r="88" spans="2:25" ht="11.45" customHeight="1" x14ac:dyDescent="0.2">
      <c r="B88" s="99" t="s">
        <v>1745</v>
      </c>
      <c r="C88" s="97"/>
      <c r="D88" s="96">
        <v>0</v>
      </c>
      <c r="E88" s="146"/>
      <c r="F88" s="146"/>
      <c r="G88" s="146"/>
      <c r="H88" s="146"/>
      <c r="I88" s="149"/>
      <c r="L88" s="173" t="s">
        <v>1745</v>
      </c>
      <c r="M88" s="96">
        <v>0</v>
      </c>
      <c r="N88" s="93">
        <f t="shared" si="4"/>
        <v>0</v>
      </c>
      <c r="O88" s="172">
        <v>111070138.07999998</v>
      </c>
      <c r="R88" s="99" t="s">
        <v>1745</v>
      </c>
      <c r="S88" s="97"/>
      <c r="T88" s="96">
        <v>0</v>
      </c>
      <c r="U88" s="146"/>
      <c r="V88" s="146"/>
      <c r="W88" s="146"/>
      <c r="X88" s="146"/>
      <c r="Y88" s="149"/>
    </row>
    <row r="89" spans="2:25" ht="11.45" customHeight="1" x14ac:dyDescent="0.2">
      <c r="B89" s="99" t="s">
        <v>1746</v>
      </c>
      <c r="C89" s="97"/>
      <c r="D89" s="96">
        <v>132.46181999999999</v>
      </c>
      <c r="E89" s="146"/>
      <c r="F89" s="146">
        <v>68.061660000000003</v>
      </c>
      <c r="G89" s="146"/>
      <c r="H89" s="146">
        <v>68.599999999999994</v>
      </c>
      <c r="I89" s="149">
        <v>68.599999999999994</v>
      </c>
      <c r="L89" s="99" t="s">
        <v>1746</v>
      </c>
      <c r="M89" s="96">
        <v>132.46181999999999</v>
      </c>
      <c r="N89" s="93">
        <f t="shared" si="4"/>
        <v>132461.81999999998</v>
      </c>
      <c r="O89" s="80">
        <v>-132461.81999999998</v>
      </c>
      <c r="P89" s="80">
        <f>N89+O89</f>
        <v>0</v>
      </c>
      <c r="R89" s="99" t="s">
        <v>1746</v>
      </c>
      <c r="S89" s="97"/>
      <c r="T89" s="96">
        <v>199.59103999999999</v>
      </c>
      <c r="U89" s="146"/>
      <c r="V89" s="146"/>
      <c r="W89" s="146"/>
      <c r="X89" s="146"/>
      <c r="Y89" s="149"/>
    </row>
    <row r="90" spans="2:25" ht="11.45" customHeight="1" x14ac:dyDescent="0.2">
      <c r="B90" s="102" t="s">
        <v>1747</v>
      </c>
      <c r="C90" s="98"/>
      <c r="D90" s="147">
        <v>43612.885919599998</v>
      </c>
      <c r="E90" s="148">
        <v>0</v>
      </c>
      <c r="F90" s="148">
        <v>59845.703061100001</v>
      </c>
      <c r="G90" s="147">
        <v>0</v>
      </c>
      <c r="H90" s="148">
        <v>39764.464471300002</v>
      </c>
      <c r="I90" s="150">
        <v>50095.644503900003</v>
      </c>
      <c r="L90" s="166" t="s">
        <v>1747</v>
      </c>
      <c r="M90" s="167">
        <v>43612.885919599998</v>
      </c>
      <c r="N90" s="168">
        <f t="shared" si="4"/>
        <v>43612885.919599995</v>
      </c>
      <c r="R90" s="102" t="s">
        <v>1747</v>
      </c>
      <c r="S90" s="98"/>
      <c r="T90" s="147">
        <v>39420.407246700001</v>
      </c>
      <c r="U90" s="148">
        <v>0</v>
      </c>
      <c r="V90" s="148">
        <v>42341.0253754</v>
      </c>
      <c r="W90" s="147">
        <v>0</v>
      </c>
      <c r="X90" s="148">
        <v>31937.641139700001</v>
      </c>
      <c r="Y90" s="150">
        <v>30139.712465699999</v>
      </c>
    </row>
    <row r="91" spans="2:25" ht="11.45" customHeight="1" x14ac:dyDescent="0.2">
      <c r="B91" s="102" t="s">
        <v>1748</v>
      </c>
      <c r="C91" s="98"/>
      <c r="D91" s="147">
        <v>53637.906249599997</v>
      </c>
      <c r="E91" s="148">
        <v>0</v>
      </c>
      <c r="F91" s="148">
        <v>70315.7499446</v>
      </c>
      <c r="G91" s="147">
        <v>0</v>
      </c>
      <c r="H91" s="148">
        <v>50562.880465299997</v>
      </c>
      <c r="I91" s="150">
        <v>60333.720638600003</v>
      </c>
      <c r="L91" s="166" t="s">
        <v>1748</v>
      </c>
      <c r="M91" s="167">
        <v>53637.906249599997</v>
      </c>
      <c r="N91" s="168">
        <f t="shared" si="4"/>
        <v>53637906.249599993</v>
      </c>
      <c r="R91" s="102" t="s">
        <v>1748</v>
      </c>
      <c r="S91" s="98"/>
      <c r="T91" s="147">
        <v>44049.544856699998</v>
      </c>
      <c r="U91" s="148">
        <v>0</v>
      </c>
      <c r="V91" s="148">
        <v>52720.679165399997</v>
      </c>
      <c r="W91" s="147">
        <v>0</v>
      </c>
      <c r="X91" s="148">
        <v>36722.509653699999</v>
      </c>
      <c r="Y91" s="150">
        <v>40814.138059699995</v>
      </c>
    </row>
    <row r="92" spans="2:25" ht="11.45" customHeight="1" x14ac:dyDescent="0.2">
      <c r="B92" s="99" t="s">
        <v>1749</v>
      </c>
      <c r="C92" s="97"/>
      <c r="D92" s="96"/>
      <c r="E92" s="146"/>
      <c r="F92" s="146"/>
      <c r="G92" s="146"/>
      <c r="H92" s="146"/>
      <c r="I92" s="149"/>
      <c r="L92" s="99" t="s">
        <v>1749</v>
      </c>
      <c r="M92" s="96"/>
      <c r="N92" s="93">
        <f t="shared" si="4"/>
        <v>0</v>
      </c>
      <c r="R92" s="99" t="s">
        <v>1749</v>
      </c>
      <c r="S92" s="97"/>
      <c r="T92" s="96"/>
      <c r="U92" s="146"/>
      <c r="V92" s="146"/>
      <c r="W92" s="146"/>
      <c r="X92" s="146"/>
      <c r="Y92" s="149"/>
    </row>
    <row r="93" spans="2:25" ht="11.45" customHeight="1" x14ac:dyDescent="0.2">
      <c r="B93" s="99" t="s">
        <v>1750</v>
      </c>
      <c r="C93" s="97"/>
      <c r="D93" s="96">
        <v>2596.4431304</v>
      </c>
      <c r="E93" s="146">
        <v>0</v>
      </c>
      <c r="F93" s="146">
        <v>3379.1702676999998</v>
      </c>
      <c r="G93" s="146">
        <v>0</v>
      </c>
      <c r="H93" s="146">
        <v>7041.1774206</v>
      </c>
      <c r="I93" s="149">
        <v>9761.6062194000006</v>
      </c>
      <c r="L93" s="173" t="s">
        <v>1750</v>
      </c>
      <c r="M93" s="96">
        <v>2596.4431304</v>
      </c>
      <c r="N93" s="93">
        <f t="shared" si="4"/>
        <v>2596443.1304000001</v>
      </c>
      <c r="O93" s="172">
        <v>-151391986.49000001</v>
      </c>
      <c r="R93" s="99" t="s">
        <v>1750</v>
      </c>
      <c r="S93" s="97"/>
      <c r="T93" s="96">
        <v>1776.2682533</v>
      </c>
      <c r="U93" s="146">
        <v>0</v>
      </c>
      <c r="V93" s="146">
        <v>1869.2068214000001</v>
      </c>
      <c r="W93" s="146">
        <v>0</v>
      </c>
      <c r="X93" s="146">
        <v>7938.8173220999997</v>
      </c>
      <c r="Y93" s="149">
        <v>5370.3055409999997</v>
      </c>
    </row>
    <row r="94" spans="2:25" ht="11.45" customHeight="1" x14ac:dyDescent="0.2">
      <c r="B94" s="100" t="s">
        <v>1751</v>
      </c>
      <c r="C94" s="97"/>
      <c r="D94" s="96"/>
      <c r="E94" s="146"/>
      <c r="F94" s="146">
        <v>0</v>
      </c>
      <c r="G94" s="146"/>
      <c r="H94" s="146"/>
      <c r="I94" s="149">
        <v>0</v>
      </c>
      <c r="L94" s="100" t="s">
        <v>1751</v>
      </c>
      <c r="M94" s="96"/>
      <c r="N94" s="93">
        <f t="shared" si="4"/>
        <v>0</v>
      </c>
      <c r="R94" s="100" t="s">
        <v>1751</v>
      </c>
      <c r="S94" s="97"/>
      <c r="T94" s="96"/>
      <c r="U94" s="146"/>
      <c r="V94" s="146"/>
      <c r="W94" s="146"/>
      <c r="X94" s="146"/>
      <c r="Y94" s="149"/>
    </row>
    <row r="95" spans="2:25" ht="11.45" customHeight="1" x14ac:dyDescent="0.2">
      <c r="B95" s="100" t="s">
        <v>1752</v>
      </c>
      <c r="C95" s="97"/>
      <c r="D95" s="96">
        <v>2596.4431304</v>
      </c>
      <c r="E95" s="146"/>
      <c r="F95" s="146">
        <v>3379.1702676999998</v>
      </c>
      <c r="G95" s="146"/>
      <c r="H95" s="146">
        <v>7041.1774206</v>
      </c>
      <c r="I95" s="149">
        <v>9761.6062194000006</v>
      </c>
      <c r="L95" s="100" t="s">
        <v>1752</v>
      </c>
      <c r="M95" s="96">
        <v>2596.4431304</v>
      </c>
      <c r="N95" s="93">
        <f t="shared" si="4"/>
        <v>2596443.1304000001</v>
      </c>
      <c r="R95" s="100" t="s">
        <v>1752</v>
      </c>
      <c r="S95" s="97"/>
      <c r="T95" s="96">
        <v>1776.2682533</v>
      </c>
      <c r="U95" s="146"/>
      <c r="V95" s="146">
        <v>1869.2068214000001</v>
      </c>
      <c r="W95" s="146"/>
      <c r="X95" s="146">
        <v>7938.8173220999997</v>
      </c>
      <c r="Y95" s="149">
        <v>5370.3055409999997</v>
      </c>
    </row>
    <row r="96" spans="2:25" ht="11.45" customHeight="1" x14ac:dyDescent="0.2">
      <c r="B96" s="100" t="s">
        <v>1753</v>
      </c>
      <c r="C96" s="97"/>
      <c r="D96" s="96"/>
      <c r="E96" s="146"/>
      <c r="F96" s="146"/>
      <c r="G96" s="146"/>
      <c r="H96" s="146"/>
      <c r="I96" s="149"/>
      <c r="L96" s="100" t="s">
        <v>1753</v>
      </c>
      <c r="M96" s="96"/>
      <c r="N96" s="93">
        <f t="shared" si="4"/>
        <v>0</v>
      </c>
      <c r="R96" s="100" t="s">
        <v>1753</v>
      </c>
      <c r="S96" s="97"/>
      <c r="T96" s="96"/>
      <c r="U96" s="146"/>
      <c r="V96" s="146"/>
      <c r="W96" s="146"/>
      <c r="X96" s="146"/>
      <c r="Y96" s="149"/>
    </row>
    <row r="97" spans="2:25" ht="11.45" customHeight="1" x14ac:dyDescent="0.2">
      <c r="B97" s="99" t="s">
        <v>1696</v>
      </c>
      <c r="C97" s="97"/>
      <c r="D97" s="96">
        <v>0</v>
      </c>
      <c r="E97" s="146">
        <v>0</v>
      </c>
      <c r="F97" s="146">
        <v>0</v>
      </c>
      <c r="G97" s="146">
        <v>0</v>
      </c>
      <c r="H97" s="146">
        <v>0</v>
      </c>
      <c r="I97" s="149">
        <v>0</v>
      </c>
      <c r="L97" s="99" t="s">
        <v>1696</v>
      </c>
      <c r="M97" s="96">
        <v>0</v>
      </c>
      <c r="N97" s="93">
        <f t="shared" si="4"/>
        <v>0</v>
      </c>
      <c r="R97" s="99" t="s">
        <v>1696</v>
      </c>
      <c r="S97" s="97"/>
      <c r="T97" s="96">
        <v>0</v>
      </c>
      <c r="U97" s="146">
        <v>0</v>
      </c>
      <c r="V97" s="146">
        <v>0</v>
      </c>
      <c r="W97" s="146">
        <v>0</v>
      </c>
      <c r="X97" s="146">
        <v>0</v>
      </c>
      <c r="Y97" s="149">
        <v>0</v>
      </c>
    </row>
    <row r="98" spans="2:25" ht="11.45" customHeight="1" x14ac:dyDescent="0.2">
      <c r="B98" s="100" t="s">
        <v>1751</v>
      </c>
      <c r="C98" s="97"/>
      <c r="D98" s="96"/>
      <c r="E98" s="146"/>
      <c r="F98" s="146"/>
      <c r="G98" s="146"/>
      <c r="H98" s="146"/>
      <c r="I98" s="149"/>
      <c r="L98" s="100" t="s">
        <v>1751</v>
      </c>
      <c r="M98" s="96"/>
      <c r="N98" s="93">
        <f t="shared" si="4"/>
        <v>0</v>
      </c>
      <c r="R98" s="100" t="s">
        <v>1751</v>
      </c>
      <c r="S98" s="97"/>
      <c r="T98" s="96"/>
      <c r="U98" s="146"/>
      <c r="V98" s="146"/>
      <c r="W98" s="146"/>
      <c r="X98" s="146"/>
      <c r="Y98" s="149"/>
    </row>
    <row r="99" spans="2:25" ht="11.45" customHeight="1" x14ac:dyDescent="0.2">
      <c r="B99" s="100" t="s">
        <v>1754</v>
      </c>
      <c r="C99" s="97"/>
      <c r="D99" s="96"/>
      <c r="E99" s="146"/>
      <c r="F99" s="146"/>
      <c r="G99" s="146"/>
      <c r="H99" s="146"/>
      <c r="I99" s="149"/>
      <c r="L99" s="100" t="s">
        <v>1754</v>
      </c>
      <c r="M99" s="96"/>
      <c r="N99" s="93">
        <f t="shared" si="4"/>
        <v>0</v>
      </c>
      <c r="R99" s="100" t="s">
        <v>1754</v>
      </c>
      <c r="S99" s="97"/>
      <c r="T99" s="96"/>
      <c r="U99" s="146"/>
      <c r="V99" s="146"/>
      <c r="W99" s="146"/>
      <c r="X99" s="146"/>
      <c r="Y99" s="149"/>
    </row>
    <row r="100" spans="2:25" ht="11.45" customHeight="1" x14ac:dyDescent="0.2">
      <c r="B100" s="102" t="s">
        <v>1755</v>
      </c>
      <c r="C100" s="98"/>
      <c r="D100" s="147">
        <v>2596.4431304</v>
      </c>
      <c r="E100" s="148">
        <v>0</v>
      </c>
      <c r="F100" s="148">
        <v>3379.1702676999998</v>
      </c>
      <c r="G100" s="147">
        <v>0</v>
      </c>
      <c r="H100" s="148">
        <v>7041.1774206</v>
      </c>
      <c r="I100" s="150">
        <v>9761.6062194000006</v>
      </c>
      <c r="L100" s="166" t="s">
        <v>1755</v>
      </c>
      <c r="M100" s="167">
        <v>2596.4431304</v>
      </c>
      <c r="N100" s="168">
        <f t="shared" si="4"/>
        <v>2596443.1304000001</v>
      </c>
      <c r="R100" s="102" t="s">
        <v>1755</v>
      </c>
      <c r="S100" s="98"/>
      <c r="T100" s="147">
        <v>1776.2682533</v>
      </c>
      <c r="U100" s="148">
        <v>0</v>
      </c>
      <c r="V100" s="148">
        <v>1869.2068214000001</v>
      </c>
      <c r="W100" s="147">
        <v>0</v>
      </c>
      <c r="X100" s="148">
        <v>7938.8173220999997</v>
      </c>
      <c r="Y100" s="150">
        <v>5370.3055409999997</v>
      </c>
    </row>
    <row r="101" spans="2:25" ht="11.45" customHeight="1" thickBot="1" x14ac:dyDescent="0.25">
      <c r="B101" s="151" t="s">
        <v>1756</v>
      </c>
      <c r="C101" s="152"/>
      <c r="D101" s="153">
        <v>56234.34938</v>
      </c>
      <c r="E101" s="154">
        <v>0</v>
      </c>
      <c r="F101" s="154">
        <v>73694.9202123</v>
      </c>
      <c r="G101" s="153">
        <v>0</v>
      </c>
      <c r="H101" s="154">
        <v>57604.057885899994</v>
      </c>
      <c r="I101" s="155">
        <v>70095.326858</v>
      </c>
      <c r="L101" s="169" t="s">
        <v>1756</v>
      </c>
      <c r="M101" s="170">
        <v>56234.34938</v>
      </c>
      <c r="N101" s="168">
        <f t="shared" si="4"/>
        <v>56234349.380000003</v>
      </c>
      <c r="O101" s="80">
        <v>-56234349.380000032</v>
      </c>
      <c r="P101" s="80">
        <f>N101+O101</f>
        <v>0</v>
      </c>
      <c r="R101" s="151" t="s">
        <v>1756</v>
      </c>
      <c r="S101" s="152"/>
      <c r="T101" s="153">
        <v>45825.813109999996</v>
      </c>
      <c r="U101" s="154">
        <v>0</v>
      </c>
      <c r="V101" s="154">
        <v>54589.8859868</v>
      </c>
      <c r="W101" s="153">
        <v>0</v>
      </c>
      <c r="X101" s="154">
        <v>44661.326975799995</v>
      </c>
      <c r="Y101" s="155">
        <v>46184.443600699997</v>
      </c>
    </row>
  </sheetData>
  <mergeCells count="7">
    <mergeCell ref="T2:V2"/>
    <mergeCell ref="W2:Y2"/>
    <mergeCell ref="B2:C3"/>
    <mergeCell ref="D2:F2"/>
    <mergeCell ref="G2:I2"/>
    <mergeCell ref="L2:L3"/>
    <mergeCell ref="R2:S3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988F-DF32-4A52-AD9D-BAA2B823A94A}">
  <dimension ref="B1:M570"/>
  <sheetViews>
    <sheetView showGridLines="0" zoomScale="85" zoomScaleNormal="85" workbookViewId="0">
      <pane xSplit="2" ySplit="1" topLeftCell="C353" activePane="bottomRight" state="frozen"/>
      <selection activeCell="A267" sqref="A267:A269"/>
      <selection pane="topRight" activeCell="A267" sqref="A267:A269"/>
      <selection pane="bottomLeft" activeCell="A267" sqref="A267:A269"/>
      <selection pane="bottomRight" activeCell="B374" sqref="B374"/>
    </sheetView>
  </sheetViews>
  <sheetFormatPr defaultColWidth="9.140625" defaultRowHeight="11.25" outlineLevelRow="2" x14ac:dyDescent="0.2"/>
  <cols>
    <col min="1" max="1" width="1.42578125" style="3" customWidth="1"/>
    <col min="2" max="2" width="56" style="3" bestFit="1" customWidth="1"/>
    <col min="3" max="4" width="13.140625" style="24" bestFit="1" customWidth="1"/>
    <col min="5" max="5" width="12.85546875" style="24" bestFit="1" customWidth="1"/>
    <col min="6" max="9" width="13.140625" style="24" bestFit="1" customWidth="1"/>
    <col min="10" max="10" width="15.140625" style="3" bestFit="1" customWidth="1"/>
    <col min="11" max="11" width="9.140625" style="3"/>
    <col min="12" max="13" width="12.140625" style="3" bestFit="1" customWidth="1"/>
    <col min="14" max="16384" width="9.140625" style="3"/>
  </cols>
  <sheetData>
    <row r="1" spans="2:13" x14ac:dyDescent="0.2">
      <c r="C1" s="3"/>
      <c r="D1" s="3"/>
      <c r="E1" s="3"/>
      <c r="F1" s="3"/>
      <c r="G1" s="3"/>
      <c r="H1" s="3"/>
      <c r="I1" s="3"/>
    </row>
    <row r="2" spans="2:13" x14ac:dyDescent="0.2">
      <c r="B2" s="10" t="s">
        <v>464</v>
      </c>
      <c r="C2" s="21">
        <v>46023</v>
      </c>
      <c r="D2" s="21">
        <v>46054</v>
      </c>
      <c r="E2" s="21">
        <v>46082</v>
      </c>
      <c r="F2" s="21">
        <v>46113</v>
      </c>
      <c r="G2" s="21">
        <v>46143</v>
      </c>
      <c r="H2" s="21">
        <v>46174</v>
      </c>
      <c r="I2" s="21">
        <v>46204</v>
      </c>
      <c r="J2" s="21" t="s">
        <v>1907</v>
      </c>
    </row>
    <row r="3" spans="2:13" ht="12.75" outlineLevel="1" x14ac:dyDescent="0.2">
      <c r="B3" s="3" t="s">
        <v>241</v>
      </c>
      <c r="C3" s="24">
        <v>0</v>
      </c>
      <c r="D3" s="24">
        <v>0</v>
      </c>
      <c r="E3" s="24">
        <v>0</v>
      </c>
      <c r="F3" s="24">
        <v>-115467.26</v>
      </c>
      <c r="G3" s="24">
        <v>0</v>
      </c>
      <c r="H3" s="24">
        <v>0</v>
      </c>
      <c r="I3" s="24">
        <v>0</v>
      </c>
      <c r="J3" s="8">
        <f t="shared" ref="J3:J11" si="0">SUM(C3:I3)</f>
        <v>-115467.26</v>
      </c>
      <c r="L3"/>
      <c r="M3"/>
    </row>
    <row r="4" spans="2:13" ht="12.75" outlineLevel="1" x14ac:dyDescent="0.2">
      <c r="B4" s="3" t="s">
        <v>824</v>
      </c>
      <c r="C4" s="24"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8">
        <f t="shared" si="0"/>
        <v>0</v>
      </c>
      <c r="L4"/>
      <c r="M4"/>
    </row>
    <row r="5" spans="2:13" ht="12.75" outlineLevel="1" x14ac:dyDescent="0.2">
      <c r="B5" s="3" t="s">
        <v>242</v>
      </c>
      <c r="C5" s="24">
        <v>0</v>
      </c>
      <c r="D5" s="24">
        <v>0</v>
      </c>
      <c r="E5" s="24">
        <v>0</v>
      </c>
      <c r="F5" s="24">
        <v>-2661.4</v>
      </c>
      <c r="G5" s="24">
        <v>0</v>
      </c>
      <c r="H5" s="24">
        <v>0</v>
      </c>
      <c r="I5" s="24">
        <v>0</v>
      </c>
      <c r="J5" s="8">
        <f t="shared" si="0"/>
        <v>-2661.4</v>
      </c>
      <c r="L5"/>
      <c r="M5"/>
    </row>
    <row r="6" spans="2:13" ht="12.75" outlineLevel="1" x14ac:dyDescent="0.2">
      <c r="B6" s="3" t="s">
        <v>1492</v>
      </c>
      <c r="C6" s="24">
        <v>0</v>
      </c>
      <c r="D6" s="24">
        <v>0</v>
      </c>
      <c r="E6" s="24">
        <v>-494355.44</v>
      </c>
      <c r="F6" s="24">
        <v>0</v>
      </c>
      <c r="G6" s="24">
        <v>0</v>
      </c>
      <c r="H6" s="24">
        <v>0</v>
      </c>
      <c r="I6" s="24">
        <v>0</v>
      </c>
      <c r="J6" s="8">
        <f t="shared" si="0"/>
        <v>-494355.44</v>
      </c>
      <c r="L6"/>
      <c r="M6"/>
    </row>
    <row r="7" spans="2:13" ht="12.75" outlineLevel="1" x14ac:dyDescent="0.2">
      <c r="B7" s="3" t="s">
        <v>738</v>
      </c>
      <c r="C7" s="24">
        <v>-180.87</v>
      </c>
      <c r="D7" s="24">
        <v>-921.2</v>
      </c>
      <c r="E7" s="24">
        <v>436534.48</v>
      </c>
      <c r="F7" s="24">
        <v>0</v>
      </c>
      <c r="G7" s="24">
        <v>0</v>
      </c>
      <c r="H7" s="24">
        <v>0</v>
      </c>
      <c r="I7" s="24">
        <v>0</v>
      </c>
      <c r="J7" s="8">
        <f t="shared" si="0"/>
        <v>435432.41</v>
      </c>
      <c r="L7"/>
      <c r="M7"/>
    </row>
    <row r="8" spans="2:13" ht="12.75" outlineLevel="1" x14ac:dyDescent="0.2">
      <c r="B8" s="3" t="s">
        <v>243</v>
      </c>
      <c r="C8" s="24">
        <v>0</v>
      </c>
      <c r="D8" s="24">
        <v>-6304.41</v>
      </c>
      <c r="E8" s="24">
        <v>45974.93</v>
      </c>
      <c r="F8" s="24">
        <v>-889.35</v>
      </c>
      <c r="G8" s="24">
        <v>0</v>
      </c>
      <c r="H8" s="24">
        <v>-114.76</v>
      </c>
      <c r="I8" s="24">
        <v>-115.56</v>
      </c>
      <c r="J8" s="8">
        <f t="shared" si="0"/>
        <v>38550.850000000006</v>
      </c>
      <c r="L8"/>
      <c r="M8"/>
    </row>
    <row r="9" spans="2:13" ht="12.75" outlineLevel="1" x14ac:dyDescent="0.2">
      <c r="B9" s="3" t="s">
        <v>1834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8">
        <f t="shared" si="0"/>
        <v>0</v>
      </c>
      <c r="L9"/>
      <c r="M9"/>
    </row>
    <row r="10" spans="2:13" ht="12.75" outlineLevel="1" x14ac:dyDescent="0.2">
      <c r="B10" s="3" t="s">
        <v>1493</v>
      </c>
      <c r="C10" s="24">
        <v>0</v>
      </c>
      <c r="D10" s="24">
        <v>0</v>
      </c>
      <c r="E10" s="24">
        <v>0</v>
      </c>
      <c r="F10" s="24">
        <v>-114656.9</v>
      </c>
      <c r="G10" s="24">
        <v>0</v>
      </c>
      <c r="H10" s="24">
        <v>0</v>
      </c>
      <c r="I10" s="24">
        <v>0</v>
      </c>
      <c r="J10" s="8">
        <f t="shared" si="0"/>
        <v>-114656.9</v>
      </c>
      <c r="L10"/>
      <c r="M10"/>
    </row>
    <row r="11" spans="2:13" ht="12.75" outlineLevel="1" x14ac:dyDescent="0.2">
      <c r="B11" s="3" t="s">
        <v>1494</v>
      </c>
      <c r="C11" s="24">
        <v>0</v>
      </c>
      <c r="D11" s="24">
        <v>0</v>
      </c>
      <c r="E11" s="24">
        <v>0</v>
      </c>
      <c r="F11" s="24">
        <v>115467.25</v>
      </c>
      <c r="G11" s="24">
        <v>0</v>
      </c>
      <c r="H11" s="24">
        <v>0</v>
      </c>
      <c r="I11" s="24">
        <v>0</v>
      </c>
      <c r="J11" s="8">
        <f t="shared" si="0"/>
        <v>115467.25</v>
      </c>
      <c r="L11"/>
      <c r="M11"/>
    </row>
    <row r="12" spans="2:13" ht="12.75" x14ac:dyDescent="0.2">
      <c r="B12" s="6" t="s">
        <v>1536</v>
      </c>
      <c r="C12" s="63">
        <f t="shared" ref="C12:J12" si="1">SUM(C3:C11)</f>
        <v>-180.87</v>
      </c>
      <c r="D12" s="63">
        <f t="shared" si="1"/>
        <v>-7225.61</v>
      </c>
      <c r="E12" s="63">
        <f t="shared" si="1"/>
        <v>-11846.030000000021</v>
      </c>
      <c r="F12" s="63">
        <f t="shared" si="1"/>
        <v>-118207.65999999997</v>
      </c>
      <c r="G12" s="63">
        <f t="shared" si="1"/>
        <v>0</v>
      </c>
      <c r="H12" s="63">
        <f t="shared" si="1"/>
        <v>-114.76</v>
      </c>
      <c r="I12" s="63">
        <f t="shared" si="1"/>
        <v>-115.56</v>
      </c>
      <c r="J12" s="63">
        <f t="shared" si="1"/>
        <v>-137690.49</v>
      </c>
      <c r="L12"/>
      <c r="M12"/>
    </row>
    <row r="13" spans="2:13" ht="12.75" outlineLevel="1" x14ac:dyDescent="0.2">
      <c r="B13" s="3" t="s">
        <v>245</v>
      </c>
      <c r="C13" s="24">
        <v>-2857496.41</v>
      </c>
      <c r="D13" s="24">
        <v>-3903125.14</v>
      </c>
      <c r="E13" s="24">
        <v>-3737634.17</v>
      </c>
      <c r="F13" s="24">
        <v>-3148686.27</v>
      </c>
      <c r="G13" s="24">
        <v>-2414604.9700000002</v>
      </c>
      <c r="H13" s="24">
        <v>-2861914.52</v>
      </c>
      <c r="I13" s="24">
        <v>-3199594.62</v>
      </c>
      <c r="J13" s="8">
        <f t="shared" ref="J13:J32" si="2">SUM(C13:I13)</f>
        <v>-22123056.100000001</v>
      </c>
      <c r="L13"/>
      <c r="M13"/>
    </row>
    <row r="14" spans="2:13" ht="12.75" outlineLevel="1" x14ac:dyDescent="0.2">
      <c r="B14" s="3" t="s">
        <v>536</v>
      </c>
      <c r="C14" s="24">
        <v>-320423.90000000002</v>
      </c>
      <c r="D14" s="24">
        <v>-198045.15</v>
      </c>
      <c r="E14" s="24">
        <v>-420995.6</v>
      </c>
      <c r="F14" s="24">
        <v>-258893.01</v>
      </c>
      <c r="G14" s="24">
        <v>-596968.85</v>
      </c>
      <c r="H14" s="24">
        <v>-514855.07</v>
      </c>
      <c r="I14" s="24">
        <v>-290891.26</v>
      </c>
      <c r="J14" s="8">
        <f t="shared" si="2"/>
        <v>-2601072.84</v>
      </c>
      <c r="L14"/>
      <c r="M14"/>
    </row>
    <row r="15" spans="2:13" ht="12.75" outlineLevel="1" x14ac:dyDescent="0.2">
      <c r="B15" s="3" t="s">
        <v>537</v>
      </c>
      <c r="C15" s="24">
        <v>-5876.67</v>
      </c>
      <c r="D15" s="24">
        <v>-1102.18</v>
      </c>
      <c r="E15" s="24">
        <v>-903.92</v>
      </c>
      <c r="F15" s="24">
        <v>22575.88</v>
      </c>
      <c r="G15" s="24">
        <v>-12340.37</v>
      </c>
      <c r="H15" s="24">
        <v>-13127.59</v>
      </c>
      <c r="I15" s="24">
        <v>5928.33</v>
      </c>
      <c r="J15" s="8">
        <f t="shared" si="2"/>
        <v>-4846.5200000000004</v>
      </c>
      <c r="L15"/>
      <c r="M15"/>
    </row>
    <row r="16" spans="2:13" ht="12.75" outlineLevel="1" x14ac:dyDescent="0.2">
      <c r="B16" s="3" t="s">
        <v>246</v>
      </c>
      <c r="C16" s="24">
        <v>-123857.75</v>
      </c>
      <c r="D16" s="24">
        <v>-150909.48000000001</v>
      </c>
      <c r="E16" s="24">
        <v>-160529.64000000001</v>
      </c>
      <c r="F16" s="24">
        <v>-204842.37</v>
      </c>
      <c r="G16" s="24">
        <v>-102099.91</v>
      </c>
      <c r="H16" s="24">
        <v>-110298.9</v>
      </c>
      <c r="I16" s="24">
        <v>-158473.97</v>
      </c>
      <c r="J16" s="8">
        <f t="shared" si="2"/>
        <v>-1011012.02</v>
      </c>
      <c r="L16"/>
      <c r="M16"/>
    </row>
    <row r="17" spans="2:13" ht="12.75" outlineLevel="1" x14ac:dyDescent="0.2">
      <c r="B17" s="3" t="s">
        <v>1639</v>
      </c>
      <c r="C17" s="24">
        <v>0</v>
      </c>
      <c r="D17" s="24">
        <v>-1327.38</v>
      </c>
      <c r="E17" s="24">
        <v>-813.73</v>
      </c>
      <c r="F17" s="24">
        <v>0</v>
      </c>
      <c r="G17" s="24">
        <v>0</v>
      </c>
      <c r="H17" s="24">
        <v>0</v>
      </c>
      <c r="I17" s="24">
        <v>0</v>
      </c>
      <c r="J17" s="8">
        <f t="shared" si="2"/>
        <v>-2141.11</v>
      </c>
      <c r="L17"/>
      <c r="M17"/>
    </row>
    <row r="18" spans="2:13" ht="12.75" outlineLevel="1" x14ac:dyDescent="0.2">
      <c r="B18" s="3" t="s">
        <v>247</v>
      </c>
      <c r="C18" s="24">
        <v>-37.619999999999997</v>
      </c>
      <c r="D18" s="24">
        <v>-65.099999999999994</v>
      </c>
      <c r="E18" s="24">
        <v>-2.88</v>
      </c>
      <c r="F18" s="24">
        <v>-11.08</v>
      </c>
      <c r="G18" s="24">
        <v>-8.32</v>
      </c>
      <c r="H18" s="24">
        <v>-6.56</v>
      </c>
      <c r="I18" s="24">
        <v>-7.57</v>
      </c>
      <c r="J18" s="8">
        <f t="shared" si="2"/>
        <v>-139.13</v>
      </c>
      <c r="L18"/>
      <c r="M18"/>
    </row>
    <row r="19" spans="2:13" ht="12.75" outlineLevel="1" x14ac:dyDescent="0.2">
      <c r="B19" s="3" t="s">
        <v>1912</v>
      </c>
      <c r="C19" s="24">
        <v>0</v>
      </c>
      <c r="D19" s="24">
        <v>0</v>
      </c>
      <c r="E19" s="24">
        <v>0.02</v>
      </c>
      <c r="F19" s="24">
        <v>0</v>
      </c>
      <c r="G19" s="24">
        <v>0.02</v>
      </c>
      <c r="H19" s="24">
        <v>0</v>
      </c>
      <c r="I19" s="24">
        <v>0</v>
      </c>
      <c r="J19" s="8">
        <f t="shared" si="2"/>
        <v>0.04</v>
      </c>
      <c r="L19"/>
      <c r="M19"/>
    </row>
    <row r="20" spans="2:13" ht="12.75" outlineLevel="1" x14ac:dyDescent="0.2">
      <c r="B20" s="3" t="s">
        <v>949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8">
        <f t="shared" si="2"/>
        <v>0</v>
      </c>
      <c r="L20"/>
      <c r="M20"/>
    </row>
    <row r="21" spans="2:13" ht="12.75" outlineLevel="1" x14ac:dyDescent="0.2">
      <c r="B21" s="3" t="s">
        <v>1837</v>
      </c>
      <c r="C21" s="24">
        <v>-202.57</v>
      </c>
      <c r="D21" s="24">
        <v>-4502.57</v>
      </c>
      <c r="E21" s="24">
        <v>0</v>
      </c>
      <c r="F21" s="24">
        <v>0</v>
      </c>
      <c r="G21" s="24">
        <v>0</v>
      </c>
      <c r="H21" s="24">
        <v>-190.87</v>
      </c>
      <c r="I21" s="24">
        <v>0</v>
      </c>
      <c r="J21" s="8">
        <f t="shared" si="2"/>
        <v>-4896.0099999999993</v>
      </c>
      <c r="L21"/>
      <c r="M21"/>
    </row>
    <row r="22" spans="2:13" ht="12.75" outlineLevel="1" x14ac:dyDescent="0.2">
      <c r="B22" s="3" t="s">
        <v>1888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8">
        <f t="shared" si="2"/>
        <v>0</v>
      </c>
      <c r="L22"/>
      <c r="M22"/>
    </row>
    <row r="23" spans="2:13" ht="12.75" outlineLevel="1" x14ac:dyDescent="0.2">
      <c r="B23" s="3" t="s">
        <v>248</v>
      </c>
      <c r="C23" s="24">
        <v>-38723.75</v>
      </c>
      <c r="D23" s="24">
        <v>-328281.15999999997</v>
      </c>
      <c r="E23" s="24">
        <v>-117641.99</v>
      </c>
      <c r="F23" s="24">
        <v>0</v>
      </c>
      <c r="G23" s="24">
        <v>0</v>
      </c>
      <c r="H23" s="24">
        <v>-107312.64</v>
      </c>
      <c r="I23" s="24">
        <v>-84405.15</v>
      </c>
      <c r="J23" s="8">
        <f t="shared" si="2"/>
        <v>-676364.69</v>
      </c>
      <c r="L23"/>
      <c r="M23"/>
    </row>
    <row r="24" spans="2:13" ht="12.75" outlineLevel="1" x14ac:dyDescent="0.2">
      <c r="B24" s="3" t="s">
        <v>249</v>
      </c>
      <c r="C24" s="24">
        <v>-160539.47</v>
      </c>
      <c r="D24" s="24">
        <v>-536484.91</v>
      </c>
      <c r="E24" s="24">
        <v>-75526.100000000006</v>
      </c>
      <c r="F24" s="24">
        <v>0</v>
      </c>
      <c r="G24" s="24">
        <v>0</v>
      </c>
      <c r="H24" s="24">
        <v>-25564.29</v>
      </c>
      <c r="I24" s="24">
        <v>-108647.07</v>
      </c>
      <c r="J24" s="8">
        <f t="shared" si="2"/>
        <v>-906761.84000000008</v>
      </c>
      <c r="L24"/>
      <c r="M24"/>
    </row>
    <row r="25" spans="2:13" ht="12.75" outlineLevel="1" x14ac:dyDescent="0.2">
      <c r="B25" s="3" t="s">
        <v>250</v>
      </c>
      <c r="C25" s="24">
        <v>-3363.51</v>
      </c>
      <c r="D25" s="24">
        <v>-3328.96</v>
      </c>
      <c r="E25" s="24">
        <v>-911.29</v>
      </c>
      <c r="F25" s="24">
        <v>-3877.9</v>
      </c>
      <c r="G25" s="24">
        <v>0</v>
      </c>
      <c r="H25" s="24">
        <v>-0.49</v>
      </c>
      <c r="I25" s="24">
        <v>0</v>
      </c>
      <c r="J25" s="8">
        <f t="shared" si="2"/>
        <v>-11482.15</v>
      </c>
      <c r="L25"/>
      <c r="M25"/>
    </row>
    <row r="26" spans="2:13" ht="12.75" outlineLevel="1" x14ac:dyDescent="0.2">
      <c r="B26" s="3" t="s">
        <v>251</v>
      </c>
      <c r="C26" s="24">
        <v>0</v>
      </c>
      <c r="D26" s="24">
        <v>0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8">
        <f t="shared" si="2"/>
        <v>0</v>
      </c>
      <c r="L26"/>
      <c r="M26"/>
    </row>
    <row r="27" spans="2:13" ht="12.75" outlineLevel="1" x14ac:dyDescent="0.2">
      <c r="B27" s="3" t="s">
        <v>1892</v>
      </c>
      <c r="C27" s="24">
        <v>2783.65</v>
      </c>
      <c r="D27" s="24">
        <v>7904.59</v>
      </c>
      <c r="E27" s="24">
        <v>2659.14</v>
      </c>
      <c r="F27" s="24">
        <v>2498.6799999999998</v>
      </c>
      <c r="G27" s="24">
        <v>1246.69</v>
      </c>
      <c r="H27" s="24">
        <v>5493.79</v>
      </c>
      <c r="I27" s="24">
        <v>4707.63</v>
      </c>
      <c r="J27" s="8">
        <f t="shared" si="2"/>
        <v>27294.170000000002</v>
      </c>
      <c r="L27"/>
      <c r="M27"/>
    </row>
    <row r="28" spans="2:13" ht="12.75" outlineLevel="1" x14ac:dyDescent="0.2">
      <c r="B28" s="3" t="s">
        <v>2040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1189.8399999999999</v>
      </c>
      <c r="I28" s="24">
        <v>10048.030000000001</v>
      </c>
      <c r="J28" s="8">
        <f t="shared" si="2"/>
        <v>11237.87</v>
      </c>
      <c r="L28"/>
      <c r="M28"/>
    </row>
    <row r="29" spans="2:13" ht="12.75" outlineLevel="1" x14ac:dyDescent="0.2">
      <c r="B29" s="3" t="s">
        <v>2041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-916.48</v>
      </c>
      <c r="I29" s="24">
        <v>-5122.87</v>
      </c>
      <c r="J29" s="8">
        <f t="shared" si="2"/>
        <v>-6039.35</v>
      </c>
      <c r="L29"/>
      <c r="M29"/>
    </row>
    <row r="30" spans="2:13" ht="12.75" outlineLevel="1" x14ac:dyDescent="0.2">
      <c r="B30" s="3" t="s">
        <v>252</v>
      </c>
      <c r="C30" s="24">
        <v>-4285.22</v>
      </c>
      <c r="D30" s="24">
        <v>-18597.12</v>
      </c>
      <c r="E30" s="24">
        <v>-4154.1499999999996</v>
      </c>
      <c r="F30" s="24">
        <v>0</v>
      </c>
      <c r="G30" s="24">
        <v>0</v>
      </c>
      <c r="H30" s="24">
        <v>-2857.57</v>
      </c>
      <c r="I30" s="24">
        <v>-4019.3</v>
      </c>
      <c r="J30" s="8">
        <f t="shared" si="2"/>
        <v>-33913.360000000001</v>
      </c>
      <c r="L30"/>
      <c r="M30"/>
    </row>
    <row r="31" spans="2:13" ht="12.75" outlineLevel="1" x14ac:dyDescent="0.2">
      <c r="B31" s="3" t="s">
        <v>1827</v>
      </c>
      <c r="C31" s="24">
        <v>0</v>
      </c>
      <c r="D31" s="24">
        <v>0</v>
      </c>
      <c r="E31" s="24">
        <v>0</v>
      </c>
      <c r="F31" s="24">
        <v>0</v>
      </c>
      <c r="G31" s="24">
        <v>-810.35</v>
      </c>
      <c r="H31" s="24">
        <v>0</v>
      </c>
      <c r="I31" s="24">
        <v>0</v>
      </c>
      <c r="J31" s="8">
        <f t="shared" si="2"/>
        <v>-810.35</v>
      </c>
      <c r="L31"/>
      <c r="M31"/>
    </row>
    <row r="32" spans="2:13" ht="12.75" outlineLevel="1" x14ac:dyDescent="0.2">
      <c r="B32" s="3" t="s">
        <v>1835</v>
      </c>
      <c r="C32" s="24">
        <v>0</v>
      </c>
      <c r="D32" s="24">
        <v>0</v>
      </c>
      <c r="E32" s="24">
        <v>0</v>
      </c>
      <c r="F32" s="24">
        <v>26.71</v>
      </c>
      <c r="G32" s="24">
        <v>195.29</v>
      </c>
      <c r="H32" s="24">
        <v>223.68</v>
      </c>
      <c r="I32" s="24">
        <v>136.82</v>
      </c>
      <c r="J32" s="8">
        <f t="shared" si="2"/>
        <v>582.5</v>
      </c>
      <c r="L32"/>
      <c r="M32"/>
    </row>
    <row r="33" spans="2:13" ht="12.75" x14ac:dyDescent="0.2">
      <c r="B33" s="6" t="s">
        <v>1538</v>
      </c>
      <c r="C33" s="63">
        <f t="shared" ref="C33:I33" si="3">SUM(C13:C32)</f>
        <v>-3512023.22</v>
      </c>
      <c r="D33" s="63">
        <f t="shared" si="3"/>
        <v>-5137864.5600000005</v>
      </c>
      <c r="E33" s="63">
        <f t="shared" si="3"/>
        <v>-4516454.3100000015</v>
      </c>
      <c r="F33" s="63">
        <f t="shared" si="3"/>
        <v>-3591209.3600000003</v>
      </c>
      <c r="G33" s="63">
        <f t="shared" si="3"/>
        <v>-3125390.7700000005</v>
      </c>
      <c r="H33" s="63">
        <f t="shared" si="3"/>
        <v>-3630137.67</v>
      </c>
      <c r="I33" s="63">
        <f t="shared" si="3"/>
        <v>-3830341</v>
      </c>
      <c r="J33" s="63">
        <f>SUM(J13:J32)</f>
        <v>-27343420.890000001</v>
      </c>
      <c r="L33"/>
      <c r="M33"/>
    </row>
    <row r="34" spans="2:13" ht="12.75" outlineLevel="1" x14ac:dyDescent="0.2">
      <c r="B34" s="3" t="s">
        <v>254</v>
      </c>
      <c r="C34" s="24">
        <v>9814.2900000000009</v>
      </c>
      <c r="D34" s="24">
        <v>12753.37</v>
      </c>
      <c r="E34" s="24">
        <v>12154.83</v>
      </c>
      <c r="F34" s="24">
        <v>19206.330000000002</v>
      </c>
      <c r="G34" s="24">
        <v>11442.95</v>
      </c>
      <c r="H34" s="24">
        <v>4610.83</v>
      </c>
      <c r="I34" s="24">
        <v>17761.82</v>
      </c>
      <c r="J34" s="8">
        <f t="shared" ref="J34:J42" si="4">SUM(C34:I34)</f>
        <v>87744.420000000013</v>
      </c>
      <c r="L34"/>
      <c r="M34"/>
    </row>
    <row r="35" spans="2:13" ht="12.75" outlineLevel="1" x14ac:dyDescent="0.2">
      <c r="B35" s="3" t="s">
        <v>255</v>
      </c>
      <c r="C35" s="24">
        <v>-31026.23</v>
      </c>
      <c r="D35" s="24">
        <v>-7204.93</v>
      </c>
      <c r="E35" s="24">
        <v>-14873.51</v>
      </c>
      <c r="F35" s="24">
        <v>-12027.55</v>
      </c>
      <c r="G35" s="24">
        <v>-26250.2</v>
      </c>
      <c r="H35" s="24">
        <v>-60172.5</v>
      </c>
      <c r="I35" s="24">
        <v>-18082.59</v>
      </c>
      <c r="J35" s="8">
        <f t="shared" si="4"/>
        <v>-169637.50999999998</v>
      </c>
      <c r="L35"/>
      <c r="M35"/>
    </row>
    <row r="36" spans="2:13" ht="12.75" outlineLevel="1" x14ac:dyDescent="0.2">
      <c r="B36" s="3" t="s">
        <v>256</v>
      </c>
      <c r="C36" s="24">
        <v>-5068.22</v>
      </c>
      <c r="D36" s="24">
        <v>-6452.22</v>
      </c>
      <c r="E36" s="24">
        <v>-14078.82</v>
      </c>
      <c r="F36" s="24">
        <v>-6231.79</v>
      </c>
      <c r="G36" s="24">
        <v>-27681.16</v>
      </c>
      <c r="H36" s="24">
        <v>-21935.279999999999</v>
      </c>
      <c r="I36" s="24">
        <v>-15849.09</v>
      </c>
      <c r="J36" s="8">
        <f t="shared" si="4"/>
        <v>-97296.58</v>
      </c>
      <c r="L36"/>
      <c r="M36"/>
    </row>
    <row r="37" spans="2:13" ht="12.75" outlineLevel="1" x14ac:dyDescent="0.2">
      <c r="B37" s="3" t="s">
        <v>257</v>
      </c>
      <c r="C37" s="24">
        <v>-147581.68</v>
      </c>
      <c r="D37" s="24">
        <v>-239202</v>
      </c>
      <c r="E37" s="24">
        <v>-196315.47</v>
      </c>
      <c r="F37" s="24">
        <v>-229059.36</v>
      </c>
      <c r="G37" s="24">
        <v>-183935.98</v>
      </c>
      <c r="H37" s="24">
        <v>-162440.51</v>
      </c>
      <c r="I37" s="24">
        <v>-275285.37</v>
      </c>
      <c r="J37" s="8">
        <f t="shared" si="4"/>
        <v>-1433820.37</v>
      </c>
      <c r="L37"/>
      <c r="M37"/>
    </row>
    <row r="38" spans="2:13" ht="12.75" outlineLevel="1" x14ac:dyDescent="0.2">
      <c r="B38" s="3" t="s">
        <v>258</v>
      </c>
      <c r="C38" s="24">
        <v>-1245.4100000000001</v>
      </c>
      <c r="D38" s="24">
        <v>-1012.49</v>
      </c>
      <c r="E38" s="24">
        <v>-902.26</v>
      </c>
      <c r="F38" s="24">
        <v>-1720.5</v>
      </c>
      <c r="G38" s="24">
        <v>-1202.6400000000001</v>
      </c>
      <c r="H38" s="24">
        <v>-4528.1499999999996</v>
      </c>
      <c r="I38" s="24">
        <v>-412.53</v>
      </c>
      <c r="J38" s="8">
        <f t="shared" si="4"/>
        <v>-11023.980000000001</v>
      </c>
      <c r="L38"/>
      <c r="M38"/>
    </row>
    <row r="39" spans="2:13" ht="12.75" outlineLevel="1" x14ac:dyDescent="0.2">
      <c r="B39" s="3" t="s">
        <v>259</v>
      </c>
      <c r="C39" s="24">
        <v>-381.35</v>
      </c>
      <c r="D39" s="24">
        <v>-378.52</v>
      </c>
      <c r="E39" s="24">
        <v>-28.11</v>
      </c>
      <c r="F39" s="24">
        <v>-107.04</v>
      </c>
      <c r="G39" s="24">
        <v>-109.46</v>
      </c>
      <c r="H39" s="24">
        <v>-162.09</v>
      </c>
      <c r="I39" s="24">
        <v>-76.430000000000007</v>
      </c>
      <c r="J39" s="8">
        <f t="shared" si="4"/>
        <v>-1243</v>
      </c>
      <c r="L39"/>
      <c r="M39"/>
    </row>
    <row r="40" spans="2:13" ht="12.75" outlineLevel="1" x14ac:dyDescent="0.2">
      <c r="B40" s="3" t="s">
        <v>1913</v>
      </c>
      <c r="C40" s="24">
        <v>0</v>
      </c>
      <c r="D40" s="24">
        <v>0</v>
      </c>
      <c r="E40" s="24">
        <v>0.23</v>
      </c>
      <c r="F40" s="24">
        <v>0</v>
      </c>
      <c r="G40" s="24">
        <v>0.8</v>
      </c>
      <c r="H40" s="24">
        <v>0</v>
      </c>
      <c r="I40" s="24">
        <v>0</v>
      </c>
      <c r="J40" s="8">
        <f t="shared" si="4"/>
        <v>1.03</v>
      </c>
      <c r="L40"/>
      <c r="M40"/>
    </row>
    <row r="41" spans="2:13" ht="12.75" outlineLevel="1" x14ac:dyDescent="0.2">
      <c r="B41" s="3" t="s">
        <v>1227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8">
        <f t="shared" si="4"/>
        <v>0</v>
      </c>
      <c r="L41"/>
      <c r="M41"/>
    </row>
    <row r="42" spans="2:13" ht="12.75" outlineLevel="1" x14ac:dyDescent="0.2">
      <c r="B42" s="3" t="s">
        <v>989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8">
        <f t="shared" si="4"/>
        <v>0</v>
      </c>
      <c r="L42"/>
      <c r="M42"/>
    </row>
    <row r="43" spans="2:13" ht="12.75" x14ac:dyDescent="0.2">
      <c r="B43" s="6" t="s">
        <v>1539</v>
      </c>
      <c r="C43" s="63">
        <f t="shared" ref="C43:J43" si="5">SUM(C34:C42)</f>
        <v>-175488.6</v>
      </c>
      <c r="D43" s="63">
        <f t="shared" si="5"/>
        <v>-241496.78999999998</v>
      </c>
      <c r="E43" s="63">
        <f t="shared" si="5"/>
        <v>-214043.11</v>
      </c>
      <c r="F43" s="63">
        <f t="shared" si="5"/>
        <v>-229939.91</v>
      </c>
      <c r="G43" s="63">
        <f t="shared" si="5"/>
        <v>-227735.69000000003</v>
      </c>
      <c r="H43" s="63">
        <f t="shared" si="5"/>
        <v>-244627.7</v>
      </c>
      <c r="I43" s="63">
        <f t="shared" si="5"/>
        <v>-291944.19</v>
      </c>
      <c r="J43" s="63">
        <f t="shared" si="5"/>
        <v>-1625275.99</v>
      </c>
      <c r="L43"/>
      <c r="M43"/>
    </row>
    <row r="44" spans="2:13" ht="12.75" outlineLevel="2" x14ac:dyDescent="0.2">
      <c r="B44" s="3" t="s">
        <v>261</v>
      </c>
      <c r="C44" s="24">
        <v>-825030.16</v>
      </c>
      <c r="D44" s="24">
        <v>-491556.48</v>
      </c>
      <c r="E44" s="24">
        <v>-505631.66</v>
      </c>
      <c r="F44" s="24">
        <v>-505791.15</v>
      </c>
      <c r="G44" s="24">
        <v>-482511.54</v>
      </c>
      <c r="H44" s="24">
        <v>-413805.71</v>
      </c>
      <c r="I44" s="24">
        <v>-482450.9</v>
      </c>
      <c r="J44" s="8">
        <f>SUM(C44:I44)</f>
        <v>-3706777.6000000001</v>
      </c>
      <c r="L44"/>
      <c r="M44"/>
    </row>
    <row r="45" spans="2:13" ht="12.75" outlineLevel="2" x14ac:dyDescent="0.2">
      <c r="B45" s="3" t="s">
        <v>262</v>
      </c>
      <c r="C45" s="24">
        <v>0</v>
      </c>
      <c r="D45" s="24">
        <v>0</v>
      </c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8">
        <f>SUM(C45:I45)</f>
        <v>0</v>
      </c>
      <c r="L45"/>
      <c r="M45"/>
    </row>
    <row r="46" spans="2:13" ht="12.75" outlineLevel="2" x14ac:dyDescent="0.2">
      <c r="B46" s="3" t="s">
        <v>1532</v>
      </c>
      <c r="C46" s="24">
        <v>0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8">
        <f>SUM(C46:I46)</f>
        <v>0</v>
      </c>
      <c r="L46"/>
      <c r="M46"/>
    </row>
    <row r="47" spans="2:13" ht="12.75" x14ac:dyDescent="0.2">
      <c r="B47" s="6" t="s">
        <v>1540</v>
      </c>
      <c r="C47" s="63">
        <f t="shared" ref="C47:J47" si="6">SUM(C44:C46)</f>
        <v>-825030.16</v>
      </c>
      <c r="D47" s="63">
        <f t="shared" si="6"/>
        <v>-491556.48</v>
      </c>
      <c r="E47" s="63">
        <f t="shared" si="6"/>
        <v>-505631.66</v>
      </c>
      <c r="F47" s="63">
        <f t="shared" si="6"/>
        <v>-505791.15</v>
      </c>
      <c r="G47" s="63">
        <f t="shared" si="6"/>
        <v>-482511.54</v>
      </c>
      <c r="H47" s="63">
        <f t="shared" si="6"/>
        <v>-413805.71</v>
      </c>
      <c r="I47" s="63">
        <f t="shared" si="6"/>
        <v>-482450.9</v>
      </c>
      <c r="J47" s="63">
        <f t="shared" si="6"/>
        <v>-3706777.6000000001</v>
      </c>
      <c r="L47"/>
      <c r="M47"/>
    </row>
    <row r="48" spans="2:13" ht="12.75" outlineLevel="2" x14ac:dyDescent="0.2">
      <c r="B48" s="3" t="s">
        <v>264</v>
      </c>
      <c r="C48" s="24">
        <v>-160229.37</v>
      </c>
      <c r="D48" s="24">
        <v>-45247.13</v>
      </c>
      <c r="E48" s="24">
        <v>-85074.6</v>
      </c>
      <c r="F48" s="24">
        <v>-331693.62</v>
      </c>
      <c r="G48" s="24">
        <v>-25688.67</v>
      </c>
      <c r="H48" s="24">
        <v>-249536.33</v>
      </c>
      <c r="I48" s="24">
        <v>-120159.08</v>
      </c>
      <c r="J48" s="8">
        <f>SUM(C48:I48)</f>
        <v>-1017628.7999999999</v>
      </c>
      <c r="L48"/>
      <c r="M48"/>
    </row>
    <row r="49" spans="2:13" ht="12.75" x14ac:dyDescent="0.2">
      <c r="B49" s="6" t="s">
        <v>1541</v>
      </c>
      <c r="C49" s="63">
        <f t="shared" ref="C49:J49" si="7">SUM(C48)</f>
        <v>-160229.37</v>
      </c>
      <c r="D49" s="63">
        <f t="shared" si="7"/>
        <v>-45247.13</v>
      </c>
      <c r="E49" s="63">
        <f t="shared" si="7"/>
        <v>-85074.6</v>
      </c>
      <c r="F49" s="63">
        <f t="shared" si="7"/>
        <v>-331693.62</v>
      </c>
      <c r="G49" s="63">
        <f t="shared" si="7"/>
        <v>-25688.67</v>
      </c>
      <c r="H49" s="63">
        <f t="shared" si="7"/>
        <v>-249536.33</v>
      </c>
      <c r="I49" s="63">
        <f t="shared" si="7"/>
        <v>-120159.08</v>
      </c>
      <c r="J49" s="63">
        <f t="shared" si="7"/>
        <v>-1017628.7999999999</v>
      </c>
      <c r="L49"/>
      <c r="M49"/>
    </row>
    <row r="50" spans="2:13" s="9" customFormat="1" ht="12.75" x14ac:dyDescent="0.2">
      <c r="B50" s="13" t="s">
        <v>1537</v>
      </c>
      <c r="C50" s="64">
        <f t="shared" ref="C50:J50" si="8">C49+C47+C43+C33+C12</f>
        <v>-4672952.2200000007</v>
      </c>
      <c r="D50" s="64">
        <f t="shared" si="8"/>
        <v>-5923390.5700000012</v>
      </c>
      <c r="E50" s="64">
        <f t="shared" si="8"/>
        <v>-5333049.7100000018</v>
      </c>
      <c r="F50" s="64">
        <f t="shared" si="8"/>
        <v>-4776841.7</v>
      </c>
      <c r="G50" s="64">
        <f t="shared" si="8"/>
        <v>-3861326.6700000004</v>
      </c>
      <c r="H50" s="64">
        <f t="shared" si="8"/>
        <v>-4538222.17</v>
      </c>
      <c r="I50" s="64">
        <f t="shared" si="8"/>
        <v>-4725010.7299999995</v>
      </c>
      <c r="J50" s="64">
        <f t="shared" si="8"/>
        <v>-33830793.770000003</v>
      </c>
      <c r="L50"/>
      <c r="M50"/>
    </row>
    <row r="51" spans="2:13" ht="12.75" x14ac:dyDescent="0.2">
      <c r="B51" s="3" t="s">
        <v>267</v>
      </c>
      <c r="C51" s="24">
        <v>0</v>
      </c>
      <c r="D51" s="24">
        <v>400.5</v>
      </c>
      <c r="E51" s="24">
        <v>5283.5</v>
      </c>
      <c r="F51" s="24">
        <v>97627.57</v>
      </c>
      <c r="G51" s="24">
        <v>0</v>
      </c>
      <c r="H51" s="24">
        <v>0</v>
      </c>
      <c r="I51" s="24">
        <v>0</v>
      </c>
      <c r="J51" s="8">
        <f t="shared" ref="J51:J79" si="9">SUM(C51:I51)</f>
        <v>103311.57</v>
      </c>
      <c r="L51"/>
      <c r="M51"/>
    </row>
    <row r="52" spans="2:13" ht="12.75" x14ac:dyDescent="0.2">
      <c r="B52" s="3" t="s">
        <v>268</v>
      </c>
      <c r="C52" s="24">
        <v>0</v>
      </c>
      <c r="D52" s="24">
        <v>0</v>
      </c>
      <c r="E52" s="24">
        <v>0</v>
      </c>
      <c r="F52" s="24">
        <v>1931.77</v>
      </c>
      <c r="G52" s="24">
        <v>0</v>
      </c>
      <c r="H52" s="24">
        <v>0</v>
      </c>
      <c r="I52" s="24">
        <v>0</v>
      </c>
      <c r="J52" s="8">
        <f t="shared" si="9"/>
        <v>1931.77</v>
      </c>
      <c r="L52"/>
      <c r="M52"/>
    </row>
    <row r="53" spans="2:13" ht="12.75" x14ac:dyDescent="0.2">
      <c r="B53" s="3" t="s">
        <v>1838</v>
      </c>
      <c r="C53" s="24">
        <v>0</v>
      </c>
      <c r="D53" s="24">
        <v>0</v>
      </c>
      <c r="E53" s="24">
        <v>0</v>
      </c>
      <c r="F53" s="24">
        <v>0</v>
      </c>
      <c r="G53" s="24">
        <v>0</v>
      </c>
      <c r="H53" s="24">
        <v>0</v>
      </c>
      <c r="I53" s="24">
        <v>0</v>
      </c>
      <c r="J53" s="8">
        <f t="shared" si="9"/>
        <v>0</v>
      </c>
      <c r="L53"/>
      <c r="M53"/>
    </row>
    <row r="54" spans="2:13" ht="12.75" x14ac:dyDescent="0.2">
      <c r="B54" s="3" t="s">
        <v>1640</v>
      </c>
      <c r="C54" s="24">
        <v>0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8">
        <f t="shared" si="9"/>
        <v>0</v>
      </c>
      <c r="L54"/>
      <c r="M54"/>
    </row>
    <row r="55" spans="2:13" ht="12.75" x14ac:dyDescent="0.2">
      <c r="B55" s="3" t="s">
        <v>1830</v>
      </c>
      <c r="C55" s="24">
        <v>0</v>
      </c>
      <c r="D55" s="24">
        <v>5435.76</v>
      </c>
      <c r="E55" s="24">
        <v>5450.56</v>
      </c>
      <c r="F55" s="24">
        <v>0</v>
      </c>
      <c r="G55" s="24">
        <v>0</v>
      </c>
      <c r="H55" s="24">
        <v>0</v>
      </c>
      <c r="I55" s="24">
        <v>0</v>
      </c>
      <c r="J55" s="8">
        <f t="shared" si="9"/>
        <v>10886.32</v>
      </c>
      <c r="L55"/>
      <c r="M55"/>
    </row>
    <row r="56" spans="2:13" ht="12.75" x14ac:dyDescent="0.2">
      <c r="B56" s="3" t="s">
        <v>269</v>
      </c>
      <c r="C56" s="24">
        <v>0</v>
      </c>
      <c r="D56" s="24">
        <v>0</v>
      </c>
      <c r="E56" s="24">
        <v>0</v>
      </c>
      <c r="F56" s="24">
        <v>0</v>
      </c>
      <c r="G56" s="24">
        <v>0</v>
      </c>
      <c r="H56" s="24">
        <v>110.87</v>
      </c>
      <c r="I56" s="24">
        <v>111.64</v>
      </c>
      <c r="J56" s="8">
        <f t="shared" si="9"/>
        <v>222.51</v>
      </c>
      <c r="L56"/>
      <c r="M56"/>
    </row>
    <row r="57" spans="2:13" ht="12.75" x14ac:dyDescent="0.2">
      <c r="B57" s="3" t="s">
        <v>542</v>
      </c>
      <c r="C57" s="24">
        <v>0</v>
      </c>
      <c r="D57" s="24">
        <v>0</v>
      </c>
      <c r="E57" s="24">
        <v>188.45</v>
      </c>
      <c r="F57" s="24">
        <v>172.3</v>
      </c>
      <c r="G57" s="24">
        <v>0</v>
      </c>
      <c r="H57" s="24">
        <v>0</v>
      </c>
      <c r="I57" s="24">
        <v>0</v>
      </c>
      <c r="J57" s="8">
        <f t="shared" si="9"/>
        <v>360.75</v>
      </c>
      <c r="L57"/>
      <c r="M57"/>
    </row>
    <row r="58" spans="2:13" ht="12.75" x14ac:dyDescent="0.2">
      <c r="B58" s="3" t="s">
        <v>270</v>
      </c>
      <c r="C58" s="24">
        <v>0</v>
      </c>
      <c r="D58" s="24">
        <v>0</v>
      </c>
      <c r="E58" s="24">
        <v>0</v>
      </c>
      <c r="F58" s="24">
        <v>5779.8</v>
      </c>
      <c r="G58" s="24">
        <v>0</v>
      </c>
      <c r="H58" s="24">
        <v>0</v>
      </c>
      <c r="I58" s="24">
        <v>0</v>
      </c>
      <c r="J58" s="8">
        <f t="shared" si="9"/>
        <v>5779.8</v>
      </c>
      <c r="L58"/>
      <c r="M58"/>
    </row>
    <row r="59" spans="2:13" ht="12.75" x14ac:dyDescent="0.2">
      <c r="B59" s="3" t="s">
        <v>271</v>
      </c>
      <c r="C59" s="24">
        <v>282.04000000000002</v>
      </c>
      <c r="D59" s="24">
        <v>0</v>
      </c>
      <c r="E59" s="24">
        <v>0</v>
      </c>
      <c r="F59" s="24">
        <v>1557.33</v>
      </c>
      <c r="G59" s="24">
        <v>0</v>
      </c>
      <c r="H59" s="24">
        <v>0</v>
      </c>
      <c r="I59" s="24">
        <v>0</v>
      </c>
      <c r="J59" s="8">
        <f t="shared" si="9"/>
        <v>1839.37</v>
      </c>
      <c r="L59"/>
      <c r="M59"/>
    </row>
    <row r="60" spans="2:13" ht="12.75" x14ac:dyDescent="0.2">
      <c r="B60" s="3" t="s">
        <v>272</v>
      </c>
      <c r="C60" s="24">
        <v>0</v>
      </c>
      <c r="D60" s="24">
        <v>0</v>
      </c>
      <c r="E60" s="24">
        <v>0</v>
      </c>
      <c r="F60" s="24">
        <v>10330.39</v>
      </c>
      <c r="G60" s="24">
        <v>0</v>
      </c>
      <c r="H60" s="24">
        <v>0</v>
      </c>
      <c r="I60" s="24">
        <v>0</v>
      </c>
      <c r="J60" s="8">
        <f t="shared" si="9"/>
        <v>10330.39</v>
      </c>
      <c r="L60"/>
      <c r="M60"/>
    </row>
    <row r="61" spans="2:13" ht="12.75" x14ac:dyDescent="0.2">
      <c r="B61" s="3" t="s">
        <v>273</v>
      </c>
      <c r="C61" s="24">
        <v>0</v>
      </c>
      <c r="D61" s="24">
        <v>0</v>
      </c>
      <c r="E61" s="24">
        <v>0</v>
      </c>
      <c r="F61" s="24">
        <v>124.69</v>
      </c>
      <c r="G61" s="24">
        <v>0</v>
      </c>
      <c r="H61" s="24">
        <v>0</v>
      </c>
      <c r="I61" s="24">
        <v>0</v>
      </c>
      <c r="J61" s="8">
        <f t="shared" si="9"/>
        <v>124.69</v>
      </c>
      <c r="L61"/>
      <c r="M61"/>
    </row>
    <row r="62" spans="2:13" ht="12.75" x14ac:dyDescent="0.2">
      <c r="B62" s="3" t="s">
        <v>274</v>
      </c>
      <c r="C62" s="24">
        <v>0</v>
      </c>
      <c r="D62" s="24">
        <v>0</v>
      </c>
      <c r="E62" s="24">
        <v>0</v>
      </c>
      <c r="F62" s="24">
        <v>46.09</v>
      </c>
      <c r="G62" s="24">
        <v>0</v>
      </c>
      <c r="H62" s="24">
        <v>0</v>
      </c>
      <c r="I62" s="24">
        <v>0</v>
      </c>
      <c r="J62" s="8">
        <f t="shared" si="9"/>
        <v>46.09</v>
      </c>
      <c r="L62"/>
      <c r="M62"/>
    </row>
    <row r="63" spans="2:13" ht="12.75" x14ac:dyDescent="0.2">
      <c r="B63" s="3" t="s">
        <v>641</v>
      </c>
      <c r="C63" s="24">
        <v>156.83000000000001</v>
      </c>
      <c r="D63" s="24">
        <v>880.94</v>
      </c>
      <c r="E63" s="24">
        <v>0</v>
      </c>
      <c r="F63" s="24">
        <v>123</v>
      </c>
      <c r="G63" s="24">
        <v>0</v>
      </c>
      <c r="H63" s="24">
        <v>143.84</v>
      </c>
      <c r="I63" s="24">
        <v>0</v>
      </c>
      <c r="J63" s="8">
        <f t="shared" si="9"/>
        <v>1304.6099999999999</v>
      </c>
      <c r="L63"/>
      <c r="M63"/>
    </row>
    <row r="64" spans="2:13" ht="12.75" x14ac:dyDescent="0.2">
      <c r="B64" s="3" t="s">
        <v>275</v>
      </c>
      <c r="C64" s="24">
        <v>-578.78</v>
      </c>
      <c r="D64" s="24">
        <v>-601.37</v>
      </c>
      <c r="E64" s="24">
        <v>-380.11</v>
      </c>
      <c r="F64" s="24">
        <v>576.16</v>
      </c>
      <c r="G64" s="24">
        <v>0</v>
      </c>
      <c r="H64" s="24">
        <v>-408.45</v>
      </c>
      <c r="I64" s="24">
        <v>0</v>
      </c>
      <c r="J64" s="8">
        <f t="shared" si="9"/>
        <v>-1392.5500000000002</v>
      </c>
      <c r="L64"/>
      <c r="M64"/>
    </row>
    <row r="65" spans="2:13" ht="12.75" x14ac:dyDescent="0.2">
      <c r="B65" s="3" t="s">
        <v>1767</v>
      </c>
      <c r="C65" s="24">
        <v>0</v>
      </c>
      <c r="D65" s="24">
        <v>0</v>
      </c>
      <c r="E65" s="24">
        <v>0</v>
      </c>
      <c r="F65" s="24">
        <v>0</v>
      </c>
      <c r="G65" s="24">
        <v>0</v>
      </c>
      <c r="H65" s="24">
        <v>0</v>
      </c>
      <c r="I65" s="24">
        <v>0</v>
      </c>
      <c r="J65" s="8">
        <f t="shared" si="9"/>
        <v>0</v>
      </c>
      <c r="L65"/>
      <c r="M65"/>
    </row>
    <row r="66" spans="2:13" ht="12.75" x14ac:dyDescent="0.2">
      <c r="B66" s="3" t="s">
        <v>276</v>
      </c>
      <c r="C66" s="24">
        <v>-526.22</v>
      </c>
      <c r="D66" s="24">
        <v>0</v>
      </c>
      <c r="E66" s="24">
        <v>0</v>
      </c>
      <c r="F66" s="24">
        <v>952.49</v>
      </c>
      <c r="G66" s="24">
        <v>1268.03</v>
      </c>
      <c r="H66" s="24">
        <v>0</v>
      </c>
      <c r="I66" s="24">
        <v>0</v>
      </c>
      <c r="J66" s="8">
        <f t="shared" si="9"/>
        <v>1694.3</v>
      </c>
      <c r="L66"/>
      <c r="M66"/>
    </row>
    <row r="67" spans="2:13" s="18" customFormat="1" ht="12.75" x14ac:dyDescent="0.2">
      <c r="B67" s="18" t="s">
        <v>277</v>
      </c>
      <c r="C67" s="24">
        <v>-332.91</v>
      </c>
      <c r="D67" s="24">
        <v>0</v>
      </c>
      <c r="E67" s="24">
        <v>0</v>
      </c>
      <c r="F67" s="24">
        <v>-3887.6</v>
      </c>
      <c r="G67" s="24">
        <v>0</v>
      </c>
      <c r="H67" s="24">
        <v>-361.14</v>
      </c>
      <c r="I67" s="24">
        <v>0</v>
      </c>
      <c r="J67" s="78">
        <f t="shared" si="9"/>
        <v>-4581.6500000000005</v>
      </c>
      <c r="L67"/>
      <c r="M67"/>
    </row>
    <row r="68" spans="2:13" ht="12.75" x14ac:dyDescent="0.2">
      <c r="B68" s="3" t="s">
        <v>278</v>
      </c>
      <c r="C68" s="24">
        <v>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8">
        <f t="shared" si="9"/>
        <v>0</v>
      </c>
      <c r="L68"/>
      <c r="M68"/>
    </row>
    <row r="69" spans="2:13" ht="12.75" x14ac:dyDescent="0.2">
      <c r="B69" s="3" t="s">
        <v>1511</v>
      </c>
      <c r="C69" s="24">
        <v>0</v>
      </c>
      <c r="D69" s="24">
        <v>0</v>
      </c>
      <c r="E69" s="24">
        <v>0</v>
      </c>
      <c r="F69" s="24">
        <v>0</v>
      </c>
      <c r="G69" s="24">
        <v>0</v>
      </c>
      <c r="H69" s="24">
        <v>0</v>
      </c>
      <c r="I69" s="24">
        <v>0</v>
      </c>
      <c r="J69" s="8">
        <f t="shared" si="9"/>
        <v>0</v>
      </c>
      <c r="L69"/>
      <c r="M69"/>
    </row>
    <row r="70" spans="2:13" ht="12.75" x14ac:dyDescent="0.2">
      <c r="B70" s="3" t="s">
        <v>1875</v>
      </c>
      <c r="C70" s="24">
        <v>0</v>
      </c>
      <c r="D70" s="24">
        <v>0</v>
      </c>
      <c r="E70" s="24">
        <v>0</v>
      </c>
      <c r="F70" s="24">
        <v>0</v>
      </c>
      <c r="G70" s="24">
        <v>-20.18</v>
      </c>
      <c r="H70" s="24">
        <v>0</v>
      </c>
      <c r="I70" s="24">
        <v>-16.079999999999998</v>
      </c>
      <c r="J70" s="8">
        <f t="shared" si="9"/>
        <v>-36.26</v>
      </c>
      <c r="L70"/>
      <c r="M70"/>
    </row>
    <row r="71" spans="2:13" ht="12.75" x14ac:dyDescent="0.2">
      <c r="B71" s="3" t="s">
        <v>279</v>
      </c>
      <c r="C71" s="24">
        <v>0</v>
      </c>
      <c r="D71" s="24">
        <v>-3000</v>
      </c>
      <c r="E71" s="24">
        <v>-190.42</v>
      </c>
      <c r="F71" s="24">
        <v>0</v>
      </c>
      <c r="G71" s="24">
        <v>0</v>
      </c>
      <c r="H71" s="24">
        <v>0</v>
      </c>
      <c r="I71" s="24">
        <v>0</v>
      </c>
      <c r="J71" s="8">
        <f t="shared" si="9"/>
        <v>-3190.42</v>
      </c>
      <c r="L71"/>
      <c r="M71"/>
    </row>
    <row r="72" spans="2:13" ht="12.75" x14ac:dyDescent="0.2">
      <c r="B72" s="3" t="s">
        <v>280</v>
      </c>
      <c r="C72" s="24">
        <v>0</v>
      </c>
      <c r="D72" s="24">
        <v>0</v>
      </c>
      <c r="E72" s="24">
        <v>0</v>
      </c>
      <c r="F72" s="24">
        <v>0</v>
      </c>
      <c r="G72" s="24">
        <v>0</v>
      </c>
      <c r="H72" s="24">
        <v>0</v>
      </c>
      <c r="I72" s="24">
        <v>0</v>
      </c>
      <c r="J72" s="8">
        <f t="shared" si="9"/>
        <v>0</v>
      </c>
      <c r="L72"/>
      <c r="M72"/>
    </row>
    <row r="73" spans="2:13" ht="12.75" x14ac:dyDescent="0.2">
      <c r="B73" s="3" t="s">
        <v>281</v>
      </c>
      <c r="C73" s="24">
        <v>-21.31</v>
      </c>
      <c r="D73" s="24">
        <v>0</v>
      </c>
      <c r="E73" s="24">
        <v>-57.53</v>
      </c>
      <c r="F73" s="24">
        <v>20.91</v>
      </c>
      <c r="G73" s="24">
        <v>0</v>
      </c>
      <c r="H73" s="24">
        <v>0</v>
      </c>
      <c r="I73" s="24">
        <v>-20.91</v>
      </c>
      <c r="J73" s="8">
        <f t="shared" si="9"/>
        <v>-78.84</v>
      </c>
      <c r="L73"/>
      <c r="M73"/>
    </row>
    <row r="74" spans="2:13" ht="12.75" x14ac:dyDescent="0.2">
      <c r="B74" s="3" t="s">
        <v>282</v>
      </c>
      <c r="C74" s="24">
        <v>0</v>
      </c>
      <c r="D74" s="24">
        <v>0</v>
      </c>
      <c r="E74" s="24">
        <v>0</v>
      </c>
      <c r="F74" s="24">
        <v>0</v>
      </c>
      <c r="G74" s="24">
        <v>0</v>
      </c>
      <c r="H74" s="24">
        <v>0</v>
      </c>
      <c r="I74" s="24">
        <v>0</v>
      </c>
      <c r="J74" s="8">
        <f t="shared" si="9"/>
        <v>0</v>
      </c>
      <c r="L74"/>
      <c r="M74"/>
    </row>
    <row r="75" spans="2:13" ht="12.75" x14ac:dyDescent="0.2">
      <c r="B75" s="3" t="s">
        <v>829</v>
      </c>
      <c r="C75" s="24">
        <v>0</v>
      </c>
      <c r="D75" s="24">
        <v>-0.11</v>
      </c>
      <c r="E75" s="24">
        <v>-0.56999999999999995</v>
      </c>
      <c r="F75" s="24">
        <v>0</v>
      </c>
      <c r="G75" s="24">
        <v>0</v>
      </c>
      <c r="H75" s="24">
        <v>0</v>
      </c>
      <c r="I75" s="24">
        <v>0</v>
      </c>
      <c r="J75" s="8">
        <f t="shared" si="9"/>
        <v>-0.67999999999999994</v>
      </c>
      <c r="L75"/>
      <c r="M75"/>
    </row>
    <row r="76" spans="2:13" ht="12.75" x14ac:dyDescent="0.2">
      <c r="B76" s="3" t="s">
        <v>283</v>
      </c>
      <c r="C76" s="24">
        <v>0</v>
      </c>
      <c r="D76" s="24">
        <v>0</v>
      </c>
      <c r="E76" s="24">
        <v>-2571.13</v>
      </c>
      <c r="F76" s="24">
        <v>-123</v>
      </c>
      <c r="G76" s="24">
        <v>0</v>
      </c>
      <c r="H76" s="24">
        <v>0</v>
      </c>
      <c r="I76" s="24">
        <v>0</v>
      </c>
      <c r="J76" s="8">
        <f t="shared" si="9"/>
        <v>-2694.13</v>
      </c>
      <c r="L76"/>
      <c r="M76"/>
    </row>
    <row r="77" spans="2:13" ht="12.75" x14ac:dyDescent="0.2">
      <c r="B77" s="3" t="s">
        <v>284</v>
      </c>
      <c r="C77" s="24">
        <v>0</v>
      </c>
      <c r="D77" s="24">
        <v>0</v>
      </c>
      <c r="E77" s="24">
        <v>-23.78</v>
      </c>
      <c r="F77" s="24">
        <v>1322.76</v>
      </c>
      <c r="G77" s="24">
        <v>-1268.03</v>
      </c>
      <c r="H77" s="24">
        <v>0</v>
      </c>
      <c r="I77" s="24">
        <v>-54.73</v>
      </c>
      <c r="J77" s="8">
        <f t="shared" si="9"/>
        <v>-23.779999999999951</v>
      </c>
      <c r="L77"/>
      <c r="M77"/>
    </row>
    <row r="78" spans="2:13" ht="12.75" x14ac:dyDescent="0.2">
      <c r="B78" s="3" t="s">
        <v>1062</v>
      </c>
      <c r="C78" s="24">
        <v>0</v>
      </c>
      <c r="D78" s="24">
        <v>0</v>
      </c>
      <c r="E78" s="24">
        <v>0</v>
      </c>
      <c r="F78" s="24">
        <v>0</v>
      </c>
      <c r="G78" s="24">
        <v>0</v>
      </c>
      <c r="H78" s="24">
        <v>0</v>
      </c>
      <c r="I78" s="24">
        <v>0</v>
      </c>
      <c r="J78" s="8">
        <f t="shared" si="9"/>
        <v>0</v>
      </c>
      <c r="L78"/>
      <c r="M78"/>
    </row>
    <row r="79" spans="2:13" ht="12.75" x14ac:dyDescent="0.2">
      <c r="B79" s="3" t="s">
        <v>285</v>
      </c>
      <c r="C79" s="24">
        <v>-876.05</v>
      </c>
      <c r="D79" s="24">
        <v>0</v>
      </c>
      <c r="E79" s="24">
        <v>0</v>
      </c>
      <c r="F79" s="24">
        <v>0</v>
      </c>
      <c r="G79" s="24">
        <v>14.25</v>
      </c>
      <c r="H79" s="24">
        <v>-14.25</v>
      </c>
      <c r="I79" s="24">
        <v>0</v>
      </c>
      <c r="J79" s="8">
        <f t="shared" si="9"/>
        <v>-876.05</v>
      </c>
      <c r="L79"/>
      <c r="M79"/>
    </row>
    <row r="80" spans="2:13" ht="12.75" x14ac:dyDescent="0.2">
      <c r="B80" s="6" t="s">
        <v>1542</v>
      </c>
      <c r="C80" s="63">
        <f t="shared" ref="C80:J80" si="10">SUM(C51:C79)</f>
        <v>-1896.3999999999999</v>
      </c>
      <c r="D80" s="63">
        <f t="shared" si="10"/>
        <v>3115.7200000000007</v>
      </c>
      <c r="E80" s="63">
        <f t="shared" si="10"/>
        <v>7698.9700000000012</v>
      </c>
      <c r="F80" s="63">
        <f t="shared" si="10"/>
        <v>116554.66000000002</v>
      </c>
      <c r="G80" s="63">
        <f t="shared" si="10"/>
        <v>-5.9300000000000637</v>
      </c>
      <c r="H80" s="63">
        <f t="shared" si="10"/>
        <v>-529.13</v>
      </c>
      <c r="I80" s="63">
        <f t="shared" si="10"/>
        <v>19.920000000000009</v>
      </c>
      <c r="J80" s="63">
        <f t="shared" si="10"/>
        <v>124957.80999999997</v>
      </c>
      <c r="L80"/>
      <c r="M80"/>
    </row>
    <row r="81" spans="2:13" ht="12.75" x14ac:dyDescent="0.2">
      <c r="B81" s="3" t="s">
        <v>287</v>
      </c>
      <c r="C81" s="24">
        <v>2115353.83</v>
      </c>
      <c r="D81" s="24">
        <v>2879112.48</v>
      </c>
      <c r="E81" s="24">
        <v>2817465.52</v>
      </c>
      <c r="F81" s="24">
        <v>2324080.48</v>
      </c>
      <c r="G81" s="24">
        <v>1838100</v>
      </c>
      <c r="H81" s="24">
        <v>2208410.13</v>
      </c>
      <c r="I81" s="24">
        <v>2308117.31</v>
      </c>
      <c r="J81" s="8">
        <f t="shared" ref="J81:J94" si="11">SUM(C81:I81)</f>
        <v>16490639.750000002</v>
      </c>
      <c r="L81"/>
      <c r="M81"/>
    </row>
    <row r="82" spans="2:13" ht="12.75" x14ac:dyDescent="0.2">
      <c r="B82" s="3" t="s">
        <v>548</v>
      </c>
      <c r="C82" s="24">
        <v>221636.28</v>
      </c>
      <c r="D82" s="24">
        <v>129110.88</v>
      </c>
      <c r="E82" s="24">
        <v>284884.71000000002</v>
      </c>
      <c r="F82" s="24">
        <v>157666.76</v>
      </c>
      <c r="G82" s="24">
        <v>415577.52</v>
      </c>
      <c r="H82" s="24">
        <v>224183.79</v>
      </c>
      <c r="I82" s="24">
        <v>186580.95</v>
      </c>
      <c r="J82" s="8">
        <f t="shared" si="11"/>
        <v>1619640.8900000001</v>
      </c>
      <c r="L82"/>
      <c r="M82"/>
    </row>
    <row r="83" spans="2:13" ht="12.75" x14ac:dyDescent="0.2">
      <c r="B83" s="3" t="s">
        <v>288</v>
      </c>
      <c r="C83" s="24">
        <v>112614.35</v>
      </c>
      <c r="D83" s="24">
        <v>122939.11</v>
      </c>
      <c r="E83" s="24">
        <v>132808.48000000001</v>
      </c>
      <c r="F83" s="24">
        <v>185678.89</v>
      </c>
      <c r="G83" s="24">
        <v>19756.900000000001</v>
      </c>
      <c r="H83" s="24">
        <v>192365.34</v>
      </c>
      <c r="I83" s="24">
        <v>139069.13</v>
      </c>
      <c r="J83" s="8">
        <f t="shared" si="11"/>
        <v>905232.20000000007</v>
      </c>
      <c r="L83"/>
      <c r="M83"/>
    </row>
    <row r="84" spans="2:13" ht="12.75" x14ac:dyDescent="0.2">
      <c r="B84" s="3" t="s">
        <v>289</v>
      </c>
      <c r="C84" s="24">
        <v>33.950000000000003</v>
      </c>
      <c r="D84" s="24">
        <v>42.41</v>
      </c>
      <c r="E84" s="24">
        <v>1.6</v>
      </c>
      <c r="F84" s="24">
        <v>10.029999999999999</v>
      </c>
      <c r="G84" s="24">
        <v>7.83</v>
      </c>
      <c r="H84" s="24">
        <v>5.41</v>
      </c>
      <c r="I84" s="24">
        <v>5.86</v>
      </c>
      <c r="J84" s="8">
        <f t="shared" si="11"/>
        <v>107.08999999999999</v>
      </c>
      <c r="L84"/>
      <c r="M84"/>
    </row>
    <row r="85" spans="2:13" ht="12.75" x14ac:dyDescent="0.2">
      <c r="B85" s="3" t="s">
        <v>952</v>
      </c>
      <c r="C85" s="24">
        <v>0</v>
      </c>
      <c r="D85" s="24">
        <v>0</v>
      </c>
      <c r="E85" s="24">
        <v>0</v>
      </c>
      <c r="F85" s="24">
        <v>0</v>
      </c>
      <c r="G85" s="24">
        <v>0</v>
      </c>
      <c r="H85" s="24">
        <v>0</v>
      </c>
      <c r="I85" s="24">
        <v>0</v>
      </c>
      <c r="J85" s="8">
        <f t="shared" si="11"/>
        <v>0</v>
      </c>
      <c r="L85"/>
      <c r="M85"/>
    </row>
    <row r="86" spans="2:13" ht="12.75" x14ac:dyDescent="0.2">
      <c r="B86" s="3" t="s">
        <v>1861</v>
      </c>
      <c r="C86" s="24">
        <v>199.54</v>
      </c>
      <c r="D86" s="24">
        <v>4435.0200000000004</v>
      </c>
      <c r="E86" s="24">
        <v>1801.7</v>
      </c>
      <c r="F86" s="24">
        <v>0</v>
      </c>
      <c r="G86" s="24">
        <v>14.28</v>
      </c>
      <c r="H86" s="24">
        <v>188.02</v>
      </c>
      <c r="I86" s="24">
        <v>-113.7</v>
      </c>
      <c r="J86" s="8">
        <f t="shared" si="11"/>
        <v>6524.8600000000006</v>
      </c>
      <c r="L86"/>
      <c r="M86"/>
    </row>
    <row r="87" spans="2:13" ht="12.75" x14ac:dyDescent="0.2">
      <c r="B87" s="3" t="s">
        <v>290</v>
      </c>
      <c r="C87" s="24">
        <v>-70758.42</v>
      </c>
      <c r="D87" s="24">
        <v>-66469.119999999995</v>
      </c>
      <c r="E87" s="24">
        <v>-73045.97</v>
      </c>
      <c r="F87" s="24">
        <v>-10052.129999999999</v>
      </c>
      <c r="G87" s="24">
        <v>-247815.22</v>
      </c>
      <c r="H87" s="24">
        <v>-109049.69</v>
      </c>
      <c r="I87" s="24">
        <v>-101601.54</v>
      </c>
      <c r="J87" s="8">
        <f t="shared" si="11"/>
        <v>-678792.09000000008</v>
      </c>
      <c r="L87"/>
      <c r="M87"/>
    </row>
    <row r="88" spans="2:13" ht="12.75" x14ac:dyDescent="0.2">
      <c r="B88" s="3" t="s">
        <v>291</v>
      </c>
      <c r="C88" s="24">
        <v>-77735.520000000004</v>
      </c>
      <c r="D88" s="24">
        <v>131781.07</v>
      </c>
      <c r="E88" s="24">
        <v>-181900.73</v>
      </c>
      <c r="F88" s="24">
        <v>-147020</v>
      </c>
      <c r="G88" s="24">
        <v>-47971.49</v>
      </c>
      <c r="H88" s="24">
        <v>-223266.86</v>
      </c>
      <c r="I88" s="24">
        <v>-130512.44</v>
      </c>
      <c r="J88" s="8">
        <f t="shared" si="11"/>
        <v>-676625.97</v>
      </c>
      <c r="L88"/>
      <c r="M88"/>
    </row>
    <row r="89" spans="2:13" ht="12.75" x14ac:dyDescent="0.2">
      <c r="B89" s="3" t="s">
        <v>292</v>
      </c>
      <c r="C89" s="24">
        <v>0</v>
      </c>
      <c r="D89" s="24">
        <v>0</v>
      </c>
      <c r="E89" s="24">
        <v>0</v>
      </c>
      <c r="F89" s="24">
        <v>0</v>
      </c>
      <c r="G89" s="24">
        <v>0</v>
      </c>
      <c r="H89" s="24">
        <v>0</v>
      </c>
      <c r="I89" s="24">
        <v>0</v>
      </c>
      <c r="J89" s="8">
        <f t="shared" si="11"/>
        <v>0</v>
      </c>
      <c r="L89"/>
      <c r="M89"/>
    </row>
    <row r="90" spans="2:13" ht="12.75" x14ac:dyDescent="0.2">
      <c r="B90" s="3" t="s">
        <v>293</v>
      </c>
      <c r="C90" s="24">
        <v>28017.29</v>
      </c>
      <c r="D90" s="24">
        <v>244202.33</v>
      </c>
      <c r="E90" s="24">
        <v>87563.53</v>
      </c>
      <c r="F90" s="24">
        <v>0</v>
      </c>
      <c r="G90" s="24">
        <v>0</v>
      </c>
      <c r="H90" s="24">
        <v>82763.47</v>
      </c>
      <c r="I90" s="24">
        <v>72925.52</v>
      </c>
      <c r="J90" s="8">
        <f t="shared" si="11"/>
        <v>515472.14</v>
      </c>
      <c r="L90"/>
      <c r="M90"/>
    </row>
    <row r="91" spans="2:13" ht="12.75" x14ac:dyDescent="0.2">
      <c r="B91" s="3" t="s">
        <v>294</v>
      </c>
      <c r="C91" s="24">
        <v>26522.799999999999</v>
      </c>
      <c r="D91" s="24">
        <v>536484.91</v>
      </c>
      <c r="E91" s="24">
        <v>35468.019999999997</v>
      </c>
      <c r="F91" s="24">
        <v>0</v>
      </c>
      <c r="G91" s="24">
        <v>0</v>
      </c>
      <c r="H91" s="24">
        <v>169471.84</v>
      </c>
      <c r="I91" s="24">
        <v>979.33</v>
      </c>
      <c r="J91" s="8">
        <f t="shared" si="11"/>
        <v>768926.9</v>
      </c>
      <c r="L91"/>
      <c r="M91"/>
    </row>
    <row r="92" spans="2:13" ht="12.75" x14ac:dyDescent="0.2">
      <c r="B92" s="3" t="s">
        <v>295</v>
      </c>
      <c r="C92" s="24">
        <v>20566.54</v>
      </c>
      <c r="D92" s="24">
        <v>5243.87</v>
      </c>
      <c r="E92" s="24">
        <v>22781.13</v>
      </c>
      <c r="F92" s="24">
        <v>-649.54999999999995</v>
      </c>
      <c r="G92" s="24">
        <v>0</v>
      </c>
      <c r="H92" s="24">
        <v>0</v>
      </c>
      <c r="I92" s="24">
        <v>0</v>
      </c>
      <c r="J92" s="8">
        <f t="shared" si="11"/>
        <v>47941.99</v>
      </c>
      <c r="L92"/>
      <c r="M92"/>
    </row>
    <row r="93" spans="2:13" ht="12.75" x14ac:dyDescent="0.2">
      <c r="B93" s="3" t="s">
        <v>296</v>
      </c>
      <c r="C93" s="24">
        <v>420.26</v>
      </c>
      <c r="D93" s="24">
        <v>3663.03</v>
      </c>
      <c r="E93" s="24">
        <v>1313.45</v>
      </c>
      <c r="F93" s="24">
        <v>0</v>
      </c>
      <c r="G93" s="24">
        <v>0</v>
      </c>
      <c r="H93" s="24">
        <v>1241.45</v>
      </c>
      <c r="I93" s="24">
        <v>1093.8800000000001</v>
      </c>
      <c r="J93" s="8">
        <f t="shared" si="11"/>
        <v>7732.07</v>
      </c>
      <c r="L93"/>
      <c r="M93"/>
    </row>
    <row r="94" spans="2:13" ht="12.75" x14ac:dyDescent="0.2">
      <c r="B94" s="3" t="s">
        <v>1876</v>
      </c>
      <c r="C94" s="24">
        <v>0</v>
      </c>
      <c r="D94" s="24">
        <v>0</v>
      </c>
      <c r="E94" s="24">
        <v>0</v>
      </c>
      <c r="F94" s="24">
        <v>0</v>
      </c>
      <c r="G94" s="24">
        <v>777.14</v>
      </c>
      <c r="H94" s="24">
        <v>0</v>
      </c>
      <c r="I94" s="24">
        <v>307.35000000000002</v>
      </c>
      <c r="J94" s="8">
        <f t="shared" si="11"/>
        <v>1084.49</v>
      </c>
      <c r="L94"/>
      <c r="M94"/>
    </row>
    <row r="95" spans="2:13" ht="12.75" x14ac:dyDescent="0.2">
      <c r="B95" s="6" t="s">
        <v>1543</v>
      </c>
      <c r="C95" s="63">
        <f t="shared" ref="C95:J95" si="12">SUM(C81:C94)</f>
        <v>2376870.9</v>
      </c>
      <c r="D95" s="63">
        <f t="shared" si="12"/>
        <v>3990545.9899999998</v>
      </c>
      <c r="E95" s="63">
        <f t="shared" si="12"/>
        <v>3129141.44</v>
      </c>
      <c r="F95" s="63">
        <f t="shared" si="12"/>
        <v>2509714.4800000004</v>
      </c>
      <c r="G95" s="63">
        <f t="shared" si="12"/>
        <v>1978446.9599999997</v>
      </c>
      <c r="H95" s="63">
        <f t="shared" si="12"/>
        <v>2546312.9000000004</v>
      </c>
      <c r="I95" s="63">
        <f t="shared" si="12"/>
        <v>2476851.65</v>
      </c>
      <c r="J95" s="63">
        <f t="shared" si="12"/>
        <v>19007884.319999997</v>
      </c>
      <c r="L95"/>
      <c r="M95"/>
    </row>
    <row r="96" spans="2:13" ht="12.75" x14ac:dyDescent="0.2">
      <c r="B96" s="3" t="s">
        <v>1534</v>
      </c>
      <c r="C96" s="24">
        <v>0</v>
      </c>
      <c r="D96" s="24">
        <v>0</v>
      </c>
      <c r="E96" s="24">
        <v>0</v>
      </c>
      <c r="F96" s="24">
        <v>0</v>
      </c>
      <c r="G96" s="24">
        <v>0</v>
      </c>
      <c r="H96" s="24">
        <v>0</v>
      </c>
      <c r="I96" s="24">
        <v>0</v>
      </c>
      <c r="J96" s="8">
        <f>SUM(C96:I96)</f>
        <v>0</v>
      </c>
      <c r="L96"/>
      <c r="M96"/>
    </row>
    <row r="97" spans="2:13" ht="12.75" x14ac:dyDescent="0.2">
      <c r="B97" s="3" t="s">
        <v>1443</v>
      </c>
      <c r="C97" s="24">
        <v>0</v>
      </c>
      <c r="D97" s="24">
        <v>0</v>
      </c>
      <c r="E97" s="24">
        <v>0</v>
      </c>
      <c r="F97" s="24">
        <v>0</v>
      </c>
      <c r="G97" s="24">
        <v>0</v>
      </c>
      <c r="H97" s="24">
        <v>0</v>
      </c>
      <c r="I97" s="24">
        <v>0</v>
      </c>
      <c r="J97" s="8">
        <f>SUM(C97:I97)</f>
        <v>0</v>
      </c>
      <c r="L97"/>
      <c r="M97"/>
    </row>
    <row r="98" spans="2:13" ht="12.75" x14ac:dyDescent="0.2">
      <c r="B98" s="3" t="s">
        <v>298</v>
      </c>
      <c r="C98" s="24">
        <v>24945.59</v>
      </c>
      <c r="D98" s="24">
        <v>5776.73</v>
      </c>
      <c r="E98" s="24">
        <v>11955.84</v>
      </c>
      <c r="F98" s="24">
        <v>9708.18</v>
      </c>
      <c r="G98" s="24">
        <v>22433.32</v>
      </c>
      <c r="H98" s="24">
        <v>52979.7</v>
      </c>
      <c r="I98" s="24">
        <v>14430.58</v>
      </c>
      <c r="J98" s="8">
        <f>SUM(C98:I98)</f>
        <v>142229.94</v>
      </c>
      <c r="L98"/>
      <c r="M98"/>
    </row>
    <row r="99" spans="2:13" ht="12.75" x14ac:dyDescent="0.2">
      <c r="B99" s="3" t="s">
        <v>299</v>
      </c>
      <c r="C99" s="24">
        <v>74906.62</v>
      </c>
      <c r="D99" s="24">
        <v>119923.58</v>
      </c>
      <c r="E99" s="24">
        <v>98573.18</v>
      </c>
      <c r="F99" s="24">
        <v>118607.64</v>
      </c>
      <c r="G99" s="24">
        <v>108584.1</v>
      </c>
      <c r="H99" s="24">
        <v>84597.24</v>
      </c>
      <c r="I99" s="24">
        <v>143118.79</v>
      </c>
      <c r="J99" s="8">
        <f>SUM(C99:I99)</f>
        <v>748311.15</v>
      </c>
      <c r="L99"/>
      <c r="M99"/>
    </row>
    <row r="100" spans="2:13" ht="12.75" x14ac:dyDescent="0.2">
      <c r="B100" s="3" t="s">
        <v>300</v>
      </c>
      <c r="C100" s="24">
        <v>296.61</v>
      </c>
      <c r="D100" s="24">
        <v>269.39</v>
      </c>
      <c r="E100" s="24">
        <v>20.29</v>
      </c>
      <c r="F100" s="24">
        <v>88.78</v>
      </c>
      <c r="G100" s="24">
        <v>88.07</v>
      </c>
      <c r="H100" s="24">
        <v>113.26</v>
      </c>
      <c r="I100" s="24">
        <v>50.08</v>
      </c>
      <c r="J100" s="8">
        <f>SUM(C100:I100)</f>
        <v>926.4799999999999</v>
      </c>
      <c r="L100"/>
      <c r="M100"/>
    </row>
    <row r="101" spans="2:13" ht="12.75" x14ac:dyDescent="0.2">
      <c r="B101" s="6" t="s">
        <v>1544</v>
      </c>
      <c r="C101" s="63">
        <f t="shared" ref="C101:J101" si="13">SUM(C96:C100)</f>
        <v>100148.81999999999</v>
      </c>
      <c r="D101" s="63">
        <f t="shared" si="13"/>
        <v>125969.7</v>
      </c>
      <c r="E101" s="63">
        <f t="shared" si="13"/>
        <v>110549.30999999998</v>
      </c>
      <c r="F101" s="63">
        <f t="shared" si="13"/>
        <v>128404.6</v>
      </c>
      <c r="G101" s="63">
        <f t="shared" si="13"/>
        <v>131105.49000000002</v>
      </c>
      <c r="H101" s="63">
        <f t="shared" si="13"/>
        <v>137690.20000000001</v>
      </c>
      <c r="I101" s="63">
        <f t="shared" si="13"/>
        <v>157599.44999999998</v>
      </c>
      <c r="J101" s="63">
        <f t="shared" si="13"/>
        <v>891467.57000000007</v>
      </c>
      <c r="L101"/>
      <c r="M101"/>
    </row>
    <row r="102" spans="2:13" ht="12.75" x14ac:dyDescent="0.2">
      <c r="B102" s="3" t="s">
        <v>554</v>
      </c>
      <c r="C102" s="24">
        <v>58916.28</v>
      </c>
      <c r="D102" s="24">
        <v>0</v>
      </c>
      <c r="E102" s="24">
        <v>0</v>
      </c>
      <c r="F102" s="24">
        <v>72.16</v>
      </c>
      <c r="G102" s="24">
        <v>0</v>
      </c>
      <c r="H102" s="24">
        <v>57332.63</v>
      </c>
      <c r="I102" s="24">
        <v>0</v>
      </c>
      <c r="J102" s="8">
        <f t="shared" ref="J102:J119" si="14">SUM(C102:I102)</f>
        <v>116321.07</v>
      </c>
      <c r="L102"/>
      <c r="M102"/>
    </row>
    <row r="103" spans="2:13" ht="12.75" x14ac:dyDescent="0.2">
      <c r="B103" s="3" t="s">
        <v>1426</v>
      </c>
      <c r="C103" s="24">
        <v>0</v>
      </c>
      <c r="D103" s="24">
        <v>0</v>
      </c>
      <c r="E103" s="24">
        <v>0</v>
      </c>
      <c r="F103" s="24">
        <v>0</v>
      </c>
      <c r="G103" s="24">
        <v>0</v>
      </c>
      <c r="H103" s="24">
        <v>0</v>
      </c>
      <c r="I103" s="24">
        <v>0</v>
      </c>
      <c r="J103" s="8">
        <f t="shared" si="14"/>
        <v>0</v>
      </c>
      <c r="L103"/>
      <c r="M103"/>
    </row>
    <row r="104" spans="2:13" ht="12.75" x14ac:dyDescent="0.2">
      <c r="B104" s="3" t="s">
        <v>835</v>
      </c>
      <c r="C104" s="24">
        <v>5589.5</v>
      </c>
      <c r="D104" s="24">
        <v>0</v>
      </c>
      <c r="E104" s="24">
        <v>0</v>
      </c>
      <c r="F104" s="24">
        <v>0</v>
      </c>
      <c r="G104" s="24">
        <v>0</v>
      </c>
      <c r="H104" s="24">
        <v>4442.18</v>
      </c>
      <c r="I104" s="24">
        <v>0</v>
      </c>
      <c r="J104" s="8">
        <f t="shared" si="14"/>
        <v>10031.68</v>
      </c>
      <c r="L104"/>
      <c r="M104"/>
    </row>
    <row r="105" spans="2:13" ht="12.75" x14ac:dyDescent="0.2">
      <c r="B105" s="3" t="s">
        <v>1787</v>
      </c>
      <c r="C105" s="24">
        <v>0</v>
      </c>
      <c r="D105" s="24">
        <v>0</v>
      </c>
      <c r="E105" s="24">
        <v>0</v>
      </c>
      <c r="F105" s="24">
        <v>0</v>
      </c>
      <c r="G105" s="24">
        <v>0</v>
      </c>
      <c r="H105" s="24">
        <v>0</v>
      </c>
      <c r="I105" s="24">
        <v>0</v>
      </c>
      <c r="J105" s="8">
        <f t="shared" si="14"/>
        <v>0</v>
      </c>
      <c r="L105"/>
      <c r="M105"/>
    </row>
    <row r="106" spans="2:13" ht="12.75" x14ac:dyDescent="0.2">
      <c r="B106" s="3" t="s">
        <v>1818</v>
      </c>
      <c r="C106" s="24">
        <v>0</v>
      </c>
      <c r="D106" s="24">
        <v>0</v>
      </c>
      <c r="E106" s="24">
        <v>0</v>
      </c>
      <c r="F106" s="24">
        <v>0</v>
      </c>
      <c r="G106" s="24">
        <v>0</v>
      </c>
      <c r="H106" s="24">
        <v>0</v>
      </c>
      <c r="I106" s="24">
        <v>0</v>
      </c>
      <c r="J106" s="8">
        <f t="shared" si="14"/>
        <v>0</v>
      </c>
      <c r="L106"/>
      <c r="M106"/>
    </row>
    <row r="107" spans="2:13" ht="12.75" x14ac:dyDescent="0.2">
      <c r="B107" s="3" t="s">
        <v>1839</v>
      </c>
      <c r="C107" s="24">
        <v>0</v>
      </c>
      <c r="D107" s="24">
        <v>0</v>
      </c>
      <c r="E107" s="24">
        <v>0</v>
      </c>
      <c r="F107" s="24">
        <v>0</v>
      </c>
      <c r="G107" s="24">
        <v>0</v>
      </c>
      <c r="H107" s="24">
        <v>0</v>
      </c>
      <c r="I107" s="24">
        <v>0</v>
      </c>
      <c r="J107" s="8">
        <f t="shared" si="14"/>
        <v>0</v>
      </c>
      <c r="L107"/>
      <c r="M107"/>
    </row>
    <row r="108" spans="2:13" ht="12.75" x14ac:dyDescent="0.2">
      <c r="B108" s="3" t="s">
        <v>302</v>
      </c>
      <c r="C108" s="24">
        <v>5466.44</v>
      </c>
      <c r="D108" s="24">
        <v>5466.44</v>
      </c>
      <c r="E108" s="24">
        <v>5538.44</v>
      </c>
      <c r="F108" s="24">
        <v>5502.44</v>
      </c>
      <c r="G108" s="24">
        <v>5669.21</v>
      </c>
      <c r="H108" s="24">
        <v>5669.21</v>
      </c>
      <c r="I108" s="24">
        <v>5669.21</v>
      </c>
      <c r="J108" s="8">
        <f t="shared" si="14"/>
        <v>38981.39</v>
      </c>
      <c r="L108"/>
      <c r="M108"/>
    </row>
    <row r="109" spans="2:13" ht="12.75" x14ac:dyDescent="0.2">
      <c r="B109" s="3" t="s">
        <v>647</v>
      </c>
      <c r="C109" s="24">
        <v>0</v>
      </c>
      <c r="D109" s="24">
        <v>0</v>
      </c>
      <c r="E109" s="24">
        <v>0</v>
      </c>
      <c r="F109" s="24">
        <v>0</v>
      </c>
      <c r="G109" s="24">
        <v>67960.100000000006</v>
      </c>
      <c r="H109" s="24">
        <v>73934.5</v>
      </c>
      <c r="I109" s="24">
        <v>0</v>
      </c>
      <c r="J109" s="8">
        <f t="shared" si="14"/>
        <v>141894.6</v>
      </c>
      <c r="L109"/>
      <c r="M109"/>
    </row>
    <row r="110" spans="2:13" ht="12.75" x14ac:dyDescent="0.2">
      <c r="B110" s="3" t="s">
        <v>303</v>
      </c>
      <c r="C110" s="24">
        <v>-5168.13</v>
      </c>
      <c r="D110" s="24">
        <v>4170.1400000000003</v>
      </c>
      <c r="E110" s="24">
        <v>5414.94</v>
      </c>
      <c r="F110" s="24">
        <v>10734.49</v>
      </c>
      <c r="G110" s="24">
        <v>4053.65</v>
      </c>
      <c r="H110" s="24">
        <v>0</v>
      </c>
      <c r="I110" s="24">
        <v>0</v>
      </c>
      <c r="J110" s="8">
        <f t="shared" si="14"/>
        <v>19205.09</v>
      </c>
      <c r="L110"/>
      <c r="M110"/>
    </row>
    <row r="111" spans="2:13" ht="12.75" x14ac:dyDescent="0.2">
      <c r="B111" s="3" t="s">
        <v>304</v>
      </c>
      <c r="C111" s="24">
        <v>0</v>
      </c>
      <c r="D111" s="24">
        <v>0</v>
      </c>
      <c r="E111" s="24">
        <v>0</v>
      </c>
      <c r="F111" s="24">
        <v>0</v>
      </c>
      <c r="G111" s="24">
        <v>0</v>
      </c>
      <c r="H111" s="24">
        <v>0</v>
      </c>
      <c r="I111" s="24">
        <v>0</v>
      </c>
      <c r="J111" s="8">
        <f t="shared" si="14"/>
        <v>0</v>
      </c>
      <c r="L111"/>
      <c r="M111"/>
    </row>
    <row r="112" spans="2:13" ht="12.75" x14ac:dyDescent="0.2">
      <c r="B112" s="3" t="s">
        <v>305</v>
      </c>
      <c r="C112" s="24">
        <v>221702.22</v>
      </c>
      <c r="D112" s="24">
        <v>223000.92</v>
      </c>
      <c r="E112" s="24">
        <v>230603</v>
      </c>
      <c r="F112" s="24">
        <v>261124.18</v>
      </c>
      <c r="G112" s="24">
        <v>273722.73</v>
      </c>
      <c r="H112" s="24">
        <v>275301.37</v>
      </c>
      <c r="I112" s="24">
        <v>277768.53999999998</v>
      </c>
      <c r="J112" s="8">
        <f t="shared" si="14"/>
        <v>1763222.96</v>
      </c>
      <c r="L112"/>
      <c r="M112"/>
    </row>
    <row r="113" spans="2:13" ht="12.75" x14ac:dyDescent="0.2">
      <c r="B113" s="3" t="s">
        <v>306</v>
      </c>
      <c r="C113" s="24">
        <v>124160.96000000001</v>
      </c>
      <c r="D113" s="24">
        <v>126012.94</v>
      </c>
      <c r="E113" s="24">
        <v>97607.22</v>
      </c>
      <c r="F113" s="24">
        <v>80947.62</v>
      </c>
      <c r="G113" s="24">
        <v>41569.57</v>
      </c>
      <c r="H113" s="24">
        <v>103172.77</v>
      </c>
      <c r="I113" s="24">
        <v>65217.88</v>
      </c>
      <c r="J113" s="8">
        <f t="shared" si="14"/>
        <v>638688.96</v>
      </c>
      <c r="L113"/>
      <c r="M113"/>
    </row>
    <row r="114" spans="2:13" ht="12.75" x14ac:dyDescent="0.2">
      <c r="B114" s="3" t="s">
        <v>838</v>
      </c>
      <c r="C114" s="24">
        <v>0</v>
      </c>
      <c r="D114" s="24">
        <v>0</v>
      </c>
      <c r="E114" s="24">
        <v>0</v>
      </c>
      <c r="F114" s="24">
        <v>0</v>
      </c>
      <c r="G114" s="24">
        <v>0</v>
      </c>
      <c r="H114" s="24">
        <v>0</v>
      </c>
      <c r="I114" s="24">
        <v>0</v>
      </c>
      <c r="J114" s="8">
        <f t="shared" si="14"/>
        <v>0</v>
      </c>
      <c r="L114"/>
      <c r="M114"/>
    </row>
    <row r="115" spans="2:13" ht="12.75" x14ac:dyDescent="0.2">
      <c r="B115" s="3" t="s">
        <v>1819</v>
      </c>
      <c r="C115" s="24">
        <v>0</v>
      </c>
      <c r="D115" s="24">
        <v>0</v>
      </c>
      <c r="E115" s="24">
        <v>0</v>
      </c>
      <c r="F115" s="24">
        <v>0</v>
      </c>
      <c r="G115" s="24">
        <v>0</v>
      </c>
      <c r="H115" s="24">
        <v>0</v>
      </c>
      <c r="I115" s="24">
        <v>0</v>
      </c>
      <c r="J115" s="8">
        <f t="shared" si="14"/>
        <v>0</v>
      </c>
      <c r="L115"/>
      <c r="M115"/>
    </row>
    <row r="116" spans="2:13" ht="12.75" x14ac:dyDescent="0.2">
      <c r="B116" s="3" t="s">
        <v>556</v>
      </c>
      <c r="C116" s="24">
        <v>0</v>
      </c>
      <c r="D116" s="24">
        <v>0</v>
      </c>
      <c r="E116" s="24">
        <v>0</v>
      </c>
      <c r="F116" s="24">
        <v>0</v>
      </c>
      <c r="G116" s="24">
        <v>0</v>
      </c>
      <c r="H116" s="24">
        <v>0</v>
      </c>
      <c r="I116" s="24">
        <v>0</v>
      </c>
      <c r="J116" s="8">
        <f t="shared" si="14"/>
        <v>0</v>
      </c>
      <c r="L116"/>
      <c r="M116"/>
    </row>
    <row r="117" spans="2:13" ht="12.75" x14ac:dyDescent="0.2">
      <c r="B117" s="3" t="s">
        <v>307</v>
      </c>
      <c r="C117" s="24">
        <v>142979.51999999999</v>
      </c>
      <c r="D117" s="24">
        <v>142979.51999999999</v>
      </c>
      <c r="E117" s="24">
        <v>144563.51999999999</v>
      </c>
      <c r="F117" s="24">
        <v>143771.51999999999</v>
      </c>
      <c r="G117" s="24">
        <v>149153.68</v>
      </c>
      <c r="H117" s="24">
        <v>149153.68</v>
      </c>
      <c r="I117" s="24">
        <v>149153.68</v>
      </c>
      <c r="J117" s="8">
        <f t="shared" si="14"/>
        <v>1021755.1199999999</v>
      </c>
      <c r="L117"/>
      <c r="M117"/>
    </row>
    <row r="118" spans="2:13" ht="12.75" x14ac:dyDescent="0.2">
      <c r="B118" s="3" t="s">
        <v>308</v>
      </c>
      <c r="C118" s="24">
        <v>0</v>
      </c>
      <c r="D118" s="24">
        <v>0</v>
      </c>
      <c r="E118" s="24">
        <v>7024.5</v>
      </c>
      <c r="F118" s="24">
        <v>-2370.62</v>
      </c>
      <c r="G118" s="24">
        <v>8675.67</v>
      </c>
      <c r="H118" s="24">
        <v>-18637.36</v>
      </c>
      <c r="I118" s="24">
        <v>-4140.92</v>
      </c>
      <c r="J118" s="8">
        <f t="shared" si="14"/>
        <v>-9448.7300000000014</v>
      </c>
      <c r="L118"/>
      <c r="M118"/>
    </row>
    <row r="119" spans="2:13" ht="12.75" x14ac:dyDescent="0.2">
      <c r="B119" s="3" t="s">
        <v>309</v>
      </c>
      <c r="C119" s="24">
        <v>6508.89</v>
      </c>
      <c r="D119" s="24">
        <v>6037.93</v>
      </c>
      <c r="E119" s="24">
        <v>5771.71</v>
      </c>
      <c r="F119" s="24">
        <v>5412.91</v>
      </c>
      <c r="G119" s="24">
        <v>-977.9</v>
      </c>
      <c r="H119" s="24">
        <v>-2414.13</v>
      </c>
      <c r="I119" s="24">
        <v>-2144.34</v>
      </c>
      <c r="J119" s="8">
        <f t="shared" si="14"/>
        <v>18195.069999999996</v>
      </c>
      <c r="L119"/>
      <c r="M119"/>
    </row>
    <row r="120" spans="2:13" ht="12.75" x14ac:dyDescent="0.2">
      <c r="B120" s="6" t="s">
        <v>1545</v>
      </c>
      <c r="C120" s="63">
        <f t="shared" ref="C120:J120" si="15">SUM(C102:C119)</f>
        <v>560155.68000000005</v>
      </c>
      <c r="D120" s="63">
        <f t="shared" si="15"/>
        <v>507667.88999999996</v>
      </c>
      <c r="E120" s="63">
        <f t="shared" si="15"/>
        <v>496523.33</v>
      </c>
      <c r="F120" s="63">
        <f t="shared" si="15"/>
        <v>505194.7</v>
      </c>
      <c r="G120" s="63">
        <f t="shared" si="15"/>
        <v>549826.71</v>
      </c>
      <c r="H120" s="63">
        <f t="shared" si="15"/>
        <v>647954.85000000009</v>
      </c>
      <c r="I120" s="63">
        <f t="shared" si="15"/>
        <v>491524.05</v>
      </c>
      <c r="J120" s="63">
        <f t="shared" si="15"/>
        <v>3758847.21</v>
      </c>
      <c r="L120"/>
      <c r="M120"/>
    </row>
    <row r="121" spans="2:13" ht="12.75" x14ac:dyDescent="0.2">
      <c r="B121" s="3" t="s">
        <v>311</v>
      </c>
      <c r="C121" s="24">
        <v>103147.29</v>
      </c>
      <c r="D121" s="24">
        <v>33394.79</v>
      </c>
      <c r="E121" s="24">
        <v>59881.03</v>
      </c>
      <c r="F121" s="24">
        <v>239559.45</v>
      </c>
      <c r="G121" s="24">
        <v>18858.05</v>
      </c>
      <c r="H121" s="24">
        <v>180560.75</v>
      </c>
      <c r="I121" s="24">
        <v>79365.39</v>
      </c>
      <c r="J121" s="8">
        <f>SUM(C121:I121)</f>
        <v>714766.75</v>
      </c>
      <c r="L121"/>
      <c r="M121"/>
    </row>
    <row r="122" spans="2:13" ht="12.75" x14ac:dyDescent="0.2">
      <c r="B122" s="6" t="s">
        <v>1546</v>
      </c>
      <c r="C122" s="63">
        <f t="shared" ref="C122:J122" si="16">SUM(C121)</f>
        <v>103147.29</v>
      </c>
      <c r="D122" s="63">
        <f t="shared" si="16"/>
        <v>33394.79</v>
      </c>
      <c r="E122" s="63">
        <f t="shared" si="16"/>
        <v>59881.03</v>
      </c>
      <c r="F122" s="63">
        <f t="shared" si="16"/>
        <v>239559.45</v>
      </c>
      <c r="G122" s="63">
        <f t="shared" si="16"/>
        <v>18858.05</v>
      </c>
      <c r="H122" s="63">
        <f t="shared" si="16"/>
        <v>180560.75</v>
      </c>
      <c r="I122" s="63">
        <f t="shared" si="16"/>
        <v>79365.39</v>
      </c>
      <c r="J122" s="63">
        <f t="shared" si="16"/>
        <v>714766.75</v>
      </c>
      <c r="L122"/>
      <c r="M122"/>
    </row>
    <row r="123" spans="2:13" s="9" customFormat="1" ht="12.75" x14ac:dyDescent="0.2">
      <c r="B123" s="13" t="s">
        <v>1547</v>
      </c>
      <c r="C123" s="64">
        <f t="shared" ref="C123:J123" si="17">C122+C120+C101+C95+C80</f>
        <v>3138426.29</v>
      </c>
      <c r="D123" s="64">
        <f t="shared" si="17"/>
        <v>4660694.0899999989</v>
      </c>
      <c r="E123" s="64">
        <f t="shared" si="17"/>
        <v>3803794.08</v>
      </c>
      <c r="F123" s="64">
        <f t="shared" si="17"/>
        <v>3499427.8900000006</v>
      </c>
      <c r="G123" s="64">
        <f t="shared" si="17"/>
        <v>2678231.2799999998</v>
      </c>
      <c r="H123" s="64">
        <f t="shared" si="17"/>
        <v>3511989.5700000003</v>
      </c>
      <c r="I123" s="64">
        <f t="shared" si="17"/>
        <v>3205360.46</v>
      </c>
      <c r="J123" s="64">
        <f t="shared" si="17"/>
        <v>24497923.659999996</v>
      </c>
      <c r="L123"/>
      <c r="M123"/>
    </row>
    <row r="124" spans="2:13" s="9" customFormat="1" ht="12.75" x14ac:dyDescent="0.2">
      <c r="B124" s="16" t="s">
        <v>1548</v>
      </c>
      <c r="C124" s="65">
        <f t="shared" ref="C124:J124" si="18">C50+C123</f>
        <v>-1534525.9300000006</v>
      </c>
      <c r="D124" s="65">
        <f t="shared" si="18"/>
        <v>-1262696.4800000023</v>
      </c>
      <c r="E124" s="65">
        <f t="shared" si="18"/>
        <v>-1529255.6300000018</v>
      </c>
      <c r="F124" s="65">
        <f t="shared" si="18"/>
        <v>-1277413.8099999996</v>
      </c>
      <c r="G124" s="65">
        <f t="shared" si="18"/>
        <v>-1183095.3900000006</v>
      </c>
      <c r="H124" s="65">
        <f t="shared" si="18"/>
        <v>-1026232.5999999996</v>
      </c>
      <c r="I124" s="65">
        <f t="shared" si="18"/>
        <v>-1519650.2699999996</v>
      </c>
      <c r="J124" s="65">
        <f t="shared" si="18"/>
        <v>-9332870.1100000069</v>
      </c>
      <c r="L124"/>
      <c r="M124"/>
    </row>
    <row r="125" spans="2:13" s="27" customFormat="1" ht="12.75" x14ac:dyDescent="0.2">
      <c r="B125" s="26" t="s">
        <v>1549</v>
      </c>
      <c r="C125" s="26">
        <f t="shared" ref="C125:I125" si="19">C124/C50</f>
        <v>0.32838468226409567</v>
      </c>
      <c r="D125" s="26">
        <f t="shared" si="19"/>
        <v>0.21317123446073927</v>
      </c>
      <c r="E125" s="26">
        <f t="shared" si="19"/>
        <v>0.28675067984693531</v>
      </c>
      <c r="F125" s="26">
        <f t="shared" si="19"/>
        <v>0.26741807458262634</v>
      </c>
      <c r="G125" s="26">
        <f t="shared" si="19"/>
        <v>0.30639608898979803</v>
      </c>
      <c r="H125" s="26">
        <f t="shared" si="19"/>
        <v>0.22613097410345595</v>
      </c>
      <c r="I125" s="26">
        <f t="shared" si="19"/>
        <v>0.32161837439890845</v>
      </c>
      <c r="J125" s="26">
        <f t="shared" ref="J125" si="20">J124/J50</f>
        <v>0.27586908464075349</v>
      </c>
      <c r="L125"/>
      <c r="M125"/>
    </row>
    <row r="126" spans="2:13" s="27" customFormat="1" ht="12.75" x14ac:dyDescent="0.2">
      <c r="B126" s="26" t="s">
        <v>1573</v>
      </c>
      <c r="C126" s="26">
        <f t="shared" ref="C126:J126" si="21">(C80+C12)/C12</f>
        <v>11.484878642118648</v>
      </c>
      <c r="D126" s="26">
        <f t="shared" si="21"/>
        <v>0.5687948837537592</v>
      </c>
      <c r="E126" s="26">
        <f t="shared" si="21"/>
        <v>0.35008015343537136</v>
      </c>
      <c r="F126" s="26">
        <f t="shared" si="21"/>
        <v>1.3983865343413081E-2</v>
      </c>
      <c r="G126" s="26" t="e">
        <f t="shared" si="21"/>
        <v>#DIV/0!</v>
      </c>
      <c r="H126" s="26">
        <f t="shared" si="21"/>
        <v>5.6107528755663987</v>
      </c>
      <c r="I126" s="26">
        <f t="shared" si="21"/>
        <v>0.8276220145379023</v>
      </c>
      <c r="J126" s="26">
        <f t="shared" si="21"/>
        <v>9.2473198403172377E-2</v>
      </c>
      <c r="L126"/>
      <c r="M126"/>
    </row>
    <row r="127" spans="2:13" s="27" customFormat="1" ht="12.75" x14ac:dyDescent="0.2">
      <c r="B127" s="26" t="s">
        <v>1574</v>
      </c>
      <c r="C127" s="26">
        <f t="shared" ref="C127:J127" si="22">(C95+C33)/C33</f>
        <v>0.32321891083624449</v>
      </c>
      <c r="D127" s="26">
        <f t="shared" si="22"/>
        <v>0.22330650343184613</v>
      </c>
      <c r="E127" s="26">
        <f t="shared" si="22"/>
        <v>0.30716858287004373</v>
      </c>
      <c r="F127" s="26">
        <f t="shared" si="22"/>
        <v>0.30115060738202126</v>
      </c>
      <c r="G127" s="26">
        <f t="shared" si="22"/>
        <v>0.36697613015603825</v>
      </c>
      <c r="H127" s="26">
        <f t="shared" si="22"/>
        <v>0.29856299361781491</v>
      </c>
      <c r="I127" s="26">
        <f t="shared" si="22"/>
        <v>0.35336001416061913</v>
      </c>
      <c r="J127" s="26">
        <f t="shared" si="22"/>
        <v>0.30484614940950805</v>
      </c>
      <c r="L127"/>
      <c r="M127"/>
    </row>
    <row r="128" spans="2:13" s="27" customFormat="1" ht="12.75" x14ac:dyDescent="0.2">
      <c r="B128" s="26" t="s">
        <v>1575</v>
      </c>
      <c r="C128" s="26">
        <f t="shared" ref="C128:J128" si="23">(C101+C43)/C43</f>
        <v>0.42931438281461026</v>
      </c>
      <c r="D128" s="26">
        <f t="shared" si="23"/>
        <v>0.47837940206161744</v>
      </c>
      <c r="E128" s="26">
        <f t="shared" si="23"/>
        <v>0.48351848372974965</v>
      </c>
      <c r="F128" s="26">
        <f t="shared" si="23"/>
        <v>0.44157323537266757</v>
      </c>
      <c r="G128" s="26">
        <f t="shared" si="23"/>
        <v>0.42430854821218406</v>
      </c>
      <c r="H128" s="26">
        <f t="shared" si="23"/>
        <v>0.43714387209625072</v>
      </c>
      <c r="I128" s="26">
        <f t="shared" si="23"/>
        <v>0.46017267889455177</v>
      </c>
      <c r="J128" s="26">
        <f t="shared" si="23"/>
        <v>0.45149772993324039</v>
      </c>
      <c r="L128"/>
      <c r="M128"/>
    </row>
    <row r="129" spans="2:13" s="27" customFormat="1" ht="12.75" x14ac:dyDescent="0.2">
      <c r="B129" s="26" t="s">
        <v>1825</v>
      </c>
      <c r="C129" s="62">
        <f t="shared" ref="C129:J129" si="24">(C120+C47)/C47</f>
        <v>0.32104823901225621</v>
      </c>
      <c r="D129" s="62">
        <f t="shared" si="24"/>
        <v>-3.277631494146914E-2</v>
      </c>
      <c r="E129" s="62">
        <f t="shared" si="24"/>
        <v>1.8013765198168087E-2</v>
      </c>
      <c r="F129" s="62">
        <f t="shared" si="24"/>
        <v>1.179241669214678E-3</v>
      </c>
      <c r="G129" s="62">
        <f t="shared" si="24"/>
        <v>-0.1395099690258185</v>
      </c>
      <c r="H129" s="62">
        <f t="shared" si="24"/>
        <v>-0.5658431827825674</v>
      </c>
      <c r="I129" s="62">
        <f t="shared" si="24"/>
        <v>-1.8806369725914006E-2</v>
      </c>
      <c r="J129" s="62">
        <f t="shared" si="24"/>
        <v>-1.4047136251174029E-2</v>
      </c>
      <c r="L129"/>
      <c r="M129"/>
    </row>
    <row r="130" spans="2:13" s="27" customFormat="1" ht="12.75" x14ac:dyDescent="0.2">
      <c r="B130" s="26" t="s">
        <v>1576</v>
      </c>
      <c r="C130" s="26">
        <f t="shared" ref="C130:J130" si="25">(C122+C49)/C49</f>
        <v>0.35625229007640735</v>
      </c>
      <c r="D130" s="26">
        <f t="shared" si="25"/>
        <v>0.2619467798289084</v>
      </c>
      <c r="E130" s="26">
        <f t="shared" si="25"/>
        <v>0.29613503913036332</v>
      </c>
      <c r="F130" s="26">
        <f t="shared" si="25"/>
        <v>0.2777688940776129</v>
      </c>
      <c r="G130" s="26">
        <f t="shared" si="25"/>
        <v>0.26590010304153539</v>
      </c>
      <c r="H130" s="26">
        <f t="shared" si="25"/>
        <v>0.27641498133758718</v>
      </c>
      <c r="I130" s="26">
        <f t="shared" si="25"/>
        <v>0.33949735633794803</v>
      </c>
      <c r="J130" s="26">
        <f t="shared" si="25"/>
        <v>0.29761544681125374</v>
      </c>
      <c r="L130"/>
      <c r="M130"/>
    </row>
    <row r="131" spans="2:13" ht="12.75" x14ac:dyDescent="0.2">
      <c r="B131" s="3" t="s">
        <v>314</v>
      </c>
      <c r="C131" s="24">
        <v>60159.839999999997</v>
      </c>
      <c r="D131" s="24">
        <v>64397.8</v>
      </c>
      <c r="E131" s="24">
        <v>61806.559999999998</v>
      </c>
      <c r="F131" s="24">
        <v>60596.97</v>
      </c>
      <c r="G131" s="24">
        <v>58119.03</v>
      </c>
      <c r="H131" s="24">
        <v>52919.96</v>
      </c>
      <c r="I131" s="24">
        <v>57868.86</v>
      </c>
      <c r="J131" s="8">
        <f t="shared" ref="J131:J177" si="26">SUM(C131:I131)</f>
        <v>415869.02</v>
      </c>
      <c r="L131"/>
      <c r="M131"/>
    </row>
    <row r="132" spans="2:13" ht="12.75" x14ac:dyDescent="0.2">
      <c r="B132" s="3" t="s">
        <v>315</v>
      </c>
      <c r="C132" s="24">
        <v>2780.74</v>
      </c>
      <c r="D132" s="24">
        <v>787.28</v>
      </c>
      <c r="E132" s="24">
        <v>1984.17</v>
      </c>
      <c r="F132" s="24">
        <v>5642.31</v>
      </c>
      <c r="G132" s="24">
        <v>4801.8900000000003</v>
      </c>
      <c r="H132" s="24">
        <v>2875.93</v>
      </c>
      <c r="I132" s="24">
        <v>2870.97</v>
      </c>
      <c r="J132" s="8">
        <f t="shared" si="26"/>
        <v>21743.29</v>
      </c>
      <c r="L132"/>
      <c r="M132"/>
    </row>
    <row r="133" spans="2:13" ht="12.75" x14ac:dyDescent="0.2">
      <c r="B133" s="3" t="s">
        <v>558</v>
      </c>
      <c r="C133" s="24">
        <v>0</v>
      </c>
      <c r="D133" s="24">
        <v>1467.86</v>
      </c>
      <c r="E133" s="24">
        <v>58916.5</v>
      </c>
      <c r="F133" s="24">
        <v>0</v>
      </c>
      <c r="G133" s="24">
        <v>0</v>
      </c>
      <c r="H133" s="24">
        <v>-1081.32</v>
      </c>
      <c r="I133" s="24">
        <v>0</v>
      </c>
      <c r="J133" s="8">
        <f t="shared" si="26"/>
        <v>59303.040000000001</v>
      </c>
      <c r="L133"/>
      <c r="M133"/>
    </row>
    <row r="134" spans="2:13" ht="12.75" x14ac:dyDescent="0.2">
      <c r="B134" s="3" t="s">
        <v>559</v>
      </c>
      <c r="C134" s="24">
        <v>0</v>
      </c>
      <c r="D134" s="24">
        <v>0</v>
      </c>
      <c r="E134" s="24">
        <v>0</v>
      </c>
      <c r="F134" s="24">
        <v>0</v>
      </c>
      <c r="G134" s="24">
        <v>0</v>
      </c>
      <c r="H134" s="24">
        <v>0</v>
      </c>
      <c r="I134" s="24">
        <v>0</v>
      </c>
      <c r="J134" s="8">
        <f t="shared" si="26"/>
        <v>0</v>
      </c>
      <c r="L134"/>
      <c r="M134"/>
    </row>
    <row r="135" spans="2:13" ht="12.75" x14ac:dyDescent="0.2">
      <c r="B135" s="3" t="s">
        <v>316</v>
      </c>
      <c r="C135" s="24">
        <v>13222.4</v>
      </c>
      <c r="D135" s="24">
        <v>14685.98</v>
      </c>
      <c r="E135" s="24">
        <v>14496.57</v>
      </c>
      <c r="F135" s="24">
        <v>13455.91</v>
      </c>
      <c r="G135" s="24">
        <v>13092.21</v>
      </c>
      <c r="H135" s="24">
        <v>11725</v>
      </c>
      <c r="I135" s="24">
        <v>12760.25</v>
      </c>
      <c r="J135" s="8">
        <f t="shared" si="26"/>
        <v>93438.32</v>
      </c>
      <c r="L135"/>
      <c r="M135"/>
    </row>
    <row r="136" spans="2:13" ht="12.75" x14ac:dyDescent="0.2">
      <c r="B136" s="3" t="s">
        <v>317</v>
      </c>
      <c r="C136" s="24">
        <v>341.68</v>
      </c>
      <c r="D136" s="24">
        <v>27102.3</v>
      </c>
      <c r="E136" s="24">
        <v>475.37</v>
      </c>
      <c r="F136" s="24">
        <v>25615.71</v>
      </c>
      <c r="G136" s="24">
        <v>512.88</v>
      </c>
      <c r="H136" s="24">
        <v>23153.4</v>
      </c>
      <c r="I136" s="24">
        <v>5099.32</v>
      </c>
      <c r="J136" s="8">
        <f t="shared" si="26"/>
        <v>82300.66</v>
      </c>
      <c r="L136"/>
      <c r="M136"/>
    </row>
    <row r="137" spans="2:13" ht="12.75" x14ac:dyDescent="0.2">
      <c r="B137" s="3" t="s">
        <v>318</v>
      </c>
      <c r="C137" s="24">
        <v>5317.18</v>
      </c>
      <c r="D137" s="24">
        <v>16042.78</v>
      </c>
      <c r="E137" s="24">
        <v>80064.37</v>
      </c>
      <c r="F137" s="24">
        <v>148.84</v>
      </c>
      <c r="G137" s="24">
        <v>0</v>
      </c>
      <c r="H137" s="24">
        <v>-772.56</v>
      </c>
      <c r="I137" s="24">
        <v>0</v>
      </c>
      <c r="J137" s="8">
        <f t="shared" si="26"/>
        <v>100800.60999999999</v>
      </c>
      <c r="L137"/>
      <c r="M137"/>
    </row>
    <row r="138" spans="2:13" ht="12.75" x14ac:dyDescent="0.2">
      <c r="B138" s="3" t="s">
        <v>319</v>
      </c>
      <c r="C138" s="24">
        <v>39332.86</v>
      </c>
      <c r="D138" s="24">
        <v>44604.62</v>
      </c>
      <c r="E138" s="24">
        <v>35786.17</v>
      </c>
      <c r="F138" s="24">
        <v>33587.550000000003</v>
      </c>
      <c r="G138" s="24">
        <v>41675.79</v>
      </c>
      <c r="H138" s="24">
        <v>38987.74</v>
      </c>
      <c r="I138" s="24">
        <v>33052.68</v>
      </c>
      <c r="J138" s="8">
        <f t="shared" si="26"/>
        <v>267027.41000000003</v>
      </c>
      <c r="L138"/>
      <c r="M138"/>
    </row>
    <row r="139" spans="2:13" ht="12.75" x14ac:dyDescent="0.2">
      <c r="B139" s="3" t="s">
        <v>320</v>
      </c>
      <c r="C139" s="24">
        <v>5025.37</v>
      </c>
      <c r="D139" s="24">
        <v>3907.4</v>
      </c>
      <c r="E139" s="24">
        <v>-53753.37</v>
      </c>
      <c r="F139" s="24">
        <v>5049.75</v>
      </c>
      <c r="G139" s="24">
        <v>4872.32</v>
      </c>
      <c r="H139" s="24">
        <v>5525.73</v>
      </c>
      <c r="I139" s="24">
        <v>4837.55</v>
      </c>
      <c r="J139" s="8">
        <f t="shared" si="26"/>
        <v>-24535.250000000007</v>
      </c>
      <c r="L139"/>
      <c r="M139"/>
    </row>
    <row r="140" spans="2:13" ht="12.75" x14ac:dyDescent="0.2">
      <c r="B140" s="3" t="s">
        <v>321</v>
      </c>
      <c r="C140" s="24">
        <v>-128859.95</v>
      </c>
      <c r="D140" s="24">
        <v>-119445.15</v>
      </c>
      <c r="E140" s="24">
        <v>-119588.46</v>
      </c>
      <c r="F140" s="24">
        <v>-122640.01</v>
      </c>
      <c r="G140" s="24">
        <v>-122954.73</v>
      </c>
      <c r="H140" s="24">
        <v>-103735.92</v>
      </c>
      <c r="I140" s="24">
        <v>-118375.72</v>
      </c>
      <c r="J140" s="8">
        <f t="shared" si="26"/>
        <v>-835599.94000000006</v>
      </c>
      <c r="L140"/>
      <c r="M140"/>
    </row>
    <row r="141" spans="2:13" ht="12.75" x14ac:dyDescent="0.2">
      <c r="B141" s="3" t="s">
        <v>841</v>
      </c>
      <c r="C141" s="24">
        <v>12368.58</v>
      </c>
      <c r="D141" s="24">
        <v>0</v>
      </c>
      <c r="E141" s="24">
        <v>28264.41</v>
      </c>
      <c r="F141" s="24">
        <v>13858.49</v>
      </c>
      <c r="G141" s="24">
        <v>13434.68</v>
      </c>
      <c r="H141" s="24">
        <v>13305.3</v>
      </c>
      <c r="I141" s="24">
        <v>13212.61</v>
      </c>
      <c r="J141" s="8">
        <f t="shared" si="26"/>
        <v>94444.07</v>
      </c>
      <c r="L141"/>
      <c r="M141"/>
    </row>
    <row r="142" spans="2:13" ht="12.75" x14ac:dyDescent="0.2">
      <c r="B142" s="3" t="s">
        <v>560</v>
      </c>
      <c r="C142" s="24">
        <v>0</v>
      </c>
      <c r="D142" s="24">
        <v>0</v>
      </c>
      <c r="E142" s="24">
        <v>0</v>
      </c>
      <c r="F142" s="24">
        <v>0</v>
      </c>
      <c r="G142" s="24">
        <v>0</v>
      </c>
      <c r="H142" s="24">
        <v>0</v>
      </c>
      <c r="I142" s="24">
        <v>0</v>
      </c>
      <c r="J142" s="8">
        <f t="shared" si="26"/>
        <v>0</v>
      </c>
      <c r="L142"/>
      <c r="M142"/>
    </row>
    <row r="143" spans="2:13" ht="12.75" x14ac:dyDescent="0.2">
      <c r="B143" s="3" t="s">
        <v>1085</v>
      </c>
      <c r="C143" s="24">
        <v>356.19</v>
      </c>
      <c r="D143" s="24">
        <v>0</v>
      </c>
      <c r="E143" s="24">
        <v>0</v>
      </c>
      <c r="F143" s="24">
        <v>83.93</v>
      </c>
      <c r="G143" s="24">
        <v>209.28</v>
      </c>
      <c r="H143" s="24">
        <v>0</v>
      </c>
      <c r="I143" s="24">
        <v>328.49</v>
      </c>
      <c r="J143" s="8">
        <f t="shared" si="26"/>
        <v>977.89</v>
      </c>
      <c r="L143"/>
      <c r="M143"/>
    </row>
    <row r="144" spans="2:13" ht="12.75" x14ac:dyDescent="0.2">
      <c r="B144" s="3" t="s">
        <v>1788</v>
      </c>
      <c r="C144" s="24">
        <v>0</v>
      </c>
      <c r="D144" s="24">
        <v>0</v>
      </c>
      <c r="E144" s="24">
        <v>0</v>
      </c>
      <c r="F144" s="24">
        <v>0</v>
      </c>
      <c r="G144" s="24">
        <v>0</v>
      </c>
      <c r="H144" s="24">
        <v>0</v>
      </c>
      <c r="I144" s="24">
        <v>0</v>
      </c>
      <c r="J144" s="8">
        <f t="shared" si="26"/>
        <v>0</v>
      </c>
      <c r="L144"/>
      <c r="M144"/>
    </row>
    <row r="145" spans="2:13" ht="12.75" x14ac:dyDescent="0.2">
      <c r="B145" s="3" t="s">
        <v>990</v>
      </c>
      <c r="C145" s="24">
        <v>0</v>
      </c>
      <c r="D145" s="24">
        <v>0</v>
      </c>
      <c r="E145" s="24">
        <v>0</v>
      </c>
      <c r="F145" s="24">
        <v>0</v>
      </c>
      <c r="G145" s="24">
        <v>0</v>
      </c>
      <c r="H145" s="24">
        <v>0</v>
      </c>
      <c r="I145" s="24">
        <v>0</v>
      </c>
      <c r="J145" s="8">
        <f t="shared" si="26"/>
        <v>0</v>
      </c>
      <c r="L145"/>
      <c r="M145"/>
    </row>
    <row r="146" spans="2:13" ht="12.75" x14ac:dyDescent="0.2">
      <c r="B146" s="3" t="s">
        <v>1883</v>
      </c>
      <c r="C146" s="24">
        <v>0</v>
      </c>
      <c r="D146" s="24">
        <v>0</v>
      </c>
      <c r="E146" s="24">
        <v>0</v>
      </c>
      <c r="F146" s="24">
        <v>0</v>
      </c>
      <c r="G146" s="24">
        <v>0</v>
      </c>
      <c r="H146" s="24">
        <v>0</v>
      </c>
      <c r="I146" s="24">
        <v>0</v>
      </c>
      <c r="J146" s="8">
        <f t="shared" si="26"/>
        <v>0</v>
      </c>
      <c r="L146"/>
      <c r="M146"/>
    </row>
    <row r="147" spans="2:13" ht="12.75" x14ac:dyDescent="0.2">
      <c r="B147" s="3" t="s">
        <v>322</v>
      </c>
      <c r="C147" s="24">
        <v>63.83</v>
      </c>
      <c r="D147" s="24">
        <v>5.17</v>
      </c>
      <c r="E147" s="24">
        <v>0</v>
      </c>
      <c r="F147" s="24">
        <v>41.06</v>
      </c>
      <c r="G147" s="24">
        <v>0</v>
      </c>
      <c r="H147" s="24">
        <v>318.07</v>
      </c>
      <c r="I147" s="24">
        <v>0</v>
      </c>
      <c r="J147" s="8">
        <f t="shared" si="26"/>
        <v>428.13</v>
      </c>
      <c r="L147"/>
      <c r="M147"/>
    </row>
    <row r="148" spans="2:13" ht="12.75" x14ac:dyDescent="0.2">
      <c r="B148" s="3" t="s">
        <v>652</v>
      </c>
      <c r="C148" s="24">
        <v>112.8</v>
      </c>
      <c r="D148" s="24">
        <v>29.76</v>
      </c>
      <c r="E148" s="24">
        <v>4.7300000000000004</v>
      </c>
      <c r="F148" s="24">
        <v>0</v>
      </c>
      <c r="G148" s="24">
        <v>5.09</v>
      </c>
      <c r="H148" s="24">
        <v>8.75</v>
      </c>
      <c r="I148" s="24">
        <v>0</v>
      </c>
      <c r="J148" s="8">
        <f t="shared" si="26"/>
        <v>161.13</v>
      </c>
      <c r="L148"/>
      <c r="M148"/>
    </row>
    <row r="149" spans="2:13" ht="12.75" x14ac:dyDescent="0.2">
      <c r="B149" s="3" t="s">
        <v>323</v>
      </c>
      <c r="C149" s="24">
        <v>0</v>
      </c>
      <c r="D149" s="24">
        <v>15.66</v>
      </c>
      <c r="E149" s="24">
        <v>3904.22</v>
      </c>
      <c r="F149" s="24">
        <v>1210.79</v>
      </c>
      <c r="G149" s="24">
        <v>2908</v>
      </c>
      <c r="H149" s="24">
        <v>414.32</v>
      </c>
      <c r="I149" s="24">
        <v>1053.44</v>
      </c>
      <c r="J149" s="8">
        <f t="shared" si="26"/>
        <v>9506.43</v>
      </c>
      <c r="L149"/>
      <c r="M149"/>
    </row>
    <row r="150" spans="2:13" ht="12.75" x14ac:dyDescent="0.2">
      <c r="B150" s="3" t="s">
        <v>324</v>
      </c>
      <c r="C150" s="24">
        <v>11724.05</v>
      </c>
      <c r="D150" s="24">
        <v>14262.66</v>
      </c>
      <c r="E150" s="24">
        <v>23111.27</v>
      </c>
      <c r="F150" s="24">
        <v>11036.96</v>
      </c>
      <c r="G150" s="24">
        <v>33026.07</v>
      </c>
      <c r="H150" s="24">
        <v>14983.02</v>
      </c>
      <c r="I150" s="24">
        <v>11318.23</v>
      </c>
      <c r="J150" s="8">
        <f t="shared" si="26"/>
        <v>119462.26</v>
      </c>
      <c r="L150"/>
      <c r="M150"/>
    </row>
    <row r="151" spans="2:13" ht="12.75" x14ac:dyDescent="0.2">
      <c r="B151" s="3" t="s">
        <v>913</v>
      </c>
      <c r="C151" s="24">
        <v>107.11</v>
      </c>
      <c r="D151" s="24">
        <v>0</v>
      </c>
      <c r="E151" s="24">
        <v>0</v>
      </c>
      <c r="F151" s="24">
        <v>0</v>
      </c>
      <c r="G151" s="24">
        <v>0</v>
      </c>
      <c r="H151" s="24">
        <v>52.36</v>
      </c>
      <c r="I151" s="24">
        <v>128.47999999999999</v>
      </c>
      <c r="J151" s="8">
        <f t="shared" si="26"/>
        <v>287.95</v>
      </c>
      <c r="L151"/>
      <c r="M151"/>
    </row>
    <row r="152" spans="2:13" ht="12.75" x14ac:dyDescent="0.2">
      <c r="B152" s="3" t="s">
        <v>561</v>
      </c>
      <c r="C152" s="24">
        <v>0</v>
      </c>
      <c r="D152" s="24">
        <v>0</v>
      </c>
      <c r="E152" s="24">
        <v>0</v>
      </c>
      <c r="F152" s="24">
        <v>0</v>
      </c>
      <c r="G152" s="24">
        <v>0</v>
      </c>
      <c r="H152" s="24">
        <v>0</v>
      </c>
      <c r="I152" s="24">
        <v>0</v>
      </c>
      <c r="J152" s="8">
        <f t="shared" si="26"/>
        <v>0</v>
      </c>
      <c r="L152"/>
      <c r="M152"/>
    </row>
    <row r="153" spans="2:13" ht="12.75" x14ac:dyDescent="0.2">
      <c r="B153" s="3" t="s">
        <v>325</v>
      </c>
      <c r="C153" s="24">
        <v>746.57</v>
      </c>
      <c r="D153" s="24">
        <v>0</v>
      </c>
      <c r="E153" s="24">
        <v>1514.42</v>
      </c>
      <c r="F153" s="24">
        <v>787.5</v>
      </c>
      <c r="G153" s="24">
        <v>831.08</v>
      </c>
      <c r="H153" s="24">
        <v>699.45</v>
      </c>
      <c r="I153" s="24">
        <v>725.47</v>
      </c>
      <c r="J153" s="8">
        <f t="shared" si="26"/>
        <v>5304.4900000000007</v>
      </c>
      <c r="L153"/>
      <c r="M153"/>
    </row>
    <row r="154" spans="2:13" ht="12.75" x14ac:dyDescent="0.2">
      <c r="B154" s="3" t="s">
        <v>654</v>
      </c>
      <c r="C154" s="24">
        <v>0</v>
      </c>
      <c r="D154" s="24">
        <v>0</v>
      </c>
      <c r="E154" s="24">
        <v>0</v>
      </c>
      <c r="F154" s="24">
        <v>0</v>
      </c>
      <c r="G154" s="24">
        <v>0</v>
      </c>
      <c r="H154" s="24">
        <v>0</v>
      </c>
      <c r="I154" s="24">
        <v>0</v>
      </c>
      <c r="J154" s="8">
        <f t="shared" si="26"/>
        <v>0</v>
      </c>
      <c r="L154"/>
      <c r="M154"/>
    </row>
    <row r="155" spans="2:13" ht="12.75" x14ac:dyDescent="0.2">
      <c r="B155" s="3" t="s">
        <v>991</v>
      </c>
      <c r="C155" s="24">
        <v>0</v>
      </c>
      <c r="D155" s="24">
        <v>0</v>
      </c>
      <c r="E155" s="24">
        <v>0</v>
      </c>
      <c r="F155" s="24">
        <v>0</v>
      </c>
      <c r="G155" s="24">
        <v>0</v>
      </c>
      <c r="H155" s="24">
        <v>0</v>
      </c>
      <c r="I155" s="24">
        <v>0</v>
      </c>
      <c r="J155" s="8">
        <f t="shared" si="26"/>
        <v>0</v>
      </c>
      <c r="L155"/>
      <c r="M155"/>
    </row>
    <row r="156" spans="2:13" ht="12.75" x14ac:dyDescent="0.2">
      <c r="B156" s="3" t="s">
        <v>326</v>
      </c>
      <c r="C156" s="24">
        <v>0.43</v>
      </c>
      <c r="D156" s="24">
        <v>1474.1</v>
      </c>
      <c r="E156" s="24">
        <v>101.2</v>
      </c>
      <c r="F156" s="24">
        <v>-25581.3</v>
      </c>
      <c r="G156" s="24">
        <v>1304.2</v>
      </c>
      <c r="H156" s="24">
        <v>10606.51</v>
      </c>
      <c r="I156" s="24">
        <v>200.82</v>
      </c>
      <c r="J156" s="8">
        <f t="shared" si="26"/>
        <v>-11894.039999999999</v>
      </c>
      <c r="L156"/>
      <c r="M156"/>
    </row>
    <row r="157" spans="2:13" s="22" customFormat="1" ht="12.75" x14ac:dyDescent="0.2">
      <c r="B157" s="22" t="s">
        <v>1910</v>
      </c>
      <c r="C157" s="131">
        <v>0</v>
      </c>
      <c r="D157" s="24">
        <v>326.8</v>
      </c>
      <c r="E157" s="24">
        <v>0</v>
      </c>
      <c r="F157" s="24">
        <v>0</v>
      </c>
      <c r="G157" s="24">
        <v>0</v>
      </c>
      <c r="H157" s="24">
        <v>0</v>
      </c>
      <c r="I157" s="24">
        <v>0</v>
      </c>
      <c r="J157" s="185">
        <f t="shared" si="26"/>
        <v>326.8</v>
      </c>
      <c r="L157"/>
      <c r="M157"/>
    </row>
    <row r="158" spans="2:13" ht="12.75" x14ac:dyDescent="0.2">
      <c r="B158" s="3" t="s">
        <v>1254</v>
      </c>
      <c r="C158" s="24">
        <v>0</v>
      </c>
      <c r="D158" s="24">
        <v>0</v>
      </c>
      <c r="E158" s="24">
        <v>0</v>
      </c>
      <c r="F158" s="24">
        <v>0</v>
      </c>
      <c r="G158" s="24">
        <v>0</v>
      </c>
      <c r="H158" s="24">
        <v>0</v>
      </c>
      <c r="I158" s="24">
        <v>0</v>
      </c>
      <c r="J158" s="8">
        <f t="shared" si="26"/>
        <v>0</v>
      </c>
      <c r="L158"/>
      <c r="M158"/>
    </row>
    <row r="159" spans="2:13" ht="12.75" x14ac:dyDescent="0.2">
      <c r="B159" s="3" t="s">
        <v>327</v>
      </c>
      <c r="C159" s="24">
        <v>0</v>
      </c>
      <c r="D159" s="24">
        <v>0</v>
      </c>
      <c r="E159" s="24">
        <v>0</v>
      </c>
      <c r="F159" s="24">
        <v>0</v>
      </c>
      <c r="G159" s="24">
        <v>0</v>
      </c>
      <c r="H159" s="24">
        <v>0</v>
      </c>
      <c r="I159" s="24">
        <v>0</v>
      </c>
      <c r="J159" s="8">
        <f t="shared" si="26"/>
        <v>0</v>
      </c>
      <c r="L159"/>
      <c r="M159"/>
    </row>
    <row r="160" spans="2:13" ht="12.75" x14ac:dyDescent="0.2">
      <c r="B160" s="3" t="s">
        <v>328</v>
      </c>
      <c r="C160" s="24">
        <v>525.62</v>
      </c>
      <c r="D160" s="24">
        <v>8177.13</v>
      </c>
      <c r="E160" s="24">
        <v>7718.18</v>
      </c>
      <c r="F160" s="24">
        <v>9494.4699999999993</v>
      </c>
      <c r="G160" s="24">
        <v>-9901.93</v>
      </c>
      <c r="H160" s="24">
        <v>3618.6</v>
      </c>
      <c r="I160" s="24">
        <v>8833.8799999999992</v>
      </c>
      <c r="J160" s="8">
        <f t="shared" si="26"/>
        <v>28465.949999999997</v>
      </c>
      <c r="L160"/>
      <c r="M160"/>
    </row>
    <row r="161" spans="2:13" ht="12.75" x14ac:dyDescent="0.2">
      <c r="B161" s="3" t="s">
        <v>1433</v>
      </c>
      <c r="C161" s="24">
        <v>0</v>
      </c>
      <c r="D161" s="24">
        <v>0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8">
        <f t="shared" si="26"/>
        <v>0</v>
      </c>
      <c r="L161"/>
      <c r="M161"/>
    </row>
    <row r="162" spans="2:13" ht="12.75" x14ac:dyDescent="0.2">
      <c r="B162" s="3" t="s">
        <v>656</v>
      </c>
      <c r="C162" s="24">
        <v>3448.36</v>
      </c>
      <c r="D162" s="24">
        <v>0</v>
      </c>
      <c r="E162" s="24">
        <v>3049.79</v>
      </c>
      <c r="F162" s="24">
        <v>6809.82</v>
      </c>
      <c r="G162" s="24">
        <v>0</v>
      </c>
      <c r="H162" s="24">
        <v>0</v>
      </c>
      <c r="I162" s="24">
        <v>0</v>
      </c>
      <c r="J162" s="8">
        <f t="shared" si="26"/>
        <v>13307.97</v>
      </c>
      <c r="L162"/>
      <c r="M162"/>
    </row>
    <row r="163" spans="2:13" ht="12.75" x14ac:dyDescent="0.2">
      <c r="B163" s="3" t="s">
        <v>329</v>
      </c>
      <c r="C163" s="24">
        <v>1107.92</v>
      </c>
      <c r="D163" s="24">
        <v>2004.17</v>
      </c>
      <c r="E163" s="24">
        <v>2674.54</v>
      </c>
      <c r="F163" s="24">
        <v>2631.24</v>
      </c>
      <c r="G163" s="24">
        <v>2790.66</v>
      </c>
      <c r="H163" s="24">
        <v>2748.13</v>
      </c>
      <c r="I163" s="24">
        <v>910.86</v>
      </c>
      <c r="J163" s="8">
        <f t="shared" si="26"/>
        <v>14867.52</v>
      </c>
      <c r="L163"/>
      <c r="M163"/>
    </row>
    <row r="164" spans="2:13" ht="12.75" x14ac:dyDescent="0.2">
      <c r="B164" s="3" t="s">
        <v>330</v>
      </c>
      <c r="C164" s="24">
        <v>0</v>
      </c>
      <c r="D164" s="24">
        <v>338.94</v>
      </c>
      <c r="E164" s="24">
        <v>1687.9</v>
      </c>
      <c r="F164" s="24">
        <v>0</v>
      </c>
      <c r="G164" s="24">
        <v>0</v>
      </c>
      <c r="H164" s="24">
        <v>0</v>
      </c>
      <c r="I164" s="24">
        <v>83.43</v>
      </c>
      <c r="J164" s="8">
        <f t="shared" si="26"/>
        <v>2110.27</v>
      </c>
      <c r="L164"/>
      <c r="M164"/>
    </row>
    <row r="165" spans="2:13" ht="12.75" x14ac:dyDescent="0.2">
      <c r="B165" s="3" t="s">
        <v>331</v>
      </c>
      <c r="C165" s="24">
        <v>431.02</v>
      </c>
      <c r="D165" s="24">
        <v>3951.91</v>
      </c>
      <c r="E165" s="24">
        <v>3192.21</v>
      </c>
      <c r="F165" s="24">
        <v>4957.17</v>
      </c>
      <c r="G165" s="24">
        <v>5976.97</v>
      </c>
      <c r="H165" s="24">
        <v>6403.84</v>
      </c>
      <c r="I165" s="24">
        <v>6766.4</v>
      </c>
      <c r="J165" s="8">
        <f t="shared" si="26"/>
        <v>31679.520000000004</v>
      </c>
      <c r="L165"/>
      <c r="M165"/>
    </row>
    <row r="166" spans="2:13" ht="12.75" x14ac:dyDescent="0.2">
      <c r="B166" s="3" t="s">
        <v>332</v>
      </c>
      <c r="C166" s="24">
        <v>312.91000000000003</v>
      </c>
      <c r="D166" s="24">
        <v>0</v>
      </c>
      <c r="E166" s="24">
        <v>0</v>
      </c>
      <c r="F166" s="24">
        <v>0</v>
      </c>
      <c r="G166" s="24">
        <v>0</v>
      </c>
      <c r="H166" s="24">
        <v>0</v>
      </c>
      <c r="I166" s="24">
        <v>526.80999999999995</v>
      </c>
      <c r="J166" s="8">
        <f t="shared" si="26"/>
        <v>839.72</v>
      </c>
      <c r="L166"/>
      <c r="M166"/>
    </row>
    <row r="167" spans="2:13" ht="12.75" x14ac:dyDescent="0.2">
      <c r="B167" s="3" t="s">
        <v>657</v>
      </c>
      <c r="C167" s="24">
        <v>0</v>
      </c>
      <c r="D167" s="24">
        <v>0</v>
      </c>
      <c r="E167" s="24">
        <v>0</v>
      </c>
      <c r="F167" s="24">
        <v>0</v>
      </c>
      <c r="G167" s="24">
        <v>0</v>
      </c>
      <c r="H167" s="24">
        <v>0</v>
      </c>
      <c r="I167" s="24">
        <v>0</v>
      </c>
      <c r="J167" s="8">
        <f t="shared" si="26"/>
        <v>0</v>
      </c>
      <c r="L167"/>
      <c r="M167"/>
    </row>
    <row r="168" spans="2:13" ht="12.75" x14ac:dyDescent="0.2">
      <c r="B168" s="3" t="s">
        <v>1828</v>
      </c>
      <c r="C168" s="24">
        <v>0</v>
      </c>
      <c r="D168" s="24">
        <v>0</v>
      </c>
      <c r="E168" s="24">
        <v>872.07</v>
      </c>
      <c r="F168" s="24">
        <v>2891.21</v>
      </c>
      <c r="G168" s="24">
        <v>0</v>
      </c>
      <c r="H168" s="24">
        <v>0</v>
      </c>
      <c r="I168" s="24">
        <v>167.78</v>
      </c>
      <c r="J168" s="8">
        <f t="shared" si="26"/>
        <v>3931.0600000000004</v>
      </c>
      <c r="L168"/>
      <c r="M168"/>
    </row>
    <row r="169" spans="2:13" ht="12.75" x14ac:dyDescent="0.2">
      <c r="B169" s="3" t="s">
        <v>1829</v>
      </c>
      <c r="C169" s="24">
        <v>0</v>
      </c>
      <c r="D169" s="24">
        <v>0</v>
      </c>
      <c r="E169" s="24">
        <v>-787.64</v>
      </c>
      <c r="F169" s="24">
        <v>-2632.98</v>
      </c>
      <c r="G169" s="24">
        <v>0</v>
      </c>
      <c r="H169" s="24">
        <v>0</v>
      </c>
      <c r="I169" s="24">
        <v>-156.61000000000001</v>
      </c>
      <c r="J169" s="8">
        <f t="shared" si="26"/>
        <v>-3577.23</v>
      </c>
      <c r="L169"/>
      <c r="M169"/>
    </row>
    <row r="170" spans="2:13" ht="12.75" x14ac:dyDescent="0.2">
      <c r="B170" s="3" t="s">
        <v>333</v>
      </c>
      <c r="C170" s="24">
        <v>696.73</v>
      </c>
      <c r="D170" s="24">
        <v>4801.7700000000004</v>
      </c>
      <c r="E170" s="24">
        <v>4565.84</v>
      </c>
      <c r="F170" s="24">
        <v>3949.26</v>
      </c>
      <c r="G170" s="24">
        <v>4364.82</v>
      </c>
      <c r="H170" s="24">
        <v>7371.67</v>
      </c>
      <c r="I170" s="24">
        <v>9660.15</v>
      </c>
      <c r="J170" s="8">
        <f t="shared" si="26"/>
        <v>35410.239999999998</v>
      </c>
      <c r="L170"/>
      <c r="M170"/>
    </row>
    <row r="171" spans="2:13" ht="12.75" x14ac:dyDescent="0.2">
      <c r="B171" s="3" t="s">
        <v>658</v>
      </c>
      <c r="C171" s="24">
        <v>0</v>
      </c>
      <c r="D171" s="24">
        <v>0</v>
      </c>
      <c r="E171" s="24">
        <v>319.44</v>
      </c>
      <c r="F171" s="24">
        <v>0.74</v>
      </c>
      <c r="G171" s="24">
        <v>0</v>
      </c>
      <c r="H171" s="24">
        <v>0</v>
      </c>
      <c r="I171" s="24">
        <v>-304.29000000000002</v>
      </c>
      <c r="J171" s="8">
        <f t="shared" si="26"/>
        <v>15.889999999999986</v>
      </c>
      <c r="L171"/>
      <c r="M171"/>
    </row>
    <row r="172" spans="2:13" ht="12.75" x14ac:dyDescent="0.2">
      <c r="B172" s="3" t="s">
        <v>1518</v>
      </c>
      <c r="C172" s="24">
        <v>0</v>
      </c>
      <c r="D172" s="24">
        <v>0</v>
      </c>
      <c r="E172" s="24">
        <v>0</v>
      </c>
      <c r="F172" s="24">
        <v>0</v>
      </c>
      <c r="G172" s="24">
        <v>0</v>
      </c>
      <c r="H172" s="24">
        <v>0</v>
      </c>
      <c r="I172" s="24">
        <v>0</v>
      </c>
      <c r="J172" s="8">
        <f t="shared" si="26"/>
        <v>0</v>
      </c>
      <c r="L172"/>
      <c r="M172"/>
    </row>
    <row r="173" spans="2:13" ht="12.75" x14ac:dyDescent="0.2">
      <c r="B173" s="3" t="s">
        <v>843</v>
      </c>
      <c r="C173" s="24">
        <v>0</v>
      </c>
      <c r="D173" s="24">
        <v>0</v>
      </c>
      <c r="E173" s="24">
        <v>0</v>
      </c>
      <c r="F173" s="24">
        <v>0</v>
      </c>
      <c r="G173" s="24">
        <v>0</v>
      </c>
      <c r="H173" s="24">
        <v>0</v>
      </c>
      <c r="I173" s="24">
        <v>0</v>
      </c>
      <c r="J173" s="8">
        <f t="shared" si="26"/>
        <v>0</v>
      </c>
      <c r="L173"/>
      <c r="M173"/>
    </row>
    <row r="174" spans="2:13" s="22" customFormat="1" ht="12.75" x14ac:dyDescent="0.2">
      <c r="B174" s="22" t="s">
        <v>1911</v>
      </c>
      <c r="C174" s="131">
        <v>0</v>
      </c>
      <c r="D174" s="24">
        <v>606.27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185">
        <f t="shared" si="26"/>
        <v>606.27</v>
      </c>
      <c r="L174"/>
      <c r="M174"/>
    </row>
    <row r="175" spans="2:13" ht="12.75" x14ac:dyDescent="0.2">
      <c r="B175" s="3" t="s">
        <v>1831</v>
      </c>
      <c r="C175" s="24">
        <v>0</v>
      </c>
      <c r="D175" s="24">
        <v>632.21</v>
      </c>
      <c r="E175" s="24">
        <v>1512.19</v>
      </c>
      <c r="F175" s="24">
        <v>0</v>
      </c>
      <c r="G175" s="24">
        <v>0</v>
      </c>
      <c r="H175" s="24">
        <v>0</v>
      </c>
      <c r="I175" s="24">
        <v>0</v>
      </c>
      <c r="J175" s="8">
        <f t="shared" si="26"/>
        <v>2144.4</v>
      </c>
      <c r="L175"/>
      <c r="M175"/>
    </row>
    <row r="176" spans="2:13" ht="12.75" x14ac:dyDescent="0.2">
      <c r="B176" s="3" t="s">
        <v>1877</v>
      </c>
      <c r="C176" s="24">
        <v>0</v>
      </c>
      <c r="D176" s="24">
        <v>0</v>
      </c>
      <c r="E176" s="24">
        <v>0</v>
      </c>
      <c r="F176" s="24">
        <v>91.63</v>
      </c>
      <c r="G176" s="24">
        <v>531.63</v>
      </c>
      <c r="H176" s="24">
        <v>0</v>
      </c>
      <c r="I176" s="24">
        <v>0</v>
      </c>
      <c r="J176" s="8">
        <f t="shared" si="26"/>
        <v>623.26</v>
      </c>
      <c r="L176"/>
      <c r="M176"/>
    </row>
    <row r="177" spans="2:13" ht="12.75" x14ac:dyDescent="0.2">
      <c r="B177" s="3" t="s">
        <v>1434</v>
      </c>
      <c r="C177" s="24">
        <v>0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8">
        <f t="shared" si="26"/>
        <v>0</v>
      </c>
      <c r="L177"/>
      <c r="M177"/>
    </row>
    <row r="178" spans="2:13" s="9" customFormat="1" ht="12.75" x14ac:dyDescent="0.2">
      <c r="B178" s="13" t="s">
        <v>1550</v>
      </c>
      <c r="C178" s="41">
        <f t="shared" ref="C178:J178" si="27">SUM(C131:C177)</f>
        <v>29322.239999999994</v>
      </c>
      <c r="D178" s="41">
        <f t="shared" si="27"/>
        <v>90177.420000000027</v>
      </c>
      <c r="E178" s="41">
        <f t="shared" si="27"/>
        <v>161892.64999999997</v>
      </c>
      <c r="F178" s="41">
        <f t="shared" si="27"/>
        <v>51087.019999999968</v>
      </c>
      <c r="G178" s="41">
        <f t="shared" si="27"/>
        <v>55599.940000000031</v>
      </c>
      <c r="H178" s="41">
        <f t="shared" si="27"/>
        <v>90127.98000000001</v>
      </c>
      <c r="I178" s="41">
        <f t="shared" si="27"/>
        <v>51569.859999999986</v>
      </c>
      <c r="J178" s="41">
        <f t="shared" si="27"/>
        <v>529777.1100000001</v>
      </c>
      <c r="L178"/>
      <c r="M178"/>
    </row>
    <row r="179" spans="2:13" ht="12.75" x14ac:dyDescent="0.2">
      <c r="B179" s="3" t="s">
        <v>335</v>
      </c>
      <c r="C179" s="24">
        <v>79993.13</v>
      </c>
      <c r="D179" s="24">
        <v>89642.59</v>
      </c>
      <c r="E179" s="24">
        <v>83612.92</v>
      </c>
      <c r="F179" s="24">
        <v>82023.679999999993</v>
      </c>
      <c r="G179" s="24">
        <v>79638.28</v>
      </c>
      <c r="H179" s="24">
        <v>77416.149999999994</v>
      </c>
      <c r="I179" s="24">
        <v>77173.289999999994</v>
      </c>
      <c r="J179" s="8">
        <f t="shared" ref="J179:J210" si="28">SUM(C179:I179)</f>
        <v>569500.04</v>
      </c>
      <c r="L179"/>
      <c r="M179"/>
    </row>
    <row r="180" spans="2:13" ht="12.75" x14ac:dyDescent="0.2">
      <c r="B180" s="3" t="s">
        <v>562</v>
      </c>
      <c r="C180" s="24">
        <v>0</v>
      </c>
      <c r="D180" s="24">
        <v>879.38</v>
      </c>
      <c r="E180" s="24">
        <v>76638.75</v>
      </c>
      <c r="F180" s="24">
        <v>0</v>
      </c>
      <c r="G180" s="24">
        <v>0</v>
      </c>
      <c r="H180" s="24">
        <v>0</v>
      </c>
      <c r="I180" s="24">
        <v>0</v>
      </c>
      <c r="J180" s="8">
        <f t="shared" si="28"/>
        <v>77518.13</v>
      </c>
      <c r="L180"/>
      <c r="M180"/>
    </row>
    <row r="181" spans="2:13" ht="12.75" x14ac:dyDescent="0.2">
      <c r="B181" s="3" t="s">
        <v>336</v>
      </c>
      <c r="C181" s="24">
        <v>6691.56</v>
      </c>
      <c r="D181" s="24">
        <v>6615.34</v>
      </c>
      <c r="E181" s="24">
        <v>-69659.320000000007</v>
      </c>
      <c r="F181" s="24">
        <v>6835.29</v>
      </c>
      <c r="G181" s="24">
        <v>6636.51</v>
      </c>
      <c r="H181" s="24">
        <v>6454.46</v>
      </c>
      <c r="I181" s="24">
        <v>6433.36</v>
      </c>
      <c r="J181" s="8">
        <f t="shared" si="28"/>
        <v>-29992.800000000003</v>
      </c>
      <c r="L181"/>
      <c r="M181"/>
    </row>
    <row r="182" spans="2:13" ht="12.75" x14ac:dyDescent="0.2">
      <c r="B182" s="3" t="s">
        <v>337</v>
      </c>
      <c r="C182" s="24">
        <v>21.13</v>
      </c>
      <c r="D182" s="24">
        <v>316.76</v>
      </c>
      <c r="E182" s="24">
        <v>-0.34</v>
      </c>
      <c r="F182" s="24">
        <v>561.32000000000005</v>
      </c>
      <c r="G182" s="24">
        <v>20</v>
      </c>
      <c r="H182" s="24">
        <v>133.01</v>
      </c>
      <c r="I182" s="24">
        <v>25.47</v>
      </c>
      <c r="J182" s="8">
        <f t="shared" si="28"/>
        <v>1077.3500000000001</v>
      </c>
      <c r="L182"/>
      <c r="M182"/>
    </row>
    <row r="183" spans="2:13" ht="12.75" x14ac:dyDescent="0.2">
      <c r="B183" s="3" t="s">
        <v>338</v>
      </c>
      <c r="C183" s="24">
        <v>9719.85</v>
      </c>
      <c r="D183" s="24">
        <v>10617.65</v>
      </c>
      <c r="E183" s="24">
        <v>51261.06</v>
      </c>
      <c r="F183" s="24">
        <v>9733.57</v>
      </c>
      <c r="G183" s="24">
        <v>10188.530000000001</v>
      </c>
      <c r="H183" s="24">
        <v>47555.74</v>
      </c>
      <c r="I183" s="24">
        <v>9872.86</v>
      </c>
      <c r="J183" s="8">
        <f t="shared" si="28"/>
        <v>148949.26</v>
      </c>
      <c r="L183"/>
      <c r="M183"/>
    </row>
    <row r="184" spans="2:13" ht="12.75" x14ac:dyDescent="0.2">
      <c r="B184" s="3" t="s">
        <v>563</v>
      </c>
      <c r="C184" s="24">
        <v>0</v>
      </c>
      <c r="D184" s="24">
        <v>0</v>
      </c>
      <c r="E184" s="24">
        <v>0</v>
      </c>
      <c r="F184" s="24">
        <v>0</v>
      </c>
      <c r="G184" s="24">
        <v>0</v>
      </c>
      <c r="H184" s="24">
        <v>0</v>
      </c>
      <c r="I184" s="24">
        <v>0</v>
      </c>
      <c r="J184" s="8">
        <f t="shared" si="28"/>
        <v>0</v>
      </c>
      <c r="L184"/>
      <c r="M184"/>
    </row>
    <row r="185" spans="2:13" ht="12.75" x14ac:dyDescent="0.2">
      <c r="B185" s="3" t="s">
        <v>339</v>
      </c>
      <c r="C185" s="24">
        <v>1168.5</v>
      </c>
      <c r="D185" s="24">
        <v>2153.89</v>
      </c>
      <c r="E185" s="24">
        <v>1133.82</v>
      </c>
      <c r="F185" s="24">
        <v>1253.8399999999999</v>
      </c>
      <c r="G185" s="24">
        <v>3381.62</v>
      </c>
      <c r="H185" s="24">
        <v>3210.35</v>
      </c>
      <c r="I185" s="24">
        <v>4873.97</v>
      </c>
      <c r="J185" s="8">
        <f t="shared" si="28"/>
        <v>17175.990000000002</v>
      </c>
      <c r="L185"/>
      <c r="M185"/>
    </row>
    <row r="186" spans="2:13" ht="12.75" x14ac:dyDescent="0.2">
      <c r="B186" s="3" t="s">
        <v>768</v>
      </c>
      <c r="C186" s="24">
        <v>0</v>
      </c>
      <c r="D186" s="24">
        <v>0</v>
      </c>
      <c r="E186" s="24">
        <v>0</v>
      </c>
      <c r="F186" s="24">
        <v>0</v>
      </c>
      <c r="G186" s="131">
        <v>67561.84</v>
      </c>
      <c r="H186" s="24">
        <v>0</v>
      </c>
      <c r="I186" s="24">
        <v>0</v>
      </c>
      <c r="J186" s="8">
        <f t="shared" si="28"/>
        <v>67561.84</v>
      </c>
      <c r="L186"/>
      <c r="M186"/>
    </row>
    <row r="187" spans="2:13" ht="12.75" x14ac:dyDescent="0.2">
      <c r="B187" s="3" t="s">
        <v>565</v>
      </c>
      <c r="C187" s="24">
        <v>502.9</v>
      </c>
      <c r="D187" s="24">
        <v>356.51</v>
      </c>
      <c r="E187" s="24">
        <v>354.32</v>
      </c>
      <c r="F187" s="24">
        <v>348.29</v>
      </c>
      <c r="G187" s="24">
        <v>225.44</v>
      </c>
      <c r="H187" s="24">
        <v>222.94</v>
      </c>
      <c r="I187" s="24">
        <v>222.56</v>
      </c>
      <c r="J187" s="8">
        <f t="shared" si="28"/>
        <v>2232.96</v>
      </c>
      <c r="L187"/>
      <c r="M187"/>
    </row>
    <row r="188" spans="2:13" ht="12.75" x14ac:dyDescent="0.2">
      <c r="B188" s="3" t="s">
        <v>340</v>
      </c>
      <c r="C188" s="24">
        <v>13383.12</v>
      </c>
      <c r="D188" s="24">
        <v>14989.46</v>
      </c>
      <c r="E188" s="24">
        <v>13958.82</v>
      </c>
      <c r="F188" s="24">
        <v>13670.62</v>
      </c>
      <c r="G188" s="24">
        <v>-53919.66</v>
      </c>
      <c r="H188" s="24">
        <v>12908.93</v>
      </c>
      <c r="I188" s="24">
        <v>12866.72</v>
      </c>
      <c r="J188" s="8">
        <f t="shared" si="28"/>
        <v>27858.010000000002</v>
      </c>
      <c r="L188"/>
      <c r="M188"/>
    </row>
    <row r="189" spans="2:13" ht="12.75" x14ac:dyDescent="0.2">
      <c r="B189" s="3" t="s">
        <v>341</v>
      </c>
      <c r="C189" s="131">
        <v>34352.15</v>
      </c>
      <c r="D189" s="131">
        <v>13496.14</v>
      </c>
      <c r="E189" s="131">
        <v>95751.54</v>
      </c>
      <c r="F189" s="24">
        <v>0</v>
      </c>
      <c r="G189" s="24">
        <v>0</v>
      </c>
      <c r="H189" s="24">
        <v>397.11</v>
      </c>
      <c r="I189" s="24">
        <v>339.4</v>
      </c>
      <c r="J189" s="8">
        <f t="shared" si="28"/>
        <v>144336.33999999997</v>
      </c>
      <c r="L189"/>
      <c r="M189"/>
    </row>
    <row r="190" spans="2:13" ht="12.75" x14ac:dyDescent="0.2">
      <c r="B190" s="3" t="s">
        <v>1533</v>
      </c>
      <c r="C190" s="24">
        <v>0</v>
      </c>
      <c r="D190" s="24">
        <v>0</v>
      </c>
      <c r="E190" s="24">
        <v>0</v>
      </c>
      <c r="F190" s="24">
        <v>0</v>
      </c>
      <c r="G190" s="24">
        <v>0</v>
      </c>
      <c r="H190" s="24">
        <v>0</v>
      </c>
      <c r="I190" s="24">
        <v>0</v>
      </c>
      <c r="J190" s="8">
        <f t="shared" si="28"/>
        <v>0</v>
      </c>
      <c r="L190"/>
      <c r="M190"/>
    </row>
    <row r="191" spans="2:13" ht="12.75" x14ac:dyDescent="0.2">
      <c r="B191" s="3" t="s">
        <v>342</v>
      </c>
      <c r="C191" s="24">
        <v>0</v>
      </c>
      <c r="D191" s="24">
        <v>0</v>
      </c>
      <c r="E191" s="24">
        <v>0</v>
      </c>
      <c r="F191" s="24">
        <v>0</v>
      </c>
      <c r="G191" s="24">
        <v>0</v>
      </c>
      <c r="H191" s="24">
        <v>317.69</v>
      </c>
      <c r="I191" s="24">
        <v>954.21</v>
      </c>
      <c r="J191" s="8">
        <f t="shared" si="28"/>
        <v>1271.9000000000001</v>
      </c>
      <c r="L191"/>
      <c r="M191"/>
    </row>
    <row r="192" spans="2:13" ht="12.75" x14ac:dyDescent="0.2">
      <c r="B192" s="3" t="s">
        <v>566</v>
      </c>
      <c r="C192" s="24">
        <v>0</v>
      </c>
      <c r="D192" s="24">
        <v>0</v>
      </c>
      <c r="E192" s="24">
        <v>0</v>
      </c>
      <c r="F192" s="24">
        <v>78.75</v>
      </c>
      <c r="G192" s="24">
        <v>6049.21</v>
      </c>
      <c r="H192" s="24">
        <v>0</v>
      </c>
      <c r="I192" s="24">
        <v>0</v>
      </c>
      <c r="J192" s="8">
        <f t="shared" si="28"/>
        <v>6127.96</v>
      </c>
      <c r="L192"/>
      <c r="M192"/>
    </row>
    <row r="193" spans="2:13" ht="12.75" x14ac:dyDescent="0.2">
      <c r="B193" s="3" t="s">
        <v>1882</v>
      </c>
      <c r="C193" s="24">
        <v>0</v>
      </c>
      <c r="D193" s="24">
        <v>0</v>
      </c>
      <c r="E193" s="24">
        <v>0</v>
      </c>
      <c r="F193" s="24">
        <v>0</v>
      </c>
      <c r="G193" s="24">
        <v>0</v>
      </c>
      <c r="H193" s="24">
        <v>0</v>
      </c>
      <c r="I193" s="24">
        <v>0</v>
      </c>
      <c r="J193" s="8">
        <f t="shared" si="28"/>
        <v>0</v>
      </c>
      <c r="L193"/>
      <c r="M193"/>
    </row>
    <row r="194" spans="2:13" ht="12.75" x14ac:dyDescent="0.2">
      <c r="B194" s="3" t="s">
        <v>343</v>
      </c>
      <c r="C194" s="24">
        <v>461.16</v>
      </c>
      <c r="D194" s="24">
        <v>2056.5500000000002</v>
      </c>
      <c r="E194" s="24">
        <v>2050.0500000000002</v>
      </c>
      <c r="F194" s="24">
        <v>1802.82</v>
      </c>
      <c r="G194" s="24">
        <v>2258.8000000000002</v>
      </c>
      <c r="H194" s="24">
        <v>2457.7800000000002</v>
      </c>
      <c r="I194" s="24">
        <v>2302.02</v>
      </c>
      <c r="J194" s="8">
        <f t="shared" si="28"/>
        <v>13389.180000000002</v>
      </c>
      <c r="L194"/>
      <c r="M194"/>
    </row>
    <row r="195" spans="2:13" ht="12.75" x14ac:dyDescent="0.2">
      <c r="B195" s="3" t="s">
        <v>992</v>
      </c>
      <c r="C195" s="24">
        <v>0</v>
      </c>
      <c r="D195" s="24">
        <v>0</v>
      </c>
      <c r="E195" s="24">
        <v>0</v>
      </c>
      <c r="F195" s="24">
        <v>0</v>
      </c>
      <c r="G195" s="24">
        <v>0</v>
      </c>
      <c r="H195" s="24">
        <v>0</v>
      </c>
      <c r="I195" s="24">
        <v>0</v>
      </c>
      <c r="J195" s="8">
        <f t="shared" si="28"/>
        <v>0</v>
      </c>
      <c r="L195"/>
      <c r="M195"/>
    </row>
    <row r="196" spans="2:13" ht="12.75" x14ac:dyDescent="0.2">
      <c r="B196" s="3" t="s">
        <v>344</v>
      </c>
      <c r="C196" s="24">
        <v>271.39999999999998</v>
      </c>
      <c r="D196" s="24">
        <v>271.39999999999998</v>
      </c>
      <c r="E196" s="24">
        <v>0</v>
      </c>
      <c r="F196" s="24">
        <v>508.3</v>
      </c>
      <c r="G196" s="24">
        <v>246.95</v>
      </c>
      <c r="H196" s="24">
        <v>254.77</v>
      </c>
      <c r="I196" s="24">
        <v>254.77</v>
      </c>
      <c r="J196" s="8">
        <f t="shared" si="28"/>
        <v>1807.59</v>
      </c>
      <c r="L196"/>
      <c r="M196"/>
    </row>
    <row r="197" spans="2:13" ht="12.75" x14ac:dyDescent="0.2">
      <c r="B197" s="3" t="s">
        <v>345</v>
      </c>
      <c r="C197" s="24">
        <v>18715.47</v>
      </c>
      <c r="D197" s="24">
        <v>16369.75</v>
      </c>
      <c r="E197" s="24">
        <v>12814.72</v>
      </c>
      <c r="F197" s="24">
        <v>12228.21</v>
      </c>
      <c r="G197" s="24">
        <v>12724.49</v>
      </c>
      <c r="H197" s="24">
        <v>15120.88</v>
      </c>
      <c r="I197" s="24">
        <v>10677</v>
      </c>
      <c r="J197" s="8">
        <f t="shared" si="28"/>
        <v>98650.52</v>
      </c>
      <c r="L197" s="9"/>
      <c r="M197" s="9"/>
    </row>
    <row r="198" spans="2:13" ht="12.75" x14ac:dyDescent="0.2">
      <c r="B198" s="3" t="s">
        <v>1535</v>
      </c>
      <c r="C198" s="24">
        <v>0</v>
      </c>
      <c r="D198" s="24">
        <v>0</v>
      </c>
      <c r="E198" s="24">
        <v>0</v>
      </c>
      <c r="F198" s="24">
        <v>0</v>
      </c>
      <c r="G198" s="24">
        <v>0</v>
      </c>
      <c r="H198" s="24">
        <v>0</v>
      </c>
      <c r="I198" s="24">
        <v>0</v>
      </c>
      <c r="J198" s="8">
        <f t="shared" si="28"/>
        <v>0</v>
      </c>
      <c r="L198" s="9"/>
      <c r="M198" s="9"/>
    </row>
    <row r="199" spans="2:13" ht="12.75" x14ac:dyDescent="0.2">
      <c r="B199" s="3" t="s">
        <v>666</v>
      </c>
      <c r="C199" s="24">
        <v>4067.31</v>
      </c>
      <c r="D199" s="24">
        <v>3898.54</v>
      </c>
      <c r="E199" s="24">
        <v>3842.68</v>
      </c>
      <c r="F199" s="24">
        <v>3673.22</v>
      </c>
      <c r="G199" s="24">
        <v>3278.64</v>
      </c>
      <c r="H199" s="24">
        <v>3535.26</v>
      </c>
      <c r="I199" s="24">
        <v>3536.18</v>
      </c>
      <c r="J199" s="8">
        <f t="shared" si="28"/>
        <v>25831.83</v>
      </c>
      <c r="L199" s="9"/>
      <c r="M199" s="9"/>
    </row>
    <row r="200" spans="2:13" ht="12.75" x14ac:dyDescent="0.2">
      <c r="B200" s="3" t="s">
        <v>346</v>
      </c>
      <c r="C200" s="24">
        <v>5202.3100000000004</v>
      </c>
      <c r="D200" s="24">
        <v>5711.3</v>
      </c>
      <c r="E200" s="24">
        <v>5379.74</v>
      </c>
      <c r="F200" s="24">
        <v>5276.98</v>
      </c>
      <c r="G200" s="24">
        <v>5109.92</v>
      </c>
      <c r="H200" s="24">
        <v>4839.09</v>
      </c>
      <c r="I200" s="24">
        <v>5004.29</v>
      </c>
      <c r="J200" s="8">
        <f t="shared" si="28"/>
        <v>36523.629999999997</v>
      </c>
      <c r="L200" s="9"/>
      <c r="M200" s="9"/>
    </row>
    <row r="201" spans="2:13" ht="12.75" x14ac:dyDescent="0.2">
      <c r="B201" s="3" t="s">
        <v>347</v>
      </c>
      <c r="C201" s="24">
        <v>2516.2800000000002</v>
      </c>
      <c r="D201" s="24">
        <v>2701.79</v>
      </c>
      <c r="E201" s="24">
        <v>2597.73</v>
      </c>
      <c r="F201" s="24">
        <v>2547.46</v>
      </c>
      <c r="G201" s="24">
        <v>2466.04</v>
      </c>
      <c r="H201" s="24">
        <v>2329.62</v>
      </c>
      <c r="I201" s="24">
        <v>2420.65</v>
      </c>
      <c r="J201" s="8">
        <f t="shared" si="28"/>
        <v>17579.57</v>
      </c>
      <c r="L201" s="9"/>
      <c r="M201" s="9"/>
    </row>
    <row r="202" spans="2:13" ht="12.75" x14ac:dyDescent="0.2">
      <c r="B202" s="3" t="s">
        <v>348</v>
      </c>
      <c r="C202" s="24">
        <v>2636.75</v>
      </c>
      <c r="D202" s="24">
        <v>0</v>
      </c>
      <c r="E202" s="24">
        <v>0</v>
      </c>
      <c r="F202" s="24">
        <v>0</v>
      </c>
      <c r="G202" s="24">
        <v>0</v>
      </c>
      <c r="H202" s="24">
        <v>0</v>
      </c>
      <c r="I202" s="24">
        <v>0</v>
      </c>
      <c r="J202" s="8">
        <f t="shared" si="28"/>
        <v>2636.75</v>
      </c>
      <c r="L202" s="9"/>
      <c r="M202" s="9"/>
    </row>
    <row r="203" spans="2:13" ht="12.75" x14ac:dyDescent="0.2">
      <c r="B203" s="3" t="s">
        <v>349</v>
      </c>
      <c r="C203" s="24">
        <v>4072.99</v>
      </c>
      <c r="D203" s="24">
        <v>7283.79</v>
      </c>
      <c r="E203" s="24">
        <v>6949.47</v>
      </c>
      <c r="F203" s="24">
        <v>6776.76</v>
      </c>
      <c r="G203" s="24">
        <v>6543.25</v>
      </c>
      <c r="H203" s="24">
        <v>6222.05</v>
      </c>
      <c r="I203" s="24">
        <v>6315.14</v>
      </c>
      <c r="J203" s="8">
        <f t="shared" si="28"/>
        <v>44163.450000000004</v>
      </c>
      <c r="L203" s="9"/>
      <c r="M203" s="9"/>
    </row>
    <row r="204" spans="2:13" ht="12.75" x14ac:dyDescent="0.2">
      <c r="B204" s="3" t="s">
        <v>770</v>
      </c>
      <c r="C204" s="24">
        <v>0</v>
      </c>
      <c r="D204" s="24">
        <v>0</v>
      </c>
      <c r="E204" s="24">
        <v>0</v>
      </c>
      <c r="F204" s="24">
        <v>0</v>
      </c>
      <c r="G204" s="24">
        <v>0</v>
      </c>
      <c r="H204" s="24">
        <v>0</v>
      </c>
      <c r="I204" s="24">
        <v>0</v>
      </c>
      <c r="J204" s="8">
        <f t="shared" si="28"/>
        <v>0</v>
      </c>
      <c r="L204" s="9"/>
      <c r="M204" s="9"/>
    </row>
    <row r="205" spans="2:13" ht="12.75" x14ac:dyDescent="0.2">
      <c r="B205" s="3" t="s">
        <v>350</v>
      </c>
      <c r="C205" s="24">
        <v>0</v>
      </c>
      <c r="D205" s="24">
        <v>0</v>
      </c>
      <c r="E205" s="24">
        <v>0</v>
      </c>
      <c r="F205" s="24">
        <v>23.22</v>
      </c>
      <c r="G205" s="24">
        <v>0</v>
      </c>
      <c r="H205" s="24">
        <v>122.86</v>
      </c>
      <c r="I205" s="24">
        <v>59.56</v>
      </c>
      <c r="J205" s="8">
        <f t="shared" si="28"/>
        <v>205.64</v>
      </c>
      <c r="L205" s="9"/>
      <c r="M205" s="9"/>
    </row>
    <row r="206" spans="2:13" ht="12.75" x14ac:dyDescent="0.2">
      <c r="B206" s="3" t="s">
        <v>351</v>
      </c>
      <c r="C206" s="24">
        <v>0</v>
      </c>
      <c r="D206" s="24">
        <v>926.92</v>
      </c>
      <c r="E206" s="24">
        <v>0</v>
      </c>
      <c r="F206" s="24">
        <v>0</v>
      </c>
      <c r="G206" s="24">
        <v>0</v>
      </c>
      <c r="H206" s="24">
        <v>8830.91</v>
      </c>
      <c r="I206" s="24">
        <v>314.82</v>
      </c>
      <c r="J206" s="8">
        <f t="shared" si="28"/>
        <v>10072.65</v>
      </c>
      <c r="L206" s="9"/>
      <c r="M206" s="9"/>
    </row>
    <row r="207" spans="2:13" ht="12.75" x14ac:dyDescent="0.2">
      <c r="B207" s="3" t="s">
        <v>352</v>
      </c>
      <c r="C207" s="24">
        <v>0</v>
      </c>
      <c r="D207" s="24">
        <v>0</v>
      </c>
      <c r="E207" s="24">
        <v>0</v>
      </c>
      <c r="F207" s="24">
        <v>0</v>
      </c>
      <c r="G207" s="24">
        <v>0</v>
      </c>
      <c r="H207" s="24">
        <v>0</v>
      </c>
      <c r="I207" s="24">
        <v>0</v>
      </c>
      <c r="J207" s="8">
        <f t="shared" si="28"/>
        <v>0</v>
      </c>
      <c r="L207" s="9"/>
      <c r="M207" s="9"/>
    </row>
    <row r="208" spans="2:13" ht="12.75" x14ac:dyDescent="0.2">
      <c r="B208" s="3" t="s">
        <v>569</v>
      </c>
      <c r="C208" s="24">
        <v>0</v>
      </c>
      <c r="D208" s="24">
        <v>0</v>
      </c>
      <c r="E208" s="24">
        <v>0</v>
      </c>
      <c r="F208" s="24">
        <v>0</v>
      </c>
      <c r="G208" s="24">
        <v>0</v>
      </c>
      <c r="H208" s="24">
        <v>434.94</v>
      </c>
      <c r="I208" s="24">
        <v>0</v>
      </c>
      <c r="J208" s="8">
        <f t="shared" si="28"/>
        <v>434.94</v>
      </c>
      <c r="L208" s="9"/>
      <c r="M208" s="9"/>
    </row>
    <row r="209" spans="2:13" ht="12.75" x14ac:dyDescent="0.2">
      <c r="B209" s="3" t="s">
        <v>667</v>
      </c>
      <c r="C209" s="24">
        <v>1008.09</v>
      </c>
      <c r="D209" s="24">
        <v>3018.33</v>
      </c>
      <c r="E209" s="24">
        <v>246.37</v>
      </c>
      <c r="F209" s="24">
        <v>350.17</v>
      </c>
      <c r="G209" s="24">
        <v>32057.02</v>
      </c>
      <c r="H209" s="24">
        <v>400.74</v>
      </c>
      <c r="I209" s="24">
        <v>214.08</v>
      </c>
      <c r="J209" s="8">
        <f t="shared" si="28"/>
        <v>37294.800000000003</v>
      </c>
      <c r="L209" s="9"/>
      <c r="M209" s="9"/>
    </row>
    <row r="210" spans="2:13" ht="12.75" x14ac:dyDescent="0.2">
      <c r="B210" s="3" t="s">
        <v>353</v>
      </c>
      <c r="C210" s="24">
        <v>303.45999999999998</v>
      </c>
      <c r="D210" s="24">
        <v>42.36</v>
      </c>
      <c r="E210" s="24">
        <v>0</v>
      </c>
      <c r="F210" s="24">
        <v>0</v>
      </c>
      <c r="G210" s="24">
        <v>88.32</v>
      </c>
      <c r="H210" s="24">
        <v>222.94</v>
      </c>
      <c r="I210" s="24">
        <v>104.75</v>
      </c>
      <c r="J210" s="8">
        <f t="shared" si="28"/>
        <v>761.82999999999993</v>
      </c>
      <c r="L210" s="9"/>
      <c r="M210" s="9"/>
    </row>
    <row r="211" spans="2:13" ht="12.75" x14ac:dyDescent="0.2">
      <c r="B211" s="3" t="s">
        <v>772</v>
      </c>
      <c r="C211" s="24">
        <v>0</v>
      </c>
      <c r="D211" s="24">
        <v>0</v>
      </c>
      <c r="E211" s="24">
        <v>1700.38</v>
      </c>
      <c r="F211" s="24">
        <v>0</v>
      </c>
      <c r="G211" s="24">
        <v>0</v>
      </c>
      <c r="H211" s="24">
        <v>0</v>
      </c>
      <c r="I211" s="24">
        <v>0</v>
      </c>
      <c r="J211" s="8">
        <f t="shared" ref="J211:J232" si="29">SUM(C211:I211)</f>
        <v>1700.38</v>
      </c>
      <c r="L211" s="9"/>
      <c r="M211" s="9"/>
    </row>
    <row r="212" spans="2:13" ht="12.75" x14ac:dyDescent="0.2">
      <c r="B212" s="3" t="s">
        <v>354</v>
      </c>
      <c r="C212" s="24">
        <v>759.26</v>
      </c>
      <c r="D212" s="24">
        <v>833.54</v>
      </c>
      <c r="E212" s="24">
        <v>785.18</v>
      </c>
      <c r="F212" s="24">
        <v>770.14</v>
      </c>
      <c r="G212" s="24">
        <v>745.78</v>
      </c>
      <c r="H212" s="24">
        <v>706.25</v>
      </c>
      <c r="I212" s="24">
        <v>730.35</v>
      </c>
      <c r="J212" s="8">
        <f t="shared" si="29"/>
        <v>5330.5</v>
      </c>
      <c r="L212" s="9"/>
      <c r="M212" s="9"/>
    </row>
    <row r="213" spans="2:13" ht="12.75" x14ac:dyDescent="0.2">
      <c r="B213" s="3" t="s">
        <v>355</v>
      </c>
      <c r="C213" s="24">
        <v>5518.91</v>
      </c>
      <c r="D213" s="24">
        <v>5514.32</v>
      </c>
      <c r="E213" s="24">
        <v>5545.86</v>
      </c>
      <c r="F213" s="24">
        <v>5438.19</v>
      </c>
      <c r="G213" s="24">
        <v>5265.39</v>
      </c>
      <c r="H213" s="24">
        <v>4955.6000000000004</v>
      </c>
      <c r="I213" s="24">
        <v>5155.16</v>
      </c>
      <c r="J213" s="8">
        <f t="shared" si="29"/>
        <v>37393.429999999993</v>
      </c>
      <c r="L213" s="9"/>
      <c r="M213" s="9"/>
    </row>
    <row r="214" spans="2:13" ht="12.75" x14ac:dyDescent="0.2">
      <c r="B214" s="3" t="s">
        <v>1832</v>
      </c>
      <c r="C214" s="24">
        <v>0</v>
      </c>
      <c r="D214" s="24">
        <v>0</v>
      </c>
      <c r="E214" s="24">
        <v>0</v>
      </c>
      <c r="F214" s="24">
        <v>0</v>
      </c>
      <c r="G214" s="24">
        <v>0</v>
      </c>
      <c r="H214" s="24">
        <v>0</v>
      </c>
      <c r="I214" s="24">
        <v>128.19999999999999</v>
      </c>
      <c r="J214" s="8">
        <f t="shared" si="29"/>
        <v>128.19999999999999</v>
      </c>
      <c r="L214" s="9"/>
      <c r="M214" s="9"/>
    </row>
    <row r="215" spans="2:13" ht="12.75" x14ac:dyDescent="0.2">
      <c r="B215" s="3" t="s">
        <v>356</v>
      </c>
      <c r="C215" s="24">
        <v>0</v>
      </c>
      <c r="D215" s="24">
        <v>0</v>
      </c>
      <c r="E215" s="24">
        <v>0</v>
      </c>
      <c r="F215" s="24">
        <v>0</v>
      </c>
      <c r="G215" s="24">
        <v>0</v>
      </c>
      <c r="H215" s="24">
        <v>0</v>
      </c>
      <c r="I215" s="24">
        <v>0</v>
      </c>
      <c r="J215" s="8">
        <f t="shared" si="29"/>
        <v>0</v>
      </c>
      <c r="L215" s="9"/>
      <c r="M215" s="9"/>
    </row>
    <row r="216" spans="2:13" ht="12.75" x14ac:dyDescent="0.2">
      <c r="B216" s="3" t="s">
        <v>1786</v>
      </c>
      <c r="C216" s="24">
        <v>0</v>
      </c>
      <c r="D216" s="24">
        <v>0</v>
      </c>
      <c r="E216" s="24">
        <v>0</v>
      </c>
      <c r="F216" s="24">
        <v>0</v>
      </c>
      <c r="G216" s="24">
        <v>0</v>
      </c>
      <c r="H216" s="24">
        <v>0</v>
      </c>
      <c r="I216" s="24">
        <v>0</v>
      </c>
      <c r="J216" s="8">
        <f t="shared" si="29"/>
        <v>0</v>
      </c>
      <c r="L216" s="9"/>
      <c r="M216" s="9"/>
    </row>
    <row r="217" spans="2:13" ht="12.75" x14ac:dyDescent="0.2">
      <c r="B217" s="3" t="s">
        <v>357</v>
      </c>
      <c r="C217" s="24">
        <v>1338.06</v>
      </c>
      <c r="D217" s="24">
        <v>3555.62</v>
      </c>
      <c r="E217" s="24">
        <v>5109.49</v>
      </c>
      <c r="F217" s="24">
        <v>7935.64</v>
      </c>
      <c r="G217" s="24">
        <v>753.53</v>
      </c>
      <c r="H217" s="24">
        <v>7188</v>
      </c>
      <c r="I217" s="24">
        <v>4154.63</v>
      </c>
      <c r="J217" s="8">
        <f t="shared" si="29"/>
        <v>30034.97</v>
      </c>
      <c r="L217" s="9"/>
      <c r="M217" s="9"/>
    </row>
    <row r="218" spans="2:13" ht="12.75" x14ac:dyDescent="0.2">
      <c r="B218" s="3" t="s">
        <v>920</v>
      </c>
      <c r="C218" s="24">
        <v>6019.66</v>
      </c>
      <c r="D218" s="24">
        <v>-5552.96</v>
      </c>
      <c r="E218" s="24">
        <v>501.64</v>
      </c>
      <c r="F218" s="24">
        <v>501.64</v>
      </c>
      <c r="G218" s="24">
        <v>501.64</v>
      </c>
      <c r="H218" s="24">
        <v>501.64</v>
      </c>
      <c r="I218" s="24">
        <v>501.64</v>
      </c>
      <c r="J218" s="8">
        <f t="shared" si="29"/>
        <v>2974.8999999999996</v>
      </c>
      <c r="L218" s="9"/>
      <c r="M218" s="9"/>
    </row>
    <row r="219" spans="2:13" ht="12.75" x14ac:dyDescent="0.2">
      <c r="B219" s="3" t="s">
        <v>358</v>
      </c>
      <c r="C219" s="24">
        <v>1796.01</v>
      </c>
      <c r="D219" s="24">
        <v>2084.5500000000002</v>
      </c>
      <c r="E219" s="24">
        <v>333.96</v>
      </c>
      <c r="F219" s="24">
        <v>0</v>
      </c>
      <c r="G219" s="24">
        <v>0</v>
      </c>
      <c r="H219" s="24">
        <v>0</v>
      </c>
      <c r="I219" s="24">
        <v>801.41</v>
      </c>
      <c r="J219" s="8">
        <f t="shared" si="29"/>
        <v>5015.93</v>
      </c>
      <c r="L219" s="9"/>
      <c r="M219" s="9"/>
    </row>
    <row r="220" spans="2:13" ht="12.75" x14ac:dyDescent="0.2">
      <c r="B220" s="3" t="s">
        <v>1833</v>
      </c>
      <c r="C220" s="24">
        <v>0</v>
      </c>
      <c r="D220" s="24">
        <v>0</v>
      </c>
      <c r="E220" s="24">
        <v>0</v>
      </c>
      <c r="F220" s="24">
        <v>0</v>
      </c>
      <c r="G220" s="24">
        <v>0</v>
      </c>
      <c r="H220" s="24">
        <v>0</v>
      </c>
      <c r="I220" s="24">
        <v>0</v>
      </c>
      <c r="J220" s="8">
        <f t="shared" si="29"/>
        <v>0</v>
      </c>
      <c r="L220" s="9"/>
      <c r="M220" s="9"/>
    </row>
    <row r="221" spans="2:13" ht="12.75" x14ac:dyDescent="0.2">
      <c r="B221" s="3" t="s">
        <v>359</v>
      </c>
      <c r="C221" s="24">
        <v>0</v>
      </c>
      <c r="D221" s="24">
        <v>0</v>
      </c>
      <c r="E221" s="24">
        <v>0</v>
      </c>
      <c r="F221" s="24">
        <v>0</v>
      </c>
      <c r="G221" s="24">
        <v>0</v>
      </c>
      <c r="H221" s="24">
        <v>0</v>
      </c>
      <c r="I221" s="24">
        <v>0</v>
      </c>
      <c r="J221" s="8">
        <f t="shared" si="29"/>
        <v>0</v>
      </c>
      <c r="L221" s="9"/>
      <c r="M221" s="9"/>
    </row>
    <row r="222" spans="2:13" ht="12.75" x14ac:dyDescent="0.2">
      <c r="B222" s="3" t="s">
        <v>360</v>
      </c>
      <c r="C222" s="24">
        <v>42642.87</v>
      </c>
      <c r="D222" s="24">
        <v>39245.4</v>
      </c>
      <c r="E222" s="24">
        <v>31150.36</v>
      </c>
      <c r="F222" s="24">
        <v>30185.17</v>
      </c>
      <c r="G222" s="24">
        <v>33830.230000000003</v>
      </c>
      <c r="H222" s="24">
        <v>27129.06</v>
      </c>
      <c r="I222" s="24">
        <v>29419.14</v>
      </c>
      <c r="J222" s="8">
        <f t="shared" si="29"/>
        <v>233602.22999999998</v>
      </c>
      <c r="L222" s="9"/>
      <c r="M222" s="9"/>
    </row>
    <row r="223" spans="2:13" ht="12.75" x14ac:dyDescent="0.2">
      <c r="B223" s="3" t="s">
        <v>571</v>
      </c>
      <c r="C223" s="24">
        <v>0</v>
      </c>
      <c r="D223" s="24">
        <v>0</v>
      </c>
      <c r="E223" s="24">
        <v>0</v>
      </c>
      <c r="F223" s="24">
        <v>0</v>
      </c>
      <c r="G223" s="24">
        <v>0</v>
      </c>
      <c r="H223" s="24">
        <v>2154.61</v>
      </c>
      <c r="I223" s="24">
        <v>0</v>
      </c>
      <c r="J223" s="8">
        <f t="shared" si="29"/>
        <v>2154.61</v>
      </c>
      <c r="L223" s="9"/>
      <c r="M223" s="9"/>
    </row>
    <row r="224" spans="2:13" ht="12.75" x14ac:dyDescent="0.2">
      <c r="B224" s="3" t="s">
        <v>361</v>
      </c>
      <c r="C224" s="24">
        <v>0</v>
      </c>
      <c r="D224" s="24">
        <v>0</v>
      </c>
      <c r="E224" s="24">
        <v>0</v>
      </c>
      <c r="F224" s="24">
        <v>0</v>
      </c>
      <c r="G224" s="24">
        <v>0</v>
      </c>
      <c r="H224" s="24">
        <v>0</v>
      </c>
      <c r="I224" s="24">
        <v>0</v>
      </c>
      <c r="J224" s="8">
        <f t="shared" si="29"/>
        <v>0</v>
      </c>
      <c r="L224" s="9"/>
      <c r="M224" s="9"/>
    </row>
    <row r="225" spans="2:13" ht="12.75" x14ac:dyDescent="0.2">
      <c r="B225" s="3" t="s">
        <v>1789</v>
      </c>
      <c r="C225" s="24">
        <v>0</v>
      </c>
      <c r="D225" s="24">
        <v>0</v>
      </c>
      <c r="E225" s="24">
        <v>0</v>
      </c>
      <c r="F225" s="24">
        <v>0</v>
      </c>
      <c r="G225" s="24">
        <v>0</v>
      </c>
      <c r="H225" s="24">
        <v>0</v>
      </c>
      <c r="I225" s="24">
        <v>0</v>
      </c>
      <c r="J225" s="8">
        <f t="shared" si="29"/>
        <v>0</v>
      </c>
      <c r="L225" s="9"/>
      <c r="M225" s="9"/>
    </row>
    <row r="226" spans="2:13" ht="12.75" x14ac:dyDescent="0.2">
      <c r="B226" s="3" t="s">
        <v>1427</v>
      </c>
      <c r="C226" s="24">
        <v>0</v>
      </c>
      <c r="D226" s="24">
        <v>0</v>
      </c>
      <c r="E226" s="24">
        <v>0</v>
      </c>
      <c r="F226" s="24">
        <v>0</v>
      </c>
      <c r="G226" s="24">
        <v>0</v>
      </c>
      <c r="H226" s="24">
        <v>0</v>
      </c>
      <c r="I226" s="24">
        <v>0</v>
      </c>
      <c r="J226" s="8">
        <f t="shared" si="29"/>
        <v>0</v>
      </c>
      <c r="L226" s="9"/>
      <c r="M226" s="9"/>
    </row>
    <row r="227" spans="2:13" ht="12.75" x14ac:dyDescent="0.2">
      <c r="B227" s="3" t="s">
        <v>1446</v>
      </c>
      <c r="C227" s="24">
        <v>0</v>
      </c>
      <c r="D227" s="24">
        <v>0</v>
      </c>
      <c r="E227" s="24">
        <v>0</v>
      </c>
      <c r="F227" s="24">
        <v>0</v>
      </c>
      <c r="G227" s="24">
        <v>0</v>
      </c>
      <c r="H227" s="24">
        <v>0</v>
      </c>
      <c r="I227" s="24">
        <v>0</v>
      </c>
      <c r="J227" s="8">
        <f t="shared" si="29"/>
        <v>0</v>
      </c>
      <c r="L227" s="9"/>
      <c r="M227" s="9"/>
    </row>
    <row r="228" spans="2:13" ht="12.75" x14ac:dyDescent="0.2">
      <c r="B228" s="3" t="s">
        <v>921</v>
      </c>
      <c r="C228" s="24">
        <v>0</v>
      </c>
      <c r="D228" s="24">
        <v>0</v>
      </c>
      <c r="E228" s="24">
        <v>0</v>
      </c>
      <c r="F228" s="24">
        <v>0</v>
      </c>
      <c r="G228" s="24">
        <v>0</v>
      </c>
      <c r="H228" s="24">
        <v>0</v>
      </c>
      <c r="I228" s="24">
        <v>0</v>
      </c>
      <c r="J228" s="8">
        <f t="shared" si="29"/>
        <v>0</v>
      </c>
      <c r="L228" s="9"/>
      <c r="M228" s="9"/>
    </row>
    <row r="229" spans="2:13" ht="12.75" x14ac:dyDescent="0.2">
      <c r="B229" s="3" t="s">
        <v>362</v>
      </c>
      <c r="C229" s="24">
        <v>149.46</v>
      </c>
      <c r="D229" s="24">
        <v>0</v>
      </c>
      <c r="E229" s="24">
        <v>0</v>
      </c>
      <c r="F229" s="24">
        <v>0</v>
      </c>
      <c r="G229" s="24">
        <v>0</v>
      </c>
      <c r="H229" s="24">
        <v>0</v>
      </c>
      <c r="I229" s="24">
        <v>0</v>
      </c>
      <c r="J229" s="8">
        <f t="shared" si="29"/>
        <v>149.46</v>
      </c>
      <c r="L229" s="9"/>
      <c r="M229" s="9"/>
    </row>
    <row r="230" spans="2:13" ht="12.75" x14ac:dyDescent="0.2">
      <c r="B230" s="3" t="s">
        <v>852</v>
      </c>
      <c r="C230" s="24">
        <v>-4480.1099999999997</v>
      </c>
      <c r="D230" s="24">
        <v>0</v>
      </c>
      <c r="E230" s="24">
        <v>0</v>
      </c>
      <c r="F230" s="24">
        <v>0</v>
      </c>
      <c r="G230" s="24">
        <v>0</v>
      </c>
      <c r="H230" s="24">
        <v>3054.32</v>
      </c>
      <c r="I230" s="24">
        <v>0</v>
      </c>
      <c r="J230" s="8">
        <f t="shared" si="29"/>
        <v>-1425.7899999999995</v>
      </c>
      <c r="L230" s="9"/>
      <c r="M230" s="9"/>
    </row>
    <row r="231" spans="2:13" ht="12.75" x14ac:dyDescent="0.2">
      <c r="B231" s="3" t="s">
        <v>1111</v>
      </c>
      <c r="C231" s="24">
        <v>0</v>
      </c>
      <c r="D231" s="24">
        <v>0</v>
      </c>
      <c r="E231" s="24">
        <v>0</v>
      </c>
      <c r="F231" s="24">
        <v>0</v>
      </c>
      <c r="G231" s="24">
        <v>0</v>
      </c>
      <c r="H231" s="24">
        <v>0</v>
      </c>
      <c r="I231" s="24">
        <v>0</v>
      </c>
      <c r="J231" s="8">
        <f t="shared" si="29"/>
        <v>0</v>
      </c>
      <c r="L231" s="9"/>
      <c r="M231" s="9"/>
    </row>
    <row r="232" spans="2:13" ht="12.75" x14ac:dyDescent="0.2">
      <c r="B232" s="3" t="s">
        <v>363</v>
      </c>
      <c r="C232" s="24">
        <v>0</v>
      </c>
      <c r="D232" s="24">
        <v>0</v>
      </c>
      <c r="E232" s="24">
        <v>0</v>
      </c>
      <c r="F232" s="24">
        <v>0</v>
      </c>
      <c r="G232" s="24">
        <v>0</v>
      </c>
      <c r="H232" s="24">
        <v>0</v>
      </c>
      <c r="I232" s="24">
        <v>0</v>
      </c>
      <c r="J232" s="8">
        <f t="shared" si="29"/>
        <v>0</v>
      </c>
      <c r="L232" s="9"/>
      <c r="M232" s="9"/>
    </row>
    <row r="233" spans="2:13" ht="12.75" x14ac:dyDescent="0.2">
      <c r="B233" s="6" t="s">
        <v>1552</v>
      </c>
      <c r="C233" s="63">
        <f t="shared" ref="C233:J233" si="30">SUM(C179:C232)</f>
        <v>238831.68</v>
      </c>
      <c r="D233" s="63">
        <f t="shared" si="30"/>
        <v>227028.91999999995</v>
      </c>
      <c r="E233" s="63">
        <f t="shared" si="30"/>
        <v>332059.1999999999</v>
      </c>
      <c r="F233" s="63">
        <f t="shared" si="30"/>
        <v>192523.28000000003</v>
      </c>
      <c r="G233" s="63">
        <f t="shared" si="30"/>
        <v>225651.77000000005</v>
      </c>
      <c r="H233" s="63">
        <f t="shared" si="30"/>
        <v>239077.69999999995</v>
      </c>
      <c r="I233" s="63">
        <f t="shared" si="30"/>
        <v>184855.63000000006</v>
      </c>
      <c r="J233" s="63">
        <f t="shared" si="30"/>
        <v>1640028.1799999995</v>
      </c>
      <c r="L233" s="9"/>
      <c r="M233" s="9"/>
    </row>
    <row r="234" spans="2:13" ht="12.75" x14ac:dyDescent="0.2">
      <c r="B234" s="3" t="s">
        <v>365</v>
      </c>
      <c r="C234" s="24">
        <v>0</v>
      </c>
      <c r="D234" s="24">
        <v>1600.23</v>
      </c>
      <c r="E234" s="24">
        <v>1168.57</v>
      </c>
      <c r="F234" s="24">
        <v>0</v>
      </c>
      <c r="G234" s="24">
        <v>0</v>
      </c>
      <c r="H234" s="24">
        <v>1487.7</v>
      </c>
      <c r="I234" s="24">
        <v>649.11</v>
      </c>
      <c r="J234" s="8">
        <f t="shared" ref="J234:J243" si="31">SUM(C234:I234)</f>
        <v>4905.6099999999997</v>
      </c>
      <c r="L234" s="9"/>
      <c r="M234" s="9"/>
    </row>
    <row r="235" spans="2:13" ht="12.75" x14ac:dyDescent="0.2">
      <c r="B235" s="3" t="s">
        <v>366</v>
      </c>
      <c r="C235" s="24">
        <v>204.55</v>
      </c>
      <c r="D235" s="24">
        <v>1029.75</v>
      </c>
      <c r="E235" s="24">
        <v>934.96</v>
      </c>
      <c r="F235" s="24">
        <v>914.58</v>
      </c>
      <c r="G235" s="24">
        <v>79.19</v>
      </c>
      <c r="H235" s="24">
        <v>1519.88</v>
      </c>
      <c r="I235" s="24">
        <v>1279.02</v>
      </c>
      <c r="J235" s="8">
        <f t="shared" si="31"/>
        <v>5961.93</v>
      </c>
      <c r="L235" s="9"/>
      <c r="M235" s="9"/>
    </row>
    <row r="236" spans="2:13" ht="12.75" x14ac:dyDescent="0.2">
      <c r="B236" s="3" t="s">
        <v>367</v>
      </c>
      <c r="C236" s="24">
        <v>596.78</v>
      </c>
      <c r="D236" s="24">
        <v>344.82</v>
      </c>
      <c r="E236" s="24">
        <v>538.07000000000005</v>
      </c>
      <c r="F236" s="24">
        <v>115.42</v>
      </c>
      <c r="G236" s="24">
        <v>0</v>
      </c>
      <c r="H236" s="24">
        <v>1763.42</v>
      </c>
      <c r="I236" s="24">
        <v>317.02</v>
      </c>
      <c r="J236" s="8">
        <f t="shared" si="31"/>
        <v>3675.53</v>
      </c>
      <c r="L236" s="9"/>
      <c r="M236" s="9"/>
    </row>
    <row r="237" spans="2:13" ht="12.75" x14ac:dyDescent="0.2">
      <c r="B237" s="3" t="s">
        <v>368</v>
      </c>
      <c r="C237" s="24">
        <v>432.37</v>
      </c>
      <c r="D237" s="24">
        <v>486.99</v>
      </c>
      <c r="E237" s="24">
        <v>105.27</v>
      </c>
      <c r="F237" s="24">
        <v>107.85</v>
      </c>
      <c r="G237" s="24">
        <v>108.03</v>
      </c>
      <c r="H237" s="24">
        <v>584.62</v>
      </c>
      <c r="I237" s="24">
        <v>777.22</v>
      </c>
      <c r="J237" s="8">
        <f t="shared" si="31"/>
        <v>2602.3500000000004</v>
      </c>
      <c r="L237" s="9"/>
      <c r="M237" s="9"/>
    </row>
    <row r="238" spans="2:13" ht="12.75" x14ac:dyDescent="0.2">
      <c r="B238" s="3" t="s">
        <v>369</v>
      </c>
      <c r="C238" s="24">
        <v>235.23</v>
      </c>
      <c r="D238" s="24">
        <v>467.77</v>
      </c>
      <c r="E238" s="24">
        <v>92.97</v>
      </c>
      <c r="F238" s="24">
        <v>0</v>
      </c>
      <c r="G238" s="24">
        <v>135.80000000000001</v>
      </c>
      <c r="H238" s="24">
        <v>298.16000000000003</v>
      </c>
      <c r="I238" s="24">
        <v>399.1</v>
      </c>
      <c r="J238" s="8">
        <f t="shared" si="31"/>
        <v>1629.0300000000002</v>
      </c>
      <c r="L238" s="9"/>
      <c r="M238" s="9"/>
    </row>
    <row r="239" spans="2:13" ht="12.75" x14ac:dyDescent="0.2">
      <c r="B239" s="3" t="s">
        <v>370</v>
      </c>
      <c r="C239" s="24">
        <v>0</v>
      </c>
      <c r="D239" s="24">
        <v>19.579999999999998</v>
      </c>
      <c r="E239" s="24">
        <v>21.82</v>
      </c>
      <c r="F239" s="24">
        <v>0</v>
      </c>
      <c r="G239" s="24">
        <v>0</v>
      </c>
      <c r="H239" s="24">
        <v>24.83</v>
      </c>
      <c r="I239" s="24">
        <v>5.34</v>
      </c>
      <c r="J239" s="8">
        <f t="shared" si="31"/>
        <v>71.569999999999993</v>
      </c>
      <c r="L239" s="9"/>
      <c r="M239" s="9"/>
    </row>
    <row r="240" spans="2:13" ht="12.75" x14ac:dyDescent="0.2">
      <c r="B240" s="3" t="s">
        <v>1821</v>
      </c>
      <c r="C240" s="24">
        <v>0</v>
      </c>
      <c r="D240" s="24">
        <v>0</v>
      </c>
      <c r="E240" s="24">
        <v>0</v>
      </c>
      <c r="F240" s="24">
        <v>0</v>
      </c>
      <c r="G240" s="24">
        <v>0</v>
      </c>
      <c r="H240" s="24">
        <v>0</v>
      </c>
      <c r="I240" s="24">
        <v>0</v>
      </c>
      <c r="J240" s="8">
        <f t="shared" si="31"/>
        <v>0</v>
      </c>
      <c r="L240" s="9"/>
      <c r="M240" s="9"/>
    </row>
    <row r="241" spans="2:13" ht="12.75" x14ac:dyDescent="0.2">
      <c r="B241" s="3" t="s">
        <v>371</v>
      </c>
      <c r="C241" s="24">
        <v>45.18</v>
      </c>
      <c r="D241" s="24">
        <v>46.6</v>
      </c>
      <c r="E241" s="24">
        <v>8.64</v>
      </c>
      <c r="F241" s="24">
        <v>0</v>
      </c>
      <c r="G241" s="24">
        <v>9.83</v>
      </c>
      <c r="H241" s="24">
        <v>81.349999999999994</v>
      </c>
      <c r="I241" s="24">
        <v>5.57</v>
      </c>
      <c r="J241" s="8">
        <f t="shared" si="31"/>
        <v>197.17</v>
      </c>
      <c r="L241" s="9"/>
      <c r="M241" s="9"/>
    </row>
    <row r="242" spans="2:13" ht="12.75" x14ac:dyDescent="0.2">
      <c r="B242" s="3" t="s">
        <v>372</v>
      </c>
      <c r="C242" s="24">
        <v>246.17</v>
      </c>
      <c r="D242" s="24">
        <v>114.61</v>
      </c>
      <c r="E242" s="24">
        <v>227.22</v>
      </c>
      <c r="F242" s="24">
        <v>953.81</v>
      </c>
      <c r="G242" s="24">
        <v>114.85</v>
      </c>
      <c r="H242" s="24">
        <v>148.05000000000001</v>
      </c>
      <c r="I242" s="24">
        <v>316.2</v>
      </c>
      <c r="J242" s="8">
        <f t="shared" si="31"/>
        <v>2120.91</v>
      </c>
      <c r="L242" s="9"/>
      <c r="M242" s="9"/>
    </row>
    <row r="243" spans="2:13" ht="12.75" x14ac:dyDescent="0.2">
      <c r="B243" s="3" t="s">
        <v>572</v>
      </c>
      <c r="C243" s="24">
        <v>262.24</v>
      </c>
      <c r="D243" s="24">
        <v>0</v>
      </c>
      <c r="E243" s="24">
        <v>58.91</v>
      </c>
      <c r="F243" s="24">
        <v>0</v>
      </c>
      <c r="G243" s="24">
        <v>50.72</v>
      </c>
      <c r="H243" s="24">
        <v>0</v>
      </c>
      <c r="I243" s="24">
        <v>117.82</v>
      </c>
      <c r="J243" s="8">
        <f t="shared" si="31"/>
        <v>489.69</v>
      </c>
      <c r="L243" s="9"/>
      <c r="M243" s="9"/>
    </row>
    <row r="244" spans="2:13" ht="12.75" x14ac:dyDescent="0.2">
      <c r="B244" s="6" t="s">
        <v>1553</v>
      </c>
      <c r="C244" s="63">
        <f t="shared" ref="C244:J244" si="32">SUM(C234:C243)</f>
        <v>2022.52</v>
      </c>
      <c r="D244" s="63">
        <f t="shared" si="32"/>
        <v>4110.3499999999995</v>
      </c>
      <c r="E244" s="63">
        <f t="shared" si="32"/>
        <v>3156.4299999999994</v>
      </c>
      <c r="F244" s="63">
        <f t="shared" si="32"/>
        <v>2091.66</v>
      </c>
      <c r="G244" s="63">
        <f t="shared" si="32"/>
        <v>498.41999999999996</v>
      </c>
      <c r="H244" s="63">
        <f t="shared" si="32"/>
        <v>5908.01</v>
      </c>
      <c r="I244" s="63">
        <f t="shared" si="32"/>
        <v>3866.4</v>
      </c>
      <c r="J244" s="63">
        <f t="shared" si="32"/>
        <v>21653.789999999997</v>
      </c>
      <c r="L244" s="9"/>
      <c r="M244" s="9"/>
    </row>
    <row r="245" spans="2:13" ht="12.75" x14ac:dyDescent="0.2">
      <c r="B245" s="3" t="s">
        <v>673</v>
      </c>
      <c r="C245" s="24">
        <v>0</v>
      </c>
      <c r="D245" s="24">
        <v>517.05999999999995</v>
      </c>
      <c r="E245" s="24">
        <v>513.76</v>
      </c>
      <c r="F245" s="24">
        <v>1012.02</v>
      </c>
      <c r="G245" s="24">
        <v>489.07</v>
      </c>
      <c r="H245" s="24">
        <v>0</v>
      </c>
      <c r="I245" s="24">
        <v>0</v>
      </c>
      <c r="J245" s="8">
        <f t="shared" ref="J245:J255" si="33">SUM(C245:I245)</f>
        <v>2531.91</v>
      </c>
      <c r="L245" s="9"/>
      <c r="M245" s="9"/>
    </row>
    <row r="246" spans="2:13" ht="12.75" x14ac:dyDescent="0.2">
      <c r="B246" s="3" t="s">
        <v>374</v>
      </c>
      <c r="C246" s="24">
        <v>814.31</v>
      </c>
      <c r="D246" s="24">
        <v>-13.04</v>
      </c>
      <c r="E246" s="24">
        <v>2.1800000000000002</v>
      </c>
      <c r="F246" s="24">
        <v>568.75</v>
      </c>
      <c r="G246" s="24">
        <v>240.7</v>
      </c>
      <c r="H246" s="24">
        <v>331.94</v>
      </c>
      <c r="I246" s="24">
        <v>684.31</v>
      </c>
      <c r="J246" s="8">
        <f t="shared" si="33"/>
        <v>2629.1499999999996</v>
      </c>
      <c r="L246" s="9"/>
      <c r="M246" s="9"/>
    </row>
    <row r="247" spans="2:13" ht="12.75" x14ac:dyDescent="0.2">
      <c r="B247" s="3" t="s">
        <v>375</v>
      </c>
      <c r="C247" s="24">
        <v>-93.18</v>
      </c>
      <c r="D247" s="24">
        <v>493.49</v>
      </c>
      <c r="E247" s="24">
        <v>808.52</v>
      </c>
      <c r="F247" s="24">
        <v>510.22</v>
      </c>
      <c r="G247" s="24">
        <v>665.53</v>
      </c>
      <c r="H247" s="24">
        <v>816.74</v>
      </c>
      <c r="I247" s="24">
        <v>1083.45</v>
      </c>
      <c r="J247" s="8">
        <f t="shared" si="33"/>
        <v>4284.7699999999995</v>
      </c>
      <c r="L247" s="9"/>
      <c r="M247" s="9"/>
    </row>
    <row r="248" spans="2:13" ht="12.75" x14ac:dyDescent="0.2">
      <c r="B248" s="3" t="s">
        <v>573</v>
      </c>
      <c r="C248" s="24">
        <v>454.28</v>
      </c>
      <c r="D248" s="24">
        <v>1213.68</v>
      </c>
      <c r="E248" s="24">
        <v>337.58</v>
      </c>
      <c r="F248" s="24">
        <v>0</v>
      </c>
      <c r="G248" s="24">
        <v>-2.84</v>
      </c>
      <c r="H248" s="24">
        <v>-1.8</v>
      </c>
      <c r="I248" s="24">
        <v>2186.42</v>
      </c>
      <c r="J248" s="8">
        <f t="shared" si="33"/>
        <v>4187.32</v>
      </c>
      <c r="L248" s="9"/>
      <c r="M248" s="9"/>
    </row>
    <row r="249" spans="2:13" ht="12.75" x14ac:dyDescent="0.2">
      <c r="B249" s="3" t="s">
        <v>574</v>
      </c>
      <c r="C249" s="24">
        <v>647.59</v>
      </c>
      <c r="D249" s="24">
        <v>875.88</v>
      </c>
      <c r="E249" s="24">
        <v>0</v>
      </c>
      <c r="F249" s="24">
        <v>0</v>
      </c>
      <c r="G249" s="24">
        <v>-1.75</v>
      </c>
      <c r="H249" s="24">
        <v>-1.1100000000000001</v>
      </c>
      <c r="I249" s="24">
        <v>-0.82</v>
      </c>
      <c r="J249" s="8">
        <f t="shared" si="33"/>
        <v>1519.7900000000002</v>
      </c>
      <c r="L249" s="9"/>
      <c r="M249" s="9"/>
    </row>
    <row r="250" spans="2:13" ht="12.75" x14ac:dyDescent="0.2">
      <c r="B250" s="3" t="s">
        <v>1878</v>
      </c>
      <c r="C250" s="24">
        <v>0</v>
      </c>
      <c r="D250" s="24">
        <v>0</v>
      </c>
      <c r="E250" s="24">
        <v>0</v>
      </c>
      <c r="F250" s="24">
        <v>0</v>
      </c>
      <c r="G250" s="24">
        <v>0</v>
      </c>
      <c r="H250" s="24">
        <v>15.54</v>
      </c>
      <c r="I250" s="24">
        <v>0</v>
      </c>
      <c r="J250" s="8">
        <f t="shared" si="33"/>
        <v>15.54</v>
      </c>
      <c r="L250" s="9"/>
      <c r="M250" s="9"/>
    </row>
    <row r="251" spans="2:13" ht="12.75" x14ac:dyDescent="0.2">
      <c r="B251" s="3" t="s">
        <v>376</v>
      </c>
      <c r="C251" s="24">
        <v>4404.1099999999997</v>
      </c>
      <c r="D251" s="24">
        <v>7811.62</v>
      </c>
      <c r="E251" s="24">
        <v>5031.59</v>
      </c>
      <c r="F251" s="24">
        <v>2111.6</v>
      </c>
      <c r="G251" s="24">
        <v>4477.04</v>
      </c>
      <c r="H251" s="24">
        <v>5774.55</v>
      </c>
      <c r="I251" s="24">
        <v>4548.24</v>
      </c>
      <c r="J251" s="8">
        <f t="shared" si="33"/>
        <v>34158.75</v>
      </c>
      <c r="L251" s="9"/>
      <c r="M251" s="9"/>
    </row>
    <row r="252" spans="2:13" ht="12.75" x14ac:dyDescent="0.2">
      <c r="B252" s="3" t="s">
        <v>1641</v>
      </c>
      <c r="C252" s="24">
        <v>0</v>
      </c>
      <c r="D252" s="24">
        <v>0</v>
      </c>
      <c r="E252" s="24">
        <v>0</v>
      </c>
      <c r="F252" s="24">
        <v>0</v>
      </c>
      <c r="G252" s="24">
        <v>0</v>
      </c>
      <c r="H252" s="24">
        <v>0</v>
      </c>
      <c r="I252" s="24">
        <v>0</v>
      </c>
      <c r="J252" s="8">
        <f t="shared" si="33"/>
        <v>0</v>
      </c>
      <c r="L252" s="9"/>
      <c r="M252" s="9"/>
    </row>
    <row r="253" spans="2:13" ht="12.75" x14ac:dyDescent="0.2">
      <c r="B253" s="3" t="s">
        <v>377</v>
      </c>
      <c r="C253" s="24">
        <v>0</v>
      </c>
      <c r="D253" s="24">
        <v>0</v>
      </c>
      <c r="E253" s="24">
        <v>0</v>
      </c>
      <c r="F253" s="24">
        <v>0</v>
      </c>
      <c r="G253" s="24">
        <v>0</v>
      </c>
      <c r="H253" s="24">
        <v>0</v>
      </c>
      <c r="I253" s="24">
        <v>0</v>
      </c>
      <c r="J253" s="8">
        <f t="shared" si="33"/>
        <v>0</v>
      </c>
      <c r="L253" s="9"/>
      <c r="M253" s="9"/>
    </row>
    <row r="254" spans="2:13" ht="12.75" x14ac:dyDescent="0.2">
      <c r="B254" s="3" t="s">
        <v>857</v>
      </c>
      <c r="C254" s="24">
        <v>1626.35</v>
      </c>
      <c r="D254" s="24">
        <v>3610.08</v>
      </c>
      <c r="E254" s="24">
        <v>12169.33</v>
      </c>
      <c r="F254" s="24">
        <v>23044.73</v>
      </c>
      <c r="G254" s="24">
        <v>17923.669999999998</v>
      </c>
      <c r="H254" s="24">
        <v>15252.15</v>
      </c>
      <c r="I254" s="24">
        <v>12780.72</v>
      </c>
      <c r="J254" s="8">
        <f t="shared" si="33"/>
        <v>86407.03</v>
      </c>
      <c r="L254" s="9"/>
      <c r="M254" s="9"/>
    </row>
    <row r="255" spans="2:13" ht="12.75" x14ac:dyDescent="0.2">
      <c r="B255" s="3" t="s">
        <v>378</v>
      </c>
      <c r="C255" s="24">
        <v>4.25</v>
      </c>
      <c r="D255" s="24">
        <v>12355.47</v>
      </c>
      <c r="E255" s="24">
        <v>12248.7</v>
      </c>
      <c r="F255" s="24">
        <v>17006.22</v>
      </c>
      <c r="G255" s="24">
        <v>14685.37</v>
      </c>
      <c r="H255" s="24">
        <v>17771.490000000002</v>
      </c>
      <c r="I255" s="24">
        <v>20198.39</v>
      </c>
      <c r="J255" s="8">
        <f t="shared" si="33"/>
        <v>94269.89</v>
      </c>
      <c r="L255" s="9"/>
      <c r="M255" s="9"/>
    </row>
    <row r="256" spans="2:13" ht="12.75" x14ac:dyDescent="0.2">
      <c r="B256" s="6" t="s">
        <v>1554</v>
      </c>
      <c r="C256" s="63">
        <f t="shared" ref="C256:J256" si="34">SUM(C245:C255)</f>
        <v>7857.7099999999991</v>
      </c>
      <c r="D256" s="63">
        <f t="shared" si="34"/>
        <v>26864.239999999998</v>
      </c>
      <c r="E256" s="63">
        <f t="shared" si="34"/>
        <v>31111.66</v>
      </c>
      <c r="F256" s="63">
        <f t="shared" si="34"/>
        <v>44253.54</v>
      </c>
      <c r="G256" s="63">
        <f t="shared" si="34"/>
        <v>38476.79</v>
      </c>
      <c r="H256" s="63">
        <f t="shared" si="34"/>
        <v>39959.5</v>
      </c>
      <c r="I256" s="63">
        <f t="shared" si="34"/>
        <v>41480.71</v>
      </c>
      <c r="J256" s="63">
        <f t="shared" si="34"/>
        <v>230004.15000000002</v>
      </c>
      <c r="L256" s="9"/>
      <c r="M256" s="9"/>
    </row>
    <row r="257" spans="2:13" ht="12.75" x14ac:dyDescent="0.2">
      <c r="B257" s="3" t="s">
        <v>380</v>
      </c>
      <c r="C257" s="24">
        <v>250.8</v>
      </c>
      <c r="D257" s="24">
        <v>246.07</v>
      </c>
      <c r="E257" s="24">
        <v>241.19</v>
      </c>
      <c r="F257" s="24">
        <v>243.17</v>
      </c>
      <c r="G257" s="24">
        <v>238.47</v>
      </c>
      <c r="H257" s="24">
        <v>225.11</v>
      </c>
      <c r="I257" s="24">
        <v>221.97</v>
      </c>
      <c r="J257" s="8">
        <f>SUM(C257:I257)</f>
        <v>1666.78</v>
      </c>
      <c r="L257" s="9"/>
      <c r="M257" s="9"/>
    </row>
    <row r="258" spans="2:13" ht="12.75" x14ac:dyDescent="0.2">
      <c r="B258" s="3" t="s">
        <v>381</v>
      </c>
      <c r="C258" s="24">
        <v>2292.63</v>
      </c>
      <c r="D258" s="24">
        <v>2335.11</v>
      </c>
      <c r="E258" s="24">
        <v>2267.63</v>
      </c>
      <c r="F258" s="24">
        <v>2243.5500000000002</v>
      </c>
      <c r="G258" s="24">
        <v>2164.23</v>
      </c>
      <c r="H258" s="24">
        <v>1892.2</v>
      </c>
      <c r="I258" s="24">
        <v>2133.7800000000002</v>
      </c>
      <c r="J258" s="8">
        <f>SUM(C258:I258)</f>
        <v>15329.130000000001</v>
      </c>
      <c r="L258" s="9"/>
      <c r="M258" s="9"/>
    </row>
    <row r="259" spans="2:13" ht="12.75" x14ac:dyDescent="0.2">
      <c r="B259" s="3" t="s">
        <v>382</v>
      </c>
      <c r="C259" s="24">
        <v>105.68</v>
      </c>
      <c r="D259" s="24">
        <v>5798.65</v>
      </c>
      <c r="E259" s="24">
        <v>4542.46</v>
      </c>
      <c r="F259" s="24">
        <v>-3571.18</v>
      </c>
      <c r="G259" s="24">
        <v>457.9</v>
      </c>
      <c r="H259" s="24">
        <v>2449.85</v>
      </c>
      <c r="I259" s="24">
        <v>1011.41</v>
      </c>
      <c r="J259" s="8">
        <f>SUM(C259:I259)</f>
        <v>10794.77</v>
      </c>
      <c r="L259" s="9"/>
      <c r="M259" s="9"/>
    </row>
    <row r="260" spans="2:13" ht="12.75" x14ac:dyDescent="0.2">
      <c r="B260" s="6" t="s">
        <v>1555</v>
      </c>
      <c r="C260" s="63">
        <f t="shared" ref="C260:J260" si="35">SUM(C257:C259)</f>
        <v>2649.11</v>
      </c>
      <c r="D260" s="63">
        <f t="shared" si="35"/>
        <v>8379.83</v>
      </c>
      <c r="E260" s="63">
        <f t="shared" si="35"/>
        <v>7051.2800000000007</v>
      </c>
      <c r="F260" s="63">
        <f t="shared" si="35"/>
        <v>-1084.4599999999996</v>
      </c>
      <c r="G260" s="63">
        <f t="shared" si="35"/>
        <v>2860.6</v>
      </c>
      <c r="H260" s="63">
        <f t="shared" si="35"/>
        <v>4567.16</v>
      </c>
      <c r="I260" s="63">
        <f t="shared" si="35"/>
        <v>3367.16</v>
      </c>
      <c r="J260" s="63">
        <f t="shared" si="35"/>
        <v>27790.68</v>
      </c>
      <c r="L260" s="9"/>
      <c r="M260" s="9"/>
    </row>
    <row r="261" spans="2:13" ht="12.75" x14ac:dyDescent="0.2">
      <c r="B261" s="3" t="s">
        <v>384</v>
      </c>
      <c r="C261" s="24">
        <v>38.72</v>
      </c>
      <c r="D261" s="24">
        <v>2256.11</v>
      </c>
      <c r="E261" s="24">
        <v>-1850.86</v>
      </c>
      <c r="F261" s="24">
        <v>257.8</v>
      </c>
      <c r="G261" s="24">
        <v>333.69</v>
      </c>
      <c r="H261" s="24">
        <v>9.93</v>
      </c>
      <c r="I261" s="24">
        <v>461.85</v>
      </c>
      <c r="J261" s="8">
        <f t="shared" ref="J261:J266" si="36">SUM(C261:I261)</f>
        <v>1507.2400000000002</v>
      </c>
      <c r="L261" s="9"/>
      <c r="M261" s="9"/>
    </row>
    <row r="262" spans="2:13" ht="12.75" x14ac:dyDescent="0.2">
      <c r="B262" s="3" t="s">
        <v>993</v>
      </c>
      <c r="C262" s="24">
        <v>477.34</v>
      </c>
      <c r="D262" s="24">
        <v>486.09</v>
      </c>
      <c r="E262" s="24">
        <v>427.2</v>
      </c>
      <c r="F262" s="24">
        <v>398.81</v>
      </c>
      <c r="G262" s="24">
        <v>397.26</v>
      </c>
      <c r="H262" s="24">
        <v>387.25</v>
      </c>
      <c r="I262" s="24">
        <v>398.11</v>
      </c>
      <c r="J262" s="8">
        <f t="shared" si="36"/>
        <v>2972.06</v>
      </c>
      <c r="L262" s="9"/>
      <c r="M262" s="9"/>
    </row>
    <row r="263" spans="2:13" ht="12.75" x14ac:dyDescent="0.2">
      <c r="B263" s="3" t="s">
        <v>1887</v>
      </c>
      <c r="C263" s="24">
        <v>3613.31</v>
      </c>
      <c r="D263" s="24">
        <v>3902.92</v>
      </c>
      <c r="E263" s="24">
        <v>4323.21</v>
      </c>
      <c r="F263" s="24">
        <v>3717.45</v>
      </c>
      <c r="G263" s="24">
        <v>4269.3100000000004</v>
      </c>
      <c r="H263" s="24">
        <v>1789.42</v>
      </c>
      <c r="I263" s="24">
        <v>8415</v>
      </c>
      <c r="J263" s="8">
        <f t="shared" si="36"/>
        <v>30030.620000000003</v>
      </c>
      <c r="L263" s="9"/>
      <c r="M263" s="9"/>
    </row>
    <row r="264" spans="2:13" ht="12.75" x14ac:dyDescent="0.2">
      <c r="B264" s="3" t="s">
        <v>385</v>
      </c>
      <c r="C264" s="24">
        <v>6211.97</v>
      </c>
      <c r="D264" s="24">
        <v>6253.9</v>
      </c>
      <c r="E264" s="24">
        <v>5924.8</v>
      </c>
      <c r="F264" s="24">
        <v>6566.82</v>
      </c>
      <c r="G264" s="24">
        <v>6624.75</v>
      </c>
      <c r="H264" s="24">
        <v>5790.23</v>
      </c>
      <c r="I264" s="24">
        <v>5505.59</v>
      </c>
      <c r="J264" s="8">
        <f t="shared" si="36"/>
        <v>42878.06</v>
      </c>
      <c r="L264" s="9"/>
      <c r="M264" s="9"/>
    </row>
    <row r="265" spans="2:13" ht="12.75" x14ac:dyDescent="0.2">
      <c r="B265" s="3" t="s">
        <v>386</v>
      </c>
      <c r="C265" s="24">
        <v>0</v>
      </c>
      <c r="D265" s="24">
        <v>0</v>
      </c>
      <c r="E265" s="24">
        <v>0</v>
      </c>
      <c r="F265" s="24">
        <v>0</v>
      </c>
      <c r="G265" s="24">
        <v>0</v>
      </c>
      <c r="H265" s="24">
        <v>0</v>
      </c>
      <c r="I265" s="24">
        <v>0</v>
      </c>
      <c r="J265" s="8">
        <f t="shared" si="36"/>
        <v>0</v>
      </c>
      <c r="L265" s="9"/>
      <c r="M265" s="9"/>
    </row>
    <row r="266" spans="2:13" ht="12.75" x14ac:dyDescent="0.2">
      <c r="B266" s="3" t="s">
        <v>387</v>
      </c>
      <c r="C266" s="24">
        <v>12769.1</v>
      </c>
      <c r="D266" s="24">
        <v>9705.4</v>
      </c>
      <c r="E266" s="24">
        <v>9533.15</v>
      </c>
      <c r="F266" s="24">
        <v>9349.99</v>
      </c>
      <c r="G266" s="24">
        <v>-135.62</v>
      </c>
      <c r="H266" s="24">
        <v>9112.4599999999991</v>
      </c>
      <c r="I266" s="24">
        <v>11929.91</v>
      </c>
      <c r="J266" s="8">
        <f t="shared" si="36"/>
        <v>62264.39</v>
      </c>
      <c r="L266" s="9"/>
      <c r="M266" s="9"/>
    </row>
    <row r="267" spans="2:13" ht="12.75" x14ac:dyDescent="0.2">
      <c r="B267" s="6" t="s">
        <v>1556</v>
      </c>
      <c r="C267" s="63">
        <f t="shared" ref="C267:J267" si="37">SUM(C261:C266)</f>
        <v>23110.440000000002</v>
      </c>
      <c r="D267" s="63">
        <f t="shared" si="37"/>
        <v>22604.42</v>
      </c>
      <c r="E267" s="63">
        <f t="shared" si="37"/>
        <v>18357.5</v>
      </c>
      <c r="F267" s="63">
        <f t="shared" si="37"/>
        <v>20290.87</v>
      </c>
      <c r="G267" s="63">
        <f t="shared" si="37"/>
        <v>11489.39</v>
      </c>
      <c r="H267" s="63">
        <f t="shared" si="37"/>
        <v>17089.29</v>
      </c>
      <c r="I267" s="63">
        <f t="shared" si="37"/>
        <v>26710.46</v>
      </c>
      <c r="J267" s="63">
        <f t="shared" si="37"/>
        <v>139652.37</v>
      </c>
      <c r="L267" s="9"/>
      <c r="M267" s="9"/>
    </row>
    <row r="268" spans="2:13" ht="12.75" x14ac:dyDescent="0.2">
      <c r="B268" s="3" t="s">
        <v>994</v>
      </c>
      <c r="C268" s="24">
        <v>0</v>
      </c>
      <c r="D268" s="24">
        <v>0</v>
      </c>
      <c r="E268" s="24">
        <v>0</v>
      </c>
      <c r="F268" s="24">
        <v>0</v>
      </c>
      <c r="G268" s="24">
        <v>0</v>
      </c>
      <c r="H268" s="24">
        <v>0</v>
      </c>
      <c r="I268" s="24">
        <v>0</v>
      </c>
      <c r="J268" s="8">
        <f>SUM(C268:I268)</f>
        <v>0</v>
      </c>
      <c r="L268" s="9"/>
      <c r="M268" s="9"/>
    </row>
    <row r="269" spans="2:13" ht="12.75" x14ac:dyDescent="0.2">
      <c r="B269" s="3" t="s">
        <v>926</v>
      </c>
      <c r="C269" s="24">
        <v>0</v>
      </c>
      <c r="D269" s="24">
        <v>0</v>
      </c>
      <c r="E269" s="24">
        <v>0</v>
      </c>
      <c r="F269" s="24">
        <v>0</v>
      </c>
      <c r="G269" s="24">
        <v>0</v>
      </c>
      <c r="H269" s="24">
        <v>0</v>
      </c>
      <c r="I269" s="24">
        <v>0</v>
      </c>
      <c r="J269" s="8">
        <f>SUM(C269:I269)</f>
        <v>0</v>
      </c>
      <c r="L269" s="9"/>
      <c r="M269" s="9"/>
    </row>
    <row r="270" spans="2:13" ht="12.75" x14ac:dyDescent="0.2">
      <c r="B270" s="3" t="s">
        <v>1840</v>
      </c>
      <c r="C270" s="24">
        <v>0</v>
      </c>
      <c r="D270" s="24">
        <v>0</v>
      </c>
      <c r="E270" s="24">
        <v>0</v>
      </c>
      <c r="F270" s="24">
        <v>0</v>
      </c>
      <c r="G270" s="24">
        <v>0</v>
      </c>
      <c r="H270" s="24">
        <v>0</v>
      </c>
      <c r="I270" s="24">
        <v>0</v>
      </c>
      <c r="J270" s="8">
        <f>SUM(C270:I270)</f>
        <v>0</v>
      </c>
      <c r="L270" s="9"/>
      <c r="M270" s="9"/>
    </row>
    <row r="271" spans="2:13" ht="12.75" x14ac:dyDescent="0.2">
      <c r="B271" s="3" t="s">
        <v>1795</v>
      </c>
      <c r="C271" s="24">
        <v>233.04</v>
      </c>
      <c r="D271" s="24">
        <v>91.46</v>
      </c>
      <c r="E271" s="24">
        <v>16.63</v>
      </c>
      <c r="F271" s="24">
        <v>47</v>
      </c>
      <c r="G271" s="24">
        <v>0</v>
      </c>
      <c r="H271" s="24">
        <v>118.56</v>
      </c>
      <c r="I271" s="24">
        <v>51.89</v>
      </c>
      <c r="J271" s="8">
        <f>SUM(C271:I271)</f>
        <v>558.58000000000004</v>
      </c>
      <c r="L271" s="9"/>
      <c r="M271" s="9"/>
    </row>
    <row r="272" spans="2:13" ht="12.75" x14ac:dyDescent="0.2">
      <c r="B272" s="6" t="s">
        <v>1822</v>
      </c>
      <c r="C272" s="63">
        <f t="shared" ref="C272:J272" si="38">SUM(C268:C271)</f>
        <v>233.04</v>
      </c>
      <c r="D272" s="63">
        <f t="shared" si="38"/>
        <v>91.46</v>
      </c>
      <c r="E272" s="63">
        <f t="shared" si="38"/>
        <v>16.63</v>
      </c>
      <c r="F272" s="63">
        <f t="shared" si="38"/>
        <v>47</v>
      </c>
      <c r="G272" s="63">
        <f t="shared" si="38"/>
        <v>0</v>
      </c>
      <c r="H272" s="63">
        <f t="shared" si="38"/>
        <v>118.56</v>
      </c>
      <c r="I272" s="63">
        <f t="shared" si="38"/>
        <v>51.89</v>
      </c>
      <c r="J272" s="63">
        <f t="shared" si="38"/>
        <v>558.58000000000004</v>
      </c>
      <c r="L272" s="9"/>
      <c r="M272" s="9"/>
    </row>
    <row r="273" spans="2:13" ht="12.75" x14ac:dyDescent="0.2">
      <c r="B273" s="3" t="s">
        <v>389</v>
      </c>
      <c r="C273" s="24">
        <v>414.81</v>
      </c>
      <c r="D273" s="24">
        <v>0</v>
      </c>
      <c r="E273" s="24">
        <v>977.31</v>
      </c>
      <c r="F273" s="24">
        <v>3031.15</v>
      </c>
      <c r="G273" s="24">
        <v>3301.3</v>
      </c>
      <c r="H273" s="24">
        <v>2913.76</v>
      </c>
      <c r="I273" s="24">
        <v>859.62</v>
      </c>
      <c r="J273" s="8">
        <f>SUM(C273:I273)</f>
        <v>11497.950000000003</v>
      </c>
      <c r="L273" s="9"/>
      <c r="M273" s="9"/>
    </row>
    <row r="274" spans="2:13" ht="12.75" x14ac:dyDescent="0.2">
      <c r="B274" s="3" t="s">
        <v>1796</v>
      </c>
      <c r="C274" s="24">
        <v>1023.03</v>
      </c>
      <c r="D274" s="24">
        <v>1491.45</v>
      </c>
      <c r="E274" s="24">
        <v>1301.01</v>
      </c>
      <c r="F274" s="24">
        <v>2692.8</v>
      </c>
      <c r="G274" s="24">
        <v>1309.72</v>
      </c>
      <c r="H274" s="24">
        <v>1669.63</v>
      </c>
      <c r="I274" s="24">
        <v>782.47</v>
      </c>
      <c r="J274" s="8">
        <f>SUM(C274:I274)</f>
        <v>10270.109999999999</v>
      </c>
      <c r="L274" s="9"/>
      <c r="M274" s="9"/>
    </row>
    <row r="275" spans="2:13" ht="12.75" x14ac:dyDescent="0.2">
      <c r="B275" s="6" t="s">
        <v>1557</v>
      </c>
      <c r="C275" s="63">
        <f t="shared" ref="C275:J275" si="39">SUM(C273:C274)</f>
        <v>1437.84</v>
      </c>
      <c r="D275" s="63">
        <f t="shared" si="39"/>
        <v>1491.45</v>
      </c>
      <c r="E275" s="63">
        <f t="shared" si="39"/>
        <v>2278.3199999999997</v>
      </c>
      <c r="F275" s="63">
        <f t="shared" si="39"/>
        <v>5723.9500000000007</v>
      </c>
      <c r="G275" s="63">
        <f t="shared" si="39"/>
        <v>4611.0200000000004</v>
      </c>
      <c r="H275" s="63">
        <f t="shared" si="39"/>
        <v>4583.3900000000003</v>
      </c>
      <c r="I275" s="63">
        <f t="shared" si="39"/>
        <v>1642.0900000000001</v>
      </c>
      <c r="J275" s="63">
        <f t="shared" si="39"/>
        <v>21768.06</v>
      </c>
      <c r="L275" s="9"/>
      <c r="M275" s="9"/>
    </row>
    <row r="276" spans="2:13" ht="12.75" x14ac:dyDescent="0.2">
      <c r="B276" s="3" t="s">
        <v>579</v>
      </c>
      <c r="C276" s="24">
        <v>19.07</v>
      </c>
      <c r="D276" s="24">
        <v>249.15</v>
      </c>
      <c r="E276" s="24">
        <v>139.52000000000001</v>
      </c>
      <c r="F276" s="24">
        <v>16.38</v>
      </c>
      <c r="G276" s="24">
        <v>37.32</v>
      </c>
      <c r="H276" s="24">
        <v>538.13</v>
      </c>
      <c r="I276" s="24">
        <v>1290.53</v>
      </c>
      <c r="J276" s="8">
        <f t="shared" ref="J276:J284" si="40">SUM(C276:I276)</f>
        <v>2290.1</v>
      </c>
      <c r="L276" s="9"/>
      <c r="M276" s="9"/>
    </row>
    <row r="277" spans="2:13" ht="12.75" x14ac:dyDescent="0.2">
      <c r="B277" s="3" t="s">
        <v>392</v>
      </c>
      <c r="C277" s="24">
        <v>0</v>
      </c>
      <c r="D277" s="24">
        <v>0</v>
      </c>
      <c r="E277" s="24">
        <v>0</v>
      </c>
      <c r="F277" s="24">
        <v>0</v>
      </c>
      <c r="G277" s="24">
        <v>368.95</v>
      </c>
      <c r="H277" s="24">
        <v>0</v>
      </c>
      <c r="I277" s="24">
        <v>0</v>
      </c>
      <c r="J277" s="8">
        <f t="shared" si="40"/>
        <v>368.95</v>
      </c>
      <c r="L277" s="9"/>
      <c r="M277" s="9"/>
    </row>
    <row r="278" spans="2:13" ht="12.75" x14ac:dyDescent="0.2">
      <c r="B278" s="3" t="s">
        <v>581</v>
      </c>
      <c r="C278" s="24">
        <v>0</v>
      </c>
      <c r="D278" s="24">
        <v>0</v>
      </c>
      <c r="E278" s="24">
        <v>0</v>
      </c>
      <c r="F278" s="24">
        <v>0</v>
      </c>
      <c r="G278" s="24">
        <v>0</v>
      </c>
      <c r="H278" s="24">
        <v>0</v>
      </c>
      <c r="I278" s="24">
        <v>0</v>
      </c>
      <c r="J278" s="8">
        <f t="shared" si="40"/>
        <v>0</v>
      </c>
      <c r="L278" s="9"/>
      <c r="M278" s="9"/>
    </row>
    <row r="279" spans="2:13" ht="12.75" x14ac:dyDescent="0.2">
      <c r="B279" s="3" t="s">
        <v>1881</v>
      </c>
      <c r="C279" s="24">
        <v>0</v>
      </c>
      <c r="D279" s="24">
        <v>0</v>
      </c>
      <c r="E279" s="24">
        <v>0</v>
      </c>
      <c r="F279" s="24">
        <v>0</v>
      </c>
      <c r="G279" s="24">
        <v>0</v>
      </c>
      <c r="H279" s="24">
        <v>0</v>
      </c>
      <c r="I279" s="24">
        <v>0</v>
      </c>
      <c r="J279" s="8">
        <f t="shared" si="40"/>
        <v>0</v>
      </c>
      <c r="L279" s="9"/>
      <c r="M279" s="9"/>
    </row>
    <row r="280" spans="2:13" ht="12.75" x14ac:dyDescent="0.2">
      <c r="B280" s="3" t="s">
        <v>967</v>
      </c>
      <c r="C280" s="24">
        <v>0</v>
      </c>
      <c r="D280" s="24">
        <v>-31.56</v>
      </c>
      <c r="E280" s="24">
        <v>0</v>
      </c>
      <c r="F280" s="24">
        <v>10.19</v>
      </c>
      <c r="G280" s="24">
        <v>0</v>
      </c>
      <c r="H280" s="24">
        <v>0</v>
      </c>
      <c r="I280" s="24">
        <v>0</v>
      </c>
      <c r="J280" s="8">
        <f t="shared" si="40"/>
        <v>-21.369999999999997</v>
      </c>
      <c r="L280" s="9"/>
      <c r="M280" s="9"/>
    </row>
    <row r="281" spans="2:13" ht="12.75" x14ac:dyDescent="0.2">
      <c r="B281" s="3" t="s">
        <v>1914</v>
      </c>
      <c r="C281" s="24">
        <v>0</v>
      </c>
      <c r="D281" s="24">
        <v>0</v>
      </c>
      <c r="E281" s="24">
        <v>0</v>
      </c>
      <c r="F281" s="24">
        <v>121.54</v>
      </c>
      <c r="G281" s="24">
        <v>0</v>
      </c>
      <c r="H281" s="24">
        <v>0</v>
      </c>
      <c r="I281" s="24">
        <v>0</v>
      </c>
      <c r="J281" s="8">
        <f t="shared" si="40"/>
        <v>121.54</v>
      </c>
      <c r="L281" s="9"/>
      <c r="M281" s="9"/>
    </row>
    <row r="282" spans="2:13" ht="12.75" x14ac:dyDescent="0.2">
      <c r="B282" s="3" t="s">
        <v>1893</v>
      </c>
      <c r="C282" s="24">
        <v>0</v>
      </c>
      <c r="D282" s="24">
        <v>0</v>
      </c>
      <c r="E282" s="24">
        <v>0</v>
      </c>
      <c r="F282" s="24">
        <v>0</v>
      </c>
      <c r="G282" s="24">
        <v>0</v>
      </c>
      <c r="H282" s="24">
        <v>0</v>
      </c>
      <c r="I282" s="24">
        <v>0</v>
      </c>
      <c r="J282" s="8">
        <f t="shared" si="40"/>
        <v>0</v>
      </c>
      <c r="L282" s="9"/>
      <c r="M282" s="9"/>
    </row>
    <row r="283" spans="2:13" ht="12.75" x14ac:dyDescent="0.2">
      <c r="B283" s="3" t="s">
        <v>1435</v>
      </c>
      <c r="C283" s="24">
        <v>0</v>
      </c>
      <c r="D283" s="24">
        <v>0</v>
      </c>
      <c r="E283" s="24">
        <v>0</v>
      </c>
      <c r="F283" s="24">
        <v>0</v>
      </c>
      <c r="G283" s="24">
        <v>0</v>
      </c>
      <c r="H283" s="24">
        <v>0</v>
      </c>
      <c r="I283" s="24">
        <v>0</v>
      </c>
      <c r="J283" s="8">
        <f t="shared" si="40"/>
        <v>0</v>
      </c>
      <c r="L283" s="9"/>
      <c r="M283" s="9"/>
    </row>
    <row r="284" spans="2:13" ht="12.75" x14ac:dyDescent="0.2">
      <c r="B284" s="3" t="s">
        <v>1525</v>
      </c>
      <c r="C284" s="24">
        <v>0</v>
      </c>
      <c r="D284" s="24">
        <v>0</v>
      </c>
      <c r="E284" s="24">
        <v>0</v>
      </c>
      <c r="F284" s="24">
        <v>0</v>
      </c>
      <c r="G284" s="24">
        <v>0</v>
      </c>
      <c r="H284" s="24">
        <v>0</v>
      </c>
      <c r="I284" s="24">
        <v>0</v>
      </c>
      <c r="J284" s="8">
        <f t="shared" si="40"/>
        <v>0</v>
      </c>
      <c r="L284" s="9"/>
      <c r="M284" s="9"/>
    </row>
    <row r="285" spans="2:13" ht="12.75" x14ac:dyDescent="0.2">
      <c r="B285" s="6" t="s">
        <v>1823</v>
      </c>
      <c r="C285" s="63">
        <f t="shared" ref="C285:J285" si="41">SUM(C276:C284)</f>
        <v>19.07</v>
      </c>
      <c r="D285" s="63">
        <f t="shared" si="41"/>
        <v>217.59</v>
      </c>
      <c r="E285" s="63">
        <f t="shared" si="41"/>
        <v>139.52000000000001</v>
      </c>
      <c r="F285" s="63">
        <f t="shared" si="41"/>
        <v>148.11000000000001</v>
      </c>
      <c r="G285" s="63">
        <f t="shared" si="41"/>
        <v>406.27</v>
      </c>
      <c r="H285" s="63">
        <f t="shared" si="41"/>
        <v>538.13</v>
      </c>
      <c r="I285" s="63">
        <f t="shared" si="41"/>
        <v>1290.53</v>
      </c>
      <c r="J285" s="63">
        <f t="shared" si="41"/>
        <v>2759.22</v>
      </c>
      <c r="L285" s="9"/>
      <c r="M285" s="9"/>
    </row>
    <row r="286" spans="2:13" ht="12.75" x14ac:dyDescent="0.2">
      <c r="B286" s="3" t="s">
        <v>394</v>
      </c>
      <c r="C286" s="24">
        <v>2108.09</v>
      </c>
      <c r="D286" s="24">
        <v>2262.91</v>
      </c>
      <c r="E286" s="24">
        <v>4795.8500000000004</v>
      </c>
      <c r="F286" s="24">
        <v>2284.73</v>
      </c>
      <c r="G286" s="24">
        <v>1562.81</v>
      </c>
      <c r="H286" s="24">
        <v>1679.81</v>
      </c>
      <c r="I286" s="24">
        <v>3603.32</v>
      </c>
      <c r="J286" s="8">
        <f>SUM(C286:I286)</f>
        <v>18297.52</v>
      </c>
      <c r="L286" s="9"/>
      <c r="M286" s="9"/>
    </row>
    <row r="287" spans="2:13" ht="12.75" x14ac:dyDescent="0.2">
      <c r="B287" s="3" t="s">
        <v>395</v>
      </c>
      <c r="C287" s="24">
        <v>3213.09</v>
      </c>
      <c r="D287" s="24">
        <v>-620.37</v>
      </c>
      <c r="E287" s="24">
        <v>1245.23</v>
      </c>
      <c r="F287" s="24">
        <v>3097.74</v>
      </c>
      <c r="G287" s="24">
        <v>1264.4000000000001</v>
      </c>
      <c r="H287" s="24">
        <v>660.56</v>
      </c>
      <c r="I287" s="24">
        <v>1399.09</v>
      </c>
      <c r="J287" s="8">
        <f>SUM(C287:I287)</f>
        <v>10259.74</v>
      </c>
      <c r="L287" s="9"/>
      <c r="M287" s="9"/>
    </row>
    <row r="288" spans="2:13" s="18" customFormat="1" ht="12.75" x14ac:dyDescent="0.2">
      <c r="B288" s="18" t="s">
        <v>1820</v>
      </c>
      <c r="C288" s="24">
        <v>0</v>
      </c>
      <c r="D288" s="24">
        <v>65.569999999999993</v>
      </c>
      <c r="E288" s="24">
        <v>201</v>
      </c>
      <c r="F288" s="24">
        <v>0</v>
      </c>
      <c r="G288" s="24">
        <v>0</v>
      </c>
      <c r="H288" s="24">
        <v>0</v>
      </c>
      <c r="I288" s="24">
        <v>0</v>
      </c>
      <c r="J288" s="8">
        <f>SUM(C288:I288)</f>
        <v>266.57</v>
      </c>
      <c r="L288" s="9"/>
      <c r="M288" s="9"/>
    </row>
    <row r="289" spans="2:13" ht="12.75" x14ac:dyDescent="0.2">
      <c r="B289" s="6" t="s">
        <v>1558</v>
      </c>
      <c r="C289" s="63">
        <f t="shared" ref="C289:J289" si="42">SUM(C286:C288)</f>
        <v>5321.18</v>
      </c>
      <c r="D289" s="63">
        <f t="shared" si="42"/>
        <v>1708.11</v>
      </c>
      <c r="E289" s="63">
        <f t="shared" si="42"/>
        <v>6242.08</v>
      </c>
      <c r="F289" s="63">
        <f t="shared" si="42"/>
        <v>5382.4699999999993</v>
      </c>
      <c r="G289" s="63">
        <f t="shared" si="42"/>
        <v>2827.21</v>
      </c>
      <c r="H289" s="63">
        <f t="shared" si="42"/>
        <v>2340.37</v>
      </c>
      <c r="I289" s="63">
        <f t="shared" si="42"/>
        <v>5002.41</v>
      </c>
      <c r="J289" s="63">
        <f t="shared" si="42"/>
        <v>28823.83</v>
      </c>
      <c r="L289" s="9"/>
      <c r="M289" s="9"/>
    </row>
    <row r="290" spans="2:13" ht="12.75" x14ac:dyDescent="0.2">
      <c r="B290" s="3" t="s">
        <v>583</v>
      </c>
      <c r="C290" s="24">
        <v>0</v>
      </c>
      <c r="D290" s="24">
        <v>0</v>
      </c>
      <c r="E290" s="24">
        <v>0</v>
      </c>
      <c r="F290" s="24">
        <v>0</v>
      </c>
      <c r="G290" s="24">
        <v>0</v>
      </c>
      <c r="H290" s="24">
        <v>0</v>
      </c>
      <c r="I290" s="24">
        <v>0</v>
      </c>
      <c r="J290" s="8">
        <f t="shared" ref="J290:J296" si="43">SUM(C290:I290)</f>
        <v>0</v>
      </c>
      <c r="L290" s="9"/>
      <c r="M290" s="9"/>
    </row>
    <row r="291" spans="2:13" ht="12.75" x14ac:dyDescent="0.2">
      <c r="B291" s="3" t="s">
        <v>584</v>
      </c>
      <c r="C291" s="24">
        <v>-7575.67</v>
      </c>
      <c r="D291" s="24">
        <v>34707.32</v>
      </c>
      <c r="E291" s="131">
        <v>60156.88</v>
      </c>
      <c r="F291" s="24">
        <v>30616.97</v>
      </c>
      <c r="G291" s="24">
        <v>29980.05</v>
      </c>
      <c r="H291" s="24">
        <v>29300.52</v>
      </c>
      <c r="I291" s="24">
        <v>29649.75</v>
      </c>
      <c r="J291" s="8">
        <f t="shared" si="43"/>
        <v>206835.81999999998</v>
      </c>
      <c r="L291" s="9"/>
      <c r="M291" s="9"/>
    </row>
    <row r="292" spans="2:13" ht="12.75" x14ac:dyDescent="0.2">
      <c r="B292" s="3" t="s">
        <v>684</v>
      </c>
      <c r="C292" s="24">
        <v>-8899.43</v>
      </c>
      <c r="D292" s="24">
        <v>8868.23</v>
      </c>
      <c r="E292" s="131">
        <v>30155.07</v>
      </c>
      <c r="F292" s="24">
        <v>9350.6299999999992</v>
      </c>
      <c r="G292" s="24">
        <v>1429.96</v>
      </c>
      <c r="H292" s="24">
        <v>9459.07</v>
      </c>
      <c r="I292" s="24">
        <v>9393.18</v>
      </c>
      <c r="J292" s="8">
        <f t="shared" si="43"/>
        <v>59756.71</v>
      </c>
      <c r="L292" s="9"/>
      <c r="M292" s="9"/>
    </row>
    <row r="293" spans="2:13" ht="12.75" x14ac:dyDescent="0.2">
      <c r="B293" s="158" t="s">
        <v>800</v>
      </c>
      <c r="C293" s="24">
        <v>15412.45</v>
      </c>
      <c r="D293" s="24">
        <v>0</v>
      </c>
      <c r="E293" s="131">
        <v>30778.87</v>
      </c>
      <c r="F293" s="24">
        <v>15078.01</v>
      </c>
      <c r="G293" s="24">
        <v>14616.91</v>
      </c>
      <c r="H293" s="24">
        <v>14476.13</v>
      </c>
      <c r="I293" s="24">
        <v>14375.29</v>
      </c>
      <c r="J293" s="8">
        <f t="shared" si="43"/>
        <v>104737.66</v>
      </c>
      <c r="L293" s="9"/>
      <c r="M293" s="9"/>
    </row>
    <row r="294" spans="2:13" s="158" customFormat="1" ht="12.75" x14ac:dyDescent="0.2">
      <c r="B294" s="158" t="s">
        <v>594</v>
      </c>
      <c r="C294" s="24">
        <v>0</v>
      </c>
      <c r="D294" s="24">
        <v>0</v>
      </c>
      <c r="E294" s="24">
        <v>0</v>
      </c>
      <c r="F294" s="24">
        <v>0</v>
      </c>
      <c r="G294" s="24">
        <v>0</v>
      </c>
      <c r="H294" s="24">
        <v>0</v>
      </c>
      <c r="I294" s="24">
        <v>0</v>
      </c>
      <c r="J294" s="163">
        <f t="shared" si="43"/>
        <v>0</v>
      </c>
      <c r="L294" s="9"/>
      <c r="M294" s="9"/>
    </row>
    <row r="295" spans="2:13" s="158" customFormat="1" ht="12.75" x14ac:dyDescent="0.2">
      <c r="B295" s="158" t="s">
        <v>1439</v>
      </c>
      <c r="C295" s="24">
        <v>0</v>
      </c>
      <c r="D295" s="24">
        <v>0</v>
      </c>
      <c r="E295" s="24">
        <v>0</v>
      </c>
      <c r="F295" s="24">
        <v>0</v>
      </c>
      <c r="G295" s="24">
        <v>0</v>
      </c>
      <c r="H295" s="24">
        <v>0</v>
      </c>
      <c r="I295" s="24">
        <v>0</v>
      </c>
      <c r="J295" s="8">
        <f t="shared" si="43"/>
        <v>0</v>
      </c>
      <c r="L295" s="9"/>
      <c r="M295" s="9"/>
    </row>
    <row r="296" spans="2:13" s="158" customFormat="1" ht="12.75" x14ac:dyDescent="0.2">
      <c r="B296" s="158" t="s">
        <v>874</v>
      </c>
      <c r="C296" s="24">
        <v>8692.0499999999993</v>
      </c>
      <c r="D296" s="24">
        <v>-5207.71</v>
      </c>
      <c r="E296" s="24">
        <v>20590.82</v>
      </c>
      <c r="F296" s="24">
        <v>7979.4</v>
      </c>
      <c r="G296" s="24">
        <v>7735.38</v>
      </c>
      <c r="H296" s="24">
        <v>7660.88</v>
      </c>
      <c r="I296" s="24">
        <v>7607.52</v>
      </c>
      <c r="J296" s="8">
        <f t="shared" si="43"/>
        <v>55058.34</v>
      </c>
      <c r="L296" s="9"/>
      <c r="M296" s="9"/>
    </row>
    <row r="297" spans="2:13" ht="12.75" x14ac:dyDescent="0.2">
      <c r="B297" s="6" t="s">
        <v>1559</v>
      </c>
      <c r="C297" s="63">
        <f t="shared" ref="C297:J297" si="44">SUM(C290:C296)</f>
        <v>7629.4000000000015</v>
      </c>
      <c r="D297" s="63">
        <f t="shared" si="44"/>
        <v>38367.840000000004</v>
      </c>
      <c r="E297" s="63">
        <f t="shared" si="44"/>
        <v>141681.63999999998</v>
      </c>
      <c r="F297" s="63">
        <f t="shared" si="44"/>
        <v>63025.01</v>
      </c>
      <c r="G297" s="63">
        <f t="shared" si="44"/>
        <v>53762.299999999996</v>
      </c>
      <c r="H297" s="63">
        <f t="shared" si="44"/>
        <v>60896.599999999991</v>
      </c>
      <c r="I297" s="63">
        <f t="shared" si="44"/>
        <v>61025.740000000005</v>
      </c>
      <c r="J297" s="63">
        <f t="shared" si="44"/>
        <v>426388.52999999991</v>
      </c>
      <c r="L297" s="9"/>
      <c r="M297" s="9"/>
    </row>
    <row r="298" spans="2:13" ht="12.75" x14ac:dyDescent="0.2">
      <c r="B298" s="3" t="s">
        <v>1403</v>
      </c>
      <c r="C298" s="24">
        <v>0</v>
      </c>
      <c r="D298" s="24">
        <v>0</v>
      </c>
      <c r="E298" s="24">
        <v>0</v>
      </c>
      <c r="F298" s="24">
        <v>0</v>
      </c>
      <c r="G298" s="24">
        <v>0</v>
      </c>
      <c r="H298" s="24">
        <v>0</v>
      </c>
      <c r="I298" s="24">
        <v>0</v>
      </c>
      <c r="J298" s="8">
        <f>SUM(C298:I298)</f>
        <v>0</v>
      </c>
      <c r="L298" s="9"/>
      <c r="M298" s="9"/>
    </row>
    <row r="299" spans="2:13" ht="12.75" x14ac:dyDescent="0.2">
      <c r="B299" s="3" t="s">
        <v>1885</v>
      </c>
      <c r="C299" s="24">
        <v>0</v>
      </c>
      <c r="D299" s="24">
        <v>0</v>
      </c>
      <c r="E299" s="24">
        <v>0</v>
      </c>
      <c r="F299" s="24">
        <v>0</v>
      </c>
      <c r="G299" s="24">
        <v>0</v>
      </c>
      <c r="H299" s="24">
        <v>0</v>
      </c>
      <c r="I299" s="24">
        <v>0</v>
      </c>
      <c r="J299" s="8">
        <f>SUM(C299:I299)</f>
        <v>0</v>
      </c>
      <c r="L299" s="9"/>
      <c r="M299" s="9"/>
    </row>
    <row r="300" spans="2:13" ht="12.75" x14ac:dyDescent="0.2">
      <c r="B300" s="3" t="s">
        <v>397</v>
      </c>
      <c r="C300" s="24">
        <v>2010.59</v>
      </c>
      <c r="D300" s="24">
        <v>1363.99</v>
      </c>
      <c r="E300" s="24">
        <v>-1004.27</v>
      </c>
      <c r="F300" s="24">
        <v>5257.44</v>
      </c>
      <c r="G300" s="24">
        <v>18609.16</v>
      </c>
      <c r="H300" s="24">
        <v>5393.44</v>
      </c>
      <c r="I300" s="24">
        <v>3620.76</v>
      </c>
      <c r="J300" s="8">
        <f>SUM(C300:I300)</f>
        <v>35251.11</v>
      </c>
      <c r="L300" s="9"/>
      <c r="M300" s="9"/>
    </row>
    <row r="301" spans="2:13" ht="12.75" x14ac:dyDescent="0.2">
      <c r="B301" s="6" t="s">
        <v>1824</v>
      </c>
      <c r="C301" s="63">
        <f t="shared" ref="C301:J301" si="45">SUM(C298:C300)</f>
        <v>2010.59</v>
      </c>
      <c r="D301" s="63">
        <f t="shared" si="45"/>
        <v>1363.99</v>
      </c>
      <c r="E301" s="63">
        <f t="shared" si="45"/>
        <v>-1004.27</v>
      </c>
      <c r="F301" s="63">
        <f t="shared" si="45"/>
        <v>5257.44</v>
      </c>
      <c r="G301" s="63">
        <f t="shared" si="45"/>
        <v>18609.16</v>
      </c>
      <c r="H301" s="63">
        <f t="shared" si="45"/>
        <v>5393.44</v>
      </c>
      <c r="I301" s="63">
        <f t="shared" si="45"/>
        <v>3620.76</v>
      </c>
      <c r="J301" s="63">
        <f t="shared" si="45"/>
        <v>35251.11</v>
      </c>
      <c r="L301" s="9"/>
      <c r="M301" s="9"/>
    </row>
    <row r="302" spans="2:13" ht="12.75" x14ac:dyDescent="0.2">
      <c r="B302" s="3" t="s">
        <v>399</v>
      </c>
      <c r="C302" s="24">
        <v>3075.68</v>
      </c>
      <c r="D302" s="24">
        <v>5300.37</v>
      </c>
      <c r="E302" s="24">
        <v>4725.84</v>
      </c>
      <c r="F302" s="24">
        <v>3276.56</v>
      </c>
      <c r="G302" s="24">
        <v>1032.92</v>
      </c>
      <c r="H302" s="24">
        <v>3630.39</v>
      </c>
      <c r="I302" s="24">
        <v>8105.6</v>
      </c>
      <c r="J302" s="8">
        <f>SUM(C302:I302)</f>
        <v>29147.360000000001</v>
      </c>
      <c r="L302" s="9"/>
      <c r="M302" s="9"/>
    </row>
    <row r="303" spans="2:13" ht="12.75" x14ac:dyDescent="0.2">
      <c r="B303" s="3" t="s">
        <v>400</v>
      </c>
      <c r="C303" s="24">
        <v>0</v>
      </c>
      <c r="D303" s="24">
        <v>0</v>
      </c>
      <c r="E303" s="24">
        <v>0</v>
      </c>
      <c r="F303" s="24">
        <v>687.54</v>
      </c>
      <c r="G303" s="24">
        <v>116.53</v>
      </c>
      <c r="H303" s="24">
        <v>403.9</v>
      </c>
      <c r="I303" s="24">
        <v>2570.1</v>
      </c>
      <c r="J303" s="8">
        <f>SUM(C303:I303)</f>
        <v>3778.0699999999997</v>
      </c>
      <c r="L303" s="9"/>
      <c r="M303" s="9"/>
    </row>
    <row r="304" spans="2:13" ht="12.75" x14ac:dyDescent="0.2">
      <c r="B304" s="6" t="s">
        <v>1560</v>
      </c>
      <c r="C304" s="63">
        <f t="shared" ref="C304:J304" si="46">SUM(C302:C303)</f>
        <v>3075.68</v>
      </c>
      <c r="D304" s="63">
        <f t="shared" si="46"/>
        <v>5300.37</v>
      </c>
      <c r="E304" s="63">
        <f t="shared" si="46"/>
        <v>4725.84</v>
      </c>
      <c r="F304" s="63">
        <f t="shared" si="46"/>
        <v>3964.1</v>
      </c>
      <c r="G304" s="63">
        <f t="shared" si="46"/>
        <v>1149.45</v>
      </c>
      <c r="H304" s="63">
        <f t="shared" si="46"/>
        <v>4034.29</v>
      </c>
      <c r="I304" s="63">
        <f t="shared" si="46"/>
        <v>10675.7</v>
      </c>
      <c r="J304" s="63">
        <f t="shared" si="46"/>
        <v>32925.43</v>
      </c>
      <c r="L304" s="9"/>
      <c r="M304" s="9"/>
    </row>
    <row r="305" spans="2:13" ht="12.75" x14ac:dyDescent="0.2">
      <c r="B305" s="3" t="s">
        <v>402</v>
      </c>
      <c r="C305" s="24">
        <v>0</v>
      </c>
      <c r="D305" s="24">
        <v>0</v>
      </c>
      <c r="E305" s="24">
        <v>0</v>
      </c>
      <c r="F305" s="24">
        <v>0</v>
      </c>
      <c r="G305" s="24">
        <v>0</v>
      </c>
      <c r="H305" s="24">
        <v>0</v>
      </c>
      <c r="I305" s="24">
        <v>0</v>
      </c>
      <c r="J305" s="8">
        <f>SUM(C305:I305)</f>
        <v>0</v>
      </c>
      <c r="L305" s="9"/>
      <c r="M305" s="9"/>
    </row>
    <row r="306" spans="2:13" ht="12.75" x14ac:dyDescent="0.2">
      <c r="B306" s="6" t="s">
        <v>1561</v>
      </c>
      <c r="C306" s="63">
        <f t="shared" ref="C306:J306" si="47">SUM(C305)</f>
        <v>0</v>
      </c>
      <c r="D306" s="63">
        <f t="shared" si="47"/>
        <v>0</v>
      </c>
      <c r="E306" s="63">
        <f t="shared" si="47"/>
        <v>0</v>
      </c>
      <c r="F306" s="63">
        <f t="shared" si="47"/>
        <v>0</v>
      </c>
      <c r="G306" s="63">
        <f t="shared" si="47"/>
        <v>0</v>
      </c>
      <c r="H306" s="63">
        <f t="shared" si="47"/>
        <v>0</v>
      </c>
      <c r="I306" s="63">
        <f t="shared" si="47"/>
        <v>0</v>
      </c>
      <c r="J306" s="63">
        <f t="shared" si="47"/>
        <v>0</v>
      </c>
      <c r="L306" s="9"/>
      <c r="M306" s="9"/>
    </row>
    <row r="307" spans="2:13" ht="12.75" x14ac:dyDescent="0.2">
      <c r="B307" s="3" t="s">
        <v>404</v>
      </c>
      <c r="C307" s="24">
        <v>2676.42</v>
      </c>
      <c r="D307" s="24">
        <v>1290.33</v>
      </c>
      <c r="E307" s="24">
        <v>1938.82</v>
      </c>
      <c r="F307" s="24">
        <v>1286.3699999999999</v>
      </c>
      <c r="G307" s="24">
        <v>2371.0700000000002</v>
      </c>
      <c r="H307" s="24">
        <v>300.39</v>
      </c>
      <c r="I307" s="24">
        <v>1554.73</v>
      </c>
      <c r="J307" s="8">
        <f t="shared" ref="J307:J314" si="48">SUM(C307:I307)</f>
        <v>11418.13</v>
      </c>
      <c r="L307" s="9"/>
      <c r="M307" s="9"/>
    </row>
    <row r="308" spans="2:13" ht="12.75" x14ac:dyDescent="0.2">
      <c r="B308" s="3" t="s">
        <v>405</v>
      </c>
      <c r="C308" s="24">
        <v>4789.2700000000004</v>
      </c>
      <c r="D308" s="24">
        <v>18046.95</v>
      </c>
      <c r="E308" s="24">
        <v>34480.04</v>
      </c>
      <c r="F308" s="24">
        <v>27369.21</v>
      </c>
      <c r="G308" s="24">
        <v>19915.27</v>
      </c>
      <c r="H308" s="24">
        <v>20735.7</v>
      </c>
      <c r="I308" s="24">
        <v>16670.849999999999</v>
      </c>
      <c r="J308" s="8">
        <f t="shared" si="48"/>
        <v>142007.29</v>
      </c>
      <c r="L308" s="9"/>
      <c r="M308" s="9"/>
    </row>
    <row r="309" spans="2:13" ht="12.75" x14ac:dyDescent="0.2">
      <c r="B309" s="3" t="s">
        <v>1527</v>
      </c>
      <c r="C309" s="24">
        <v>1697.84</v>
      </c>
      <c r="D309" s="24">
        <v>1698.35</v>
      </c>
      <c r="E309" s="24">
        <v>1683</v>
      </c>
      <c r="F309" s="24">
        <v>3315.23</v>
      </c>
      <c r="G309" s="24">
        <v>1518.09</v>
      </c>
      <c r="H309" s="24">
        <v>1511.5</v>
      </c>
      <c r="I309" s="24">
        <v>-45.22</v>
      </c>
      <c r="J309" s="8">
        <f t="shared" si="48"/>
        <v>11378.79</v>
      </c>
      <c r="L309" s="9"/>
      <c r="M309" s="9"/>
    </row>
    <row r="310" spans="2:13" ht="12.75" x14ac:dyDescent="0.2">
      <c r="B310" s="3" t="s">
        <v>406</v>
      </c>
      <c r="C310" s="24">
        <v>0</v>
      </c>
      <c r="D310" s="24">
        <v>0</v>
      </c>
      <c r="E310" s="24">
        <v>0</v>
      </c>
      <c r="F310" s="24">
        <v>0</v>
      </c>
      <c r="G310" s="24">
        <v>0</v>
      </c>
      <c r="H310" s="24">
        <v>0</v>
      </c>
      <c r="I310" s="24">
        <v>0</v>
      </c>
      <c r="J310" s="8">
        <f t="shared" si="48"/>
        <v>0</v>
      </c>
      <c r="L310" s="9"/>
      <c r="M310" s="9"/>
    </row>
    <row r="311" spans="2:13" ht="12.75" x14ac:dyDescent="0.2">
      <c r="B311" s="3" t="s">
        <v>407</v>
      </c>
      <c r="C311" s="24">
        <v>236.71</v>
      </c>
      <c r="D311" s="24">
        <v>0</v>
      </c>
      <c r="E311" s="24">
        <v>333.64</v>
      </c>
      <c r="F311" s="24">
        <v>185.39</v>
      </c>
      <c r="G311" s="24">
        <v>0</v>
      </c>
      <c r="H311" s="24">
        <v>189.34</v>
      </c>
      <c r="I311" s="24">
        <v>0</v>
      </c>
      <c r="J311" s="8">
        <f t="shared" si="48"/>
        <v>945.08</v>
      </c>
      <c r="L311" s="9"/>
      <c r="M311" s="9"/>
    </row>
    <row r="312" spans="2:13" ht="12.75" x14ac:dyDescent="0.2">
      <c r="B312" s="3" t="s">
        <v>686</v>
      </c>
      <c r="C312" s="24">
        <v>0</v>
      </c>
      <c r="D312" s="24">
        <v>0</v>
      </c>
      <c r="E312" s="24">
        <v>0</v>
      </c>
      <c r="F312" s="24">
        <v>0</v>
      </c>
      <c r="G312" s="24">
        <v>0</v>
      </c>
      <c r="H312" s="24">
        <v>0</v>
      </c>
      <c r="I312" s="24">
        <v>0</v>
      </c>
      <c r="J312" s="8">
        <f t="shared" si="48"/>
        <v>0</v>
      </c>
      <c r="L312" s="9"/>
      <c r="M312" s="9"/>
    </row>
    <row r="313" spans="2:13" ht="12.75" x14ac:dyDescent="0.2">
      <c r="B313" s="3" t="s">
        <v>1642</v>
      </c>
      <c r="C313" s="24">
        <v>0</v>
      </c>
      <c r="D313" s="24">
        <v>0</v>
      </c>
      <c r="E313" s="24">
        <v>0</v>
      </c>
      <c r="F313" s="24">
        <v>0</v>
      </c>
      <c r="G313" s="24">
        <v>0</v>
      </c>
      <c r="H313" s="24">
        <v>0</v>
      </c>
      <c r="I313" s="24">
        <v>0</v>
      </c>
      <c r="J313" s="8">
        <f t="shared" si="48"/>
        <v>0</v>
      </c>
      <c r="L313" s="9"/>
      <c r="M313" s="9"/>
    </row>
    <row r="314" spans="2:13" ht="12.75" x14ac:dyDescent="0.2">
      <c r="B314" s="3" t="s">
        <v>931</v>
      </c>
      <c r="C314" s="24">
        <v>0</v>
      </c>
      <c r="D314" s="24">
        <v>0</v>
      </c>
      <c r="E314" s="24">
        <v>0</v>
      </c>
      <c r="F314" s="24">
        <v>0</v>
      </c>
      <c r="G314" s="24">
        <v>0</v>
      </c>
      <c r="H314" s="24">
        <v>0</v>
      </c>
      <c r="I314" s="24">
        <v>0</v>
      </c>
      <c r="J314" s="8">
        <f t="shared" si="48"/>
        <v>0</v>
      </c>
      <c r="L314" s="9"/>
      <c r="M314" s="9"/>
    </row>
    <row r="315" spans="2:13" ht="12.75" x14ac:dyDescent="0.2">
      <c r="B315" s="6" t="s">
        <v>1562</v>
      </c>
      <c r="C315" s="63">
        <f t="shared" ref="C315:J315" si="49">SUM(C307:C314)</f>
        <v>9400.24</v>
      </c>
      <c r="D315" s="63">
        <f t="shared" si="49"/>
        <v>21035.629999999997</v>
      </c>
      <c r="E315" s="63">
        <f t="shared" si="49"/>
        <v>38435.5</v>
      </c>
      <c r="F315" s="63">
        <f t="shared" si="49"/>
        <v>32156.199999999997</v>
      </c>
      <c r="G315" s="63">
        <f t="shared" si="49"/>
        <v>23804.43</v>
      </c>
      <c r="H315" s="63">
        <f t="shared" si="49"/>
        <v>22736.93</v>
      </c>
      <c r="I315" s="63">
        <f t="shared" si="49"/>
        <v>18180.359999999997</v>
      </c>
      <c r="J315" s="63">
        <f t="shared" si="49"/>
        <v>165749.29</v>
      </c>
      <c r="L315" s="9"/>
      <c r="M315" s="9"/>
    </row>
    <row r="316" spans="2:13" ht="12.75" x14ac:dyDescent="0.2">
      <c r="B316" s="3" t="s">
        <v>409</v>
      </c>
      <c r="C316" s="24">
        <v>10068.370000000001</v>
      </c>
      <c r="D316" s="24">
        <v>11702.11</v>
      </c>
      <c r="E316" s="24">
        <v>32573.42</v>
      </c>
      <c r="F316" s="24">
        <v>11808.96</v>
      </c>
      <c r="G316" s="24">
        <v>11808.96</v>
      </c>
      <c r="H316" s="24">
        <v>11732.04</v>
      </c>
      <c r="I316" s="24">
        <v>10998.19</v>
      </c>
      <c r="J316" s="8">
        <f t="shared" ref="J316:J328" si="50">SUM(C316:I316)</f>
        <v>100692.05000000002</v>
      </c>
      <c r="L316" s="9"/>
      <c r="M316" s="9"/>
    </row>
    <row r="317" spans="2:13" ht="12.75" x14ac:dyDescent="0.2">
      <c r="B317" s="3" t="s">
        <v>995</v>
      </c>
      <c r="C317" s="24">
        <v>0</v>
      </c>
      <c r="D317" s="24">
        <v>0</v>
      </c>
      <c r="E317" s="24">
        <v>0</v>
      </c>
      <c r="F317" s="24">
        <v>0</v>
      </c>
      <c r="G317" s="24">
        <v>0</v>
      </c>
      <c r="H317" s="24">
        <v>0</v>
      </c>
      <c r="I317" s="24">
        <v>0</v>
      </c>
      <c r="J317" s="8">
        <f t="shared" si="50"/>
        <v>0</v>
      </c>
      <c r="L317" s="9"/>
      <c r="M317" s="9"/>
    </row>
    <row r="318" spans="2:13" ht="12.75" x14ac:dyDescent="0.2">
      <c r="B318" s="3" t="s">
        <v>410</v>
      </c>
      <c r="C318" s="24">
        <v>0</v>
      </c>
      <c r="D318" s="24">
        <v>0</v>
      </c>
      <c r="E318" s="24">
        <v>0</v>
      </c>
      <c r="F318" s="24">
        <v>0</v>
      </c>
      <c r="G318" s="24">
        <v>0</v>
      </c>
      <c r="H318" s="24">
        <v>0</v>
      </c>
      <c r="I318" s="24">
        <v>0</v>
      </c>
      <c r="J318" s="8">
        <f t="shared" si="50"/>
        <v>0</v>
      </c>
      <c r="L318" s="9"/>
      <c r="M318" s="9"/>
    </row>
    <row r="319" spans="2:13" ht="12.75" x14ac:dyDescent="0.2">
      <c r="B319" s="3" t="s">
        <v>411</v>
      </c>
      <c r="C319" s="24">
        <v>5923.49</v>
      </c>
      <c r="D319" s="24">
        <v>6154.33</v>
      </c>
      <c r="E319" s="24">
        <v>6154.24</v>
      </c>
      <c r="F319" s="24">
        <v>6066.78</v>
      </c>
      <c r="G319" s="24">
        <v>6066.52</v>
      </c>
      <c r="H319" s="24">
        <v>6034.62</v>
      </c>
      <c r="I319" s="24">
        <v>6034.6</v>
      </c>
      <c r="J319" s="8">
        <f t="shared" si="50"/>
        <v>42434.579999999994</v>
      </c>
      <c r="L319" s="9"/>
      <c r="M319" s="9"/>
    </row>
    <row r="320" spans="2:13" ht="12.75" x14ac:dyDescent="0.2">
      <c r="B320" s="3" t="s">
        <v>412</v>
      </c>
      <c r="C320" s="24">
        <v>1967.18</v>
      </c>
      <c r="D320" s="24">
        <v>1967.21</v>
      </c>
      <c r="E320" s="24">
        <v>1979.56</v>
      </c>
      <c r="F320" s="24">
        <v>1979.65</v>
      </c>
      <c r="G320" s="24">
        <v>1979.54</v>
      </c>
      <c r="H320" s="24">
        <v>1979.61</v>
      </c>
      <c r="I320" s="24">
        <v>1979.56</v>
      </c>
      <c r="J320" s="8">
        <f t="shared" si="50"/>
        <v>13832.31</v>
      </c>
      <c r="L320" s="9"/>
      <c r="M320" s="9"/>
    </row>
    <row r="321" spans="2:13" ht="12.75" x14ac:dyDescent="0.2">
      <c r="B321" s="3" t="s">
        <v>413</v>
      </c>
      <c r="C321" s="24">
        <v>8153.43</v>
      </c>
      <c r="D321" s="24">
        <v>8287.7000000000007</v>
      </c>
      <c r="E321" s="24">
        <v>8475.4500000000007</v>
      </c>
      <c r="F321" s="24">
        <v>8723.81</v>
      </c>
      <c r="G321" s="24">
        <v>8547.17</v>
      </c>
      <c r="H321" s="24">
        <v>8617.8700000000008</v>
      </c>
      <c r="I321" s="24">
        <v>8694.44</v>
      </c>
      <c r="J321" s="8">
        <f t="shared" si="50"/>
        <v>59499.87</v>
      </c>
      <c r="L321" s="9"/>
      <c r="M321" s="9"/>
    </row>
    <row r="322" spans="2:13" ht="12.75" x14ac:dyDescent="0.2">
      <c r="B322" s="3" t="s">
        <v>414</v>
      </c>
      <c r="C322" s="24">
        <v>1179.4000000000001</v>
      </c>
      <c r="D322" s="24">
        <v>1179.3800000000001</v>
      </c>
      <c r="E322" s="24">
        <v>1179.4000000000001</v>
      </c>
      <c r="F322" s="24">
        <v>1179.3800000000001</v>
      </c>
      <c r="G322" s="24">
        <v>1179.3900000000001</v>
      </c>
      <c r="H322" s="24">
        <v>1179.3699999999999</v>
      </c>
      <c r="I322" s="24">
        <v>1179.42</v>
      </c>
      <c r="J322" s="8">
        <f t="shared" si="50"/>
        <v>8255.7400000000016</v>
      </c>
      <c r="L322" s="9"/>
      <c r="M322" s="9"/>
    </row>
    <row r="323" spans="2:13" ht="12.75" x14ac:dyDescent="0.2">
      <c r="B323" s="3" t="s">
        <v>415</v>
      </c>
      <c r="C323" s="24">
        <v>2481.4699999999998</v>
      </c>
      <c r="D323" s="24">
        <v>2481.4899999999998</v>
      </c>
      <c r="E323" s="24">
        <v>2481.4899999999998</v>
      </c>
      <c r="F323" s="24">
        <v>2481.48</v>
      </c>
      <c r="G323" s="24">
        <v>2477.0700000000002</v>
      </c>
      <c r="H323" s="24">
        <v>2325.09</v>
      </c>
      <c r="I323" s="24">
        <v>2321.77</v>
      </c>
      <c r="J323" s="8">
        <f t="shared" si="50"/>
        <v>17049.859999999997</v>
      </c>
      <c r="L323" s="9"/>
      <c r="M323" s="9"/>
    </row>
    <row r="324" spans="2:13" ht="12.75" x14ac:dyDescent="0.2">
      <c r="B324" s="3" t="s">
        <v>416</v>
      </c>
      <c r="C324" s="24">
        <v>17655.05</v>
      </c>
      <c r="D324" s="24">
        <v>17917.45</v>
      </c>
      <c r="E324" s="24">
        <v>20543.98</v>
      </c>
      <c r="F324" s="24">
        <v>20543.96</v>
      </c>
      <c r="G324" s="24">
        <v>20500.55</v>
      </c>
      <c r="H324" s="24">
        <v>19727.62</v>
      </c>
      <c r="I324" s="24">
        <v>20567.98</v>
      </c>
      <c r="J324" s="8">
        <f t="shared" si="50"/>
        <v>137456.59</v>
      </c>
      <c r="L324" s="9"/>
      <c r="M324" s="9"/>
    </row>
    <row r="325" spans="2:13" ht="12.75" x14ac:dyDescent="0.2">
      <c r="B325" s="3" t="s">
        <v>417</v>
      </c>
      <c r="C325" s="24">
        <v>7692.56</v>
      </c>
      <c r="D325" s="24">
        <v>7692.56</v>
      </c>
      <c r="E325" s="24">
        <v>7692.55</v>
      </c>
      <c r="F325" s="24">
        <v>7692.57</v>
      </c>
      <c r="G325" s="24">
        <v>7692.56</v>
      </c>
      <c r="H325" s="24">
        <v>5495.8</v>
      </c>
      <c r="I325" s="24">
        <v>5289.39</v>
      </c>
      <c r="J325" s="8">
        <f t="shared" si="50"/>
        <v>49247.990000000005</v>
      </c>
      <c r="L325" s="9"/>
      <c r="M325" s="9"/>
    </row>
    <row r="326" spans="2:13" ht="12.75" x14ac:dyDescent="0.2">
      <c r="B326" s="3" t="s">
        <v>689</v>
      </c>
      <c r="C326" s="24">
        <v>0</v>
      </c>
      <c r="D326" s="24">
        <v>133654.93</v>
      </c>
      <c r="E326" s="24">
        <v>66827.460000000006</v>
      </c>
      <c r="F326" s="24">
        <v>66827.490000000005</v>
      </c>
      <c r="G326" s="24">
        <v>66827.45</v>
      </c>
      <c r="H326" s="24">
        <v>66827.490000000005</v>
      </c>
      <c r="I326" s="24">
        <v>66827.45</v>
      </c>
      <c r="J326" s="8">
        <f t="shared" si="50"/>
        <v>467792.27</v>
      </c>
      <c r="L326" s="9"/>
      <c r="M326" s="9"/>
    </row>
    <row r="327" spans="2:13" ht="12.75" x14ac:dyDescent="0.2">
      <c r="B327" s="3" t="s">
        <v>418</v>
      </c>
      <c r="C327" s="24">
        <v>21926.59</v>
      </c>
      <c r="D327" s="24">
        <v>14794.9</v>
      </c>
      <c r="E327" s="24">
        <v>14794.88</v>
      </c>
      <c r="F327" s="24">
        <v>18039.52</v>
      </c>
      <c r="G327" s="24">
        <v>15605.99</v>
      </c>
      <c r="H327" s="24">
        <v>15606.07</v>
      </c>
      <c r="I327" s="24">
        <v>15606.06</v>
      </c>
      <c r="J327" s="8">
        <f t="shared" si="50"/>
        <v>116374.01000000001</v>
      </c>
      <c r="L327" s="9"/>
      <c r="M327" s="9"/>
    </row>
    <row r="328" spans="2:13" ht="12.75" x14ac:dyDescent="0.2">
      <c r="B328" s="3" t="s">
        <v>419</v>
      </c>
      <c r="C328" s="24">
        <v>8617.9699999999993</v>
      </c>
      <c r="D328" s="24">
        <v>8518.94</v>
      </c>
      <c r="E328" s="24">
        <v>8623.7199999999993</v>
      </c>
      <c r="F328" s="24">
        <v>8796.2199999999993</v>
      </c>
      <c r="G328" s="24">
        <v>8680.68</v>
      </c>
      <c r="H328" s="24">
        <v>8669.8700000000008</v>
      </c>
      <c r="I328" s="24">
        <v>8665.24</v>
      </c>
      <c r="J328" s="8">
        <f t="shared" si="50"/>
        <v>60572.639999999999</v>
      </c>
      <c r="L328" s="9"/>
      <c r="M328" s="9"/>
    </row>
    <row r="329" spans="2:13" ht="12.75" x14ac:dyDescent="0.2">
      <c r="B329" s="6" t="s">
        <v>1563</v>
      </c>
      <c r="C329" s="63">
        <f t="shared" ref="C329:J329" si="51">SUM(C316:C328)</f>
        <v>85665.51</v>
      </c>
      <c r="D329" s="63">
        <f t="shared" si="51"/>
        <v>214350.99999999997</v>
      </c>
      <c r="E329" s="63">
        <f t="shared" si="51"/>
        <v>171326.15</v>
      </c>
      <c r="F329" s="63">
        <f t="shared" si="51"/>
        <v>154139.82</v>
      </c>
      <c r="G329" s="63">
        <f t="shared" si="51"/>
        <v>151365.87999999998</v>
      </c>
      <c r="H329" s="63">
        <f t="shared" si="51"/>
        <v>148195.45000000001</v>
      </c>
      <c r="I329" s="63">
        <f t="shared" si="51"/>
        <v>148164.09999999998</v>
      </c>
      <c r="J329" s="63">
        <f t="shared" si="51"/>
        <v>1073207.9099999999</v>
      </c>
      <c r="L329" s="9"/>
      <c r="M329" s="9"/>
    </row>
    <row r="330" spans="2:13" ht="12.75" x14ac:dyDescent="0.2">
      <c r="B330" s="3" t="s">
        <v>421</v>
      </c>
      <c r="C330" s="24">
        <v>5778.86</v>
      </c>
      <c r="D330" s="24">
        <v>847.17</v>
      </c>
      <c r="E330" s="24">
        <v>8129</v>
      </c>
      <c r="F330" s="24">
        <v>4287.55</v>
      </c>
      <c r="G330" s="24">
        <v>6432.95</v>
      </c>
      <c r="H330" s="24">
        <v>5978.23</v>
      </c>
      <c r="I330" s="24">
        <v>-604.36</v>
      </c>
      <c r="J330" s="8">
        <f t="shared" ref="J330:J338" si="52">SUM(C330:I330)</f>
        <v>30849.399999999998</v>
      </c>
      <c r="L330" s="9"/>
      <c r="M330" s="9"/>
    </row>
    <row r="331" spans="2:13" ht="12.75" x14ac:dyDescent="0.2">
      <c r="B331" s="3" t="s">
        <v>422</v>
      </c>
      <c r="C331" s="24">
        <v>791.67</v>
      </c>
      <c r="D331" s="24">
        <v>123.37</v>
      </c>
      <c r="E331" s="24">
        <v>1244.43</v>
      </c>
      <c r="F331" s="24">
        <v>950.77</v>
      </c>
      <c r="G331" s="24">
        <v>1186.28</v>
      </c>
      <c r="H331" s="24">
        <v>20.27</v>
      </c>
      <c r="I331" s="24">
        <v>0</v>
      </c>
      <c r="J331" s="8">
        <f t="shared" si="52"/>
        <v>4316.7900000000009</v>
      </c>
      <c r="L331" s="9"/>
      <c r="M331" s="9"/>
    </row>
    <row r="332" spans="2:13" ht="12.75" x14ac:dyDescent="0.2">
      <c r="B332" s="3" t="s">
        <v>423</v>
      </c>
      <c r="C332" s="24">
        <v>201.06</v>
      </c>
      <c r="D332" s="24">
        <v>1305.5999999999999</v>
      </c>
      <c r="E332" s="24">
        <v>8241.93</v>
      </c>
      <c r="F332" s="24">
        <v>4748.46</v>
      </c>
      <c r="G332" s="24">
        <v>2532.16</v>
      </c>
      <c r="H332" s="24">
        <v>2424.9499999999998</v>
      </c>
      <c r="I332" s="24">
        <v>1407.42</v>
      </c>
      <c r="J332" s="8">
        <f t="shared" si="52"/>
        <v>20861.580000000002</v>
      </c>
      <c r="L332" s="9"/>
      <c r="M332" s="9"/>
    </row>
    <row r="333" spans="2:13" ht="12.75" x14ac:dyDescent="0.2">
      <c r="B333" s="3" t="s">
        <v>424</v>
      </c>
      <c r="C333" s="24">
        <v>966.97</v>
      </c>
      <c r="D333" s="24">
        <v>1689.52</v>
      </c>
      <c r="E333" s="24">
        <v>4075.27</v>
      </c>
      <c r="F333" s="24">
        <v>1174.24</v>
      </c>
      <c r="G333" s="24">
        <v>309.08999999999997</v>
      </c>
      <c r="H333" s="24">
        <v>492.91</v>
      </c>
      <c r="I333" s="24">
        <v>128.66</v>
      </c>
      <c r="J333" s="8">
        <f t="shared" si="52"/>
        <v>8836.66</v>
      </c>
      <c r="L333" s="9"/>
      <c r="M333" s="9"/>
    </row>
    <row r="334" spans="2:13" ht="12.75" x14ac:dyDescent="0.2">
      <c r="B334" s="3" t="s">
        <v>1790</v>
      </c>
      <c r="C334" s="24">
        <v>8596.52</v>
      </c>
      <c r="D334" s="24">
        <v>8614.5499999999993</v>
      </c>
      <c r="E334" s="24">
        <v>8590.9699999999993</v>
      </c>
      <c r="F334" s="24">
        <v>7197.08</v>
      </c>
      <c r="G334" s="24">
        <v>-33906.17</v>
      </c>
      <c r="H334" s="24">
        <v>1356.68</v>
      </c>
      <c r="I334" s="24">
        <v>9696.69</v>
      </c>
      <c r="J334" s="8">
        <f t="shared" si="52"/>
        <v>10146.320000000005</v>
      </c>
      <c r="L334" s="9"/>
      <c r="M334" s="9"/>
    </row>
    <row r="335" spans="2:13" ht="12.75" x14ac:dyDescent="0.2">
      <c r="B335" s="3" t="s">
        <v>1437</v>
      </c>
      <c r="C335" s="24">
        <v>0</v>
      </c>
      <c r="D335" s="24">
        <v>0</v>
      </c>
      <c r="E335" s="24">
        <v>0</v>
      </c>
      <c r="F335" s="24">
        <v>0</v>
      </c>
      <c r="G335" s="24">
        <v>0</v>
      </c>
      <c r="H335" s="24">
        <v>0</v>
      </c>
      <c r="I335" s="24">
        <v>0</v>
      </c>
      <c r="J335" s="8">
        <f t="shared" si="52"/>
        <v>0</v>
      </c>
      <c r="L335" s="9"/>
      <c r="M335" s="9"/>
    </row>
    <row r="336" spans="2:13" ht="12.75" x14ac:dyDescent="0.2">
      <c r="B336" s="3" t="s">
        <v>588</v>
      </c>
      <c r="C336" s="24">
        <v>0</v>
      </c>
      <c r="D336" s="24">
        <v>0</v>
      </c>
      <c r="E336" s="24">
        <v>0</v>
      </c>
      <c r="F336" s="24">
        <v>110.18</v>
      </c>
      <c r="G336" s="24">
        <v>0</v>
      </c>
      <c r="H336" s="24">
        <v>0</v>
      </c>
      <c r="I336" s="24">
        <v>0</v>
      </c>
      <c r="J336" s="8">
        <f t="shared" si="52"/>
        <v>110.18</v>
      </c>
      <c r="L336" s="9"/>
      <c r="M336" s="9"/>
    </row>
    <row r="337" spans="2:13" ht="12.75" x14ac:dyDescent="0.2">
      <c r="B337" s="3" t="s">
        <v>425</v>
      </c>
      <c r="C337" s="24">
        <v>1425.56</v>
      </c>
      <c r="D337" s="24">
        <v>632.86</v>
      </c>
      <c r="E337" s="24">
        <v>2118.5700000000002</v>
      </c>
      <c r="F337" s="24">
        <v>256.13</v>
      </c>
      <c r="G337" s="24">
        <v>2722.55</v>
      </c>
      <c r="H337" s="24">
        <v>1569.53</v>
      </c>
      <c r="I337" s="24">
        <v>0</v>
      </c>
      <c r="J337" s="8">
        <f t="shared" si="52"/>
        <v>8725.2000000000007</v>
      </c>
      <c r="L337" s="9"/>
      <c r="M337" s="9"/>
    </row>
    <row r="338" spans="2:13" ht="12.75" x14ac:dyDescent="0.2">
      <c r="B338" s="3" t="s">
        <v>795</v>
      </c>
      <c r="C338" s="24">
        <v>5950.43</v>
      </c>
      <c r="D338" s="24">
        <v>0</v>
      </c>
      <c r="E338" s="24">
        <v>11812.89</v>
      </c>
      <c r="F338" s="24">
        <v>5792.05</v>
      </c>
      <c r="G338" s="24">
        <v>5614.92</v>
      </c>
      <c r="H338" s="24">
        <v>5560.84</v>
      </c>
      <c r="I338" s="24">
        <v>5522.11</v>
      </c>
      <c r="J338" s="8">
        <f t="shared" si="52"/>
        <v>40253.240000000005</v>
      </c>
      <c r="L338" s="9"/>
      <c r="M338" s="9"/>
    </row>
    <row r="339" spans="2:13" ht="12.75" x14ac:dyDescent="0.2">
      <c r="B339" s="6" t="s">
        <v>1564</v>
      </c>
      <c r="C339" s="63">
        <f t="shared" ref="C339:J339" si="53">SUM(C330:C338)</f>
        <v>23711.070000000003</v>
      </c>
      <c r="D339" s="63">
        <f t="shared" si="53"/>
        <v>13213.07</v>
      </c>
      <c r="E339" s="63">
        <f t="shared" si="53"/>
        <v>44213.06</v>
      </c>
      <c r="F339" s="63">
        <f t="shared" si="53"/>
        <v>24516.46</v>
      </c>
      <c r="G339" s="63">
        <f t="shared" si="53"/>
        <v>-15108.22</v>
      </c>
      <c r="H339" s="63">
        <f t="shared" si="53"/>
        <v>17403.410000000003</v>
      </c>
      <c r="I339" s="63">
        <f t="shared" si="53"/>
        <v>16150.52</v>
      </c>
      <c r="J339" s="63">
        <f t="shared" si="53"/>
        <v>124099.37000000001</v>
      </c>
      <c r="L339" s="9"/>
      <c r="M339" s="9"/>
    </row>
    <row r="340" spans="2:13" ht="12.75" x14ac:dyDescent="0.2">
      <c r="B340" s="3" t="s">
        <v>427</v>
      </c>
      <c r="C340" s="24">
        <v>151.38999999999999</v>
      </c>
      <c r="D340" s="24">
        <v>0</v>
      </c>
      <c r="E340" s="24">
        <v>0</v>
      </c>
      <c r="F340" s="24">
        <v>262.89</v>
      </c>
      <c r="G340" s="24">
        <v>255.06</v>
      </c>
      <c r="H340" s="24">
        <v>274.43</v>
      </c>
      <c r="I340" s="24">
        <v>0</v>
      </c>
      <c r="J340" s="8">
        <f>SUM(C340:I340)</f>
        <v>943.77</v>
      </c>
      <c r="L340" s="9"/>
      <c r="M340" s="9"/>
    </row>
    <row r="341" spans="2:13" ht="12.75" x14ac:dyDescent="0.2">
      <c r="B341" s="3" t="s">
        <v>428</v>
      </c>
      <c r="C341" s="24">
        <v>394.78</v>
      </c>
      <c r="D341" s="24">
        <v>2162.15</v>
      </c>
      <c r="E341" s="24">
        <v>2677.41</v>
      </c>
      <c r="F341" s="24">
        <v>1032.79</v>
      </c>
      <c r="G341" s="24">
        <v>1510.83</v>
      </c>
      <c r="H341" s="24">
        <v>2211.9499999999998</v>
      </c>
      <c r="I341" s="24">
        <v>884.01</v>
      </c>
      <c r="J341" s="8">
        <f>SUM(C341:I341)</f>
        <v>10873.92</v>
      </c>
      <c r="L341" s="9"/>
      <c r="M341" s="9"/>
    </row>
    <row r="342" spans="2:13" ht="12.75" x14ac:dyDescent="0.2">
      <c r="B342" s="3" t="s">
        <v>429</v>
      </c>
      <c r="C342" s="24">
        <v>-346.51</v>
      </c>
      <c r="D342" s="24">
        <v>5090.79</v>
      </c>
      <c r="E342" s="24">
        <v>5517.52</v>
      </c>
      <c r="F342" s="24">
        <v>4376.07</v>
      </c>
      <c r="G342" s="24">
        <v>5082.6499999999996</v>
      </c>
      <c r="H342" s="24">
        <v>5904.56</v>
      </c>
      <c r="I342" s="24">
        <v>8607</v>
      </c>
      <c r="J342" s="8">
        <f>SUM(C342:I342)</f>
        <v>34232.080000000002</v>
      </c>
      <c r="L342" s="9"/>
      <c r="M342" s="9"/>
    </row>
    <row r="343" spans="2:13" ht="12.75" x14ac:dyDescent="0.2">
      <c r="B343" s="3" t="s">
        <v>430</v>
      </c>
      <c r="C343" s="24">
        <v>20.38</v>
      </c>
      <c r="D343" s="24">
        <v>1923.89</v>
      </c>
      <c r="E343" s="24">
        <v>1497.7</v>
      </c>
      <c r="F343" s="24">
        <v>4873.4799999999996</v>
      </c>
      <c r="G343" s="24">
        <v>17.5</v>
      </c>
      <c r="H343" s="24">
        <v>2763.2</v>
      </c>
      <c r="I343" s="24">
        <v>2319.14</v>
      </c>
      <c r="J343" s="8">
        <f>SUM(C343:I343)</f>
        <v>13415.29</v>
      </c>
      <c r="L343" s="9"/>
      <c r="M343" s="9"/>
    </row>
    <row r="344" spans="2:13" ht="12.75" x14ac:dyDescent="0.2">
      <c r="B344" s="6" t="s">
        <v>1565</v>
      </c>
      <c r="C344" s="63">
        <f t="shared" ref="C344:J344" si="54">SUM(C340:C343)</f>
        <v>220.03999999999996</v>
      </c>
      <c r="D344" s="63">
        <f t="shared" si="54"/>
        <v>9176.83</v>
      </c>
      <c r="E344" s="63">
        <f t="shared" si="54"/>
        <v>9692.630000000001</v>
      </c>
      <c r="F344" s="63">
        <f t="shared" si="54"/>
        <v>10545.23</v>
      </c>
      <c r="G344" s="63">
        <f t="shared" si="54"/>
        <v>6866.0399999999991</v>
      </c>
      <c r="H344" s="63">
        <f t="shared" si="54"/>
        <v>11154.14</v>
      </c>
      <c r="I344" s="63">
        <f t="shared" si="54"/>
        <v>11810.15</v>
      </c>
      <c r="J344" s="63">
        <f t="shared" si="54"/>
        <v>59465.060000000005</v>
      </c>
      <c r="L344" s="9"/>
      <c r="M344" s="9"/>
    </row>
    <row r="345" spans="2:13" ht="12.75" x14ac:dyDescent="0.2">
      <c r="B345" s="3" t="s">
        <v>432</v>
      </c>
      <c r="C345" s="24">
        <v>-105430.3</v>
      </c>
      <c r="D345" s="24">
        <v>-97727.88</v>
      </c>
      <c r="E345" s="24">
        <v>-97838.17</v>
      </c>
      <c r="F345" s="24">
        <v>-100342.14</v>
      </c>
      <c r="G345" s="24">
        <v>-100594.45</v>
      </c>
      <c r="H345" s="24">
        <v>-84856.23</v>
      </c>
      <c r="I345" s="24">
        <v>-96839.64</v>
      </c>
      <c r="J345" s="8">
        <f>SUM(C345:I345)</f>
        <v>-683628.81</v>
      </c>
      <c r="L345" s="9"/>
      <c r="M345" s="9"/>
    </row>
    <row r="346" spans="2:13" ht="12.75" x14ac:dyDescent="0.2">
      <c r="B346" s="6" t="s">
        <v>1566</v>
      </c>
      <c r="C346" s="63">
        <f t="shared" ref="C346:J346" si="55">SUM(C345)</f>
        <v>-105430.3</v>
      </c>
      <c r="D346" s="63">
        <f t="shared" si="55"/>
        <v>-97727.88</v>
      </c>
      <c r="E346" s="63">
        <f t="shared" si="55"/>
        <v>-97838.17</v>
      </c>
      <c r="F346" s="63">
        <f t="shared" si="55"/>
        <v>-100342.14</v>
      </c>
      <c r="G346" s="63">
        <f t="shared" si="55"/>
        <v>-100594.45</v>
      </c>
      <c r="H346" s="63">
        <f t="shared" si="55"/>
        <v>-84856.23</v>
      </c>
      <c r="I346" s="63">
        <f t="shared" si="55"/>
        <v>-96839.64</v>
      </c>
      <c r="J346" s="63">
        <f t="shared" si="55"/>
        <v>-683628.81</v>
      </c>
      <c r="L346" s="9"/>
      <c r="M346" s="9"/>
    </row>
    <row r="347" spans="2:13" s="9" customFormat="1" ht="12.75" x14ac:dyDescent="0.2">
      <c r="B347" s="13" t="s">
        <v>1551</v>
      </c>
      <c r="C347" s="41">
        <f t="shared" ref="C347:J347" si="56">C346+C344+C339+C329+C315+C306+C304+C301+C297+C289+C285+C275+C272+C267+C260+C256+C244+C233</f>
        <v>307764.82</v>
      </c>
      <c r="D347" s="41">
        <f t="shared" si="56"/>
        <v>497577.21999999986</v>
      </c>
      <c r="E347" s="41">
        <f t="shared" si="56"/>
        <v>711645</v>
      </c>
      <c r="F347" s="41">
        <f t="shared" si="56"/>
        <v>462638.54</v>
      </c>
      <c r="G347" s="41">
        <f t="shared" si="56"/>
        <v>426676.06</v>
      </c>
      <c r="H347" s="41">
        <f t="shared" si="56"/>
        <v>499140.14</v>
      </c>
      <c r="I347" s="41">
        <f t="shared" si="56"/>
        <v>441054.97000000003</v>
      </c>
      <c r="J347" s="41">
        <f t="shared" si="56"/>
        <v>3346496.75</v>
      </c>
    </row>
    <row r="348" spans="2:13" s="105" customFormat="1" ht="12.75" x14ac:dyDescent="0.2">
      <c r="B348" s="105" t="s">
        <v>1894</v>
      </c>
      <c r="C348" s="111">
        <v>10.029999999999999</v>
      </c>
      <c r="D348" s="24">
        <v>0</v>
      </c>
      <c r="E348" s="24">
        <v>0</v>
      </c>
      <c r="F348" s="24">
        <v>0</v>
      </c>
      <c r="G348" s="24">
        <v>0</v>
      </c>
      <c r="H348" s="24">
        <v>0</v>
      </c>
      <c r="I348" s="24">
        <v>0</v>
      </c>
      <c r="J348" s="183">
        <f>SUM(C348:I348)</f>
        <v>10.029999999999999</v>
      </c>
      <c r="L348" s="9"/>
      <c r="M348" s="9"/>
    </row>
    <row r="349" spans="2:13" ht="12.75" x14ac:dyDescent="0.2">
      <c r="B349" s="6" t="s">
        <v>1895</v>
      </c>
      <c r="C349" s="63">
        <f t="shared" ref="C349:J349" si="57">SUM(C348)</f>
        <v>10.029999999999999</v>
      </c>
      <c r="D349" s="63">
        <f t="shared" si="57"/>
        <v>0</v>
      </c>
      <c r="E349" s="63">
        <f t="shared" si="57"/>
        <v>0</v>
      </c>
      <c r="F349" s="63">
        <f t="shared" si="57"/>
        <v>0</v>
      </c>
      <c r="G349" s="63">
        <f t="shared" si="57"/>
        <v>0</v>
      </c>
      <c r="H349" s="63">
        <f t="shared" si="57"/>
        <v>0</v>
      </c>
      <c r="I349" s="63">
        <f t="shared" si="57"/>
        <v>0</v>
      </c>
      <c r="J349" s="63">
        <f t="shared" si="57"/>
        <v>10.029999999999999</v>
      </c>
      <c r="L349" s="9"/>
      <c r="M349" s="9"/>
    </row>
    <row r="350" spans="2:13" ht="12.75" x14ac:dyDescent="0.2">
      <c r="B350" s="3" t="s">
        <v>796</v>
      </c>
      <c r="C350" s="24">
        <v>0</v>
      </c>
      <c r="D350" s="24">
        <v>0</v>
      </c>
      <c r="E350" s="24">
        <v>0</v>
      </c>
      <c r="F350" s="24">
        <v>0</v>
      </c>
      <c r="G350" s="24">
        <v>-5590.19</v>
      </c>
      <c r="H350" s="24">
        <v>0</v>
      </c>
      <c r="I350" s="24">
        <v>0</v>
      </c>
      <c r="J350" s="8">
        <f t="shared" ref="J350:J355" si="58">SUM(C350:I350)</f>
        <v>-5590.19</v>
      </c>
      <c r="L350" s="9"/>
      <c r="M350" s="9"/>
    </row>
    <row r="351" spans="2:13" ht="12.75" x14ac:dyDescent="0.2">
      <c r="B351" s="3" t="s">
        <v>870</v>
      </c>
      <c r="C351" s="24">
        <v>0</v>
      </c>
      <c r="D351" s="24">
        <v>0</v>
      </c>
      <c r="E351" s="24">
        <v>0</v>
      </c>
      <c r="F351" s="24">
        <v>82.02</v>
      </c>
      <c r="G351" s="24">
        <v>0</v>
      </c>
      <c r="H351" s="24">
        <v>207.28</v>
      </c>
      <c r="I351" s="24">
        <v>0</v>
      </c>
      <c r="J351" s="8">
        <f t="shared" si="58"/>
        <v>289.3</v>
      </c>
      <c r="L351" s="9"/>
      <c r="M351" s="9"/>
    </row>
    <row r="352" spans="2:13" ht="12.75" x14ac:dyDescent="0.2">
      <c r="B352" s="3" t="s">
        <v>590</v>
      </c>
      <c r="C352" s="24">
        <v>759.11</v>
      </c>
      <c r="D352" s="24">
        <v>-2752.26</v>
      </c>
      <c r="E352" s="24">
        <v>-118.71</v>
      </c>
      <c r="F352" s="24">
        <v>-3063.11</v>
      </c>
      <c r="G352" s="24">
        <v>0</v>
      </c>
      <c r="H352" s="24">
        <v>-1585.43</v>
      </c>
      <c r="I352" s="24">
        <v>-906.54</v>
      </c>
      <c r="J352" s="8">
        <f t="shared" si="58"/>
        <v>-7666.9400000000005</v>
      </c>
      <c r="L352" s="9"/>
      <c r="M352" s="9"/>
    </row>
    <row r="353" spans="2:13" ht="12.75" x14ac:dyDescent="0.2">
      <c r="B353" s="3" t="s">
        <v>1310</v>
      </c>
      <c r="C353" s="24">
        <v>0</v>
      </c>
      <c r="D353" s="24">
        <v>0</v>
      </c>
      <c r="E353" s="24">
        <v>0</v>
      </c>
      <c r="F353" s="24">
        <v>0</v>
      </c>
      <c r="G353" s="24">
        <v>0</v>
      </c>
      <c r="H353" s="24">
        <v>0</v>
      </c>
      <c r="I353" s="24">
        <v>0</v>
      </c>
      <c r="J353" s="8">
        <f t="shared" si="58"/>
        <v>0</v>
      </c>
      <c r="L353" s="9"/>
      <c r="M353" s="9"/>
    </row>
    <row r="354" spans="2:13" ht="12.75" x14ac:dyDescent="0.2">
      <c r="B354" s="3" t="s">
        <v>435</v>
      </c>
      <c r="C354" s="24">
        <v>0</v>
      </c>
      <c r="D354" s="24">
        <v>0</v>
      </c>
      <c r="E354" s="24">
        <v>0</v>
      </c>
      <c r="F354" s="24">
        <v>121.38</v>
      </c>
      <c r="G354" s="24">
        <v>0</v>
      </c>
      <c r="H354" s="24">
        <v>0</v>
      </c>
      <c r="I354" s="24">
        <v>0</v>
      </c>
      <c r="J354" s="8">
        <f t="shared" si="58"/>
        <v>121.38</v>
      </c>
      <c r="L354" s="9"/>
      <c r="M354" s="9"/>
    </row>
    <row r="355" spans="2:13" ht="12.75" x14ac:dyDescent="0.2">
      <c r="B355" s="3" t="s">
        <v>436</v>
      </c>
      <c r="C355" s="24">
        <v>47257.95</v>
      </c>
      <c r="D355" s="24">
        <v>29112.14</v>
      </c>
      <c r="E355" s="24">
        <v>50522.7</v>
      </c>
      <c r="F355" s="24">
        <v>30086.68</v>
      </c>
      <c r="G355" s="24">
        <v>60948.35</v>
      </c>
      <c r="H355" s="24">
        <v>17044.18</v>
      </c>
      <c r="I355" s="24">
        <v>29438.42</v>
      </c>
      <c r="J355" s="8">
        <f t="shared" si="58"/>
        <v>264410.42</v>
      </c>
      <c r="L355" s="9"/>
      <c r="M355" s="9"/>
    </row>
    <row r="356" spans="2:13" ht="12.75" x14ac:dyDescent="0.2">
      <c r="B356" s="6" t="s">
        <v>1567</v>
      </c>
      <c r="C356" s="63">
        <f t="shared" ref="C356:J356" si="59">SUM(C350:C355)</f>
        <v>48017.06</v>
      </c>
      <c r="D356" s="63">
        <f t="shared" si="59"/>
        <v>26359.879999999997</v>
      </c>
      <c r="E356" s="63">
        <f t="shared" si="59"/>
        <v>50403.99</v>
      </c>
      <c r="F356" s="63">
        <f t="shared" si="59"/>
        <v>27226.97</v>
      </c>
      <c r="G356" s="63">
        <f t="shared" si="59"/>
        <v>55358.159999999996</v>
      </c>
      <c r="H356" s="63">
        <f t="shared" si="59"/>
        <v>15666.03</v>
      </c>
      <c r="I356" s="63">
        <f t="shared" si="59"/>
        <v>28531.879999999997</v>
      </c>
      <c r="J356" s="63">
        <f t="shared" si="59"/>
        <v>251563.96999999997</v>
      </c>
      <c r="L356" s="9"/>
      <c r="M356" s="9"/>
    </row>
    <row r="357" spans="2:13" ht="12.75" x14ac:dyDescent="0.2">
      <c r="B357" s="3" t="s">
        <v>592</v>
      </c>
      <c r="C357" s="24">
        <v>0</v>
      </c>
      <c r="D357" s="24">
        <v>0</v>
      </c>
      <c r="E357" s="24">
        <v>1122</v>
      </c>
      <c r="F357" s="24">
        <v>553</v>
      </c>
      <c r="G357" s="24">
        <v>594.62</v>
      </c>
      <c r="H357" s="24">
        <v>1127.8499999999999</v>
      </c>
      <c r="I357" s="24">
        <v>602</v>
      </c>
      <c r="J357" s="8">
        <f t="shared" ref="J357:J363" si="60">SUM(C357:I357)</f>
        <v>3999.47</v>
      </c>
      <c r="L357" s="9"/>
      <c r="M357" s="9"/>
    </row>
    <row r="358" spans="2:13" ht="12.75" x14ac:dyDescent="0.2">
      <c r="B358" s="3" t="s">
        <v>1836</v>
      </c>
      <c r="C358" s="24">
        <v>0</v>
      </c>
      <c r="D358" s="24">
        <v>0</v>
      </c>
      <c r="E358" s="24">
        <v>0</v>
      </c>
      <c r="F358" s="24">
        <v>0</v>
      </c>
      <c r="G358" s="24">
        <v>0</v>
      </c>
      <c r="H358" s="24">
        <v>0</v>
      </c>
      <c r="I358" s="24">
        <v>1.05</v>
      </c>
      <c r="J358" s="8">
        <f t="shared" si="60"/>
        <v>1.05</v>
      </c>
      <c r="L358" s="9"/>
      <c r="M358" s="9"/>
    </row>
    <row r="359" spans="2:13" ht="12.75" x14ac:dyDescent="0.2">
      <c r="B359" s="3" t="s">
        <v>1438</v>
      </c>
      <c r="C359" s="24">
        <v>0</v>
      </c>
      <c r="D359" s="24">
        <v>0</v>
      </c>
      <c r="E359" s="24">
        <v>0</v>
      </c>
      <c r="F359" s="24">
        <v>0</v>
      </c>
      <c r="G359" s="24">
        <v>0</v>
      </c>
      <c r="H359" s="24">
        <v>0</v>
      </c>
      <c r="I359" s="24">
        <v>0</v>
      </c>
      <c r="J359" s="8">
        <f t="shared" si="60"/>
        <v>0</v>
      </c>
      <c r="L359" s="9"/>
      <c r="M359" s="9"/>
    </row>
    <row r="360" spans="2:13" ht="12.75" x14ac:dyDescent="0.2">
      <c r="B360" s="3" t="s">
        <v>1311</v>
      </c>
      <c r="C360" s="24">
        <v>0</v>
      </c>
      <c r="D360" s="24">
        <v>0</v>
      </c>
      <c r="E360" s="24">
        <v>0</v>
      </c>
      <c r="F360" s="24">
        <v>0</v>
      </c>
      <c r="G360" s="24">
        <v>0</v>
      </c>
      <c r="H360" s="24">
        <v>0</v>
      </c>
      <c r="I360" s="24">
        <v>0</v>
      </c>
      <c r="J360" s="8">
        <f t="shared" si="60"/>
        <v>0</v>
      </c>
      <c r="L360" s="9"/>
      <c r="M360" s="9"/>
    </row>
    <row r="361" spans="2:13" ht="12.75" x14ac:dyDescent="0.2">
      <c r="B361" s="3" t="s">
        <v>438</v>
      </c>
      <c r="C361" s="24">
        <v>-19511.330000000002</v>
      </c>
      <c r="D361" s="24">
        <v>43795.96</v>
      </c>
      <c r="E361" s="24">
        <v>8091.3</v>
      </c>
      <c r="F361" s="24">
        <v>-13595.11</v>
      </c>
      <c r="G361" s="24">
        <v>-9433.36</v>
      </c>
      <c r="H361" s="24">
        <v>85025.88</v>
      </c>
      <c r="I361" s="24">
        <v>-23391.23</v>
      </c>
      <c r="J361" s="8">
        <f t="shared" si="60"/>
        <v>70982.11</v>
      </c>
      <c r="L361" s="9"/>
      <c r="M361" s="9"/>
    </row>
    <row r="362" spans="2:13" ht="12.75" x14ac:dyDescent="0.2">
      <c r="B362" s="3" t="s">
        <v>439</v>
      </c>
      <c r="C362" s="24">
        <v>101041.17</v>
      </c>
      <c r="D362" s="24">
        <v>-134905.91</v>
      </c>
      <c r="E362" s="24">
        <v>-24806.32</v>
      </c>
      <c r="F362" s="24">
        <v>-5054.5</v>
      </c>
      <c r="G362" s="24">
        <v>122260.41</v>
      </c>
      <c r="H362" s="24">
        <v>-83834.34</v>
      </c>
      <c r="I362" s="24">
        <v>55936.49</v>
      </c>
      <c r="J362" s="8">
        <f t="shared" si="60"/>
        <v>30637</v>
      </c>
      <c r="L362" s="9"/>
      <c r="M362" s="9"/>
    </row>
    <row r="363" spans="2:13" ht="12.75" x14ac:dyDescent="0.2">
      <c r="B363" s="3" t="s">
        <v>440</v>
      </c>
      <c r="C363" s="24">
        <v>-782.9</v>
      </c>
      <c r="D363" s="24">
        <v>-118.57</v>
      </c>
      <c r="E363" s="24">
        <v>0.08</v>
      </c>
      <c r="F363" s="24">
        <v>0</v>
      </c>
      <c r="G363" s="24">
        <v>5.64</v>
      </c>
      <c r="H363" s="24">
        <v>40.020000000000003</v>
      </c>
      <c r="I363" s="24">
        <v>5249.5</v>
      </c>
      <c r="J363" s="8">
        <f t="shared" si="60"/>
        <v>4393.7700000000004</v>
      </c>
      <c r="L363" s="9"/>
      <c r="M363" s="9"/>
    </row>
    <row r="364" spans="2:13" ht="12.75" x14ac:dyDescent="0.2">
      <c r="B364" s="6" t="s">
        <v>1568</v>
      </c>
      <c r="C364" s="63">
        <f t="shared" ref="C364:J364" si="61">SUM(C357:C363)</f>
        <v>80746.94</v>
      </c>
      <c r="D364" s="63">
        <f t="shared" si="61"/>
        <v>-91228.520000000019</v>
      </c>
      <c r="E364" s="63">
        <f t="shared" si="61"/>
        <v>-15592.94</v>
      </c>
      <c r="F364" s="63">
        <f t="shared" si="61"/>
        <v>-18096.61</v>
      </c>
      <c r="G364" s="63">
        <f t="shared" si="61"/>
        <v>113427.31</v>
      </c>
      <c r="H364" s="63">
        <f t="shared" si="61"/>
        <v>2359.410000000014</v>
      </c>
      <c r="I364" s="63">
        <f t="shared" si="61"/>
        <v>38397.81</v>
      </c>
      <c r="J364" s="63">
        <f t="shared" si="61"/>
        <v>110013.40000000001</v>
      </c>
      <c r="L364" s="9"/>
      <c r="M364" s="9"/>
    </row>
    <row r="365" spans="2:13" s="9" customFormat="1" ht="12.75" x14ac:dyDescent="0.2">
      <c r="B365" s="13" t="s">
        <v>1569</v>
      </c>
      <c r="C365" s="41">
        <f t="shared" ref="C365:J365" si="62">C356+C364+C349</f>
        <v>128774.03</v>
      </c>
      <c r="D365" s="41">
        <f t="shared" si="62"/>
        <v>-64868.640000000021</v>
      </c>
      <c r="E365" s="41">
        <f t="shared" si="62"/>
        <v>34811.049999999996</v>
      </c>
      <c r="F365" s="41">
        <f t="shared" si="62"/>
        <v>9130.36</v>
      </c>
      <c r="G365" s="41">
        <f t="shared" si="62"/>
        <v>168785.47</v>
      </c>
      <c r="H365" s="41">
        <f t="shared" si="62"/>
        <v>18025.440000000013</v>
      </c>
      <c r="I365" s="41">
        <f t="shared" si="62"/>
        <v>66929.69</v>
      </c>
      <c r="J365" s="41">
        <f t="shared" si="62"/>
        <v>361587.4</v>
      </c>
    </row>
    <row r="366" spans="2:13" s="30" customFormat="1" ht="12.75" x14ac:dyDescent="0.2">
      <c r="B366" s="28" t="s">
        <v>1570</v>
      </c>
      <c r="C366" s="66">
        <f>C124+C178+C347+C365</f>
        <v>-1068664.8400000005</v>
      </c>
      <c r="D366" s="66">
        <f t="shared" ref="D366:J366" si="63">D124+D178+D347+D365</f>
        <v>-739810.48000000254</v>
      </c>
      <c r="E366" s="66">
        <f t="shared" si="63"/>
        <v>-620906.9300000018</v>
      </c>
      <c r="F366" s="66">
        <f t="shared" si="63"/>
        <v>-754557.88999999955</v>
      </c>
      <c r="G366" s="66">
        <f t="shared" si="63"/>
        <v>-532033.92000000062</v>
      </c>
      <c r="H366" s="66">
        <f t="shared" si="63"/>
        <v>-418939.03999999963</v>
      </c>
      <c r="I366" s="66">
        <f t="shared" si="63"/>
        <v>-960095.74999999977</v>
      </c>
      <c r="J366" s="66">
        <f t="shared" si="63"/>
        <v>-5095008.8500000071</v>
      </c>
      <c r="L366" s="9"/>
      <c r="M366" s="9"/>
    </row>
    <row r="367" spans="2:13" ht="12.75" x14ac:dyDescent="0.2">
      <c r="B367" s="3" t="s">
        <v>443</v>
      </c>
      <c r="C367" s="24">
        <v>-0.31</v>
      </c>
      <c r="D367" s="24">
        <v>-1.19</v>
      </c>
      <c r="E367" s="24">
        <v>-2.66</v>
      </c>
      <c r="F367" s="24">
        <v>-0.19</v>
      </c>
      <c r="G367" s="24">
        <v>-2.38</v>
      </c>
      <c r="H367" s="24">
        <v>-0.24</v>
      </c>
      <c r="I367" s="24">
        <v>-0.1</v>
      </c>
      <c r="J367" s="8">
        <f t="shared" ref="J367:J372" si="64">SUM(C367:I367)</f>
        <v>-7.07</v>
      </c>
      <c r="L367" s="9"/>
      <c r="M367" s="9"/>
    </row>
    <row r="368" spans="2:13" ht="12.75" x14ac:dyDescent="0.2">
      <c r="B368" s="3" t="s">
        <v>692</v>
      </c>
      <c r="C368" s="24">
        <v>23.84</v>
      </c>
      <c r="D368" s="24">
        <v>23.87</v>
      </c>
      <c r="E368" s="24">
        <v>18.75</v>
      </c>
      <c r="F368" s="24">
        <v>26.7</v>
      </c>
      <c r="G368" s="24">
        <v>20.71</v>
      </c>
      <c r="H368" s="24">
        <v>18.14</v>
      </c>
      <c r="I368" s="24">
        <v>24.02</v>
      </c>
      <c r="J368" s="8">
        <f t="shared" si="64"/>
        <v>156.03</v>
      </c>
      <c r="L368" s="9"/>
      <c r="M368" s="9"/>
    </row>
    <row r="369" spans="2:13" ht="12.75" x14ac:dyDescent="0.2">
      <c r="B369" s="3" t="s">
        <v>1161</v>
      </c>
      <c r="C369" s="24">
        <v>0</v>
      </c>
      <c r="D369" s="24">
        <v>0</v>
      </c>
      <c r="E369" s="24">
        <v>0</v>
      </c>
      <c r="F369" s="24">
        <v>0</v>
      </c>
      <c r="G369" s="24">
        <v>0</v>
      </c>
      <c r="H369" s="24">
        <v>0</v>
      </c>
      <c r="I369" s="24">
        <v>0</v>
      </c>
      <c r="J369" s="8">
        <f t="shared" si="64"/>
        <v>0</v>
      </c>
      <c r="L369" s="9"/>
      <c r="M369" s="9"/>
    </row>
    <row r="370" spans="2:13" ht="12.75" x14ac:dyDescent="0.2">
      <c r="B370" s="3" t="s">
        <v>446</v>
      </c>
      <c r="C370" s="24">
        <v>3359.9</v>
      </c>
      <c r="D370" s="24">
        <v>15219.34</v>
      </c>
      <c r="E370" s="24">
        <v>8113.49</v>
      </c>
      <c r="F370" s="24">
        <v>8215.31</v>
      </c>
      <c r="G370" s="24">
        <v>6733.43</v>
      </c>
      <c r="H370" s="24">
        <v>6086.23</v>
      </c>
      <c r="I370" s="24">
        <v>5365.81</v>
      </c>
      <c r="J370" s="8">
        <f t="shared" si="64"/>
        <v>53093.509999999995</v>
      </c>
      <c r="L370" s="9"/>
      <c r="M370" s="9"/>
    </row>
    <row r="371" spans="2:13" ht="12.75" x14ac:dyDescent="0.2">
      <c r="B371" s="3" t="s">
        <v>996</v>
      </c>
      <c r="C371" s="24">
        <v>0</v>
      </c>
      <c r="D371" s="24">
        <v>0</v>
      </c>
      <c r="E371" s="24">
        <v>0</v>
      </c>
      <c r="F371" s="24">
        <v>0</v>
      </c>
      <c r="G371" s="24">
        <v>0</v>
      </c>
      <c r="H371" s="24">
        <v>0</v>
      </c>
      <c r="I371" s="24">
        <v>0</v>
      </c>
      <c r="J371" s="8">
        <f t="shared" si="64"/>
        <v>0</v>
      </c>
      <c r="L371" s="9"/>
      <c r="M371" s="9"/>
    </row>
    <row r="372" spans="2:13" s="25" customFormat="1" ht="12.75" x14ac:dyDescent="0.2">
      <c r="B372" s="25" t="s">
        <v>1577</v>
      </c>
      <c r="C372" s="134">
        <v>371434.82010000001</v>
      </c>
      <c r="D372" s="134">
        <v>399219.31959999999</v>
      </c>
      <c r="E372" s="134">
        <v>388899.27740000002</v>
      </c>
      <c r="F372" s="134">
        <v>392507.37780000002</v>
      </c>
      <c r="G372" s="134">
        <v>385932.29759999999</v>
      </c>
      <c r="H372" s="134">
        <v>372799.01419999998</v>
      </c>
      <c r="I372" s="134">
        <v>361217.22369999997</v>
      </c>
      <c r="J372" s="157">
        <f t="shared" si="64"/>
        <v>2672009.3303999999</v>
      </c>
      <c r="L372" s="9"/>
      <c r="M372" s="9"/>
    </row>
    <row r="373" spans="2:13" s="9" customFormat="1" ht="12.75" x14ac:dyDescent="0.2">
      <c r="B373" s="13" t="s">
        <v>1579</v>
      </c>
      <c r="C373" s="41">
        <f t="shared" ref="C373:J373" si="65">SUM(C367:C372)</f>
        <v>374818.2501</v>
      </c>
      <c r="D373" s="41">
        <f t="shared" si="65"/>
        <v>414461.33960000001</v>
      </c>
      <c r="E373" s="41">
        <f t="shared" si="65"/>
        <v>397028.85740000004</v>
      </c>
      <c r="F373" s="41">
        <f t="shared" si="65"/>
        <v>400749.19780000002</v>
      </c>
      <c r="G373" s="41">
        <f t="shared" si="65"/>
        <v>392684.0576</v>
      </c>
      <c r="H373" s="41">
        <f t="shared" si="65"/>
        <v>378903.14419999998</v>
      </c>
      <c r="I373" s="41">
        <f t="shared" si="65"/>
        <v>366606.95369999995</v>
      </c>
      <c r="J373" s="41">
        <f t="shared" si="65"/>
        <v>2725251.8004000001</v>
      </c>
    </row>
    <row r="374" spans="2:13" s="30" customFormat="1" ht="12.75" x14ac:dyDescent="0.2">
      <c r="B374" s="28" t="s">
        <v>1578</v>
      </c>
      <c r="C374" s="66">
        <f>C366+C373</f>
        <v>-693846.58990000049</v>
      </c>
      <c r="D374" s="66">
        <f t="shared" ref="D374:J374" si="66">D366+D373</f>
        <v>-325349.14040000254</v>
      </c>
      <c r="E374" s="66">
        <f t="shared" si="66"/>
        <v>-223878.07260000176</v>
      </c>
      <c r="F374" s="66">
        <f t="shared" si="66"/>
        <v>-353808.69219999952</v>
      </c>
      <c r="G374" s="66">
        <f t="shared" si="66"/>
        <v>-139349.86240000062</v>
      </c>
      <c r="H374" s="66">
        <f t="shared" si="66"/>
        <v>-40035.895799999649</v>
      </c>
      <c r="I374" s="66">
        <f t="shared" si="66"/>
        <v>-593488.79629999981</v>
      </c>
      <c r="J374" s="66">
        <f t="shared" si="66"/>
        <v>-2369757.049600007</v>
      </c>
      <c r="L374" s="9"/>
      <c r="M374" s="9"/>
    </row>
    <row r="375" spans="2:13" ht="12.75" x14ac:dyDescent="0.2">
      <c r="B375" s="5"/>
      <c r="C375" s="24">
        <f t="shared" ref="C375:J375" si="67">C374+C376</f>
        <v>0</v>
      </c>
      <c r="D375" s="24">
        <f t="shared" si="67"/>
        <v>-2.5611370801925659E-9</v>
      </c>
      <c r="E375" s="24">
        <f t="shared" si="67"/>
        <v>-1.7462298274040222E-9</v>
      </c>
      <c r="F375" s="24">
        <f t="shared" si="67"/>
        <v>4.6566128730773926E-10</v>
      </c>
      <c r="G375" s="24">
        <f t="shared" si="67"/>
        <v>-6.1118043959140778E-10</v>
      </c>
      <c r="H375" s="24">
        <f t="shared" si="67"/>
        <v>2.4738255888223648E-10</v>
      </c>
      <c r="I375" s="24">
        <f t="shared" si="67"/>
        <v>0</v>
      </c>
      <c r="J375" s="24">
        <f t="shared" si="67"/>
        <v>-6.9849193096160889E-9</v>
      </c>
      <c r="L375" s="9"/>
      <c r="M375" s="9"/>
    </row>
    <row r="376" spans="2:13" ht="12.75" x14ac:dyDescent="0.2">
      <c r="B376" s="3" t="s">
        <v>1874</v>
      </c>
      <c r="C376" s="24">
        <v>693846.58990000002</v>
      </c>
      <c r="D376" s="24">
        <v>325349.14039999997</v>
      </c>
      <c r="E376" s="24">
        <v>223878.07260000001</v>
      </c>
      <c r="F376" s="24">
        <v>353808.69219999999</v>
      </c>
      <c r="G376" s="24">
        <v>139349.86240000001</v>
      </c>
      <c r="H376" s="24">
        <v>40035.895799999897</v>
      </c>
      <c r="I376" s="24">
        <v>593488.79630000005</v>
      </c>
      <c r="J376" s="80">
        <v>2369757.0496</v>
      </c>
      <c r="L376" s="9"/>
      <c r="M376" s="9"/>
    </row>
    <row r="377" spans="2:13" ht="12.75" x14ac:dyDescent="0.2">
      <c r="B377" s="5"/>
      <c r="C377" s="8"/>
      <c r="D377" s="8"/>
      <c r="E377" s="8"/>
      <c r="F377" s="8"/>
      <c r="G377" s="8"/>
      <c r="H377" s="8"/>
      <c r="I377" s="8"/>
      <c r="J377" s="8"/>
      <c r="L377" s="9"/>
      <c r="M377" s="9"/>
    </row>
    <row r="378" spans="2:13" s="80" customFormat="1" ht="12.75" x14ac:dyDescent="0.2">
      <c r="B378" s="80" t="s">
        <v>1909</v>
      </c>
      <c r="C378" s="80">
        <v>-234290.25</v>
      </c>
      <c r="D378" s="80">
        <v>-217173.03</v>
      </c>
      <c r="E378" s="80">
        <v>-217426.63</v>
      </c>
      <c r="F378" s="80">
        <v>-222982.15</v>
      </c>
      <c r="G378" s="80">
        <v>-223549.18</v>
      </c>
      <c r="H378" s="80">
        <v>-188592.15</v>
      </c>
      <c r="I378" s="80">
        <v>-215215.35999999999</v>
      </c>
      <c r="J378" s="80">
        <f t="shared" ref="J378" si="68">J345+J140</f>
        <v>-1519228.75</v>
      </c>
      <c r="L378" s="9"/>
      <c r="M378" s="9"/>
    </row>
    <row r="379" spans="2:13" ht="12.75" x14ac:dyDescent="0.2">
      <c r="L379" s="9"/>
      <c r="M379" s="9"/>
    </row>
    <row r="380" spans="2:13" ht="12.75" x14ac:dyDescent="0.2">
      <c r="L380" s="9"/>
      <c r="M380" s="9"/>
    </row>
    <row r="381" spans="2:13" ht="12.75" x14ac:dyDescent="0.2">
      <c r="L381" s="9"/>
      <c r="M381" s="9"/>
    </row>
    <row r="382" spans="2:13" ht="12.75" x14ac:dyDescent="0.2">
      <c r="B382" s="5"/>
      <c r="L382" s="9"/>
      <c r="M382" s="9"/>
    </row>
    <row r="383" spans="2:13" ht="12.75" x14ac:dyDescent="0.2">
      <c r="L383" s="9"/>
      <c r="M383" s="9"/>
    </row>
    <row r="384" spans="2:13" ht="12.75" x14ac:dyDescent="0.2">
      <c r="L384" s="9"/>
      <c r="M384" s="9"/>
    </row>
    <row r="385" spans="2:13" ht="12.75" x14ac:dyDescent="0.2">
      <c r="L385" s="9"/>
      <c r="M385" s="9"/>
    </row>
    <row r="386" spans="2:13" ht="12.75" x14ac:dyDescent="0.2">
      <c r="L386" s="9"/>
      <c r="M386" s="9"/>
    </row>
    <row r="387" spans="2:13" ht="12.75" x14ac:dyDescent="0.2">
      <c r="L387" s="9"/>
      <c r="M387" s="9"/>
    </row>
    <row r="388" spans="2:13" ht="12.75" x14ac:dyDescent="0.2">
      <c r="L388" s="9"/>
      <c r="M388" s="9"/>
    </row>
    <row r="389" spans="2:13" s="24" customFormat="1" ht="12.75" x14ac:dyDescent="0.2">
      <c r="B389" s="5"/>
      <c r="J389" s="3"/>
      <c r="K389" s="3"/>
      <c r="L389" s="9"/>
      <c r="M389" s="9"/>
    </row>
    <row r="390" spans="2:13" ht="12.75" x14ac:dyDescent="0.2">
      <c r="L390" s="9"/>
      <c r="M390" s="9"/>
    </row>
    <row r="391" spans="2:13" ht="12.75" x14ac:dyDescent="0.2">
      <c r="L391" s="9"/>
      <c r="M391" s="9"/>
    </row>
    <row r="392" spans="2:13" ht="12.75" x14ac:dyDescent="0.2">
      <c r="L392" s="9"/>
      <c r="M392" s="9"/>
    </row>
    <row r="393" spans="2:13" ht="12.75" x14ac:dyDescent="0.2">
      <c r="L393" s="9"/>
      <c r="M393" s="9"/>
    </row>
    <row r="394" spans="2:13" ht="12.75" x14ac:dyDescent="0.2">
      <c r="L394" s="9"/>
      <c r="M394" s="9"/>
    </row>
    <row r="395" spans="2:13" ht="12.75" x14ac:dyDescent="0.2">
      <c r="L395" s="9"/>
      <c r="M395" s="9"/>
    </row>
    <row r="396" spans="2:13" ht="12.75" x14ac:dyDescent="0.2">
      <c r="L396" s="9"/>
      <c r="M396" s="9"/>
    </row>
    <row r="397" spans="2:13" ht="12.75" x14ac:dyDescent="0.2">
      <c r="L397" s="9"/>
      <c r="M397" s="9"/>
    </row>
    <row r="398" spans="2:13" ht="12.75" x14ac:dyDescent="0.2">
      <c r="L398" s="9"/>
      <c r="M398" s="9"/>
    </row>
    <row r="399" spans="2:13" ht="12.75" x14ac:dyDescent="0.2">
      <c r="L399" s="9"/>
      <c r="M399" s="9"/>
    </row>
    <row r="400" spans="2:13" ht="12.75" x14ac:dyDescent="0.2">
      <c r="L400" s="9"/>
      <c r="M400" s="9"/>
    </row>
    <row r="401" spans="12:13" ht="12.75" x14ac:dyDescent="0.2">
      <c r="L401" s="9"/>
      <c r="M401" s="9"/>
    </row>
    <row r="402" spans="12:13" ht="12.75" x14ac:dyDescent="0.2">
      <c r="L402" s="9"/>
      <c r="M402" s="9"/>
    </row>
    <row r="403" spans="12:13" ht="12.75" x14ac:dyDescent="0.2">
      <c r="L403" s="9"/>
      <c r="M403" s="9"/>
    </row>
    <row r="404" spans="12:13" ht="12.75" x14ac:dyDescent="0.2">
      <c r="L404" s="9"/>
      <c r="M404" s="9"/>
    </row>
    <row r="405" spans="12:13" ht="12.75" x14ac:dyDescent="0.2">
      <c r="L405" s="9"/>
      <c r="M405" s="9"/>
    </row>
    <row r="406" spans="12:13" ht="12.75" x14ac:dyDescent="0.2">
      <c r="L406" s="9"/>
      <c r="M406" s="9"/>
    </row>
    <row r="407" spans="12:13" ht="12.75" x14ac:dyDescent="0.2">
      <c r="L407" s="9"/>
      <c r="M407" s="9"/>
    </row>
    <row r="408" spans="12:13" ht="12.75" x14ac:dyDescent="0.2">
      <c r="L408" s="9"/>
      <c r="M408" s="9"/>
    </row>
    <row r="409" spans="12:13" ht="12.75" x14ac:dyDescent="0.2">
      <c r="L409" s="9"/>
      <c r="M409" s="9"/>
    </row>
    <row r="410" spans="12:13" ht="12.75" x14ac:dyDescent="0.2">
      <c r="L410" s="9"/>
      <c r="M410" s="9"/>
    </row>
    <row r="411" spans="12:13" ht="12.75" x14ac:dyDescent="0.2">
      <c r="L411" s="9"/>
      <c r="M411" s="9"/>
    </row>
    <row r="412" spans="12:13" ht="12.75" x14ac:dyDescent="0.2">
      <c r="L412" s="9"/>
      <c r="M412" s="9"/>
    </row>
    <row r="413" spans="12:13" ht="12.75" x14ac:dyDescent="0.2">
      <c r="L413" s="9"/>
      <c r="M413" s="9"/>
    </row>
    <row r="414" spans="12:13" ht="12.75" x14ac:dyDescent="0.2">
      <c r="L414" s="9"/>
      <c r="M414" s="9"/>
    </row>
    <row r="415" spans="12:13" ht="12.75" x14ac:dyDescent="0.2">
      <c r="L415" s="9"/>
      <c r="M415" s="9"/>
    </row>
    <row r="416" spans="12:13" ht="12.75" x14ac:dyDescent="0.2">
      <c r="L416" s="9"/>
      <c r="M416" s="9"/>
    </row>
    <row r="417" spans="12:13" ht="12.75" x14ac:dyDescent="0.2">
      <c r="L417" s="9"/>
      <c r="M417" s="9"/>
    </row>
    <row r="418" spans="12:13" ht="12.75" x14ac:dyDescent="0.2">
      <c r="L418" s="9"/>
      <c r="M418" s="9"/>
    </row>
    <row r="419" spans="12:13" ht="12.75" x14ac:dyDescent="0.2">
      <c r="L419" s="9"/>
      <c r="M419" s="9"/>
    </row>
    <row r="420" spans="12:13" ht="12.75" x14ac:dyDescent="0.2">
      <c r="L420" s="9"/>
      <c r="M420" s="9"/>
    </row>
    <row r="421" spans="12:13" ht="12.75" x14ac:dyDescent="0.2">
      <c r="L421" s="9"/>
      <c r="M421" s="9"/>
    </row>
    <row r="422" spans="12:13" ht="12.75" x14ac:dyDescent="0.2">
      <c r="L422" s="9"/>
      <c r="M422" s="9"/>
    </row>
    <row r="423" spans="12:13" ht="12.75" x14ac:dyDescent="0.2">
      <c r="L423" s="9"/>
      <c r="M423" s="9"/>
    </row>
    <row r="424" spans="12:13" ht="12.75" x14ac:dyDescent="0.2">
      <c r="L424" s="9"/>
      <c r="M424" s="9"/>
    </row>
    <row r="425" spans="12:13" ht="12.75" x14ac:dyDescent="0.2">
      <c r="L425" s="9"/>
      <c r="M425" s="9"/>
    </row>
    <row r="426" spans="12:13" ht="12.75" x14ac:dyDescent="0.2">
      <c r="L426" s="9"/>
      <c r="M426" s="9"/>
    </row>
    <row r="427" spans="12:13" ht="12.75" x14ac:dyDescent="0.2">
      <c r="L427" s="9"/>
      <c r="M427" s="9"/>
    </row>
    <row r="428" spans="12:13" ht="12.75" x14ac:dyDescent="0.2">
      <c r="L428" s="9"/>
      <c r="M428" s="9"/>
    </row>
    <row r="429" spans="12:13" ht="12.75" x14ac:dyDescent="0.2">
      <c r="L429" s="9"/>
      <c r="M429" s="9"/>
    </row>
    <row r="430" spans="12:13" ht="12.75" x14ac:dyDescent="0.2">
      <c r="L430" s="9"/>
      <c r="M430" s="9"/>
    </row>
    <row r="431" spans="12:13" ht="12.75" x14ac:dyDescent="0.2">
      <c r="L431" s="9"/>
      <c r="M431" s="9"/>
    </row>
    <row r="432" spans="12:13" ht="12.75" x14ac:dyDescent="0.2">
      <c r="L432" s="9"/>
      <c r="M432" s="9"/>
    </row>
    <row r="433" spans="12:13" ht="12.75" x14ac:dyDescent="0.2">
      <c r="L433" s="9"/>
      <c r="M433" s="9"/>
    </row>
    <row r="434" spans="12:13" ht="12.75" x14ac:dyDescent="0.2">
      <c r="L434" s="9"/>
      <c r="M434" s="9"/>
    </row>
    <row r="435" spans="12:13" ht="12.75" x14ac:dyDescent="0.2">
      <c r="L435" s="9"/>
      <c r="M435" s="9"/>
    </row>
    <row r="436" spans="12:13" ht="12.75" x14ac:dyDescent="0.2">
      <c r="L436" s="9"/>
      <c r="M436" s="9"/>
    </row>
    <row r="437" spans="12:13" ht="12.75" x14ac:dyDescent="0.2">
      <c r="L437" s="9"/>
      <c r="M437" s="9"/>
    </row>
    <row r="438" spans="12:13" ht="12.75" x14ac:dyDescent="0.2">
      <c r="L438" s="9"/>
      <c r="M438" s="9"/>
    </row>
    <row r="439" spans="12:13" ht="12.75" x14ac:dyDescent="0.2">
      <c r="L439" s="9"/>
      <c r="M439" s="9"/>
    </row>
    <row r="440" spans="12:13" ht="12.75" x14ac:dyDescent="0.2">
      <c r="L440" s="9"/>
      <c r="M440" s="9"/>
    </row>
    <row r="441" spans="12:13" ht="12.75" x14ac:dyDescent="0.2">
      <c r="L441" s="9"/>
      <c r="M441" s="9"/>
    </row>
    <row r="442" spans="12:13" ht="12.75" x14ac:dyDescent="0.2">
      <c r="L442" s="9"/>
      <c r="M442" s="9"/>
    </row>
    <row r="443" spans="12:13" ht="12.75" x14ac:dyDescent="0.2">
      <c r="L443" s="9"/>
      <c r="M443" s="9"/>
    </row>
    <row r="444" spans="12:13" ht="12.75" x14ac:dyDescent="0.2">
      <c r="L444" s="9"/>
      <c r="M444" s="9"/>
    </row>
    <row r="445" spans="12:13" ht="12.75" x14ac:dyDescent="0.2">
      <c r="L445" s="9"/>
      <c r="M445" s="9"/>
    </row>
    <row r="446" spans="12:13" ht="12.75" x14ac:dyDescent="0.2">
      <c r="L446" s="9"/>
      <c r="M446" s="9"/>
    </row>
    <row r="447" spans="12:13" ht="12.75" x14ac:dyDescent="0.2">
      <c r="L447" s="9"/>
      <c r="M447" s="9"/>
    </row>
    <row r="448" spans="12:13" ht="12.75" x14ac:dyDescent="0.2">
      <c r="L448" s="9"/>
      <c r="M448" s="9"/>
    </row>
    <row r="449" spans="12:13" ht="12.75" x14ac:dyDescent="0.2">
      <c r="L449" s="9"/>
      <c r="M449" s="9"/>
    </row>
    <row r="450" spans="12:13" ht="12.75" x14ac:dyDescent="0.2">
      <c r="L450" s="9"/>
      <c r="M450" s="9"/>
    </row>
    <row r="451" spans="12:13" ht="12.75" x14ac:dyDescent="0.2">
      <c r="L451" s="9"/>
      <c r="M451" s="9"/>
    </row>
    <row r="452" spans="12:13" ht="12.75" x14ac:dyDescent="0.2">
      <c r="L452" s="9"/>
      <c r="M452" s="9"/>
    </row>
    <row r="453" spans="12:13" ht="12.75" x14ac:dyDescent="0.2">
      <c r="L453" s="9"/>
      <c r="M453" s="9"/>
    </row>
    <row r="454" spans="12:13" ht="12.75" x14ac:dyDescent="0.2">
      <c r="L454" s="9"/>
      <c r="M454" s="9"/>
    </row>
    <row r="455" spans="12:13" ht="12.75" x14ac:dyDescent="0.2">
      <c r="L455" s="9"/>
      <c r="M455" s="9"/>
    </row>
    <row r="456" spans="12:13" ht="12.75" x14ac:dyDescent="0.2">
      <c r="L456" s="9"/>
      <c r="M456" s="9"/>
    </row>
    <row r="457" spans="12:13" ht="12.75" x14ac:dyDescent="0.2">
      <c r="L457" s="9"/>
      <c r="M457" s="9"/>
    </row>
    <row r="458" spans="12:13" ht="12.75" x14ac:dyDescent="0.2">
      <c r="L458" s="9"/>
      <c r="M458" s="9"/>
    </row>
    <row r="459" spans="12:13" ht="12.75" x14ac:dyDescent="0.2">
      <c r="L459" s="9"/>
      <c r="M459" s="9"/>
    </row>
    <row r="460" spans="12:13" ht="12.75" x14ac:dyDescent="0.2">
      <c r="L460" s="9"/>
      <c r="M460" s="9"/>
    </row>
    <row r="461" spans="12:13" ht="12.75" x14ac:dyDescent="0.2">
      <c r="L461" s="9"/>
      <c r="M461" s="9"/>
    </row>
    <row r="462" spans="12:13" ht="12.75" x14ac:dyDescent="0.2">
      <c r="L462" s="9"/>
      <c r="M462" s="9"/>
    </row>
    <row r="463" spans="12:13" ht="12.75" x14ac:dyDescent="0.2">
      <c r="L463" s="9"/>
      <c r="M463" s="9"/>
    </row>
    <row r="464" spans="12:13" ht="12.75" x14ac:dyDescent="0.2">
      <c r="L464" s="9"/>
      <c r="M464" s="9"/>
    </row>
    <row r="465" spans="12:13" ht="12.75" x14ac:dyDescent="0.2">
      <c r="L465" s="9"/>
      <c r="M465" s="9"/>
    </row>
    <row r="466" spans="12:13" ht="12.75" x14ac:dyDescent="0.2">
      <c r="L466" s="9"/>
      <c r="M466" s="9"/>
    </row>
    <row r="467" spans="12:13" ht="12.75" x14ac:dyDescent="0.2">
      <c r="L467" s="9"/>
      <c r="M467" s="9"/>
    </row>
    <row r="468" spans="12:13" ht="12.75" x14ac:dyDescent="0.2">
      <c r="L468" s="9"/>
      <c r="M468" s="9"/>
    </row>
    <row r="469" spans="12:13" ht="12.75" x14ac:dyDescent="0.2">
      <c r="L469" s="9"/>
      <c r="M469" s="9"/>
    </row>
    <row r="470" spans="12:13" ht="12.75" x14ac:dyDescent="0.2">
      <c r="L470" s="9"/>
      <c r="M470" s="9"/>
    </row>
    <row r="471" spans="12:13" ht="12.75" x14ac:dyDescent="0.2">
      <c r="L471" s="9"/>
      <c r="M471" s="9"/>
    </row>
    <row r="472" spans="12:13" ht="12.75" x14ac:dyDescent="0.2">
      <c r="L472" s="9"/>
      <c r="M472" s="9"/>
    </row>
    <row r="473" spans="12:13" ht="12.75" x14ac:dyDescent="0.2">
      <c r="L473" s="9"/>
      <c r="M473" s="9"/>
    </row>
    <row r="474" spans="12:13" ht="12.75" x14ac:dyDescent="0.2">
      <c r="L474" s="9"/>
      <c r="M474" s="9"/>
    </row>
    <row r="475" spans="12:13" ht="12.75" x14ac:dyDescent="0.2">
      <c r="L475" s="9"/>
      <c r="M475" s="9"/>
    </row>
    <row r="476" spans="12:13" ht="12.75" x14ac:dyDescent="0.2">
      <c r="L476" s="9"/>
      <c r="M476" s="9"/>
    </row>
    <row r="477" spans="12:13" ht="12.75" x14ac:dyDescent="0.2">
      <c r="L477" s="9"/>
      <c r="M477" s="9"/>
    </row>
    <row r="478" spans="12:13" ht="12.75" x14ac:dyDescent="0.2">
      <c r="L478" s="9"/>
      <c r="M478" s="9"/>
    </row>
    <row r="479" spans="12:13" ht="12.75" x14ac:dyDescent="0.2">
      <c r="L479" s="9"/>
      <c r="M479" s="9"/>
    </row>
    <row r="480" spans="12:13" ht="12.75" x14ac:dyDescent="0.2">
      <c r="L480" s="9"/>
      <c r="M480" s="9"/>
    </row>
    <row r="481" spans="12:13" ht="12.75" x14ac:dyDescent="0.2">
      <c r="L481" s="9"/>
      <c r="M481" s="9"/>
    </row>
    <row r="482" spans="12:13" ht="12.75" x14ac:dyDescent="0.2">
      <c r="L482" s="9"/>
      <c r="M482" s="9"/>
    </row>
    <row r="483" spans="12:13" ht="12.75" x14ac:dyDescent="0.2">
      <c r="L483" s="9"/>
      <c r="M483" s="9"/>
    </row>
    <row r="484" spans="12:13" ht="12.75" x14ac:dyDescent="0.2">
      <c r="L484" s="9"/>
      <c r="M484" s="9"/>
    </row>
    <row r="485" spans="12:13" ht="12.75" x14ac:dyDescent="0.2">
      <c r="L485" s="9"/>
      <c r="M485" s="9"/>
    </row>
    <row r="486" spans="12:13" ht="12.75" x14ac:dyDescent="0.2">
      <c r="L486" s="9"/>
      <c r="M486" s="9"/>
    </row>
    <row r="487" spans="12:13" ht="12.75" x14ac:dyDescent="0.2">
      <c r="L487" s="9"/>
      <c r="M487" s="9"/>
    </row>
    <row r="488" spans="12:13" ht="12.75" x14ac:dyDescent="0.2">
      <c r="L488" s="9"/>
      <c r="M488" s="9"/>
    </row>
    <row r="489" spans="12:13" ht="12.75" x14ac:dyDescent="0.2">
      <c r="L489" s="9"/>
      <c r="M489" s="9"/>
    </row>
    <row r="490" spans="12:13" ht="12.75" x14ac:dyDescent="0.2">
      <c r="L490" s="9"/>
      <c r="M490" s="9"/>
    </row>
    <row r="491" spans="12:13" ht="12.75" x14ac:dyDescent="0.2">
      <c r="L491" s="9"/>
      <c r="M491" s="9"/>
    </row>
    <row r="492" spans="12:13" ht="12.75" x14ac:dyDescent="0.2">
      <c r="L492" s="9"/>
      <c r="M492" s="9"/>
    </row>
    <row r="493" spans="12:13" ht="12.75" x14ac:dyDescent="0.2">
      <c r="L493" s="9"/>
      <c r="M493" s="9"/>
    </row>
    <row r="494" spans="12:13" ht="12.75" x14ac:dyDescent="0.2">
      <c r="L494" s="9"/>
      <c r="M494" s="9"/>
    </row>
    <row r="495" spans="12:13" ht="12.75" x14ac:dyDescent="0.2">
      <c r="L495" s="9"/>
      <c r="M495" s="9"/>
    </row>
    <row r="496" spans="12:13" ht="12.75" x14ac:dyDescent="0.2">
      <c r="L496" s="9"/>
      <c r="M496" s="9"/>
    </row>
    <row r="497" spans="12:13" ht="12.75" x14ac:dyDescent="0.2">
      <c r="L497" s="9"/>
      <c r="M497" s="9"/>
    </row>
    <row r="498" spans="12:13" ht="12.75" x14ac:dyDescent="0.2">
      <c r="L498" s="9"/>
      <c r="M498" s="9"/>
    </row>
    <row r="499" spans="12:13" ht="12.75" x14ac:dyDescent="0.2">
      <c r="L499" s="9"/>
      <c r="M499" s="9"/>
    </row>
    <row r="500" spans="12:13" ht="12.75" x14ac:dyDescent="0.2">
      <c r="L500" s="9"/>
      <c r="M500" s="9"/>
    </row>
    <row r="501" spans="12:13" ht="12.75" x14ac:dyDescent="0.2">
      <c r="L501" s="9"/>
      <c r="M501" s="9"/>
    </row>
    <row r="502" spans="12:13" ht="12.75" x14ac:dyDescent="0.2">
      <c r="L502" s="9"/>
      <c r="M502" s="9"/>
    </row>
    <row r="503" spans="12:13" ht="12.75" x14ac:dyDescent="0.2">
      <c r="L503" s="9"/>
      <c r="M503" s="9"/>
    </row>
    <row r="504" spans="12:13" ht="12.75" x14ac:dyDescent="0.2">
      <c r="L504" s="9"/>
      <c r="M504" s="9"/>
    </row>
    <row r="505" spans="12:13" ht="12.75" x14ac:dyDescent="0.2">
      <c r="L505" s="9"/>
      <c r="M505" s="9"/>
    </row>
    <row r="506" spans="12:13" ht="12.75" x14ac:dyDescent="0.2">
      <c r="L506" s="9"/>
      <c r="M506" s="9"/>
    </row>
    <row r="507" spans="12:13" ht="12.75" x14ac:dyDescent="0.2">
      <c r="L507" s="9"/>
      <c r="M507" s="9"/>
    </row>
    <row r="508" spans="12:13" ht="12.75" x14ac:dyDescent="0.2">
      <c r="L508" s="9"/>
      <c r="M508" s="9"/>
    </row>
    <row r="509" spans="12:13" ht="12.75" x14ac:dyDescent="0.2">
      <c r="L509" s="9"/>
      <c r="M509" s="9"/>
    </row>
    <row r="510" spans="12:13" ht="12.75" x14ac:dyDescent="0.2">
      <c r="L510" s="9"/>
      <c r="M510" s="9"/>
    </row>
    <row r="511" spans="12:13" ht="12.75" x14ac:dyDescent="0.2">
      <c r="L511" s="9"/>
      <c r="M511" s="9"/>
    </row>
    <row r="512" spans="12:13" ht="12.75" x14ac:dyDescent="0.2">
      <c r="L512" s="9"/>
      <c r="M512" s="9"/>
    </row>
    <row r="513" spans="12:13" ht="12.75" x14ac:dyDescent="0.2">
      <c r="L513" s="9"/>
      <c r="M513" s="9"/>
    </row>
    <row r="514" spans="12:13" ht="12.75" x14ac:dyDescent="0.2">
      <c r="L514" s="9"/>
      <c r="M514" s="9"/>
    </row>
    <row r="515" spans="12:13" ht="12.75" x14ac:dyDescent="0.2">
      <c r="L515" s="9"/>
      <c r="M515" s="9"/>
    </row>
    <row r="516" spans="12:13" ht="12.75" x14ac:dyDescent="0.2">
      <c r="L516" s="9"/>
      <c r="M516" s="9"/>
    </row>
    <row r="517" spans="12:13" ht="12.75" x14ac:dyDescent="0.2">
      <c r="L517" s="9"/>
      <c r="M517" s="9"/>
    </row>
    <row r="518" spans="12:13" ht="12.75" x14ac:dyDescent="0.2">
      <c r="L518" s="9"/>
      <c r="M518" s="9"/>
    </row>
    <row r="519" spans="12:13" ht="12.75" x14ac:dyDescent="0.2">
      <c r="L519" s="9"/>
      <c r="M519" s="9"/>
    </row>
    <row r="520" spans="12:13" ht="12.75" x14ac:dyDescent="0.2">
      <c r="L520" s="9"/>
      <c r="M520" s="9"/>
    </row>
    <row r="521" spans="12:13" ht="12.75" x14ac:dyDescent="0.2">
      <c r="L521" s="9"/>
      <c r="M521" s="9"/>
    </row>
    <row r="522" spans="12:13" ht="12.75" x14ac:dyDescent="0.2">
      <c r="L522" s="9"/>
      <c r="M522" s="9"/>
    </row>
    <row r="523" spans="12:13" ht="12.75" x14ac:dyDescent="0.2">
      <c r="L523" s="9"/>
      <c r="M523" s="9"/>
    </row>
    <row r="524" spans="12:13" ht="12.75" x14ac:dyDescent="0.2">
      <c r="L524" s="9"/>
      <c r="M524" s="9"/>
    </row>
    <row r="525" spans="12:13" ht="12.75" x14ac:dyDescent="0.2">
      <c r="L525" s="9"/>
      <c r="M525" s="9"/>
    </row>
    <row r="526" spans="12:13" ht="12.75" x14ac:dyDescent="0.2">
      <c r="L526" s="9"/>
      <c r="M526" s="9"/>
    </row>
    <row r="527" spans="12:13" ht="12.75" x14ac:dyDescent="0.2">
      <c r="L527" s="9"/>
      <c r="M527" s="9"/>
    </row>
    <row r="528" spans="12:13" ht="12.75" x14ac:dyDescent="0.2">
      <c r="L528" s="9"/>
      <c r="M528" s="9"/>
    </row>
    <row r="529" spans="12:13" ht="12.75" x14ac:dyDescent="0.2">
      <c r="L529" s="9"/>
      <c r="M529" s="9"/>
    </row>
    <row r="530" spans="12:13" ht="12.75" x14ac:dyDescent="0.2">
      <c r="L530" s="9"/>
      <c r="M530" s="9"/>
    </row>
    <row r="531" spans="12:13" ht="12.75" x14ac:dyDescent="0.2">
      <c r="L531" s="9"/>
      <c r="M531" s="9"/>
    </row>
    <row r="532" spans="12:13" ht="12.75" x14ac:dyDescent="0.2">
      <c r="L532" s="9"/>
      <c r="M532" s="9"/>
    </row>
    <row r="533" spans="12:13" ht="12.75" x14ac:dyDescent="0.2">
      <c r="L533" s="9"/>
      <c r="M533" s="9"/>
    </row>
    <row r="534" spans="12:13" ht="12.75" x14ac:dyDescent="0.2">
      <c r="L534" s="9"/>
      <c r="M534" s="9"/>
    </row>
    <row r="535" spans="12:13" ht="12.75" x14ac:dyDescent="0.2">
      <c r="L535" s="9"/>
      <c r="M535" s="9"/>
    </row>
    <row r="536" spans="12:13" ht="12.75" x14ac:dyDescent="0.2">
      <c r="L536" s="9"/>
      <c r="M536" s="9"/>
    </row>
    <row r="537" spans="12:13" ht="12.75" x14ac:dyDescent="0.2">
      <c r="L537" s="9"/>
      <c r="M537" s="9"/>
    </row>
    <row r="538" spans="12:13" ht="12.75" x14ac:dyDescent="0.2">
      <c r="L538" s="9"/>
      <c r="M538" s="9"/>
    </row>
    <row r="539" spans="12:13" ht="12.75" x14ac:dyDescent="0.2">
      <c r="L539" s="9"/>
      <c r="M539" s="9"/>
    </row>
    <row r="540" spans="12:13" ht="12.75" x14ac:dyDescent="0.2">
      <c r="L540" s="9"/>
      <c r="M540" s="9"/>
    </row>
    <row r="541" spans="12:13" ht="12.75" x14ac:dyDescent="0.2">
      <c r="L541" s="9"/>
      <c r="M541" s="9"/>
    </row>
    <row r="542" spans="12:13" ht="12.75" x14ac:dyDescent="0.2">
      <c r="L542" s="9"/>
      <c r="M542" s="9"/>
    </row>
    <row r="543" spans="12:13" ht="12.75" x14ac:dyDescent="0.2">
      <c r="L543" s="9"/>
      <c r="M543" s="9"/>
    </row>
    <row r="544" spans="12:13" ht="12.75" x14ac:dyDescent="0.2">
      <c r="L544" s="9"/>
      <c r="M544" s="9"/>
    </row>
    <row r="545" spans="12:13" ht="12.75" x14ac:dyDescent="0.2">
      <c r="L545" s="9"/>
      <c r="M545" s="9"/>
    </row>
    <row r="546" spans="12:13" ht="12.75" x14ac:dyDescent="0.2">
      <c r="L546" s="9"/>
      <c r="M546" s="9"/>
    </row>
    <row r="547" spans="12:13" ht="12.75" x14ac:dyDescent="0.2">
      <c r="L547" s="9"/>
      <c r="M547" s="9"/>
    </row>
    <row r="548" spans="12:13" ht="12.75" x14ac:dyDescent="0.2">
      <c r="L548" s="9"/>
      <c r="M548" s="9"/>
    </row>
    <row r="549" spans="12:13" ht="12.75" x14ac:dyDescent="0.2">
      <c r="L549" s="9"/>
      <c r="M549" s="9"/>
    </row>
    <row r="550" spans="12:13" ht="12.75" x14ac:dyDescent="0.2">
      <c r="L550" s="9"/>
      <c r="M550" s="9"/>
    </row>
    <row r="551" spans="12:13" ht="12.75" x14ac:dyDescent="0.2">
      <c r="L551" s="9"/>
      <c r="M551" s="9"/>
    </row>
    <row r="552" spans="12:13" ht="12.75" x14ac:dyDescent="0.2">
      <c r="L552" s="9"/>
      <c r="M552" s="9"/>
    </row>
    <row r="553" spans="12:13" ht="12.75" x14ac:dyDescent="0.2">
      <c r="L553" s="9"/>
      <c r="M553" s="9"/>
    </row>
    <row r="554" spans="12:13" ht="12.75" x14ac:dyDescent="0.2">
      <c r="L554" s="9"/>
      <c r="M554" s="9"/>
    </row>
    <row r="555" spans="12:13" ht="12.75" x14ac:dyDescent="0.2">
      <c r="L555" s="9"/>
      <c r="M555" s="9"/>
    </row>
    <row r="556" spans="12:13" ht="12.75" x14ac:dyDescent="0.2">
      <c r="L556" s="9"/>
      <c r="M556" s="9"/>
    </row>
    <row r="557" spans="12:13" ht="12.75" x14ac:dyDescent="0.2">
      <c r="L557" s="9"/>
      <c r="M557" s="9"/>
    </row>
    <row r="558" spans="12:13" ht="12.75" x14ac:dyDescent="0.2">
      <c r="L558" s="9"/>
      <c r="M558" s="9"/>
    </row>
    <row r="559" spans="12:13" ht="12.75" x14ac:dyDescent="0.2">
      <c r="L559" s="9"/>
      <c r="M559" s="9"/>
    </row>
    <row r="560" spans="12:13" ht="12.75" x14ac:dyDescent="0.2">
      <c r="L560" s="9"/>
      <c r="M560" s="9"/>
    </row>
    <row r="561" spans="12:13" ht="12.75" x14ac:dyDescent="0.2">
      <c r="L561" s="9"/>
      <c r="M561" s="9"/>
    </row>
    <row r="562" spans="12:13" ht="12.75" x14ac:dyDescent="0.2">
      <c r="L562" s="9"/>
      <c r="M562" s="9"/>
    </row>
    <row r="563" spans="12:13" ht="12.75" x14ac:dyDescent="0.2">
      <c r="L563" s="9"/>
      <c r="M563" s="9"/>
    </row>
    <row r="564" spans="12:13" ht="12.75" x14ac:dyDescent="0.2">
      <c r="L564" s="9"/>
      <c r="M564" s="9"/>
    </row>
    <row r="565" spans="12:13" ht="12.75" x14ac:dyDescent="0.2">
      <c r="L565" s="9"/>
      <c r="M565" s="9"/>
    </row>
    <row r="566" spans="12:13" ht="12.75" x14ac:dyDescent="0.2">
      <c r="L566" s="9"/>
      <c r="M566" s="9"/>
    </row>
    <row r="567" spans="12:13" ht="12.75" x14ac:dyDescent="0.2">
      <c r="L567" s="9"/>
      <c r="M567" s="9"/>
    </row>
    <row r="568" spans="12:13" ht="12.75" x14ac:dyDescent="0.2">
      <c r="L568" s="9"/>
      <c r="M568" s="9"/>
    </row>
    <row r="569" spans="12:13" ht="12.75" x14ac:dyDescent="0.2">
      <c r="L569" s="9"/>
      <c r="M569" s="9"/>
    </row>
    <row r="570" spans="12:13" ht="12.75" x14ac:dyDescent="0.2">
      <c r="L570" s="9"/>
      <c r="M570" s="9"/>
    </row>
  </sheetData>
  <autoFilter ref="B2:J378" xr:uid="{EB7792D8-6C74-4EFE-B196-DC9975330FAF}"/>
  <conditionalFormatting sqref="B33:B1048576 B1:B31">
    <cfRule type="duplicateValues" dxfId="43" priority="2"/>
  </conditionalFormatting>
  <conditionalFormatting sqref="C125:J130">
    <cfRule type="cellIs" dxfId="42" priority="1" operator="greaterThan">
      <formula>0.3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AC0B-748F-4DEF-BAC3-D09C4DF8F638}">
  <dimension ref="A1:B365"/>
  <sheetViews>
    <sheetView tabSelected="1" topLeftCell="A346" zoomScaleNormal="100" workbookViewId="0">
      <selection sqref="A1:B365"/>
    </sheetView>
  </sheetViews>
  <sheetFormatPr defaultRowHeight="12.75" x14ac:dyDescent="0.2"/>
  <cols>
    <col min="1" max="1" width="47.140625" bestFit="1" customWidth="1"/>
    <col min="2" max="2" width="24.140625" bestFit="1" customWidth="1"/>
  </cols>
  <sheetData>
    <row r="1" spans="1:2" x14ac:dyDescent="0.2">
      <c r="A1" s="258" t="s">
        <v>2083</v>
      </c>
      <c r="B1" s="258" t="s">
        <v>2043</v>
      </c>
    </row>
    <row r="2" spans="1:2" x14ac:dyDescent="0.2">
      <c r="A2" s="3" t="s">
        <v>241</v>
      </c>
      <c r="B2" s="258" t="s">
        <v>2044</v>
      </c>
    </row>
    <row r="3" spans="1:2" x14ac:dyDescent="0.2">
      <c r="A3" s="3" t="s">
        <v>824</v>
      </c>
      <c r="B3" s="258" t="s">
        <v>2044</v>
      </c>
    </row>
    <row r="4" spans="1:2" x14ac:dyDescent="0.2">
      <c r="A4" s="3" t="s">
        <v>242</v>
      </c>
      <c r="B4" s="258" t="s">
        <v>2044</v>
      </c>
    </row>
    <row r="5" spans="1:2" x14ac:dyDescent="0.2">
      <c r="A5" s="3" t="s">
        <v>1492</v>
      </c>
      <c r="B5" s="258" t="s">
        <v>2044</v>
      </c>
    </row>
    <row r="6" spans="1:2" x14ac:dyDescent="0.2">
      <c r="A6" s="3" t="s">
        <v>738</v>
      </c>
      <c r="B6" s="258" t="s">
        <v>2044</v>
      </c>
    </row>
    <row r="7" spans="1:2" x14ac:dyDescent="0.2">
      <c r="A7" s="3" t="s">
        <v>243</v>
      </c>
      <c r="B7" s="258" t="s">
        <v>2044</v>
      </c>
    </row>
    <row r="8" spans="1:2" x14ac:dyDescent="0.2">
      <c r="A8" s="3" t="s">
        <v>1834</v>
      </c>
      <c r="B8" s="258" t="s">
        <v>2044</v>
      </c>
    </row>
    <row r="9" spans="1:2" x14ac:dyDescent="0.2">
      <c r="A9" s="3" t="s">
        <v>1493</v>
      </c>
      <c r="B9" s="258" t="s">
        <v>2044</v>
      </c>
    </row>
    <row r="10" spans="1:2" x14ac:dyDescent="0.2">
      <c r="A10" s="3" t="s">
        <v>1494</v>
      </c>
      <c r="B10" s="258" t="s">
        <v>2044</v>
      </c>
    </row>
    <row r="11" spans="1:2" x14ac:dyDescent="0.2">
      <c r="A11" s="3" t="s">
        <v>245</v>
      </c>
      <c r="B11" s="258" t="s">
        <v>2045</v>
      </c>
    </row>
    <row r="12" spans="1:2" x14ac:dyDescent="0.2">
      <c r="A12" s="3" t="s">
        <v>536</v>
      </c>
      <c r="B12" s="258" t="s">
        <v>2045</v>
      </c>
    </row>
    <row r="13" spans="1:2" x14ac:dyDescent="0.2">
      <c r="A13" s="3" t="s">
        <v>537</v>
      </c>
      <c r="B13" s="258" t="s">
        <v>2045</v>
      </c>
    </row>
    <row r="14" spans="1:2" x14ac:dyDescent="0.2">
      <c r="A14" s="3" t="s">
        <v>246</v>
      </c>
      <c r="B14" s="258" t="s">
        <v>2045</v>
      </c>
    </row>
    <row r="15" spans="1:2" x14ac:dyDescent="0.2">
      <c r="A15" s="3" t="s">
        <v>1639</v>
      </c>
      <c r="B15" s="258" t="s">
        <v>2045</v>
      </c>
    </row>
    <row r="16" spans="1:2" x14ac:dyDescent="0.2">
      <c r="A16" s="3" t="s">
        <v>247</v>
      </c>
      <c r="B16" s="258" t="s">
        <v>2045</v>
      </c>
    </row>
    <row r="17" spans="1:2" x14ac:dyDescent="0.2">
      <c r="A17" s="3" t="s">
        <v>1912</v>
      </c>
      <c r="B17" s="258" t="s">
        <v>2045</v>
      </c>
    </row>
    <row r="18" spans="1:2" x14ac:dyDescent="0.2">
      <c r="A18" s="3" t="s">
        <v>949</v>
      </c>
      <c r="B18" s="258" t="s">
        <v>2045</v>
      </c>
    </row>
    <row r="19" spans="1:2" x14ac:dyDescent="0.2">
      <c r="A19" s="3" t="s">
        <v>1837</v>
      </c>
      <c r="B19" s="258" t="s">
        <v>2045</v>
      </c>
    </row>
    <row r="20" spans="1:2" x14ac:dyDescent="0.2">
      <c r="A20" s="3" t="s">
        <v>1888</v>
      </c>
      <c r="B20" s="258" t="s">
        <v>2045</v>
      </c>
    </row>
    <row r="21" spans="1:2" x14ac:dyDescent="0.2">
      <c r="A21" s="3" t="s">
        <v>248</v>
      </c>
      <c r="B21" s="258" t="s">
        <v>2045</v>
      </c>
    </row>
    <row r="22" spans="1:2" x14ac:dyDescent="0.2">
      <c r="A22" s="3" t="s">
        <v>249</v>
      </c>
      <c r="B22" s="258" t="s">
        <v>2045</v>
      </c>
    </row>
    <row r="23" spans="1:2" x14ac:dyDescent="0.2">
      <c r="A23" s="3" t="s">
        <v>250</v>
      </c>
      <c r="B23" s="258" t="s">
        <v>2045</v>
      </c>
    </row>
    <row r="24" spans="1:2" x14ac:dyDescent="0.2">
      <c r="A24" s="3" t="s">
        <v>251</v>
      </c>
      <c r="B24" s="258" t="s">
        <v>2045</v>
      </c>
    </row>
    <row r="25" spans="1:2" x14ac:dyDescent="0.2">
      <c r="A25" s="3" t="s">
        <v>1892</v>
      </c>
      <c r="B25" s="258" t="s">
        <v>2045</v>
      </c>
    </row>
    <row r="26" spans="1:2" x14ac:dyDescent="0.2">
      <c r="A26" s="3" t="s">
        <v>2040</v>
      </c>
      <c r="B26" s="258" t="s">
        <v>2045</v>
      </c>
    </row>
    <row r="27" spans="1:2" x14ac:dyDescent="0.2">
      <c r="A27" s="3" t="s">
        <v>2041</v>
      </c>
      <c r="B27" s="258" t="s">
        <v>2045</v>
      </c>
    </row>
    <row r="28" spans="1:2" x14ac:dyDescent="0.2">
      <c r="A28" s="3" t="s">
        <v>252</v>
      </c>
      <c r="B28" s="258" t="s">
        <v>2045</v>
      </c>
    </row>
    <row r="29" spans="1:2" x14ac:dyDescent="0.2">
      <c r="A29" s="3" t="s">
        <v>1827</v>
      </c>
      <c r="B29" s="258" t="s">
        <v>2045</v>
      </c>
    </row>
    <row r="30" spans="1:2" x14ac:dyDescent="0.2">
      <c r="A30" s="3" t="s">
        <v>1835</v>
      </c>
      <c r="B30" s="258" t="s">
        <v>2045</v>
      </c>
    </row>
    <row r="31" spans="1:2" x14ac:dyDescent="0.2">
      <c r="A31" s="3" t="s">
        <v>254</v>
      </c>
      <c r="B31" s="258" t="s">
        <v>2046</v>
      </c>
    </row>
    <row r="32" spans="1:2" x14ac:dyDescent="0.2">
      <c r="A32" s="3" t="s">
        <v>255</v>
      </c>
      <c r="B32" s="258" t="s">
        <v>2046</v>
      </c>
    </row>
    <row r="33" spans="1:2" x14ac:dyDescent="0.2">
      <c r="A33" s="3" t="s">
        <v>256</v>
      </c>
      <c r="B33" s="258" t="s">
        <v>2046</v>
      </c>
    </row>
    <row r="34" spans="1:2" x14ac:dyDescent="0.2">
      <c r="A34" s="3" t="s">
        <v>257</v>
      </c>
      <c r="B34" s="258" t="s">
        <v>2046</v>
      </c>
    </row>
    <row r="35" spans="1:2" x14ac:dyDescent="0.2">
      <c r="A35" s="3" t="s">
        <v>258</v>
      </c>
      <c r="B35" s="258" t="s">
        <v>2046</v>
      </c>
    </row>
    <row r="36" spans="1:2" x14ac:dyDescent="0.2">
      <c r="A36" s="3" t="s">
        <v>259</v>
      </c>
      <c r="B36" s="258" t="s">
        <v>2046</v>
      </c>
    </row>
    <row r="37" spans="1:2" x14ac:dyDescent="0.2">
      <c r="A37" s="3" t="s">
        <v>1913</v>
      </c>
      <c r="B37" s="258" t="s">
        <v>2046</v>
      </c>
    </row>
    <row r="38" spans="1:2" x14ac:dyDescent="0.2">
      <c r="A38" s="3" t="s">
        <v>1227</v>
      </c>
      <c r="B38" s="258" t="s">
        <v>2046</v>
      </c>
    </row>
    <row r="39" spans="1:2" x14ac:dyDescent="0.2">
      <c r="A39" s="3" t="s">
        <v>989</v>
      </c>
      <c r="B39" s="258" t="s">
        <v>2046</v>
      </c>
    </row>
    <row r="40" spans="1:2" x14ac:dyDescent="0.2">
      <c r="A40" s="3" t="s">
        <v>261</v>
      </c>
      <c r="B40" s="258" t="s">
        <v>2047</v>
      </c>
    </row>
    <row r="41" spans="1:2" x14ac:dyDescent="0.2">
      <c r="A41" s="3" t="s">
        <v>262</v>
      </c>
      <c r="B41" s="258" t="s">
        <v>2047</v>
      </c>
    </row>
    <row r="42" spans="1:2" x14ac:dyDescent="0.2">
      <c r="A42" s="3" t="s">
        <v>1532</v>
      </c>
      <c r="B42" s="258" t="s">
        <v>2047</v>
      </c>
    </row>
    <row r="43" spans="1:2" x14ac:dyDescent="0.2">
      <c r="A43" s="3" t="s">
        <v>264</v>
      </c>
      <c r="B43" s="258" t="s">
        <v>2048</v>
      </c>
    </row>
    <row r="44" spans="1:2" x14ac:dyDescent="0.2">
      <c r="A44" s="3" t="s">
        <v>267</v>
      </c>
      <c r="B44" s="258" t="s">
        <v>2049</v>
      </c>
    </row>
    <row r="45" spans="1:2" x14ac:dyDescent="0.2">
      <c r="A45" s="3" t="s">
        <v>268</v>
      </c>
      <c r="B45" s="258" t="s">
        <v>2049</v>
      </c>
    </row>
    <row r="46" spans="1:2" x14ac:dyDescent="0.2">
      <c r="A46" s="3" t="s">
        <v>1838</v>
      </c>
      <c r="B46" s="258" t="s">
        <v>2049</v>
      </c>
    </row>
    <row r="47" spans="1:2" x14ac:dyDescent="0.2">
      <c r="A47" s="3" t="s">
        <v>1640</v>
      </c>
      <c r="B47" s="258" t="s">
        <v>2049</v>
      </c>
    </row>
    <row r="48" spans="1:2" x14ac:dyDescent="0.2">
      <c r="A48" s="3" t="s">
        <v>1830</v>
      </c>
      <c r="B48" s="258" t="s">
        <v>2049</v>
      </c>
    </row>
    <row r="49" spans="1:2" x14ac:dyDescent="0.2">
      <c r="A49" s="3" t="s">
        <v>269</v>
      </c>
      <c r="B49" s="258" t="s">
        <v>2049</v>
      </c>
    </row>
    <row r="50" spans="1:2" x14ac:dyDescent="0.2">
      <c r="A50" s="3" t="s">
        <v>542</v>
      </c>
      <c r="B50" s="258" t="s">
        <v>2049</v>
      </c>
    </row>
    <row r="51" spans="1:2" x14ac:dyDescent="0.2">
      <c r="A51" s="3" t="s">
        <v>270</v>
      </c>
      <c r="B51" s="258" t="s">
        <v>2049</v>
      </c>
    </row>
    <row r="52" spans="1:2" x14ac:dyDescent="0.2">
      <c r="A52" s="3" t="s">
        <v>271</v>
      </c>
      <c r="B52" s="258" t="s">
        <v>2049</v>
      </c>
    </row>
    <row r="53" spans="1:2" x14ac:dyDescent="0.2">
      <c r="A53" s="3" t="s">
        <v>272</v>
      </c>
      <c r="B53" s="258" t="s">
        <v>2049</v>
      </c>
    </row>
    <row r="54" spans="1:2" x14ac:dyDescent="0.2">
      <c r="A54" s="3" t="s">
        <v>273</v>
      </c>
      <c r="B54" s="258" t="s">
        <v>2049</v>
      </c>
    </row>
    <row r="55" spans="1:2" x14ac:dyDescent="0.2">
      <c r="A55" s="3" t="s">
        <v>274</v>
      </c>
      <c r="B55" s="258" t="s">
        <v>2049</v>
      </c>
    </row>
    <row r="56" spans="1:2" x14ac:dyDescent="0.2">
      <c r="A56" s="3" t="s">
        <v>641</v>
      </c>
      <c r="B56" s="258" t="s">
        <v>2049</v>
      </c>
    </row>
    <row r="57" spans="1:2" x14ac:dyDescent="0.2">
      <c r="A57" s="3" t="s">
        <v>275</v>
      </c>
      <c r="B57" s="258" t="s">
        <v>2049</v>
      </c>
    </row>
    <row r="58" spans="1:2" x14ac:dyDescent="0.2">
      <c r="A58" s="3" t="s">
        <v>1767</v>
      </c>
      <c r="B58" s="258" t="s">
        <v>2049</v>
      </c>
    </row>
    <row r="59" spans="1:2" x14ac:dyDescent="0.2">
      <c r="A59" s="3" t="s">
        <v>276</v>
      </c>
      <c r="B59" s="258" t="s">
        <v>2049</v>
      </c>
    </row>
    <row r="60" spans="1:2" x14ac:dyDescent="0.2">
      <c r="A60" s="18" t="s">
        <v>277</v>
      </c>
      <c r="B60" s="258" t="s">
        <v>2049</v>
      </c>
    </row>
    <row r="61" spans="1:2" x14ac:dyDescent="0.2">
      <c r="A61" s="3" t="s">
        <v>278</v>
      </c>
      <c r="B61" s="258" t="s">
        <v>2049</v>
      </c>
    </row>
    <row r="62" spans="1:2" x14ac:dyDescent="0.2">
      <c r="A62" s="3" t="s">
        <v>1511</v>
      </c>
      <c r="B62" s="258" t="s">
        <v>2049</v>
      </c>
    </row>
    <row r="63" spans="1:2" x14ac:dyDescent="0.2">
      <c r="A63" s="3" t="s">
        <v>1875</v>
      </c>
      <c r="B63" s="258" t="s">
        <v>2049</v>
      </c>
    </row>
    <row r="64" spans="1:2" x14ac:dyDescent="0.2">
      <c r="A64" s="3" t="s">
        <v>279</v>
      </c>
      <c r="B64" s="258" t="s">
        <v>2049</v>
      </c>
    </row>
    <row r="65" spans="1:2" x14ac:dyDescent="0.2">
      <c r="A65" s="3" t="s">
        <v>280</v>
      </c>
      <c r="B65" s="258" t="s">
        <v>2049</v>
      </c>
    </row>
    <row r="66" spans="1:2" x14ac:dyDescent="0.2">
      <c r="A66" s="3" t="s">
        <v>281</v>
      </c>
      <c r="B66" s="258" t="s">
        <v>2049</v>
      </c>
    </row>
    <row r="67" spans="1:2" x14ac:dyDescent="0.2">
      <c r="A67" s="3" t="s">
        <v>282</v>
      </c>
      <c r="B67" s="258" t="s">
        <v>2049</v>
      </c>
    </row>
    <row r="68" spans="1:2" x14ac:dyDescent="0.2">
      <c r="A68" s="3" t="s">
        <v>829</v>
      </c>
      <c r="B68" s="258" t="s">
        <v>2049</v>
      </c>
    </row>
    <row r="69" spans="1:2" x14ac:dyDescent="0.2">
      <c r="A69" s="3" t="s">
        <v>283</v>
      </c>
      <c r="B69" s="258" t="s">
        <v>2049</v>
      </c>
    </row>
    <row r="70" spans="1:2" x14ac:dyDescent="0.2">
      <c r="A70" s="3" t="s">
        <v>284</v>
      </c>
      <c r="B70" s="258" t="s">
        <v>2049</v>
      </c>
    </row>
    <row r="71" spans="1:2" x14ac:dyDescent="0.2">
      <c r="A71" s="3" t="s">
        <v>1062</v>
      </c>
      <c r="B71" s="258" t="s">
        <v>2049</v>
      </c>
    </row>
    <row r="72" spans="1:2" x14ac:dyDescent="0.2">
      <c r="A72" s="3" t="s">
        <v>285</v>
      </c>
      <c r="B72" s="258" t="s">
        <v>2049</v>
      </c>
    </row>
    <row r="73" spans="1:2" x14ac:dyDescent="0.2">
      <c r="A73" s="3" t="s">
        <v>287</v>
      </c>
      <c r="B73" s="258" t="s">
        <v>2050</v>
      </c>
    </row>
    <row r="74" spans="1:2" x14ac:dyDescent="0.2">
      <c r="A74" s="3" t="s">
        <v>548</v>
      </c>
      <c r="B74" s="258" t="s">
        <v>2050</v>
      </c>
    </row>
    <row r="75" spans="1:2" x14ac:dyDescent="0.2">
      <c r="A75" s="3" t="s">
        <v>288</v>
      </c>
      <c r="B75" s="258" t="s">
        <v>2050</v>
      </c>
    </row>
    <row r="76" spans="1:2" x14ac:dyDescent="0.2">
      <c r="A76" s="3" t="s">
        <v>289</v>
      </c>
      <c r="B76" s="258" t="s">
        <v>2050</v>
      </c>
    </row>
    <row r="77" spans="1:2" x14ac:dyDescent="0.2">
      <c r="A77" s="3" t="s">
        <v>952</v>
      </c>
      <c r="B77" s="258" t="s">
        <v>2050</v>
      </c>
    </row>
    <row r="78" spans="1:2" x14ac:dyDescent="0.2">
      <c r="A78" s="3" t="s">
        <v>1861</v>
      </c>
      <c r="B78" s="258" t="s">
        <v>2050</v>
      </c>
    </row>
    <row r="79" spans="1:2" x14ac:dyDescent="0.2">
      <c r="A79" s="3" t="s">
        <v>290</v>
      </c>
      <c r="B79" s="258" t="s">
        <v>2050</v>
      </c>
    </row>
    <row r="80" spans="1:2" x14ac:dyDescent="0.2">
      <c r="A80" s="3" t="s">
        <v>291</v>
      </c>
      <c r="B80" s="258" t="s">
        <v>2050</v>
      </c>
    </row>
    <row r="81" spans="1:2" x14ac:dyDescent="0.2">
      <c r="A81" s="3" t="s">
        <v>292</v>
      </c>
      <c r="B81" s="258" t="s">
        <v>2050</v>
      </c>
    </row>
    <row r="82" spans="1:2" x14ac:dyDescent="0.2">
      <c r="A82" s="3" t="s">
        <v>293</v>
      </c>
      <c r="B82" s="258" t="s">
        <v>2050</v>
      </c>
    </row>
    <row r="83" spans="1:2" x14ac:dyDescent="0.2">
      <c r="A83" s="3" t="s">
        <v>294</v>
      </c>
      <c r="B83" s="258" t="s">
        <v>2050</v>
      </c>
    </row>
    <row r="84" spans="1:2" x14ac:dyDescent="0.2">
      <c r="A84" s="3" t="s">
        <v>295</v>
      </c>
      <c r="B84" s="258" t="s">
        <v>2050</v>
      </c>
    </row>
    <row r="85" spans="1:2" x14ac:dyDescent="0.2">
      <c r="A85" s="3" t="s">
        <v>296</v>
      </c>
      <c r="B85" s="258" t="s">
        <v>2050</v>
      </c>
    </row>
    <row r="86" spans="1:2" x14ac:dyDescent="0.2">
      <c r="A86" s="3" t="s">
        <v>1876</v>
      </c>
      <c r="B86" s="258" t="s">
        <v>2051</v>
      </c>
    </row>
    <row r="87" spans="1:2" x14ac:dyDescent="0.2">
      <c r="A87" s="3" t="s">
        <v>1534</v>
      </c>
      <c r="B87" s="258" t="s">
        <v>2051</v>
      </c>
    </row>
    <row r="88" spans="1:2" x14ac:dyDescent="0.2">
      <c r="A88" s="3" t="s">
        <v>1443</v>
      </c>
      <c r="B88" s="258" t="s">
        <v>2051</v>
      </c>
    </row>
    <row r="89" spans="1:2" x14ac:dyDescent="0.2">
      <c r="A89" s="3" t="s">
        <v>298</v>
      </c>
      <c r="B89" s="258" t="s">
        <v>2051</v>
      </c>
    </row>
    <row r="90" spans="1:2" x14ac:dyDescent="0.2">
      <c r="A90" s="3" t="s">
        <v>299</v>
      </c>
      <c r="B90" s="258" t="s">
        <v>2051</v>
      </c>
    </row>
    <row r="91" spans="1:2" x14ac:dyDescent="0.2">
      <c r="A91" s="3" t="s">
        <v>300</v>
      </c>
      <c r="B91" s="258" t="s">
        <v>2051</v>
      </c>
    </row>
    <row r="92" spans="1:2" x14ac:dyDescent="0.2">
      <c r="A92" s="3" t="s">
        <v>554</v>
      </c>
      <c r="B92" s="258" t="s">
        <v>2052</v>
      </c>
    </row>
    <row r="93" spans="1:2" x14ac:dyDescent="0.2">
      <c r="A93" s="3" t="s">
        <v>1426</v>
      </c>
      <c r="B93" s="258" t="s">
        <v>2052</v>
      </c>
    </row>
    <row r="94" spans="1:2" x14ac:dyDescent="0.2">
      <c r="A94" s="3" t="s">
        <v>835</v>
      </c>
      <c r="B94" s="258" t="s">
        <v>2052</v>
      </c>
    </row>
    <row r="95" spans="1:2" x14ac:dyDescent="0.2">
      <c r="A95" s="3" t="s">
        <v>1787</v>
      </c>
      <c r="B95" s="258" t="s">
        <v>2052</v>
      </c>
    </row>
    <row r="96" spans="1:2" x14ac:dyDescent="0.2">
      <c r="A96" s="3" t="s">
        <v>1818</v>
      </c>
      <c r="B96" s="258" t="s">
        <v>2052</v>
      </c>
    </row>
    <row r="97" spans="1:2" x14ac:dyDescent="0.2">
      <c r="A97" s="3" t="s">
        <v>1839</v>
      </c>
      <c r="B97" s="258" t="s">
        <v>2052</v>
      </c>
    </row>
    <row r="98" spans="1:2" x14ac:dyDescent="0.2">
      <c r="A98" s="3" t="s">
        <v>302</v>
      </c>
      <c r="B98" s="258" t="s">
        <v>2052</v>
      </c>
    </row>
    <row r="99" spans="1:2" x14ac:dyDescent="0.2">
      <c r="A99" s="3" t="s">
        <v>647</v>
      </c>
      <c r="B99" s="258" t="s">
        <v>2052</v>
      </c>
    </row>
    <row r="100" spans="1:2" x14ac:dyDescent="0.2">
      <c r="A100" s="3" t="s">
        <v>303</v>
      </c>
      <c r="B100" s="258" t="s">
        <v>2052</v>
      </c>
    </row>
    <row r="101" spans="1:2" x14ac:dyDescent="0.2">
      <c r="A101" s="3" t="s">
        <v>304</v>
      </c>
      <c r="B101" s="258" t="s">
        <v>2052</v>
      </c>
    </row>
    <row r="102" spans="1:2" x14ac:dyDescent="0.2">
      <c r="A102" s="3" t="s">
        <v>305</v>
      </c>
      <c r="B102" s="258" t="s">
        <v>2052</v>
      </c>
    </row>
    <row r="103" spans="1:2" x14ac:dyDescent="0.2">
      <c r="A103" s="3" t="s">
        <v>306</v>
      </c>
      <c r="B103" s="258" t="s">
        <v>2052</v>
      </c>
    </row>
    <row r="104" spans="1:2" x14ac:dyDescent="0.2">
      <c r="A104" s="3" t="s">
        <v>838</v>
      </c>
      <c r="B104" s="258" t="s">
        <v>2052</v>
      </c>
    </row>
    <row r="105" spans="1:2" x14ac:dyDescent="0.2">
      <c r="A105" s="3" t="s">
        <v>1819</v>
      </c>
      <c r="B105" s="258" t="s">
        <v>2052</v>
      </c>
    </row>
    <row r="106" spans="1:2" x14ac:dyDescent="0.2">
      <c r="A106" s="3" t="s">
        <v>556</v>
      </c>
      <c r="B106" s="258" t="s">
        <v>2052</v>
      </c>
    </row>
    <row r="107" spans="1:2" x14ac:dyDescent="0.2">
      <c r="A107" s="3" t="s">
        <v>307</v>
      </c>
      <c r="B107" s="258" t="s">
        <v>2052</v>
      </c>
    </row>
    <row r="108" spans="1:2" x14ac:dyDescent="0.2">
      <c r="A108" s="3" t="s">
        <v>308</v>
      </c>
      <c r="B108" s="258" t="s">
        <v>2052</v>
      </c>
    </row>
    <row r="109" spans="1:2" x14ac:dyDescent="0.2">
      <c r="A109" s="3" t="s">
        <v>309</v>
      </c>
      <c r="B109" s="258" t="s">
        <v>2052</v>
      </c>
    </row>
    <row r="110" spans="1:2" x14ac:dyDescent="0.2">
      <c r="A110" s="3" t="s">
        <v>311</v>
      </c>
      <c r="B110" s="258" t="s">
        <v>2053</v>
      </c>
    </row>
    <row r="111" spans="1:2" x14ac:dyDescent="0.2">
      <c r="A111" s="3" t="s">
        <v>314</v>
      </c>
      <c r="B111" s="258" t="s">
        <v>2054</v>
      </c>
    </row>
    <row r="112" spans="1:2" x14ac:dyDescent="0.2">
      <c r="A112" s="3" t="s">
        <v>315</v>
      </c>
      <c r="B112" s="258" t="s">
        <v>2054</v>
      </c>
    </row>
    <row r="113" spans="1:2" x14ac:dyDescent="0.2">
      <c r="A113" s="3" t="s">
        <v>558</v>
      </c>
      <c r="B113" s="258" t="s">
        <v>2054</v>
      </c>
    </row>
    <row r="114" spans="1:2" x14ac:dyDescent="0.2">
      <c r="A114" s="3" t="s">
        <v>559</v>
      </c>
      <c r="B114" s="258" t="s">
        <v>2054</v>
      </c>
    </row>
    <row r="115" spans="1:2" x14ac:dyDescent="0.2">
      <c r="A115" s="3" t="s">
        <v>316</v>
      </c>
      <c r="B115" s="258" t="s">
        <v>2054</v>
      </c>
    </row>
    <row r="116" spans="1:2" x14ac:dyDescent="0.2">
      <c r="A116" s="3" t="s">
        <v>317</v>
      </c>
      <c r="B116" s="258" t="s">
        <v>2054</v>
      </c>
    </row>
    <row r="117" spans="1:2" x14ac:dyDescent="0.2">
      <c r="A117" s="3" t="s">
        <v>318</v>
      </c>
      <c r="B117" s="258" t="s">
        <v>2054</v>
      </c>
    </row>
    <row r="118" spans="1:2" x14ac:dyDescent="0.2">
      <c r="A118" s="3" t="s">
        <v>319</v>
      </c>
      <c r="B118" s="258" t="s">
        <v>2054</v>
      </c>
    </row>
    <row r="119" spans="1:2" x14ac:dyDescent="0.2">
      <c r="A119" s="3" t="s">
        <v>320</v>
      </c>
      <c r="B119" s="258" t="s">
        <v>2054</v>
      </c>
    </row>
    <row r="120" spans="1:2" x14ac:dyDescent="0.2">
      <c r="A120" s="3" t="s">
        <v>321</v>
      </c>
      <c r="B120" s="258" t="s">
        <v>2054</v>
      </c>
    </row>
    <row r="121" spans="1:2" x14ac:dyDescent="0.2">
      <c r="A121" s="3" t="s">
        <v>841</v>
      </c>
      <c r="B121" s="258" t="s">
        <v>2054</v>
      </c>
    </row>
    <row r="122" spans="1:2" x14ac:dyDescent="0.2">
      <c r="A122" s="3" t="s">
        <v>560</v>
      </c>
      <c r="B122" s="258" t="s">
        <v>2054</v>
      </c>
    </row>
    <row r="123" spans="1:2" x14ac:dyDescent="0.2">
      <c r="A123" s="3" t="s">
        <v>1085</v>
      </c>
      <c r="B123" s="258" t="s">
        <v>2054</v>
      </c>
    </row>
    <row r="124" spans="1:2" x14ac:dyDescent="0.2">
      <c r="A124" s="3" t="s">
        <v>1788</v>
      </c>
      <c r="B124" s="258" t="s">
        <v>2054</v>
      </c>
    </row>
    <row r="125" spans="1:2" x14ac:dyDescent="0.2">
      <c r="A125" s="3" t="s">
        <v>990</v>
      </c>
      <c r="B125" s="258" t="s">
        <v>2054</v>
      </c>
    </row>
    <row r="126" spans="1:2" x14ac:dyDescent="0.2">
      <c r="A126" s="3" t="s">
        <v>1883</v>
      </c>
      <c r="B126" s="258" t="s">
        <v>2054</v>
      </c>
    </row>
    <row r="127" spans="1:2" x14ac:dyDescent="0.2">
      <c r="A127" s="3" t="s">
        <v>322</v>
      </c>
      <c r="B127" s="258" t="s">
        <v>2054</v>
      </c>
    </row>
    <row r="128" spans="1:2" x14ac:dyDescent="0.2">
      <c r="A128" s="3" t="s">
        <v>652</v>
      </c>
      <c r="B128" s="258" t="s">
        <v>2054</v>
      </c>
    </row>
    <row r="129" spans="1:2" x14ac:dyDescent="0.2">
      <c r="A129" s="3" t="s">
        <v>323</v>
      </c>
      <c r="B129" s="258" t="s">
        <v>2054</v>
      </c>
    </row>
    <row r="130" spans="1:2" x14ac:dyDescent="0.2">
      <c r="A130" s="3" t="s">
        <v>324</v>
      </c>
      <c r="B130" s="258" t="s">
        <v>2054</v>
      </c>
    </row>
    <row r="131" spans="1:2" x14ac:dyDescent="0.2">
      <c r="A131" s="3" t="s">
        <v>913</v>
      </c>
      <c r="B131" s="258" t="s">
        <v>2054</v>
      </c>
    </row>
    <row r="132" spans="1:2" x14ac:dyDescent="0.2">
      <c r="A132" s="3" t="s">
        <v>561</v>
      </c>
      <c r="B132" s="258" t="s">
        <v>2054</v>
      </c>
    </row>
    <row r="133" spans="1:2" x14ac:dyDescent="0.2">
      <c r="A133" s="3" t="s">
        <v>325</v>
      </c>
      <c r="B133" s="258" t="s">
        <v>2054</v>
      </c>
    </row>
    <row r="134" spans="1:2" x14ac:dyDescent="0.2">
      <c r="A134" s="3" t="s">
        <v>654</v>
      </c>
      <c r="B134" s="258" t="s">
        <v>2054</v>
      </c>
    </row>
    <row r="135" spans="1:2" x14ac:dyDescent="0.2">
      <c r="A135" s="3" t="s">
        <v>991</v>
      </c>
      <c r="B135" s="258" t="s">
        <v>2054</v>
      </c>
    </row>
    <row r="136" spans="1:2" x14ac:dyDescent="0.2">
      <c r="A136" s="3" t="s">
        <v>326</v>
      </c>
      <c r="B136" s="258" t="s">
        <v>2054</v>
      </c>
    </row>
    <row r="137" spans="1:2" x14ac:dyDescent="0.2">
      <c r="A137" s="22" t="s">
        <v>1910</v>
      </c>
      <c r="B137" s="258" t="s">
        <v>2054</v>
      </c>
    </row>
    <row r="138" spans="1:2" x14ac:dyDescent="0.2">
      <c r="A138" s="3" t="s">
        <v>1254</v>
      </c>
      <c r="B138" s="258" t="s">
        <v>2054</v>
      </c>
    </row>
    <row r="139" spans="1:2" x14ac:dyDescent="0.2">
      <c r="A139" s="3" t="s">
        <v>327</v>
      </c>
      <c r="B139" s="258" t="s">
        <v>2054</v>
      </c>
    </row>
    <row r="140" spans="1:2" x14ac:dyDescent="0.2">
      <c r="A140" s="3" t="s">
        <v>328</v>
      </c>
      <c r="B140" s="258" t="s">
        <v>2054</v>
      </c>
    </row>
    <row r="141" spans="1:2" x14ac:dyDescent="0.2">
      <c r="A141" s="3" t="s">
        <v>1433</v>
      </c>
      <c r="B141" s="258" t="s">
        <v>2054</v>
      </c>
    </row>
    <row r="142" spans="1:2" x14ac:dyDescent="0.2">
      <c r="A142" s="3" t="s">
        <v>656</v>
      </c>
      <c r="B142" s="258" t="s">
        <v>2054</v>
      </c>
    </row>
    <row r="143" spans="1:2" x14ac:dyDescent="0.2">
      <c r="A143" s="3" t="s">
        <v>329</v>
      </c>
      <c r="B143" s="258" t="s">
        <v>2054</v>
      </c>
    </row>
    <row r="144" spans="1:2" x14ac:dyDescent="0.2">
      <c r="A144" s="3" t="s">
        <v>330</v>
      </c>
      <c r="B144" s="258" t="s">
        <v>2054</v>
      </c>
    </row>
    <row r="145" spans="1:2" x14ac:dyDescent="0.2">
      <c r="A145" s="3" t="s">
        <v>331</v>
      </c>
      <c r="B145" s="258" t="s">
        <v>2054</v>
      </c>
    </row>
    <row r="146" spans="1:2" x14ac:dyDescent="0.2">
      <c r="A146" s="3" t="s">
        <v>332</v>
      </c>
      <c r="B146" s="258" t="s">
        <v>2054</v>
      </c>
    </row>
    <row r="147" spans="1:2" x14ac:dyDescent="0.2">
      <c r="A147" s="3" t="s">
        <v>657</v>
      </c>
      <c r="B147" s="258" t="s">
        <v>2054</v>
      </c>
    </row>
    <row r="148" spans="1:2" x14ac:dyDescent="0.2">
      <c r="A148" s="3" t="s">
        <v>1828</v>
      </c>
      <c r="B148" s="258" t="s">
        <v>2054</v>
      </c>
    </row>
    <row r="149" spans="1:2" x14ac:dyDescent="0.2">
      <c r="A149" s="3" t="s">
        <v>1829</v>
      </c>
      <c r="B149" s="258" t="s">
        <v>2054</v>
      </c>
    </row>
    <row r="150" spans="1:2" x14ac:dyDescent="0.2">
      <c r="A150" s="3" t="s">
        <v>333</v>
      </c>
      <c r="B150" s="258" t="s">
        <v>2054</v>
      </c>
    </row>
    <row r="151" spans="1:2" x14ac:dyDescent="0.2">
      <c r="A151" s="3" t="s">
        <v>658</v>
      </c>
      <c r="B151" s="258" t="s">
        <v>2054</v>
      </c>
    </row>
    <row r="152" spans="1:2" x14ac:dyDescent="0.2">
      <c r="A152" s="3" t="s">
        <v>1518</v>
      </c>
      <c r="B152" s="258" t="s">
        <v>2054</v>
      </c>
    </row>
    <row r="153" spans="1:2" x14ac:dyDescent="0.2">
      <c r="A153" s="3" t="s">
        <v>843</v>
      </c>
      <c r="B153" s="258" t="s">
        <v>2054</v>
      </c>
    </row>
    <row r="154" spans="1:2" x14ac:dyDescent="0.2">
      <c r="A154" s="22" t="s">
        <v>1911</v>
      </c>
      <c r="B154" s="258" t="s">
        <v>2054</v>
      </c>
    </row>
    <row r="155" spans="1:2" x14ac:dyDescent="0.2">
      <c r="A155" s="3" t="s">
        <v>1831</v>
      </c>
      <c r="B155" s="258" t="s">
        <v>2054</v>
      </c>
    </row>
    <row r="156" spans="1:2" x14ac:dyDescent="0.2">
      <c r="A156" s="3" t="s">
        <v>1877</v>
      </c>
      <c r="B156" s="258" t="s">
        <v>2054</v>
      </c>
    </row>
    <row r="157" spans="1:2" x14ac:dyDescent="0.2">
      <c r="A157" s="3" t="s">
        <v>1434</v>
      </c>
      <c r="B157" s="258" t="s">
        <v>2054</v>
      </c>
    </row>
    <row r="158" spans="1:2" x14ac:dyDescent="0.2">
      <c r="A158" s="3" t="s">
        <v>335</v>
      </c>
      <c r="B158" s="258" t="s">
        <v>2055</v>
      </c>
    </row>
    <row r="159" spans="1:2" x14ac:dyDescent="0.2">
      <c r="A159" s="3" t="s">
        <v>562</v>
      </c>
      <c r="B159" s="258" t="s">
        <v>2055</v>
      </c>
    </row>
    <row r="160" spans="1:2" x14ac:dyDescent="0.2">
      <c r="A160" s="3" t="s">
        <v>336</v>
      </c>
      <c r="B160" s="258" t="s">
        <v>2055</v>
      </c>
    </row>
    <row r="161" spans="1:2" x14ac:dyDescent="0.2">
      <c r="A161" s="3" t="s">
        <v>337</v>
      </c>
      <c r="B161" s="258" t="s">
        <v>2055</v>
      </c>
    </row>
    <row r="162" spans="1:2" x14ac:dyDescent="0.2">
      <c r="A162" s="3" t="s">
        <v>338</v>
      </c>
      <c r="B162" s="258" t="s">
        <v>2055</v>
      </c>
    </row>
    <row r="163" spans="1:2" x14ac:dyDescent="0.2">
      <c r="A163" s="3" t="s">
        <v>563</v>
      </c>
      <c r="B163" s="258" t="s">
        <v>2055</v>
      </c>
    </row>
    <row r="164" spans="1:2" x14ac:dyDescent="0.2">
      <c r="A164" s="3" t="s">
        <v>339</v>
      </c>
      <c r="B164" s="258" t="s">
        <v>2055</v>
      </c>
    </row>
    <row r="165" spans="1:2" x14ac:dyDescent="0.2">
      <c r="A165" s="3" t="s">
        <v>768</v>
      </c>
      <c r="B165" s="258" t="s">
        <v>2055</v>
      </c>
    </row>
    <row r="166" spans="1:2" x14ac:dyDescent="0.2">
      <c r="A166" s="3" t="s">
        <v>565</v>
      </c>
      <c r="B166" s="258" t="s">
        <v>2055</v>
      </c>
    </row>
    <row r="167" spans="1:2" x14ac:dyDescent="0.2">
      <c r="A167" s="3" t="s">
        <v>340</v>
      </c>
      <c r="B167" s="258" t="s">
        <v>2055</v>
      </c>
    </row>
    <row r="168" spans="1:2" x14ac:dyDescent="0.2">
      <c r="A168" s="3" t="s">
        <v>341</v>
      </c>
      <c r="B168" s="258" t="s">
        <v>2055</v>
      </c>
    </row>
    <row r="169" spans="1:2" x14ac:dyDescent="0.2">
      <c r="A169" s="3" t="s">
        <v>1533</v>
      </c>
      <c r="B169" s="258" t="s">
        <v>2055</v>
      </c>
    </row>
    <row r="170" spans="1:2" x14ac:dyDescent="0.2">
      <c r="A170" s="3" t="s">
        <v>342</v>
      </c>
      <c r="B170" s="258" t="s">
        <v>2055</v>
      </c>
    </row>
    <row r="171" spans="1:2" x14ac:dyDescent="0.2">
      <c r="A171" s="3" t="s">
        <v>566</v>
      </c>
      <c r="B171" s="258" t="s">
        <v>2055</v>
      </c>
    </row>
    <row r="172" spans="1:2" x14ac:dyDescent="0.2">
      <c r="A172" s="3" t="s">
        <v>1882</v>
      </c>
      <c r="B172" s="258" t="s">
        <v>2055</v>
      </c>
    </row>
    <row r="173" spans="1:2" x14ac:dyDescent="0.2">
      <c r="A173" s="3" t="s">
        <v>343</v>
      </c>
      <c r="B173" s="258" t="s">
        <v>2055</v>
      </c>
    </row>
    <row r="174" spans="1:2" x14ac:dyDescent="0.2">
      <c r="A174" s="3" t="s">
        <v>992</v>
      </c>
      <c r="B174" s="258" t="s">
        <v>2055</v>
      </c>
    </row>
    <row r="175" spans="1:2" x14ac:dyDescent="0.2">
      <c r="A175" s="3" t="s">
        <v>344</v>
      </c>
      <c r="B175" s="258" t="s">
        <v>2055</v>
      </c>
    </row>
    <row r="176" spans="1:2" x14ac:dyDescent="0.2">
      <c r="A176" s="3" t="s">
        <v>345</v>
      </c>
      <c r="B176" s="258" t="s">
        <v>2055</v>
      </c>
    </row>
    <row r="177" spans="1:2" x14ac:dyDescent="0.2">
      <c r="A177" s="3" t="s">
        <v>1535</v>
      </c>
      <c r="B177" s="258" t="s">
        <v>2055</v>
      </c>
    </row>
    <row r="178" spans="1:2" x14ac:dyDescent="0.2">
      <c r="A178" s="3" t="s">
        <v>666</v>
      </c>
      <c r="B178" s="258" t="s">
        <v>2055</v>
      </c>
    </row>
    <row r="179" spans="1:2" x14ac:dyDescent="0.2">
      <c r="A179" s="3" t="s">
        <v>346</v>
      </c>
      <c r="B179" s="258" t="s">
        <v>2055</v>
      </c>
    </row>
    <row r="180" spans="1:2" x14ac:dyDescent="0.2">
      <c r="A180" s="3" t="s">
        <v>347</v>
      </c>
      <c r="B180" s="258" t="s">
        <v>2055</v>
      </c>
    </row>
    <row r="181" spans="1:2" x14ac:dyDescent="0.2">
      <c r="A181" s="3" t="s">
        <v>348</v>
      </c>
      <c r="B181" s="258" t="s">
        <v>2055</v>
      </c>
    </row>
    <row r="182" spans="1:2" x14ac:dyDescent="0.2">
      <c r="A182" s="3" t="s">
        <v>349</v>
      </c>
      <c r="B182" s="258" t="s">
        <v>2055</v>
      </c>
    </row>
    <row r="183" spans="1:2" x14ac:dyDescent="0.2">
      <c r="A183" s="3" t="s">
        <v>770</v>
      </c>
      <c r="B183" s="258" t="s">
        <v>2055</v>
      </c>
    </row>
    <row r="184" spans="1:2" x14ac:dyDescent="0.2">
      <c r="A184" s="3" t="s">
        <v>350</v>
      </c>
      <c r="B184" s="258" t="s">
        <v>2055</v>
      </c>
    </row>
    <row r="185" spans="1:2" x14ac:dyDescent="0.2">
      <c r="A185" s="3" t="s">
        <v>351</v>
      </c>
      <c r="B185" s="258" t="s">
        <v>2055</v>
      </c>
    </row>
    <row r="186" spans="1:2" x14ac:dyDescent="0.2">
      <c r="A186" s="3" t="s">
        <v>352</v>
      </c>
      <c r="B186" s="258" t="s">
        <v>2055</v>
      </c>
    </row>
    <row r="187" spans="1:2" x14ac:dyDescent="0.2">
      <c r="A187" s="3" t="s">
        <v>569</v>
      </c>
      <c r="B187" s="258" t="s">
        <v>2055</v>
      </c>
    </row>
    <row r="188" spans="1:2" x14ac:dyDescent="0.2">
      <c r="A188" s="3" t="s">
        <v>667</v>
      </c>
      <c r="B188" s="258" t="s">
        <v>2055</v>
      </c>
    </row>
    <row r="189" spans="1:2" x14ac:dyDescent="0.2">
      <c r="A189" s="3" t="s">
        <v>353</v>
      </c>
      <c r="B189" s="258" t="s">
        <v>2055</v>
      </c>
    </row>
    <row r="190" spans="1:2" x14ac:dyDescent="0.2">
      <c r="A190" s="3" t="s">
        <v>772</v>
      </c>
      <c r="B190" s="258" t="s">
        <v>2055</v>
      </c>
    </row>
    <row r="191" spans="1:2" x14ac:dyDescent="0.2">
      <c r="A191" s="3" t="s">
        <v>354</v>
      </c>
      <c r="B191" s="258" t="s">
        <v>2055</v>
      </c>
    </row>
    <row r="192" spans="1:2" x14ac:dyDescent="0.2">
      <c r="A192" s="3" t="s">
        <v>355</v>
      </c>
      <c r="B192" s="258" t="s">
        <v>2055</v>
      </c>
    </row>
    <row r="193" spans="1:2" x14ac:dyDescent="0.2">
      <c r="A193" s="3" t="s">
        <v>1832</v>
      </c>
      <c r="B193" s="258" t="s">
        <v>2055</v>
      </c>
    </row>
    <row r="194" spans="1:2" x14ac:dyDescent="0.2">
      <c r="A194" s="3" t="s">
        <v>356</v>
      </c>
      <c r="B194" s="258" t="s">
        <v>2055</v>
      </c>
    </row>
    <row r="195" spans="1:2" x14ac:dyDescent="0.2">
      <c r="A195" s="3" t="s">
        <v>1786</v>
      </c>
      <c r="B195" s="258" t="s">
        <v>2055</v>
      </c>
    </row>
    <row r="196" spans="1:2" x14ac:dyDescent="0.2">
      <c r="A196" s="3" t="s">
        <v>357</v>
      </c>
      <c r="B196" s="258" t="s">
        <v>2055</v>
      </c>
    </row>
    <row r="197" spans="1:2" x14ac:dyDescent="0.2">
      <c r="A197" s="3" t="s">
        <v>920</v>
      </c>
      <c r="B197" s="258" t="s">
        <v>2055</v>
      </c>
    </row>
    <row r="198" spans="1:2" x14ac:dyDescent="0.2">
      <c r="A198" s="3" t="s">
        <v>358</v>
      </c>
      <c r="B198" s="258" t="s">
        <v>2055</v>
      </c>
    </row>
    <row r="199" spans="1:2" x14ac:dyDescent="0.2">
      <c r="A199" s="3" t="s">
        <v>1833</v>
      </c>
      <c r="B199" s="258" t="s">
        <v>2055</v>
      </c>
    </row>
    <row r="200" spans="1:2" x14ac:dyDescent="0.2">
      <c r="A200" s="3" t="s">
        <v>359</v>
      </c>
      <c r="B200" s="258" t="s">
        <v>2055</v>
      </c>
    </row>
    <row r="201" spans="1:2" x14ac:dyDescent="0.2">
      <c r="A201" s="3" t="s">
        <v>360</v>
      </c>
      <c r="B201" s="258" t="s">
        <v>2055</v>
      </c>
    </row>
    <row r="202" spans="1:2" x14ac:dyDescent="0.2">
      <c r="A202" s="3" t="s">
        <v>571</v>
      </c>
      <c r="B202" s="258" t="s">
        <v>2055</v>
      </c>
    </row>
    <row r="203" spans="1:2" x14ac:dyDescent="0.2">
      <c r="A203" s="3" t="s">
        <v>361</v>
      </c>
      <c r="B203" s="258" t="s">
        <v>2055</v>
      </c>
    </row>
    <row r="204" spans="1:2" x14ac:dyDescent="0.2">
      <c r="A204" s="3" t="s">
        <v>1789</v>
      </c>
      <c r="B204" s="258" t="s">
        <v>2055</v>
      </c>
    </row>
    <row r="205" spans="1:2" x14ac:dyDescent="0.2">
      <c r="A205" s="3" t="s">
        <v>1427</v>
      </c>
      <c r="B205" s="258" t="s">
        <v>2055</v>
      </c>
    </row>
    <row r="206" spans="1:2" x14ac:dyDescent="0.2">
      <c r="A206" s="3" t="s">
        <v>1446</v>
      </c>
      <c r="B206" s="258" t="s">
        <v>2055</v>
      </c>
    </row>
    <row r="207" spans="1:2" x14ac:dyDescent="0.2">
      <c r="A207" s="3" t="s">
        <v>921</v>
      </c>
      <c r="B207" s="258" t="s">
        <v>2055</v>
      </c>
    </row>
    <row r="208" spans="1:2" x14ac:dyDescent="0.2">
      <c r="A208" s="3" t="s">
        <v>362</v>
      </c>
      <c r="B208" s="258" t="s">
        <v>2055</v>
      </c>
    </row>
    <row r="209" spans="1:2" x14ac:dyDescent="0.2">
      <c r="A209" s="3" t="s">
        <v>852</v>
      </c>
      <c r="B209" s="258" t="s">
        <v>2055</v>
      </c>
    </row>
    <row r="210" spans="1:2" x14ac:dyDescent="0.2">
      <c r="A210" s="3" t="s">
        <v>1111</v>
      </c>
      <c r="B210" s="258" t="s">
        <v>2055</v>
      </c>
    </row>
    <row r="211" spans="1:2" x14ac:dyDescent="0.2">
      <c r="A211" s="3" t="s">
        <v>363</v>
      </c>
      <c r="B211" s="258" t="s">
        <v>2055</v>
      </c>
    </row>
    <row r="212" spans="1:2" x14ac:dyDescent="0.2">
      <c r="A212" s="3" t="s">
        <v>365</v>
      </c>
      <c r="B212" s="258" t="s">
        <v>2056</v>
      </c>
    </row>
    <row r="213" spans="1:2" x14ac:dyDescent="0.2">
      <c r="A213" s="3" t="s">
        <v>366</v>
      </c>
      <c r="B213" s="258" t="s">
        <v>2056</v>
      </c>
    </row>
    <row r="214" spans="1:2" x14ac:dyDescent="0.2">
      <c r="A214" s="3" t="s">
        <v>367</v>
      </c>
      <c r="B214" s="258" t="s">
        <v>2056</v>
      </c>
    </row>
    <row r="215" spans="1:2" x14ac:dyDescent="0.2">
      <c r="A215" s="3" t="s">
        <v>368</v>
      </c>
      <c r="B215" s="258" t="s">
        <v>2056</v>
      </c>
    </row>
    <row r="216" spans="1:2" x14ac:dyDescent="0.2">
      <c r="A216" s="3" t="s">
        <v>369</v>
      </c>
      <c r="B216" s="258" t="s">
        <v>2056</v>
      </c>
    </row>
    <row r="217" spans="1:2" x14ac:dyDescent="0.2">
      <c r="A217" s="3" t="s">
        <v>370</v>
      </c>
      <c r="B217" s="258" t="s">
        <v>2056</v>
      </c>
    </row>
    <row r="218" spans="1:2" x14ac:dyDescent="0.2">
      <c r="A218" s="3" t="s">
        <v>1821</v>
      </c>
      <c r="B218" s="258" t="s">
        <v>2056</v>
      </c>
    </row>
    <row r="219" spans="1:2" x14ac:dyDescent="0.2">
      <c r="A219" s="3" t="s">
        <v>371</v>
      </c>
      <c r="B219" s="258" t="s">
        <v>2056</v>
      </c>
    </row>
    <row r="220" spans="1:2" x14ac:dyDescent="0.2">
      <c r="A220" s="3" t="s">
        <v>372</v>
      </c>
      <c r="B220" s="258" t="s">
        <v>2056</v>
      </c>
    </row>
    <row r="221" spans="1:2" x14ac:dyDescent="0.2">
      <c r="A221" s="3" t="s">
        <v>572</v>
      </c>
      <c r="B221" s="258" t="s">
        <v>2056</v>
      </c>
    </row>
    <row r="222" spans="1:2" x14ac:dyDescent="0.2">
      <c r="A222" s="3" t="s">
        <v>673</v>
      </c>
      <c r="B222" s="258" t="s">
        <v>2057</v>
      </c>
    </row>
    <row r="223" spans="1:2" x14ac:dyDescent="0.2">
      <c r="A223" s="3" t="s">
        <v>374</v>
      </c>
      <c r="B223" s="258" t="s">
        <v>2057</v>
      </c>
    </row>
    <row r="224" spans="1:2" x14ac:dyDescent="0.2">
      <c r="A224" s="3" t="s">
        <v>375</v>
      </c>
      <c r="B224" s="258" t="s">
        <v>2057</v>
      </c>
    </row>
    <row r="225" spans="1:2" x14ac:dyDescent="0.2">
      <c r="A225" s="3" t="s">
        <v>573</v>
      </c>
      <c r="B225" s="258" t="s">
        <v>2057</v>
      </c>
    </row>
    <row r="226" spans="1:2" x14ac:dyDescent="0.2">
      <c r="A226" s="3" t="s">
        <v>574</v>
      </c>
      <c r="B226" s="258" t="s">
        <v>2057</v>
      </c>
    </row>
    <row r="227" spans="1:2" x14ac:dyDescent="0.2">
      <c r="A227" s="3" t="s">
        <v>1878</v>
      </c>
      <c r="B227" s="258" t="s">
        <v>2057</v>
      </c>
    </row>
    <row r="228" spans="1:2" x14ac:dyDescent="0.2">
      <c r="A228" s="3" t="s">
        <v>376</v>
      </c>
      <c r="B228" s="258" t="s">
        <v>2057</v>
      </c>
    </row>
    <row r="229" spans="1:2" x14ac:dyDescent="0.2">
      <c r="A229" s="3" t="s">
        <v>1641</v>
      </c>
      <c r="B229" s="258" t="s">
        <v>2057</v>
      </c>
    </row>
    <row r="230" spans="1:2" x14ac:dyDescent="0.2">
      <c r="A230" s="3" t="s">
        <v>377</v>
      </c>
      <c r="B230" s="258" t="s">
        <v>2057</v>
      </c>
    </row>
    <row r="231" spans="1:2" x14ac:dyDescent="0.2">
      <c r="A231" s="3" t="s">
        <v>857</v>
      </c>
      <c r="B231" s="258" t="s">
        <v>2057</v>
      </c>
    </row>
    <row r="232" spans="1:2" x14ac:dyDescent="0.2">
      <c r="A232" s="3" t="s">
        <v>378</v>
      </c>
      <c r="B232" s="258" t="s">
        <v>2057</v>
      </c>
    </row>
    <row r="233" spans="1:2" x14ac:dyDescent="0.2">
      <c r="A233" s="3" t="s">
        <v>380</v>
      </c>
      <c r="B233" s="258" t="s">
        <v>2058</v>
      </c>
    </row>
    <row r="234" spans="1:2" x14ac:dyDescent="0.2">
      <c r="A234" s="3" t="s">
        <v>381</v>
      </c>
      <c r="B234" s="258" t="s">
        <v>2058</v>
      </c>
    </row>
    <row r="235" spans="1:2" x14ac:dyDescent="0.2">
      <c r="A235" s="3" t="s">
        <v>382</v>
      </c>
      <c r="B235" s="258" t="s">
        <v>2058</v>
      </c>
    </row>
    <row r="236" spans="1:2" x14ac:dyDescent="0.2">
      <c r="A236" s="3" t="s">
        <v>384</v>
      </c>
      <c r="B236" s="258" t="s">
        <v>2059</v>
      </c>
    </row>
    <row r="237" spans="1:2" x14ac:dyDescent="0.2">
      <c r="A237" s="3" t="s">
        <v>993</v>
      </c>
      <c r="B237" s="258" t="s">
        <v>2059</v>
      </c>
    </row>
    <row r="238" spans="1:2" x14ac:dyDescent="0.2">
      <c r="A238" s="3" t="s">
        <v>1887</v>
      </c>
      <c r="B238" s="258" t="s">
        <v>2059</v>
      </c>
    </row>
    <row r="239" spans="1:2" x14ac:dyDescent="0.2">
      <c r="A239" s="3" t="s">
        <v>385</v>
      </c>
      <c r="B239" s="258" t="s">
        <v>2059</v>
      </c>
    </row>
    <row r="240" spans="1:2" x14ac:dyDescent="0.2">
      <c r="A240" s="3" t="s">
        <v>386</v>
      </c>
      <c r="B240" s="258" t="s">
        <v>2059</v>
      </c>
    </row>
    <row r="241" spans="1:2" x14ac:dyDescent="0.2">
      <c r="A241" s="3" t="s">
        <v>387</v>
      </c>
      <c r="B241" s="258" t="s">
        <v>2059</v>
      </c>
    </row>
    <row r="242" spans="1:2" x14ac:dyDescent="0.2">
      <c r="A242" s="3" t="s">
        <v>994</v>
      </c>
      <c r="B242" s="258" t="s">
        <v>2060</v>
      </c>
    </row>
    <row r="243" spans="1:2" x14ac:dyDescent="0.2">
      <c r="A243" s="3" t="s">
        <v>926</v>
      </c>
      <c r="B243" s="258" t="s">
        <v>2060</v>
      </c>
    </row>
    <row r="244" spans="1:2" x14ac:dyDescent="0.2">
      <c r="A244" s="3" t="s">
        <v>1840</v>
      </c>
      <c r="B244" s="258" t="s">
        <v>2060</v>
      </c>
    </row>
    <row r="245" spans="1:2" x14ac:dyDescent="0.2">
      <c r="A245" s="3" t="s">
        <v>1795</v>
      </c>
      <c r="B245" s="258" t="s">
        <v>2060</v>
      </c>
    </row>
    <row r="246" spans="1:2" x14ac:dyDescent="0.2">
      <c r="A246" s="3" t="s">
        <v>389</v>
      </c>
      <c r="B246" s="258" t="s">
        <v>2061</v>
      </c>
    </row>
    <row r="247" spans="1:2" x14ac:dyDescent="0.2">
      <c r="A247" s="3" t="s">
        <v>1796</v>
      </c>
      <c r="B247" s="258" t="s">
        <v>2061</v>
      </c>
    </row>
    <row r="248" spans="1:2" x14ac:dyDescent="0.2">
      <c r="A248" s="3" t="s">
        <v>579</v>
      </c>
      <c r="B248" s="258" t="s">
        <v>2062</v>
      </c>
    </row>
    <row r="249" spans="1:2" x14ac:dyDescent="0.2">
      <c r="A249" s="3" t="s">
        <v>392</v>
      </c>
      <c r="B249" s="258" t="s">
        <v>2062</v>
      </c>
    </row>
    <row r="250" spans="1:2" x14ac:dyDescent="0.2">
      <c r="A250" s="3" t="s">
        <v>581</v>
      </c>
      <c r="B250" s="258" t="s">
        <v>2062</v>
      </c>
    </row>
    <row r="251" spans="1:2" x14ac:dyDescent="0.2">
      <c r="A251" s="3" t="s">
        <v>1881</v>
      </c>
      <c r="B251" s="258" t="s">
        <v>2062</v>
      </c>
    </row>
    <row r="252" spans="1:2" x14ac:dyDescent="0.2">
      <c r="A252" s="3" t="s">
        <v>967</v>
      </c>
      <c r="B252" s="258" t="s">
        <v>2062</v>
      </c>
    </row>
    <row r="253" spans="1:2" x14ac:dyDescent="0.2">
      <c r="A253" s="3" t="s">
        <v>1914</v>
      </c>
      <c r="B253" s="258" t="s">
        <v>2062</v>
      </c>
    </row>
    <row r="254" spans="1:2" x14ac:dyDescent="0.2">
      <c r="A254" s="3" t="s">
        <v>1893</v>
      </c>
      <c r="B254" s="258" t="s">
        <v>2062</v>
      </c>
    </row>
    <row r="255" spans="1:2" x14ac:dyDescent="0.2">
      <c r="A255" s="3" t="s">
        <v>1435</v>
      </c>
      <c r="B255" s="258" t="s">
        <v>2062</v>
      </c>
    </row>
    <row r="256" spans="1:2" x14ac:dyDescent="0.2">
      <c r="A256" s="3" t="s">
        <v>1525</v>
      </c>
      <c r="B256" s="258" t="s">
        <v>2062</v>
      </c>
    </row>
    <row r="257" spans="1:2" x14ac:dyDescent="0.2">
      <c r="A257" s="3" t="s">
        <v>394</v>
      </c>
      <c r="B257" s="258" t="s">
        <v>2063</v>
      </c>
    </row>
    <row r="258" spans="1:2" x14ac:dyDescent="0.2">
      <c r="A258" s="3" t="s">
        <v>395</v>
      </c>
      <c r="B258" s="258" t="s">
        <v>2063</v>
      </c>
    </row>
    <row r="259" spans="1:2" x14ac:dyDescent="0.2">
      <c r="A259" s="18" t="s">
        <v>1820</v>
      </c>
      <c r="B259" s="258" t="s">
        <v>2063</v>
      </c>
    </row>
    <row r="260" spans="1:2" x14ac:dyDescent="0.2">
      <c r="A260" s="3" t="s">
        <v>583</v>
      </c>
      <c r="B260" s="258" t="s">
        <v>2064</v>
      </c>
    </row>
    <row r="261" spans="1:2" x14ac:dyDescent="0.2">
      <c r="A261" s="3" t="s">
        <v>584</v>
      </c>
      <c r="B261" s="258" t="s">
        <v>2064</v>
      </c>
    </row>
    <row r="262" spans="1:2" x14ac:dyDescent="0.2">
      <c r="A262" s="3" t="s">
        <v>684</v>
      </c>
      <c r="B262" s="258" t="s">
        <v>2064</v>
      </c>
    </row>
    <row r="263" spans="1:2" x14ac:dyDescent="0.2">
      <c r="A263" s="158" t="s">
        <v>800</v>
      </c>
      <c r="B263" s="258" t="s">
        <v>2064</v>
      </c>
    </row>
    <row r="264" spans="1:2" x14ac:dyDescent="0.2">
      <c r="A264" s="158" t="s">
        <v>594</v>
      </c>
      <c r="B264" s="258" t="s">
        <v>2064</v>
      </c>
    </row>
    <row r="265" spans="1:2" x14ac:dyDescent="0.2">
      <c r="A265" s="158" t="s">
        <v>1439</v>
      </c>
      <c r="B265" s="258" t="s">
        <v>2064</v>
      </c>
    </row>
    <row r="266" spans="1:2" x14ac:dyDescent="0.2">
      <c r="A266" s="158" t="s">
        <v>874</v>
      </c>
      <c r="B266" s="258" t="s">
        <v>2064</v>
      </c>
    </row>
    <row r="267" spans="1:2" x14ac:dyDescent="0.2">
      <c r="A267" s="3" t="s">
        <v>1403</v>
      </c>
      <c r="B267" s="258" t="s">
        <v>2065</v>
      </c>
    </row>
    <row r="268" spans="1:2" x14ac:dyDescent="0.2">
      <c r="A268" s="3" t="s">
        <v>1885</v>
      </c>
      <c r="B268" s="258" t="s">
        <v>2065</v>
      </c>
    </row>
    <row r="269" spans="1:2" x14ac:dyDescent="0.2">
      <c r="A269" s="3" t="s">
        <v>397</v>
      </c>
      <c r="B269" s="258" t="s">
        <v>2065</v>
      </c>
    </row>
    <row r="270" spans="1:2" x14ac:dyDescent="0.2">
      <c r="A270" s="3" t="s">
        <v>399</v>
      </c>
      <c r="B270" s="258" t="s">
        <v>2066</v>
      </c>
    </row>
    <row r="271" spans="1:2" x14ac:dyDescent="0.2">
      <c r="A271" s="3" t="s">
        <v>400</v>
      </c>
      <c r="B271" s="258" t="s">
        <v>2066</v>
      </c>
    </row>
    <row r="272" spans="1:2" x14ac:dyDescent="0.2">
      <c r="A272" s="3" t="s">
        <v>402</v>
      </c>
      <c r="B272" s="258" t="s">
        <v>2067</v>
      </c>
    </row>
    <row r="273" spans="1:2" x14ac:dyDescent="0.2">
      <c r="A273" s="3" t="s">
        <v>404</v>
      </c>
      <c r="B273" s="258" t="s">
        <v>2068</v>
      </c>
    </row>
    <row r="274" spans="1:2" x14ac:dyDescent="0.2">
      <c r="A274" s="3" t="s">
        <v>405</v>
      </c>
      <c r="B274" s="258" t="s">
        <v>2068</v>
      </c>
    </row>
    <row r="275" spans="1:2" x14ac:dyDescent="0.2">
      <c r="A275" s="3" t="s">
        <v>1527</v>
      </c>
      <c r="B275" s="258" t="s">
        <v>2068</v>
      </c>
    </row>
    <row r="276" spans="1:2" x14ac:dyDescent="0.2">
      <c r="A276" s="3" t="s">
        <v>406</v>
      </c>
      <c r="B276" s="258" t="s">
        <v>2068</v>
      </c>
    </row>
    <row r="277" spans="1:2" x14ac:dyDescent="0.2">
      <c r="A277" s="3" t="s">
        <v>407</v>
      </c>
      <c r="B277" s="258" t="s">
        <v>2068</v>
      </c>
    </row>
    <row r="278" spans="1:2" x14ac:dyDescent="0.2">
      <c r="A278" s="3" t="s">
        <v>686</v>
      </c>
      <c r="B278" s="258" t="s">
        <v>2068</v>
      </c>
    </row>
    <row r="279" spans="1:2" x14ac:dyDescent="0.2">
      <c r="A279" s="3" t="s">
        <v>1642</v>
      </c>
      <c r="B279" s="258" t="s">
        <v>2068</v>
      </c>
    </row>
    <row r="280" spans="1:2" x14ac:dyDescent="0.2">
      <c r="A280" s="3" t="s">
        <v>931</v>
      </c>
      <c r="B280" s="258" t="s">
        <v>2068</v>
      </c>
    </row>
    <row r="281" spans="1:2" x14ac:dyDescent="0.2">
      <c r="A281" s="3" t="s">
        <v>409</v>
      </c>
      <c r="B281" s="258" t="s">
        <v>2069</v>
      </c>
    </row>
    <row r="282" spans="1:2" x14ac:dyDescent="0.2">
      <c r="A282" s="3" t="s">
        <v>995</v>
      </c>
      <c r="B282" s="258" t="s">
        <v>2069</v>
      </c>
    </row>
    <row r="283" spans="1:2" x14ac:dyDescent="0.2">
      <c r="A283" s="3" t="s">
        <v>410</v>
      </c>
      <c r="B283" s="258" t="s">
        <v>2069</v>
      </c>
    </row>
    <row r="284" spans="1:2" x14ac:dyDescent="0.2">
      <c r="A284" s="3" t="s">
        <v>411</v>
      </c>
      <c r="B284" s="258" t="s">
        <v>2069</v>
      </c>
    </row>
    <row r="285" spans="1:2" x14ac:dyDescent="0.2">
      <c r="A285" s="3" t="s">
        <v>412</v>
      </c>
      <c r="B285" s="258" t="s">
        <v>2069</v>
      </c>
    </row>
    <row r="286" spans="1:2" x14ac:dyDescent="0.2">
      <c r="A286" s="3" t="s">
        <v>413</v>
      </c>
      <c r="B286" s="258" t="s">
        <v>2069</v>
      </c>
    </row>
    <row r="287" spans="1:2" x14ac:dyDescent="0.2">
      <c r="A287" s="3" t="s">
        <v>414</v>
      </c>
      <c r="B287" s="258" t="s">
        <v>2069</v>
      </c>
    </row>
    <row r="288" spans="1:2" x14ac:dyDescent="0.2">
      <c r="A288" s="3" t="s">
        <v>415</v>
      </c>
      <c r="B288" s="258" t="s">
        <v>2069</v>
      </c>
    </row>
    <row r="289" spans="1:2" x14ac:dyDescent="0.2">
      <c r="A289" s="3" t="s">
        <v>416</v>
      </c>
      <c r="B289" s="258" t="s">
        <v>2069</v>
      </c>
    </row>
    <row r="290" spans="1:2" x14ac:dyDescent="0.2">
      <c r="A290" s="3" t="s">
        <v>417</v>
      </c>
      <c r="B290" s="258" t="s">
        <v>2069</v>
      </c>
    </row>
    <row r="291" spans="1:2" x14ac:dyDescent="0.2">
      <c r="A291" s="3" t="s">
        <v>689</v>
      </c>
      <c r="B291" s="258" t="s">
        <v>2069</v>
      </c>
    </row>
    <row r="292" spans="1:2" x14ac:dyDescent="0.2">
      <c r="A292" s="3" t="s">
        <v>418</v>
      </c>
      <c r="B292" s="258" t="s">
        <v>2069</v>
      </c>
    </row>
    <row r="293" spans="1:2" x14ac:dyDescent="0.2">
      <c r="A293" s="3" t="s">
        <v>419</v>
      </c>
      <c r="B293" s="258" t="s">
        <v>2069</v>
      </c>
    </row>
    <row r="294" spans="1:2" x14ac:dyDescent="0.2">
      <c r="A294" s="3" t="s">
        <v>421</v>
      </c>
      <c r="B294" s="258" t="s">
        <v>2070</v>
      </c>
    </row>
    <row r="295" spans="1:2" x14ac:dyDescent="0.2">
      <c r="A295" s="3" t="s">
        <v>422</v>
      </c>
      <c r="B295" s="258" t="s">
        <v>2070</v>
      </c>
    </row>
    <row r="296" spans="1:2" x14ac:dyDescent="0.2">
      <c r="A296" s="3" t="s">
        <v>423</v>
      </c>
      <c r="B296" s="258" t="s">
        <v>2070</v>
      </c>
    </row>
    <row r="297" spans="1:2" x14ac:dyDescent="0.2">
      <c r="A297" s="3" t="s">
        <v>424</v>
      </c>
      <c r="B297" s="258" t="s">
        <v>2070</v>
      </c>
    </row>
    <row r="298" spans="1:2" x14ac:dyDescent="0.2">
      <c r="A298" s="3" t="s">
        <v>1790</v>
      </c>
      <c r="B298" s="258" t="s">
        <v>2070</v>
      </c>
    </row>
    <row r="299" spans="1:2" x14ac:dyDescent="0.2">
      <c r="A299" s="3" t="s">
        <v>1437</v>
      </c>
      <c r="B299" s="258" t="s">
        <v>2070</v>
      </c>
    </row>
    <row r="300" spans="1:2" x14ac:dyDescent="0.2">
      <c r="A300" s="3" t="s">
        <v>588</v>
      </c>
      <c r="B300" s="258" t="s">
        <v>2070</v>
      </c>
    </row>
    <row r="301" spans="1:2" x14ac:dyDescent="0.2">
      <c r="A301" s="3" t="s">
        <v>425</v>
      </c>
      <c r="B301" s="258" t="s">
        <v>2070</v>
      </c>
    </row>
    <row r="302" spans="1:2" x14ac:dyDescent="0.2">
      <c r="A302" s="3" t="s">
        <v>795</v>
      </c>
      <c r="B302" s="258" t="s">
        <v>2070</v>
      </c>
    </row>
    <row r="303" spans="1:2" x14ac:dyDescent="0.2">
      <c r="A303" s="3" t="s">
        <v>427</v>
      </c>
      <c r="B303" s="258" t="s">
        <v>2071</v>
      </c>
    </row>
    <row r="304" spans="1:2" x14ac:dyDescent="0.2">
      <c r="A304" s="3" t="s">
        <v>428</v>
      </c>
      <c r="B304" s="258" t="s">
        <v>2071</v>
      </c>
    </row>
    <row r="305" spans="1:2" x14ac:dyDescent="0.2">
      <c r="A305" s="3" t="s">
        <v>429</v>
      </c>
      <c r="B305" s="258" t="s">
        <v>2071</v>
      </c>
    </row>
    <row r="306" spans="1:2" x14ac:dyDescent="0.2">
      <c r="A306" s="3" t="s">
        <v>430</v>
      </c>
      <c r="B306" s="258" t="s">
        <v>2071</v>
      </c>
    </row>
    <row r="307" spans="1:2" x14ac:dyDescent="0.2">
      <c r="A307" s="3" t="s">
        <v>432</v>
      </c>
      <c r="B307" s="258" t="s">
        <v>2072</v>
      </c>
    </row>
    <row r="308" spans="1:2" x14ac:dyDescent="0.2">
      <c r="A308" t="s">
        <v>1536</v>
      </c>
      <c r="B308" s="258" t="s">
        <v>2073</v>
      </c>
    </row>
    <row r="309" spans="1:2" x14ac:dyDescent="0.2">
      <c r="A309" t="s">
        <v>1538</v>
      </c>
      <c r="B309" s="258" t="s">
        <v>2073</v>
      </c>
    </row>
    <row r="310" spans="1:2" x14ac:dyDescent="0.2">
      <c r="A310" t="s">
        <v>1539</v>
      </c>
      <c r="B310" s="258" t="s">
        <v>2073</v>
      </c>
    </row>
    <row r="311" spans="1:2" x14ac:dyDescent="0.2">
      <c r="A311" t="s">
        <v>1540</v>
      </c>
      <c r="B311" s="258" t="s">
        <v>2073</v>
      </c>
    </row>
    <row r="312" spans="1:2" x14ac:dyDescent="0.2">
      <c r="A312" t="s">
        <v>1541</v>
      </c>
      <c r="B312" s="258" t="s">
        <v>2073</v>
      </c>
    </row>
    <row r="313" spans="1:2" x14ac:dyDescent="0.2">
      <c r="A313" t="s">
        <v>1542</v>
      </c>
      <c r="B313" s="258" t="s">
        <v>2074</v>
      </c>
    </row>
    <row r="314" spans="1:2" x14ac:dyDescent="0.2">
      <c r="A314" t="s">
        <v>1543</v>
      </c>
      <c r="B314" s="258" t="s">
        <v>2074</v>
      </c>
    </row>
    <row r="315" spans="1:2" x14ac:dyDescent="0.2">
      <c r="A315" t="s">
        <v>1544</v>
      </c>
      <c r="B315" s="258" t="s">
        <v>2074</v>
      </c>
    </row>
    <row r="316" spans="1:2" x14ac:dyDescent="0.2">
      <c r="A316" t="s">
        <v>1545</v>
      </c>
      <c r="B316" s="258" t="s">
        <v>2074</v>
      </c>
    </row>
    <row r="317" spans="1:2" x14ac:dyDescent="0.2">
      <c r="A317" t="s">
        <v>1546</v>
      </c>
      <c r="B317" s="258" t="s">
        <v>2074</v>
      </c>
    </row>
    <row r="318" spans="1:2" x14ac:dyDescent="0.2">
      <c r="A318" t="s">
        <v>1552</v>
      </c>
      <c r="B318" s="258" t="s">
        <v>2075</v>
      </c>
    </row>
    <row r="319" spans="1:2" x14ac:dyDescent="0.2">
      <c r="A319" t="s">
        <v>1553</v>
      </c>
      <c r="B319" s="258" t="s">
        <v>2075</v>
      </c>
    </row>
    <row r="320" spans="1:2" x14ac:dyDescent="0.2">
      <c r="A320" t="s">
        <v>1554</v>
      </c>
      <c r="B320" s="258" t="s">
        <v>2075</v>
      </c>
    </row>
    <row r="321" spans="1:2" x14ac:dyDescent="0.2">
      <c r="A321" t="s">
        <v>1555</v>
      </c>
      <c r="B321" s="258" t="s">
        <v>2075</v>
      </c>
    </row>
    <row r="322" spans="1:2" x14ac:dyDescent="0.2">
      <c r="A322" t="s">
        <v>1556</v>
      </c>
      <c r="B322" s="258" t="s">
        <v>2075</v>
      </c>
    </row>
    <row r="323" spans="1:2" x14ac:dyDescent="0.2">
      <c r="A323" t="s">
        <v>1822</v>
      </c>
      <c r="B323" s="258" t="s">
        <v>2075</v>
      </c>
    </row>
    <row r="324" spans="1:2" x14ac:dyDescent="0.2">
      <c r="A324" t="s">
        <v>1557</v>
      </c>
      <c r="B324" s="258" t="s">
        <v>2075</v>
      </c>
    </row>
    <row r="325" spans="1:2" x14ac:dyDescent="0.2">
      <c r="A325" t="s">
        <v>1823</v>
      </c>
      <c r="B325" s="258" t="s">
        <v>2075</v>
      </c>
    </row>
    <row r="326" spans="1:2" x14ac:dyDescent="0.2">
      <c r="A326" t="s">
        <v>1558</v>
      </c>
      <c r="B326" s="258" t="s">
        <v>2075</v>
      </c>
    </row>
    <row r="327" spans="1:2" x14ac:dyDescent="0.2">
      <c r="A327" t="s">
        <v>1559</v>
      </c>
      <c r="B327" s="258" t="s">
        <v>2075</v>
      </c>
    </row>
    <row r="328" spans="1:2" x14ac:dyDescent="0.2">
      <c r="A328" t="s">
        <v>1824</v>
      </c>
      <c r="B328" s="258" t="s">
        <v>2075</v>
      </c>
    </row>
    <row r="329" spans="1:2" x14ac:dyDescent="0.2">
      <c r="A329" t="s">
        <v>1560</v>
      </c>
      <c r="B329" s="258" t="s">
        <v>2075</v>
      </c>
    </row>
    <row r="330" spans="1:2" x14ac:dyDescent="0.2">
      <c r="A330" t="s">
        <v>1561</v>
      </c>
      <c r="B330" s="258" t="s">
        <v>2075</v>
      </c>
    </row>
    <row r="331" spans="1:2" x14ac:dyDescent="0.2">
      <c r="A331" t="s">
        <v>1562</v>
      </c>
      <c r="B331" s="258" t="s">
        <v>2075</v>
      </c>
    </row>
    <row r="332" spans="1:2" x14ac:dyDescent="0.2">
      <c r="A332" t="s">
        <v>1563</v>
      </c>
      <c r="B332" s="258" t="s">
        <v>2075</v>
      </c>
    </row>
    <row r="333" spans="1:2" x14ac:dyDescent="0.2">
      <c r="A333" t="s">
        <v>1564</v>
      </c>
      <c r="B333" s="258" t="s">
        <v>2075</v>
      </c>
    </row>
    <row r="334" spans="1:2" x14ac:dyDescent="0.2">
      <c r="A334" t="s">
        <v>1565</v>
      </c>
      <c r="B334" s="258" t="s">
        <v>2075</v>
      </c>
    </row>
    <row r="335" spans="1:2" x14ac:dyDescent="0.2">
      <c r="A335" t="s">
        <v>1566</v>
      </c>
      <c r="B335" s="258" t="s">
        <v>2075</v>
      </c>
    </row>
    <row r="336" spans="1:2" x14ac:dyDescent="0.2">
      <c r="A336" s="3" t="s">
        <v>796</v>
      </c>
      <c r="B336" s="258" t="s">
        <v>2077</v>
      </c>
    </row>
    <row r="337" spans="1:2" x14ac:dyDescent="0.2">
      <c r="A337" s="3" t="s">
        <v>870</v>
      </c>
      <c r="B337" s="258" t="s">
        <v>2077</v>
      </c>
    </row>
    <row r="338" spans="1:2" x14ac:dyDescent="0.2">
      <c r="A338" s="3" t="s">
        <v>590</v>
      </c>
      <c r="B338" s="258" t="s">
        <v>2077</v>
      </c>
    </row>
    <row r="339" spans="1:2" x14ac:dyDescent="0.2">
      <c r="A339" s="3" t="s">
        <v>1310</v>
      </c>
      <c r="B339" s="258" t="s">
        <v>2077</v>
      </c>
    </row>
    <row r="340" spans="1:2" x14ac:dyDescent="0.2">
      <c r="A340" s="3" t="s">
        <v>435</v>
      </c>
      <c r="B340" s="258" t="s">
        <v>2077</v>
      </c>
    </row>
    <row r="341" spans="1:2" x14ac:dyDescent="0.2">
      <c r="A341" s="3" t="s">
        <v>436</v>
      </c>
      <c r="B341" s="258" t="s">
        <v>2077</v>
      </c>
    </row>
    <row r="342" spans="1:2" x14ac:dyDescent="0.2">
      <c r="A342" s="3" t="s">
        <v>592</v>
      </c>
      <c r="B342" s="258" t="s">
        <v>2078</v>
      </c>
    </row>
    <row r="343" spans="1:2" x14ac:dyDescent="0.2">
      <c r="A343" s="3" t="s">
        <v>1836</v>
      </c>
      <c r="B343" s="258" t="s">
        <v>2078</v>
      </c>
    </row>
    <row r="344" spans="1:2" x14ac:dyDescent="0.2">
      <c r="A344" s="3" t="s">
        <v>1438</v>
      </c>
      <c r="B344" s="258" t="s">
        <v>2078</v>
      </c>
    </row>
    <row r="345" spans="1:2" x14ac:dyDescent="0.2">
      <c r="A345" s="3" t="s">
        <v>1311</v>
      </c>
      <c r="B345" s="258" t="s">
        <v>2078</v>
      </c>
    </row>
    <row r="346" spans="1:2" x14ac:dyDescent="0.2">
      <c r="A346" s="3" t="s">
        <v>438</v>
      </c>
      <c r="B346" s="258" t="s">
        <v>2078</v>
      </c>
    </row>
    <row r="347" spans="1:2" x14ac:dyDescent="0.2">
      <c r="A347" s="3" t="s">
        <v>439</v>
      </c>
      <c r="B347" s="258" t="s">
        <v>2078</v>
      </c>
    </row>
    <row r="348" spans="1:2" x14ac:dyDescent="0.2">
      <c r="A348" s="3" t="s">
        <v>440</v>
      </c>
      <c r="B348" s="258" t="s">
        <v>2078</v>
      </c>
    </row>
    <row r="349" spans="1:2" x14ac:dyDescent="0.2">
      <c r="A349" s="105" t="s">
        <v>1894</v>
      </c>
      <c r="B349" s="258" t="s">
        <v>2076</v>
      </c>
    </row>
    <row r="350" spans="1:2" x14ac:dyDescent="0.2">
      <c r="A350" t="s">
        <v>1895</v>
      </c>
      <c r="B350" s="258" t="s">
        <v>2079</v>
      </c>
    </row>
    <row r="351" spans="1:2" x14ac:dyDescent="0.2">
      <c r="A351" t="s">
        <v>1567</v>
      </c>
      <c r="B351" s="258" t="s">
        <v>2079</v>
      </c>
    </row>
    <row r="352" spans="1:2" x14ac:dyDescent="0.2">
      <c r="A352" t="s">
        <v>1568</v>
      </c>
      <c r="B352" s="258" t="s">
        <v>2079</v>
      </c>
    </row>
    <row r="353" spans="1:2" x14ac:dyDescent="0.2">
      <c r="A353" s="3" t="s">
        <v>443</v>
      </c>
      <c r="B353" s="258" t="s">
        <v>2080</v>
      </c>
    </row>
    <row r="354" spans="1:2" x14ac:dyDescent="0.2">
      <c r="A354" s="3" t="s">
        <v>692</v>
      </c>
      <c r="B354" s="258" t="s">
        <v>2080</v>
      </c>
    </row>
    <row r="355" spans="1:2" x14ac:dyDescent="0.2">
      <c r="A355" s="3" t="s">
        <v>1161</v>
      </c>
      <c r="B355" s="258" t="s">
        <v>2080</v>
      </c>
    </row>
    <row r="356" spans="1:2" x14ac:dyDescent="0.2">
      <c r="A356" s="3" t="s">
        <v>446</v>
      </c>
      <c r="B356" s="258" t="s">
        <v>2080</v>
      </c>
    </row>
    <row r="357" spans="1:2" x14ac:dyDescent="0.2">
      <c r="A357" s="3" t="s">
        <v>996</v>
      </c>
      <c r="B357" s="258" t="s">
        <v>2080</v>
      </c>
    </row>
    <row r="358" spans="1:2" x14ac:dyDescent="0.2">
      <c r="A358" s="25" t="s">
        <v>1577</v>
      </c>
      <c r="B358" s="258" t="s">
        <v>2080</v>
      </c>
    </row>
    <row r="359" spans="1:2" x14ac:dyDescent="0.2">
      <c r="A359" s="13" t="s">
        <v>1537</v>
      </c>
      <c r="B359" s="258" t="s">
        <v>2081</v>
      </c>
    </row>
    <row r="360" spans="1:2" x14ac:dyDescent="0.2">
      <c r="A360" s="13" t="s">
        <v>1547</v>
      </c>
      <c r="B360" s="258" t="s">
        <v>2081</v>
      </c>
    </row>
    <row r="361" spans="1:2" x14ac:dyDescent="0.2">
      <c r="A361" s="13" t="s">
        <v>1550</v>
      </c>
      <c r="B361" s="258" t="s">
        <v>2081</v>
      </c>
    </row>
    <row r="362" spans="1:2" x14ac:dyDescent="0.2">
      <c r="A362" s="13" t="s">
        <v>1551</v>
      </c>
      <c r="B362" s="258" t="s">
        <v>2081</v>
      </c>
    </row>
    <row r="363" spans="1:2" x14ac:dyDescent="0.2">
      <c r="A363" s="13" t="s">
        <v>1569</v>
      </c>
      <c r="B363" s="258" t="s">
        <v>2081</v>
      </c>
    </row>
    <row r="364" spans="1:2" x14ac:dyDescent="0.2">
      <c r="A364" s="28" t="s">
        <v>1570</v>
      </c>
      <c r="B364" s="258" t="s">
        <v>2082</v>
      </c>
    </row>
    <row r="365" spans="1:2" x14ac:dyDescent="0.2">
      <c r="A365" s="13" t="s">
        <v>1579</v>
      </c>
      <c r="B365" s="258" t="s">
        <v>2082</v>
      </c>
    </row>
  </sheetData>
  <conditionalFormatting sqref="A1:A272 A308:A335 A350:A352 A366:A1048576">
    <cfRule type="duplicateValues" dxfId="41" priority="18"/>
  </conditionalFormatting>
  <conditionalFormatting sqref="A2:A10">
    <cfRule type="duplicateValues" dxfId="40" priority="42"/>
  </conditionalFormatting>
  <conditionalFormatting sqref="A11:A29">
    <cfRule type="duplicateValues" dxfId="39" priority="41"/>
  </conditionalFormatting>
  <conditionalFormatting sqref="A31:A39">
    <cfRule type="duplicateValues" dxfId="38" priority="40"/>
  </conditionalFormatting>
  <conditionalFormatting sqref="A40:A42">
    <cfRule type="duplicateValues" dxfId="37" priority="39"/>
  </conditionalFormatting>
  <conditionalFormatting sqref="A43">
    <cfRule type="duplicateValues" dxfId="36" priority="38"/>
  </conditionalFormatting>
  <conditionalFormatting sqref="A44:A72">
    <cfRule type="duplicateValues" dxfId="35" priority="37"/>
  </conditionalFormatting>
  <conditionalFormatting sqref="A73:A86">
    <cfRule type="duplicateValues" dxfId="34" priority="36"/>
  </conditionalFormatting>
  <conditionalFormatting sqref="A87:A91">
    <cfRule type="duplicateValues" dxfId="33" priority="35"/>
  </conditionalFormatting>
  <conditionalFormatting sqref="A92:A109">
    <cfRule type="duplicateValues" dxfId="32" priority="34"/>
  </conditionalFormatting>
  <conditionalFormatting sqref="A110">
    <cfRule type="duplicateValues" dxfId="31" priority="33"/>
  </conditionalFormatting>
  <conditionalFormatting sqref="A111:A157">
    <cfRule type="duplicateValues" dxfId="30" priority="32"/>
  </conditionalFormatting>
  <conditionalFormatting sqref="A158:A211">
    <cfRule type="duplicateValues" dxfId="29" priority="31"/>
  </conditionalFormatting>
  <conditionalFormatting sqref="A212:A221">
    <cfRule type="duplicateValues" dxfId="28" priority="30"/>
  </conditionalFormatting>
  <conditionalFormatting sqref="A222:A232">
    <cfRule type="duplicateValues" dxfId="27" priority="29"/>
  </conditionalFormatting>
  <conditionalFormatting sqref="A233:A235">
    <cfRule type="duplicateValues" dxfId="26" priority="28"/>
  </conditionalFormatting>
  <conditionalFormatting sqref="A236:A241">
    <cfRule type="duplicateValues" dxfId="25" priority="27"/>
  </conditionalFormatting>
  <conditionalFormatting sqref="A242:A245">
    <cfRule type="duplicateValues" dxfId="24" priority="26"/>
  </conditionalFormatting>
  <conditionalFormatting sqref="A246:A247">
    <cfRule type="duplicateValues" dxfId="23" priority="25"/>
  </conditionalFormatting>
  <conditionalFormatting sqref="A248:A256">
    <cfRule type="duplicateValues" dxfId="22" priority="24"/>
  </conditionalFormatting>
  <conditionalFormatting sqref="A257:A259">
    <cfRule type="duplicateValues" dxfId="21" priority="23"/>
  </conditionalFormatting>
  <conditionalFormatting sqref="A260:A266">
    <cfRule type="duplicateValues" dxfId="20" priority="22"/>
  </conditionalFormatting>
  <conditionalFormatting sqref="A267:A269">
    <cfRule type="duplicateValues" dxfId="19" priority="21"/>
  </conditionalFormatting>
  <conditionalFormatting sqref="A270:A271">
    <cfRule type="duplicateValues" dxfId="18" priority="20"/>
  </conditionalFormatting>
  <conditionalFormatting sqref="A272">
    <cfRule type="duplicateValues" dxfId="17" priority="19"/>
  </conditionalFormatting>
  <conditionalFormatting sqref="A273:A280">
    <cfRule type="duplicateValues" dxfId="16" priority="17"/>
  </conditionalFormatting>
  <conditionalFormatting sqref="A281:A293">
    <cfRule type="duplicateValues" dxfId="15" priority="16"/>
  </conditionalFormatting>
  <conditionalFormatting sqref="A294:A302">
    <cfRule type="duplicateValues" dxfId="14" priority="15"/>
  </conditionalFormatting>
  <conditionalFormatting sqref="A303:A306">
    <cfRule type="duplicateValues" dxfId="13" priority="14"/>
  </conditionalFormatting>
  <conditionalFormatting sqref="A307">
    <cfRule type="duplicateValues" dxfId="12" priority="13"/>
  </conditionalFormatting>
  <conditionalFormatting sqref="A336:A341">
    <cfRule type="duplicateValues" dxfId="11" priority="12"/>
  </conditionalFormatting>
  <conditionalFormatting sqref="A342:A348">
    <cfRule type="duplicateValues" dxfId="10" priority="11"/>
  </conditionalFormatting>
  <conditionalFormatting sqref="A349">
    <cfRule type="duplicateValues" dxfId="9" priority="10"/>
  </conditionalFormatting>
  <conditionalFormatting sqref="A353:A357">
    <cfRule type="duplicateValues" dxfId="8" priority="9"/>
  </conditionalFormatting>
  <conditionalFormatting sqref="A358">
    <cfRule type="duplicateValues" dxfId="7" priority="8"/>
  </conditionalFormatting>
  <conditionalFormatting sqref="A359">
    <cfRule type="duplicateValues" dxfId="6" priority="7"/>
  </conditionalFormatting>
  <conditionalFormatting sqref="A360">
    <cfRule type="duplicateValues" dxfId="5" priority="6"/>
  </conditionalFormatting>
  <conditionalFormatting sqref="A361">
    <cfRule type="duplicateValues" dxfId="4" priority="5"/>
  </conditionalFormatting>
  <conditionalFormatting sqref="A362">
    <cfRule type="duplicateValues" dxfId="3" priority="4"/>
  </conditionalFormatting>
  <conditionalFormatting sqref="A363">
    <cfRule type="duplicateValues" dxfId="2" priority="3"/>
  </conditionalFormatting>
  <conditionalFormatting sqref="A364">
    <cfRule type="duplicateValues" dxfId="1" priority="2"/>
  </conditionalFormatting>
  <conditionalFormatting sqref="A365">
    <cfRule type="duplicateValues" dxfId="0" priority="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7174-6848-4ABF-A57B-883C7E208069}">
  <dimension ref="A1:W64"/>
  <sheetViews>
    <sheetView showGridLines="0" workbookViewId="0">
      <selection activeCell="Z10" sqref="Z10"/>
    </sheetView>
  </sheetViews>
  <sheetFormatPr defaultColWidth="8.7109375" defaultRowHeight="11.25" x14ac:dyDescent="0.2"/>
  <cols>
    <col min="1" max="1" width="1" style="3" bestFit="1" customWidth="1"/>
    <col min="2" max="2" width="21.5703125" style="3" bestFit="1" customWidth="1"/>
    <col min="3" max="3" width="1.5703125" style="3" customWidth="1"/>
    <col min="4" max="4" width="10" style="3" hidden="1" customWidth="1"/>
    <col min="5" max="7" width="6.5703125" style="3" hidden="1" customWidth="1"/>
    <col min="8" max="8" width="11.85546875" style="3" hidden="1" customWidth="1"/>
    <col min="9" max="9" width="11.140625" style="3" hidden="1" customWidth="1"/>
    <col min="10" max="10" width="6.5703125" style="3" hidden="1" customWidth="1"/>
    <col min="11" max="11" width="8.42578125" style="3" bestFit="1" customWidth="1"/>
    <col min="12" max="23" width="6.5703125" style="3" bestFit="1" customWidth="1"/>
    <col min="24" max="16384" width="8.7109375" style="3"/>
  </cols>
  <sheetData>
    <row r="1" spans="1:23" ht="12" thickBot="1" x14ac:dyDescent="0.25">
      <c r="A1" s="3" t="s">
        <v>1937</v>
      </c>
    </row>
    <row r="2" spans="1:23" x14ac:dyDescent="0.2">
      <c r="B2" s="263" t="s">
        <v>1643</v>
      </c>
      <c r="C2" s="259"/>
      <c r="D2" s="259">
        <v>2025</v>
      </c>
      <c r="E2" s="259"/>
      <c r="F2" s="259"/>
      <c r="G2" s="259"/>
      <c r="H2" s="259"/>
      <c r="I2" s="259"/>
      <c r="J2" s="259" t="s">
        <v>1915</v>
      </c>
      <c r="K2" s="259" t="s">
        <v>1916</v>
      </c>
      <c r="L2" s="259" t="s">
        <v>1917</v>
      </c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60"/>
    </row>
    <row r="3" spans="1:23" ht="34.5" thickBot="1" x14ac:dyDescent="0.25">
      <c r="B3" s="265"/>
      <c r="C3" s="266"/>
      <c r="D3" s="144" t="s">
        <v>1918</v>
      </c>
      <c r="E3" s="144" t="s">
        <v>1919</v>
      </c>
      <c r="F3" s="144" t="s">
        <v>1920</v>
      </c>
      <c r="G3" s="144" t="s">
        <v>1921</v>
      </c>
      <c r="H3" s="144" t="s">
        <v>1922</v>
      </c>
      <c r="I3" s="144" t="s">
        <v>1923</v>
      </c>
      <c r="J3" s="266"/>
      <c r="K3" s="266"/>
      <c r="L3" s="144" t="s">
        <v>1924</v>
      </c>
      <c r="M3" s="144" t="s">
        <v>1925</v>
      </c>
      <c r="N3" s="144" t="s">
        <v>1926</v>
      </c>
      <c r="O3" s="144" t="s">
        <v>1927</v>
      </c>
      <c r="P3" s="144" t="s">
        <v>1928</v>
      </c>
      <c r="Q3" s="144" t="s">
        <v>1929</v>
      </c>
      <c r="R3" s="144" t="s">
        <v>1930</v>
      </c>
      <c r="S3" s="144" t="s">
        <v>1931</v>
      </c>
      <c r="T3" s="144" t="s">
        <v>1932</v>
      </c>
      <c r="U3" s="144" t="s">
        <v>1933</v>
      </c>
      <c r="V3" s="144" t="s">
        <v>1934</v>
      </c>
      <c r="W3" s="145" t="s">
        <v>1935</v>
      </c>
    </row>
    <row r="4" spans="1:23" x14ac:dyDescent="0.2">
      <c r="B4" s="99" t="s">
        <v>1644</v>
      </c>
      <c r="C4" s="96"/>
      <c r="D4" s="96">
        <v>0</v>
      </c>
      <c r="E4" s="96">
        <v>0</v>
      </c>
      <c r="F4" s="96">
        <v>0</v>
      </c>
      <c r="G4" s="96">
        <v>83.95</v>
      </c>
      <c r="H4" s="96">
        <v>83.95</v>
      </c>
      <c r="I4" s="96">
        <v>83.95</v>
      </c>
      <c r="J4" s="96">
        <v>0</v>
      </c>
      <c r="K4" s="96">
        <v>0</v>
      </c>
      <c r="L4" s="96">
        <v>0</v>
      </c>
      <c r="M4" s="96">
        <v>0</v>
      </c>
      <c r="N4" s="96">
        <v>0</v>
      </c>
      <c r="O4" s="96">
        <v>0</v>
      </c>
      <c r="P4" s="96">
        <v>0</v>
      </c>
      <c r="Q4" s="96">
        <v>0</v>
      </c>
      <c r="R4" s="96">
        <v>0</v>
      </c>
      <c r="S4" s="96">
        <v>0</v>
      </c>
      <c r="T4" s="96">
        <v>0</v>
      </c>
      <c r="U4" s="96">
        <v>0</v>
      </c>
      <c r="V4" s="96">
        <v>0</v>
      </c>
      <c r="W4" s="189">
        <v>0</v>
      </c>
    </row>
    <row r="5" spans="1:23" x14ac:dyDescent="0.2">
      <c r="B5" s="100" t="s">
        <v>1644</v>
      </c>
      <c r="C5" s="96"/>
      <c r="D5" s="96"/>
      <c r="E5" s="96"/>
      <c r="F5" s="96"/>
      <c r="G5" s="96">
        <v>83.95</v>
      </c>
      <c r="H5" s="96">
        <v>83.95</v>
      </c>
      <c r="I5" s="96">
        <v>83.95</v>
      </c>
      <c r="J5" s="96"/>
      <c r="K5" s="96">
        <v>0</v>
      </c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189"/>
    </row>
    <row r="6" spans="1:23" x14ac:dyDescent="0.2">
      <c r="B6" s="100" t="s">
        <v>1645</v>
      </c>
      <c r="C6" s="96"/>
      <c r="D6" s="96"/>
      <c r="E6" s="96"/>
      <c r="F6" s="96"/>
      <c r="G6" s="96"/>
      <c r="H6" s="96">
        <v>0</v>
      </c>
      <c r="I6" s="96">
        <v>0</v>
      </c>
      <c r="J6" s="96"/>
      <c r="K6" s="96">
        <v>0</v>
      </c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189"/>
    </row>
    <row r="7" spans="1:23" x14ac:dyDescent="0.2">
      <c r="B7" s="100" t="s">
        <v>1646</v>
      </c>
      <c r="C7" s="96"/>
      <c r="D7" s="96"/>
      <c r="E7" s="96"/>
      <c r="F7" s="96"/>
      <c r="G7" s="96"/>
      <c r="H7" s="96">
        <v>0</v>
      </c>
      <c r="I7" s="96">
        <v>0</v>
      </c>
      <c r="J7" s="96"/>
      <c r="K7" s="96">
        <v>0</v>
      </c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189"/>
    </row>
    <row r="8" spans="1:23" x14ac:dyDescent="0.2">
      <c r="B8" s="99" t="s">
        <v>1647</v>
      </c>
      <c r="C8" s="96"/>
      <c r="D8" s="96">
        <v>0</v>
      </c>
      <c r="E8" s="96">
        <v>0</v>
      </c>
      <c r="F8" s="96">
        <v>450.08</v>
      </c>
      <c r="G8" s="96">
        <v>0</v>
      </c>
      <c r="H8" s="96">
        <v>450.08</v>
      </c>
      <c r="I8" s="96">
        <v>450.08</v>
      </c>
      <c r="J8" s="96">
        <v>500</v>
      </c>
      <c r="K8" s="96">
        <v>500</v>
      </c>
      <c r="L8" s="96">
        <v>0</v>
      </c>
      <c r="M8" s="96">
        <v>0</v>
      </c>
      <c r="N8" s="96">
        <v>0</v>
      </c>
      <c r="O8" s="96">
        <v>0</v>
      </c>
      <c r="P8" s="96">
        <v>0</v>
      </c>
      <c r="Q8" s="96">
        <v>0</v>
      </c>
      <c r="R8" s="96">
        <v>0</v>
      </c>
      <c r="S8" s="96">
        <v>0</v>
      </c>
      <c r="T8" s="96">
        <v>0</v>
      </c>
      <c r="U8" s="96">
        <v>0</v>
      </c>
      <c r="V8" s="96">
        <v>0</v>
      </c>
      <c r="W8" s="189">
        <v>500</v>
      </c>
    </row>
    <row r="9" spans="1:23" x14ac:dyDescent="0.2">
      <c r="B9" s="100" t="s">
        <v>1648</v>
      </c>
      <c r="C9" s="96"/>
      <c r="D9" s="96"/>
      <c r="E9" s="96"/>
      <c r="F9" s="96"/>
      <c r="G9" s="96"/>
      <c r="H9" s="96">
        <v>0</v>
      </c>
      <c r="I9" s="96">
        <v>0</v>
      </c>
      <c r="J9" s="96"/>
      <c r="K9" s="96">
        <v>0</v>
      </c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189"/>
    </row>
    <row r="10" spans="1:23" x14ac:dyDescent="0.2">
      <c r="B10" s="100" t="s">
        <v>1649</v>
      </c>
      <c r="C10" s="96"/>
      <c r="D10" s="96"/>
      <c r="E10" s="96"/>
      <c r="F10" s="96">
        <v>450.08</v>
      </c>
      <c r="G10" s="96"/>
      <c r="H10" s="96">
        <v>450.08</v>
      </c>
      <c r="I10" s="96">
        <v>450.08</v>
      </c>
      <c r="J10" s="96">
        <v>500</v>
      </c>
      <c r="K10" s="96">
        <v>500</v>
      </c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189">
        <v>500</v>
      </c>
    </row>
    <row r="11" spans="1:23" x14ac:dyDescent="0.2">
      <c r="B11" s="100" t="s">
        <v>1650</v>
      </c>
      <c r="C11" s="96"/>
      <c r="D11" s="96"/>
      <c r="E11" s="96"/>
      <c r="F11" s="96"/>
      <c r="G11" s="96"/>
      <c r="H11" s="96">
        <v>0</v>
      </c>
      <c r="I11" s="96">
        <v>0</v>
      </c>
      <c r="J11" s="96"/>
      <c r="K11" s="96">
        <v>0</v>
      </c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189"/>
    </row>
    <row r="12" spans="1:23" x14ac:dyDescent="0.2">
      <c r="B12" s="99" t="s">
        <v>1651</v>
      </c>
      <c r="C12" s="96"/>
      <c r="D12" s="96"/>
      <c r="E12" s="96">
        <v>40</v>
      </c>
      <c r="F12" s="96"/>
      <c r="G12" s="96">
        <v>40</v>
      </c>
      <c r="H12" s="96">
        <v>80</v>
      </c>
      <c r="I12" s="96">
        <v>80</v>
      </c>
      <c r="J12" s="96">
        <v>46.86</v>
      </c>
      <c r="K12" s="96">
        <v>416.85599999999999</v>
      </c>
      <c r="L12" s="96">
        <v>40</v>
      </c>
      <c r="M12" s="96"/>
      <c r="N12" s="96">
        <v>40</v>
      </c>
      <c r="O12" s="96"/>
      <c r="P12" s="96">
        <v>40</v>
      </c>
      <c r="Q12" s="96"/>
      <c r="R12" s="96">
        <v>40</v>
      </c>
      <c r="S12" s="96">
        <v>40</v>
      </c>
      <c r="T12" s="96">
        <v>40</v>
      </c>
      <c r="U12" s="96">
        <v>40</v>
      </c>
      <c r="V12" s="96">
        <v>90</v>
      </c>
      <c r="W12" s="189">
        <v>46.856000000000002</v>
      </c>
    </row>
    <row r="13" spans="1:23" x14ac:dyDescent="0.2">
      <c r="B13" s="99" t="s">
        <v>1652</v>
      </c>
      <c r="C13" s="96"/>
      <c r="D13" s="96"/>
      <c r="E13" s="96"/>
      <c r="F13" s="96"/>
      <c r="G13" s="96"/>
      <c r="H13" s="96">
        <v>0</v>
      </c>
      <c r="I13" s="96">
        <v>0</v>
      </c>
      <c r="J13" s="96"/>
      <c r="K13" s="96">
        <v>0</v>
      </c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189"/>
    </row>
    <row r="14" spans="1:23" x14ac:dyDescent="0.2">
      <c r="B14" s="99" t="s">
        <v>1653</v>
      </c>
      <c r="C14" s="96"/>
      <c r="D14" s="96"/>
      <c r="E14" s="96">
        <v>3601</v>
      </c>
      <c r="F14" s="96">
        <v>3603.2</v>
      </c>
      <c r="G14" s="96">
        <v>3602.7</v>
      </c>
      <c r="H14" s="96">
        <v>10806.9</v>
      </c>
      <c r="I14" s="96">
        <v>10806.9</v>
      </c>
      <c r="J14" s="96">
        <v>4615.3599999999997</v>
      </c>
      <c r="K14" s="96">
        <v>47653.655133200002</v>
      </c>
      <c r="L14" s="96">
        <v>3301.7687971</v>
      </c>
      <c r="M14" s="96">
        <v>3301.7687971</v>
      </c>
      <c r="N14" s="96">
        <v>3601.7687971</v>
      </c>
      <c r="O14" s="96">
        <v>3601.7687971</v>
      </c>
      <c r="P14" s="96">
        <v>4338.4448241999999</v>
      </c>
      <c r="Q14" s="96">
        <v>4338.4448241999999</v>
      </c>
      <c r="R14" s="96">
        <v>4338.4448241999999</v>
      </c>
      <c r="S14" s="96">
        <v>4038.4448241999999</v>
      </c>
      <c r="T14" s="96">
        <v>4198.2001620000001</v>
      </c>
      <c r="U14" s="96">
        <v>4198.2001620000001</v>
      </c>
      <c r="V14" s="96">
        <v>4198.2001620000001</v>
      </c>
      <c r="W14" s="189">
        <v>4198.2001620000001</v>
      </c>
    </row>
    <row r="15" spans="1:23" x14ac:dyDescent="0.2">
      <c r="B15" s="190" t="s">
        <v>1654</v>
      </c>
      <c r="C15" s="188"/>
      <c r="D15" s="188">
        <v>0</v>
      </c>
      <c r="E15" s="188">
        <v>3641</v>
      </c>
      <c r="F15" s="188">
        <v>4053.2799999999997</v>
      </c>
      <c r="G15" s="188">
        <v>3726.6499999999996</v>
      </c>
      <c r="H15" s="188">
        <v>11420.93</v>
      </c>
      <c r="I15" s="188">
        <v>11420.93</v>
      </c>
      <c r="J15" s="188">
        <v>5162.2199999999993</v>
      </c>
      <c r="K15" s="188">
        <v>48570.511133200001</v>
      </c>
      <c r="L15" s="188">
        <v>3341.7687971</v>
      </c>
      <c r="M15" s="188">
        <v>3301.7687971</v>
      </c>
      <c r="N15" s="188">
        <v>3641.7687971</v>
      </c>
      <c r="O15" s="188">
        <v>3601.7687971</v>
      </c>
      <c r="P15" s="188">
        <v>4378.4448241999999</v>
      </c>
      <c r="Q15" s="188">
        <v>4338.4448241999999</v>
      </c>
      <c r="R15" s="188">
        <v>4378.4448241999999</v>
      </c>
      <c r="S15" s="188">
        <v>4078.4448241999999</v>
      </c>
      <c r="T15" s="188">
        <v>4238.2001620000001</v>
      </c>
      <c r="U15" s="188">
        <v>4238.2001620000001</v>
      </c>
      <c r="V15" s="188">
        <v>4288.2001620000001</v>
      </c>
      <c r="W15" s="191">
        <v>4745.0561619999999</v>
      </c>
    </row>
    <row r="16" spans="1:23" x14ac:dyDescent="0.2">
      <c r="B16" s="99" t="s">
        <v>1655</v>
      </c>
      <c r="C16" s="96"/>
      <c r="D16" s="96"/>
      <c r="E16" s="96">
        <v>182.98</v>
      </c>
      <c r="F16" s="96">
        <v>198.7</v>
      </c>
      <c r="G16" s="96">
        <v>198</v>
      </c>
      <c r="H16" s="96">
        <v>579.67999999999995</v>
      </c>
      <c r="I16" s="96">
        <v>579.67999999999995</v>
      </c>
      <c r="J16" s="96">
        <v>267</v>
      </c>
      <c r="K16" s="96">
        <v>2669.9577747999997</v>
      </c>
      <c r="L16" s="96">
        <v>176.6627063</v>
      </c>
      <c r="M16" s="96">
        <v>176.6627063</v>
      </c>
      <c r="N16" s="96">
        <v>176.6627063</v>
      </c>
      <c r="O16" s="96">
        <v>176.6627063</v>
      </c>
      <c r="P16" s="96">
        <v>233.62130529999999</v>
      </c>
      <c r="Q16" s="96">
        <v>233.62130529999999</v>
      </c>
      <c r="R16" s="96">
        <v>233.62130529999999</v>
      </c>
      <c r="S16" s="96">
        <v>233.62130529999999</v>
      </c>
      <c r="T16" s="96">
        <v>257.2054321</v>
      </c>
      <c r="U16" s="96">
        <v>257.2054321</v>
      </c>
      <c r="V16" s="96">
        <v>257.2054321</v>
      </c>
      <c r="W16" s="189">
        <v>257.2054321</v>
      </c>
    </row>
    <row r="17" spans="2:23" x14ac:dyDescent="0.2">
      <c r="B17" s="99" t="s">
        <v>1656</v>
      </c>
      <c r="C17" s="96"/>
      <c r="D17" s="96"/>
      <c r="E17" s="96">
        <v>53.64</v>
      </c>
      <c r="F17" s="96">
        <v>129.04</v>
      </c>
      <c r="G17" s="96">
        <v>76.73</v>
      </c>
      <c r="H17" s="96">
        <v>259.41000000000003</v>
      </c>
      <c r="I17" s="96">
        <v>259.41000000000003</v>
      </c>
      <c r="J17" s="96">
        <v>32.07</v>
      </c>
      <c r="K17" s="96">
        <v>1484.3452763</v>
      </c>
      <c r="L17" s="96">
        <v>21.602499999999999</v>
      </c>
      <c r="M17" s="96">
        <v>187.92554999999999</v>
      </c>
      <c r="N17" s="96">
        <v>135.81342000000001</v>
      </c>
      <c r="O17" s="96">
        <v>21.210930000000001</v>
      </c>
      <c r="P17" s="96">
        <v>193.50932</v>
      </c>
      <c r="Q17" s="96">
        <v>398.93342999999999</v>
      </c>
      <c r="R17" s="96">
        <v>33.629620000000003</v>
      </c>
      <c r="S17" s="96">
        <v>53.764780000000002</v>
      </c>
      <c r="T17" s="96">
        <v>15.30387</v>
      </c>
      <c r="U17" s="96">
        <v>317.74363</v>
      </c>
      <c r="V17" s="96">
        <v>72.839950000000002</v>
      </c>
      <c r="W17" s="189">
        <v>32.068276300000001</v>
      </c>
    </row>
    <row r="18" spans="2:23" x14ac:dyDescent="0.2">
      <c r="B18" s="190" t="s">
        <v>1657</v>
      </c>
      <c r="C18" s="188"/>
      <c r="D18" s="188">
        <v>0</v>
      </c>
      <c r="E18" s="188">
        <v>236.62</v>
      </c>
      <c r="F18" s="188">
        <v>327.74</v>
      </c>
      <c r="G18" s="188">
        <v>274.73</v>
      </c>
      <c r="H18" s="188">
        <v>839.09</v>
      </c>
      <c r="I18" s="188">
        <v>839.09</v>
      </c>
      <c r="J18" s="188">
        <v>299.07</v>
      </c>
      <c r="K18" s="188">
        <v>4154.3030510999997</v>
      </c>
      <c r="L18" s="188">
        <v>198.26520629999999</v>
      </c>
      <c r="M18" s="188">
        <v>364.58825630000001</v>
      </c>
      <c r="N18" s="188">
        <v>312.47612630000003</v>
      </c>
      <c r="O18" s="188">
        <v>197.87363629999999</v>
      </c>
      <c r="P18" s="188">
        <v>427.13062530000002</v>
      </c>
      <c r="Q18" s="188">
        <v>632.55473529999995</v>
      </c>
      <c r="R18" s="188">
        <v>267.25092530000001</v>
      </c>
      <c r="S18" s="188">
        <v>287.38608529999999</v>
      </c>
      <c r="T18" s="188">
        <v>272.50930210000001</v>
      </c>
      <c r="U18" s="188">
        <v>574.94906209999999</v>
      </c>
      <c r="V18" s="188">
        <v>330.04538209999998</v>
      </c>
      <c r="W18" s="191">
        <v>289.27370839999998</v>
      </c>
    </row>
    <row r="19" spans="2:23" x14ac:dyDescent="0.2">
      <c r="B19" s="99" t="s">
        <v>1658</v>
      </c>
      <c r="C19" s="96"/>
      <c r="D19" s="96"/>
      <c r="E19" s="96">
        <v>633.5</v>
      </c>
      <c r="F19" s="96">
        <v>555.5</v>
      </c>
      <c r="G19" s="96">
        <v>335.5</v>
      </c>
      <c r="H19" s="96">
        <v>1524.5</v>
      </c>
      <c r="I19" s="96">
        <v>1524.5</v>
      </c>
      <c r="J19" s="96">
        <v>606.67999999999995</v>
      </c>
      <c r="K19" s="96">
        <v>7279.4801212000011</v>
      </c>
      <c r="L19" s="96">
        <v>606.61860760000002</v>
      </c>
      <c r="M19" s="96">
        <v>606.61860760000002</v>
      </c>
      <c r="N19" s="96">
        <v>606.61860760000002</v>
      </c>
      <c r="O19" s="96">
        <v>606.61860760000002</v>
      </c>
      <c r="P19" s="96">
        <v>606.61860760000002</v>
      </c>
      <c r="Q19" s="96">
        <v>606.61860760000002</v>
      </c>
      <c r="R19" s="96">
        <v>606.61860760000002</v>
      </c>
      <c r="S19" s="96">
        <v>606.61860760000002</v>
      </c>
      <c r="T19" s="96">
        <v>606.61860760000002</v>
      </c>
      <c r="U19" s="96">
        <v>606.61860760000002</v>
      </c>
      <c r="V19" s="96">
        <v>606.61860760000002</v>
      </c>
      <c r="W19" s="189">
        <v>606.67543760000001</v>
      </c>
    </row>
    <row r="20" spans="2:23" x14ac:dyDescent="0.2">
      <c r="B20" s="190" t="s">
        <v>1659</v>
      </c>
      <c r="C20" s="188"/>
      <c r="D20" s="188">
        <v>0</v>
      </c>
      <c r="E20" s="188">
        <v>633.5</v>
      </c>
      <c r="F20" s="188">
        <v>555.5</v>
      </c>
      <c r="G20" s="188">
        <v>335.5</v>
      </c>
      <c r="H20" s="188">
        <v>1524.5</v>
      </c>
      <c r="I20" s="188">
        <v>1524.5</v>
      </c>
      <c r="J20" s="188">
        <v>606.67999999999995</v>
      </c>
      <c r="K20" s="188">
        <v>7279.4801212000011</v>
      </c>
      <c r="L20" s="188">
        <v>606.61860760000002</v>
      </c>
      <c r="M20" s="188">
        <v>606.61860760000002</v>
      </c>
      <c r="N20" s="188">
        <v>606.61860760000002</v>
      </c>
      <c r="O20" s="188">
        <v>606.61860760000002</v>
      </c>
      <c r="P20" s="188">
        <v>606.61860760000002</v>
      </c>
      <c r="Q20" s="188">
        <v>606.61860760000002</v>
      </c>
      <c r="R20" s="188">
        <v>606.61860760000002</v>
      </c>
      <c r="S20" s="188">
        <v>606.61860760000002</v>
      </c>
      <c r="T20" s="188">
        <v>606.61860760000002</v>
      </c>
      <c r="U20" s="188">
        <v>606.61860760000002</v>
      </c>
      <c r="V20" s="188">
        <v>606.61860760000002</v>
      </c>
      <c r="W20" s="191">
        <v>606.67543760000001</v>
      </c>
    </row>
    <row r="21" spans="2:23" x14ac:dyDescent="0.2">
      <c r="B21" s="190" t="s">
        <v>1660</v>
      </c>
      <c r="C21" s="188"/>
      <c r="D21" s="188">
        <v>0</v>
      </c>
      <c r="E21" s="188">
        <v>4511.12</v>
      </c>
      <c r="F21" s="188">
        <v>4936.5199999999995</v>
      </c>
      <c r="G21" s="188">
        <v>4336.8799999999992</v>
      </c>
      <c r="H21" s="188">
        <v>13784.519999999999</v>
      </c>
      <c r="I21" s="188">
        <v>13784.519999999999</v>
      </c>
      <c r="J21" s="188">
        <v>6067.9699999999993</v>
      </c>
      <c r="K21" s="188">
        <v>60004.294305500014</v>
      </c>
      <c r="L21" s="188">
        <v>4146.6526110000004</v>
      </c>
      <c r="M21" s="188">
        <v>4272.9756610000004</v>
      </c>
      <c r="N21" s="188">
        <v>4560.863531</v>
      </c>
      <c r="O21" s="188">
        <v>4406.2610409999998</v>
      </c>
      <c r="P21" s="188">
        <v>5412.1940571000005</v>
      </c>
      <c r="Q21" s="188">
        <v>5577.6181671000004</v>
      </c>
      <c r="R21" s="188">
        <v>5252.3143571000001</v>
      </c>
      <c r="S21" s="188">
        <v>4972.4495170999999</v>
      </c>
      <c r="T21" s="188">
        <v>5117.3280717000007</v>
      </c>
      <c r="U21" s="188">
        <v>5419.7678317</v>
      </c>
      <c r="V21" s="188">
        <v>5224.8641517000005</v>
      </c>
      <c r="W21" s="191">
        <v>5641.0053079999998</v>
      </c>
    </row>
    <row r="22" spans="2:23" x14ac:dyDescent="0.2">
      <c r="B22" s="99" t="s">
        <v>1661</v>
      </c>
      <c r="C22" s="96"/>
      <c r="D22" s="96">
        <v>0</v>
      </c>
      <c r="E22" s="96">
        <v>0</v>
      </c>
      <c r="F22" s="96">
        <v>0</v>
      </c>
      <c r="G22" s="96">
        <v>7.56</v>
      </c>
      <c r="H22" s="96">
        <v>7.56</v>
      </c>
      <c r="I22" s="96">
        <v>7.56</v>
      </c>
      <c r="J22" s="96">
        <v>0</v>
      </c>
      <c r="K22" s="96">
        <v>0</v>
      </c>
      <c r="L22" s="96">
        <v>0</v>
      </c>
      <c r="M22" s="96">
        <v>0</v>
      </c>
      <c r="N22" s="96">
        <v>0</v>
      </c>
      <c r="O22" s="96">
        <v>0</v>
      </c>
      <c r="P22" s="96">
        <v>0</v>
      </c>
      <c r="Q22" s="96">
        <v>0</v>
      </c>
      <c r="R22" s="96">
        <v>0</v>
      </c>
      <c r="S22" s="96">
        <v>0</v>
      </c>
      <c r="T22" s="96">
        <v>0</v>
      </c>
      <c r="U22" s="96">
        <v>0</v>
      </c>
      <c r="V22" s="96">
        <v>0</v>
      </c>
      <c r="W22" s="189">
        <v>0</v>
      </c>
    </row>
    <row r="23" spans="2:23" x14ac:dyDescent="0.2">
      <c r="B23" s="100" t="s">
        <v>1662</v>
      </c>
      <c r="C23" s="96"/>
      <c r="D23" s="96"/>
      <c r="E23" s="96"/>
      <c r="F23" s="96"/>
      <c r="G23" s="96">
        <v>7.56</v>
      </c>
      <c r="H23" s="96">
        <v>7.56</v>
      </c>
      <c r="I23" s="96">
        <v>7.56</v>
      </c>
      <c r="J23" s="96"/>
      <c r="K23" s="96">
        <v>0</v>
      </c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189"/>
    </row>
    <row r="24" spans="2:23" x14ac:dyDescent="0.2">
      <c r="B24" s="100" t="s">
        <v>1663</v>
      </c>
      <c r="C24" s="96"/>
      <c r="D24" s="96"/>
      <c r="E24" s="96"/>
      <c r="F24" s="96"/>
      <c r="G24" s="96"/>
      <c r="H24" s="96">
        <v>0</v>
      </c>
      <c r="I24" s="96">
        <v>0</v>
      </c>
      <c r="J24" s="96"/>
      <c r="K24" s="96">
        <v>0</v>
      </c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189"/>
    </row>
    <row r="25" spans="2:23" x14ac:dyDescent="0.2">
      <c r="B25" s="100" t="s">
        <v>1664</v>
      </c>
      <c r="C25" s="96"/>
      <c r="D25" s="96"/>
      <c r="E25" s="96"/>
      <c r="F25" s="96"/>
      <c r="G25" s="96"/>
      <c r="H25" s="96">
        <v>0</v>
      </c>
      <c r="I25" s="96">
        <v>0</v>
      </c>
      <c r="J25" s="96"/>
      <c r="K25" s="96">
        <v>0</v>
      </c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189"/>
    </row>
    <row r="26" spans="2:23" x14ac:dyDescent="0.2">
      <c r="B26" s="99" t="s">
        <v>1665</v>
      </c>
      <c r="C26" s="96"/>
      <c r="D26" s="96">
        <v>0</v>
      </c>
      <c r="E26" s="96">
        <v>0</v>
      </c>
      <c r="F26" s="96">
        <v>58.51</v>
      </c>
      <c r="G26" s="96">
        <v>0</v>
      </c>
      <c r="H26" s="96">
        <v>58.51</v>
      </c>
      <c r="I26" s="96">
        <v>58.51</v>
      </c>
      <c r="J26" s="96">
        <v>65</v>
      </c>
      <c r="K26" s="96">
        <v>65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189">
        <v>65</v>
      </c>
    </row>
    <row r="27" spans="2:23" x14ac:dyDescent="0.2">
      <c r="B27" s="100" t="s">
        <v>1665</v>
      </c>
      <c r="C27" s="96"/>
      <c r="D27" s="96"/>
      <c r="E27" s="96"/>
      <c r="F27" s="96"/>
      <c r="G27" s="96"/>
      <c r="H27" s="96">
        <v>0</v>
      </c>
      <c r="I27" s="96">
        <v>0</v>
      </c>
      <c r="J27" s="96"/>
      <c r="K27" s="96">
        <v>0</v>
      </c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189"/>
    </row>
    <row r="28" spans="2:23" x14ac:dyDescent="0.2">
      <c r="B28" s="100" t="s">
        <v>1666</v>
      </c>
      <c r="C28" s="96"/>
      <c r="D28" s="96"/>
      <c r="E28" s="96"/>
      <c r="F28" s="96">
        <v>58.51</v>
      </c>
      <c r="G28" s="96"/>
      <c r="H28" s="96">
        <v>58.51</v>
      </c>
      <c r="I28" s="96">
        <v>58.51</v>
      </c>
      <c r="J28" s="96">
        <v>65</v>
      </c>
      <c r="K28" s="96">
        <v>65</v>
      </c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189">
        <v>65</v>
      </c>
    </row>
    <row r="29" spans="2:23" x14ac:dyDescent="0.2">
      <c r="B29" s="100" t="s">
        <v>1667</v>
      </c>
      <c r="C29" s="96"/>
      <c r="D29" s="96"/>
      <c r="E29" s="96"/>
      <c r="F29" s="96"/>
      <c r="G29" s="96"/>
      <c r="H29" s="96">
        <v>0</v>
      </c>
      <c r="I29" s="96">
        <v>0</v>
      </c>
      <c r="J29" s="96"/>
      <c r="K29" s="96">
        <v>0</v>
      </c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189"/>
    </row>
    <row r="30" spans="2:23" x14ac:dyDescent="0.2">
      <c r="B30" s="99" t="s">
        <v>1668</v>
      </c>
      <c r="C30" s="96"/>
      <c r="D30" s="96"/>
      <c r="E30" s="96">
        <v>1.2</v>
      </c>
      <c r="F30" s="96"/>
      <c r="G30" s="96">
        <v>1.2</v>
      </c>
      <c r="H30" s="96">
        <v>2.4</v>
      </c>
      <c r="I30" s="96">
        <v>2.4</v>
      </c>
      <c r="J30" s="96">
        <v>-14.06</v>
      </c>
      <c r="K30" s="96">
        <v>20.8428</v>
      </c>
      <c r="L30" s="96">
        <v>2</v>
      </c>
      <c r="M30" s="96"/>
      <c r="N30" s="96">
        <v>2</v>
      </c>
      <c r="O30" s="96"/>
      <c r="P30" s="96">
        <v>2</v>
      </c>
      <c r="Q30" s="96"/>
      <c r="R30" s="96">
        <v>2</v>
      </c>
      <c r="S30" s="96">
        <v>2</v>
      </c>
      <c r="T30" s="96">
        <v>2</v>
      </c>
      <c r="U30" s="96">
        <v>2</v>
      </c>
      <c r="V30" s="96">
        <v>4.5</v>
      </c>
      <c r="W30" s="189">
        <v>2.3428</v>
      </c>
    </row>
    <row r="31" spans="2:23" x14ac:dyDescent="0.2">
      <c r="B31" s="99" t="s">
        <v>1669</v>
      </c>
      <c r="C31" s="96"/>
      <c r="D31" s="96"/>
      <c r="E31" s="96"/>
      <c r="F31" s="96"/>
      <c r="G31" s="96"/>
      <c r="H31" s="96">
        <v>0</v>
      </c>
      <c r="I31" s="96">
        <v>0</v>
      </c>
      <c r="J31" s="96"/>
      <c r="K31" s="96">
        <v>0</v>
      </c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189"/>
    </row>
    <row r="32" spans="2:23" x14ac:dyDescent="0.2">
      <c r="B32" s="99" t="s">
        <v>1670</v>
      </c>
      <c r="C32" s="96"/>
      <c r="D32" s="96"/>
      <c r="E32" s="96">
        <v>1188.33</v>
      </c>
      <c r="F32" s="96">
        <v>1189.056</v>
      </c>
      <c r="G32" s="96">
        <v>1188.8910000000001</v>
      </c>
      <c r="H32" s="96">
        <v>3566.277</v>
      </c>
      <c r="I32" s="96">
        <v>3566.277</v>
      </c>
      <c r="J32" s="96">
        <v>1292.95</v>
      </c>
      <c r="K32" s="96">
        <v>13349.461011999998</v>
      </c>
      <c r="L32" s="96">
        <v>924.9557982</v>
      </c>
      <c r="M32" s="96">
        <v>924.9557982</v>
      </c>
      <c r="N32" s="96">
        <v>1008.9557982</v>
      </c>
      <c r="O32" s="96">
        <v>1008.9557982</v>
      </c>
      <c r="P32" s="96">
        <v>1215.3278388000001</v>
      </c>
      <c r="Q32" s="96">
        <v>1215.3278388000001</v>
      </c>
      <c r="R32" s="96">
        <v>1215.3278388000001</v>
      </c>
      <c r="S32" s="96">
        <v>1131.3278388000001</v>
      </c>
      <c r="T32" s="96">
        <v>1176.0816159999999</v>
      </c>
      <c r="U32" s="96">
        <v>1176.0816159999999</v>
      </c>
      <c r="V32" s="96">
        <v>1176.0816159999999</v>
      </c>
      <c r="W32" s="189">
        <v>1176.0816159999999</v>
      </c>
    </row>
    <row r="33" spans="2:23" x14ac:dyDescent="0.2">
      <c r="B33" s="190" t="s">
        <v>1671</v>
      </c>
      <c r="C33" s="188"/>
      <c r="D33" s="188">
        <v>0</v>
      </c>
      <c r="E33" s="188">
        <v>1189.53</v>
      </c>
      <c r="F33" s="188">
        <v>1247.566</v>
      </c>
      <c r="G33" s="188">
        <v>1197.6510000000001</v>
      </c>
      <c r="H33" s="188">
        <v>3634.7470000000003</v>
      </c>
      <c r="I33" s="188">
        <v>3634.7470000000003</v>
      </c>
      <c r="J33" s="188">
        <v>1343.89</v>
      </c>
      <c r="K33" s="188">
        <v>13435.303811999998</v>
      </c>
      <c r="L33" s="188">
        <v>926.9557982</v>
      </c>
      <c r="M33" s="188">
        <v>924.9557982</v>
      </c>
      <c r="N33" s="188">
        <v>1010.9557982</v>
      </c>
      <c r="O33" s="188">
        <v>1008.9557982</v>
      </c>
      <c r="P33" s="188">
        <v>1217.3278388000001</v>
      </c>
      <c r="Q33" s="188">
        <v>1215.3278388000001</v>
      </c>
      <c r="R33" s="188">
        <v>1217.3278388000001</v>
      </c>
      <c r="S33" s="188">
        <v>1133.3278388000001</v>
      </c>
      <c r="T33" s="188">
        <v>1178.0816159999999</v>
      </c>
      <c r="U33" s="188">
        <v>1178.0816159999999</v>
      </c>
      <c r="V33" s="188">
        <v>1180.5816159999999</v>
      </c>
      <c r="W33" s="191">
        <v>1243.4244159999998</v>
      </c>
    </row>
    <row r="34" spans="2:23" x14ac:dyDescent="0.2">
      <c r="B34" s="99" t="s">
        <v>1672</v>
      </c>
      <c r="C34" s="96"/>
      <c r="D34" s="96"/>
      <c r="E34" s="96">
        <v>69.532399999999996</v>
      </c>
      <c r="F34" s="96">
        <v>75.506</v>
      </c>
      <c r="G34" s="96">
        <v>75.239999999999995</v>
      </c>
      <c r="H34" s="96">
        <v>220.27839999999998</v>
      </c>
      <c r="I34" s="96">
        <v>220.27839999999998</v>
      </c>
      <c r="J34" s="96">
        <v>93.14</v>
      </c>
      <c r="K34" s="96">
        <v>931.35747960000003</v>
      </c>
      <c r="L34" s="96">
        <v>61.624994399999999</v>
      </c>
      <c r="M34" s="96">
        <v>61.624994399999999</v>
      </c>
      <c r="N34" s="96">
        <v>61.624994399999999</v>
      </c>
      <c r="O34" s="96">
        <v>61.624994399999999</v>
      </c>
      <c r="P34" s="96">
        <v>81.493779500000002</v>
      </c>
      <c r="Q34" s="96">
        <v>81.493779500000002</v>
      </c>
      <c r="R34" s="96">
        <v>81.493779500000002</v>
      </c>
      <c r="S34" s="96">
        <v>81.493779500000002</v>
      </c>
      <c r="T34" s="96">
        <v>89.720596</v>
      </c>
      <c r="U34" s="96">
        <v>89.720596</v>
      </c>
      <c r="V34" s="96">
        <v>89.720596</v>
      </c>
      <c r="W34" s="189">
        <v>89.720596</v>
      </c>
    </row>
    <row r="35" spans="2:23" x14ac:dyDescent="0.2">
      <c r="B35" s="99" t="s">
        <v>1673</v>
      </c>
      <c r="C35" s="96"/>
      <c r="D35" s="96"/>
      <c r="E35" s="96">
        <v>13.43</v>
      </c>
      <c r="F35" s="96">
        <v>32.299999999999997</v>
      </c>
      <c r="G35" s="96">
        <v>19.22</v>
      </c>
      <c r="H35" s="96">
        <v>64.949999999999989</v>
      </c>
      <c r="I35" s="96">
        <v>64.949999999999989</v>
      </c>
      <c r="J35" s="96">
        <v>9.16</v>
      </c>
      <c r="K35" s="96">
        <v>416.19288869999997</v>
      </c>
      <c r="L35" s="96">
        <v>6.15327</v>
      </c>
      <c r="M35" s="96">
        <v>51.957099999999997</v>
      </c>
      <c r="N35" s="96">
        <v>39.301859999999998</v>
      </c>
      <c r="O35" s="96">
        <v>5.9557200000000003</v>
      </c>
      <c r="P35" s="96">
        <v>53.087989999999998</v>
      </c>
      <c r="Q35" s="96">
        <v>110.16735</v>
      </c>
      <c r="R35" s="96">
        <v>9.6984899999999996</v>
      </c>
      <c r="S35" s="96">
        <v>15.47803</v>
      </c>
      <c r="T35" s="96">
        <v>4.3720100000000004</v>
      </c>
      <c r="U35" s="96">
        <v>89.886920000000003</v>
      </c>
      <c r="V35" s="96">
        <v>20.97129</v>
      </c>
      <c r="W35" s="189">
        <v>9.1628586999999992</v>
      </c>
    </row>
    <row r="36" spans="2:23" x14ac:dyDescent="0.2">
      <c r="B36" s="190" t="s">
        <v>1672</v>
      </c>
      <c r="C36" s="188"/>
      <c r="D36" s="188">
        <v>0</v>
      </c>
      <c r="E36" s="188">
        <v>82.962400000000002</v>
      </c>
      <c r="F36" s="188">
        <v>107.806</v>
      </c>
      <c r="G36" s="188">
        <v>94.46</v>
      </c>
      <c r="H36" s="188">
        <v>285.22839999999997</v>
      </c>
      <c r="I36" s="188">
        <v>285.22839999999997</v>
      </c>
      <c r="J36" s="188">
        <v>102.3</v>
      </c>
      <c r="K36" s="188">
        <v>1347.5503683000002</v>
      </c>
      <c r="L36" s="188">
        <v>67.778264399999998</v>
      </c>
      <c r="M36" s="188">
        <v>113.58209439999999</v>
      </c>
      <c r="N36" s="188">
        <v>100.9268544</v>
      </c>
      <c r="O36" s="188">
        <v>67.580714400000005</v>
      </c>
      <c r="P36" s="188">
        <v>134.58176950000001</v>
      </c>
      <c r="Q36" s="188">
        <v>191.66112950000002</v>
      </c>
      <c r="R36" s="188">
        <v>91.192269500000009</v>
      </c>
      <c r="S36" s="188">
        <v>96.971809500000006</v>
      </c>
      <c r="T36" s="188">
        <v>94.092606000000004</v>
      </c>
      <c r="U36" s="188">
        <v>179.607516</v>
      </c>
      <c r="V36" s="188">
        <v>110.691886</v>
      </c>
      <c r="W36" s="191">
        <v>98.883454700000001</v>
      </c>
    </row>
    <row r="37" spans="2:23" x14ac:dyDescent="0.2">
      <c r="B37" s="99" t="s">
        <v>1674</v>
      </c>
      <c r="C37" s="96"/>
      <c r="D37" s="96"/>
      <c r="E37" s="96">
        <v>202.72</v>
      </c>
      <c r="F37" s="96">
        <v>177.76</v>
      </c>
      <c r="G37" s="96">
        <v>107.36</v>
      </c>
      <c r="H37" s="96">
        <v>487.84000000000003</v>
      </c>
      <c r="I37" s="96">
        <v>487.84000000000003</v>
      </c>
      <c r="J37" s="96">
        <v>182</v>
      </c>
      <c r="K37" s="96">
        <v>2183.8440366</v>
      </c>
      <c r="L37" s="96">
        <v>181.9855823</v>
      </c>
      <c r="M37" s="96">
        <v>181.9855823</v>
      </c>
      <c r="N37" s="96">
        <v>181.9855823</v>
      </c>
      <c r="O37" s="96">
        <v>181.9855823</v>
      </c>
      <c r="P37" s="96">
        <v>181.9855823</v>
      </c>
      <c r="Q37" s="96">
        <v>181.9855823</v>
      </c>
      <c r="R37" s="96">
        <v>181.9855823</v>
      </c>
      <c r="S37" s="96">
        <v>181.9855823</v>
      </c>
      <c r="T37" s="96">
        <v>181.9855823</v>
      </c>
      <c r="U37" s="96">
        <v>181.9855823</v>
      </c>
      <c r="V37" s="96">
        <v>181.9855823</v>
      </c>
      <c r="W37" s="189">
        <v>182.00263129999999</v>
      </c>
    </row>
    <row r="38" spans="2:23" x14ac:dyDescent="0.2">
      <c r="B38" s="190" t="s">
        <v>1674</v>
      </c>
      <c r="C38" s="188"/>
      <c r="D38" s="188">
        <v>0</v>
      </c>
      <c r="E38" s="188">
        <v>202.72</v>
      </c>
      <c r="F38" s="188">
        <v>177.76</v>
      </c>
      <c r="G38" s="188">
        <v>107.36</v>
      </c>
      <c r="H38" s="188">
        <v>487.84000000000003</v>
      </c>
      <c r="I38" s="188">
        <v>487.84000000000003</v>
      </c>
      <c r="J38" s="188">
        <v>182</v>
      </c>
      <c r="K38" s="188">
        <v>2183.8440366</v>
      </c>
      <c r="L38" s="188">
        <v>181.9855823</v>
      </c>
      <c r="M38" s="188">
        <v>181.9855823</v>
      </c>
      <c r="N38" s="188">
        <v>181.9855823</v>
      </c>
      <c r="O38" s="188">
        <v>181.9855823</v>
      </c>
      <c r="P38" s="188">
        <v>181.9855823</v>
      </c>
      <c r="Q38" s="188">
        <v>181.9855823</v>
      </c>
      <c r="R38" s="188">
        <v>181.9855823</v>
      </c>
      <c r="S38" s="188">
        <v>181.9855823</v>
      </c>
      <c r="T38" s="188">
        <v>181.9855823</v>
      </c>
      <c r="U38" s="188">
        <v>181.9855823</v>
      </c>
      <c r="V38" s="188">
        <v>181.9855823</v>
      </c>
      <c r="W38" s="191">
        <v>182.00263129999999</v>
      </c>
    </row>
    <row r="39" spans="2:23" x14ac:dyDescent="0.2">
      <c r="B39" s="190" t="s">
        <v>1675</v>
      </c>
      <c r="C39" s="188"/>
      <c r="D39" s="188">
        <v>0</v>
      </c>
      <c r="E39" s="188">
        <v>1475.2124000000001</v>
      </c>
      <c r="F39" s="188">
        <v>1533.1320000000001</v>
      </c>
      <c r="G39" s="188">
        <v>1399.471</v>
      </c>
      <c r="H39" s="188">
        <v>4407.8153999999995</v>
      </c>
      <c r="I39" s="188">
        <v>4407.8153999999995</v>
      </c>
      <c r="J39" s="188">
        <v>1628.19</v>
      </c>
      <c r="K39" s="188">
        <v>16966.6982169</v>
      </c>
      <c r="L39" s="188">
        <v>1176.7196449</v>
      </c>
      <c r="M39" s="188">
        <v>1220.5234749000001</v>
      </c>
      <c r="N39" s="188">
        <v>1293.8682349000001</v>
      </c>
      <c r="O39" s="188">
        <v>1258.5220949</v>
      </c>
      <c r="P39" s="188">
        <v>1533.8951906000002</v>
      </c>
      <c r="Q39" s="188">
        <v>1588.9745506000002</v>
      </c>
      <c r="R39" s="188">
        <v>1490.5056906000002</v>
      </c>
      <c r="S39" s="188">
        <v>1412.2852306000002</v>
      </c>
      <c r="T39" s="188">
        <v>1454.1598042999999</v>
      </c>
      <c r="U39" s="188">
        <v>1539.6747143</v>
      </c>
      <c r="V39" s="188">
        <v>1473.2590843</v>
      </c>
      <c r="W39" s="191">
        <v>1524.3105019999998</v>
      </c>
    </row>
    <row r="40" spans="2:23" x14ac:dyDescent="0.2">
      <c r="B40" s="99" t="s">
        <v>1676</v>
      </c>
      <c r="C40" s="96"/>
      <c r="D40" s="96">
        <v>0</v>
      </c>
      <c r="E40" s="96">
        <v>-143.82448890000001</v>
      </c>
      <c r="F40" s="96">
        <v>-127.221637</v>
      </c>
      <c r="G40" s="96">
        <v>-123.8314046</v>
      </c>
      <c r="H40" s="96">
        <v>-394.87753049999998</v>
      </c>
      <c r="I40" s="96">
        <v>-394.87753049999998</v>
      </c>
      <c r="J40" s="96">
        <v>-120.54352059999999</v>
      </c>
      <c r="K40" s="96">
        <v>-1496.0675459000001</v>
      </c>
      <c r="L40" s="96">
        <v>-128.76714939999999</v>
      </c>
      <c r="M40" s="96">
        <v>-127.8300911</v>
      </c>
      <c r="N40" s="96">
        <v>-128.1258655</v>
      </c>
      <c r="O40" s="96">
        <v>-127.5169348</v>
      </c>
      <c r="P40" s="96">
        <v>-127.54149219999999</v>
      </c>
      <c r="Q40" s="96">
        <v>-124.6560942</v>
      </c>
      <c r="R40" s="96">
        <v>-121.1867</v>
      </c>
      <c r="S40" s="96">
        <v>-132.38026059999999</v>
      </c>
      <c r="T40" s="96">
        <v>-118.5482947</v>
      </c>
      <c r="U40" s="96">
        <v>-119.9114639</v>
      </c>
      <c r="V40" s="96">
        <v>-119.05967889999999</v>
      </c>
      <c r="W40" s="189">
        <v>-120.54352059999999</v>
      </c>
    </row>
    <row r="41" spans="2:23" x14ac:dyDescent="0.2">
      <c r="B41" s="100" t="s">
        <v>1677</v>
      </c>
      <c r="C41" s="96"/>
      <c r="D41" s="96"/>
      <c r="E41" s="96">
        <v>-2.5212184</v>
      </c>
      <c r="F41" s="96">
        <v>-4.5419771999999998</v>
      </c>
      <c r="G41" s="96">
        <v>-3.4520545999999999</v>
      </c>
      <c r="H41" s="96">
        <v>-10.515250200000001</v>
      </c>
      <c r="I41" s="96">
        <v>-10.515250200000001</v>
      </c>
      <c r="J41" s="96"/>
      <c r="K41" s="96">
        <v>-17.551619299999999</v>
      </c>
      <c r="L41" s="96">
        <v>-1.2425439</v>
      </c>
      <c r="M41" s="96">
        <v>-0.60611559999999998</v>
      </c>
      <c r="N41" s="96">
        <v>0</v>
      </c>
      <c r="O41" s="96">
        <v>-0.60611559999999998</v>
      </c>
      <c r="P41" s="96">
        <v>-1.2319329999999999</v>
      </c>
      <c r="Q41" s="96">
        <v>0</v>
      </c>
      <c r="R41" s="96">
        <v>-0.98494029999999999</v>
      </c>
      <c r="S41" s="96">
        <v>-12.8799709</v>
      </c>
      <c r="T41" s="96">
        <v>0</v>
      </c>
      <c r="U41" s="96">
        <v>0</v>
      </c>
      <c r="V41" s="96">
        <v>0</v>
      </c>
      <c r="W41" s="189">
        <v>0</v>
      </c>
    </row>
    <row r="42" spans="2:23" x14ac:dyDescent="0.2">
      <c r="B42" s="100" t="s">
        <v>1678</v>
      </c>
      <c r="C42" s="96"/>
      <c r="D42" s="96"/>
      <c r="E42" s="96">
        <v>-5.1125426000000003</v>
      </c>
      <c r="F42" s="96">
        <v>-7.3559897999999997</v>
      </c>
      <c r="G42" s="96">
        <v>-6.3014302999999998</v>
      </c>
      <c r="H42" s="96">
        <v>-18.769962700000001</v>
      </c>
      <c r="I42" s="96">
        <v>-18.769962700000001</v>
      </c>
      <c r="J42" s="96">
        <v>-5.0232209000000001</v>
      </c>
      <c r="K42" s="96">
        <v>-60.278650799999987</v>
      </c>
      <c r="L42" s="96">
        <v>-5.0232209000000001</v>
      </c>
      <c r="M42" s="96">
        <v>-5.0232209000000001</v>
      </c>
      <c r="N42" s="96">
        <v>-5.0232209000000001</v>
      </c>
      <c r="O42" s="96">
        <v>-5.0232209000000001</v>
      </c>
      <c r="P42" s="96">
        <v>-5.0232209000000001</v>
      </c>
      <c r="Q42" s="96">
        <v>-5.0232209000000001</v>
      </c>
      <c r="R42" s="96">
        <v>-5.0232209000000001</v>
      </c>
      <c r="S42" s="96">
        <v>-5.0232209000000001</v>
      </c>
      <c r="T42" s="96">
        <v>-5.0232209000000001</v>
      </c>
      <c r="U42" s="96">
        <v>-5.0232209000000001</v>
      </c>
      <c r="V42" s="96">
        <v>-5.0232209000000001</v>
      </c>
      <c r="W42" s="189">
        <v>-5.0232209000000001</v>
      </c>
    </row>
    <row r="43" spans="2:23" x14ac:dyDescent="0.2">
      <c r="B43" s="100" t="s">
        <v>1679</v>
      </c>
      <c r="C43" s="96"/>
      <c r="D43" s="96"/>
      <c r="E43" s="96">
        <v>-26.568240400000001</v>
      </c>
      <c r="F43" s="96">
        <v>-18.072577599999999</v>
      </c>
      <c r="G43" s="96">
        <v>-25.718587200000002</v>
      </c>
      <c r="H43" s="96">
        <v>-70.359405199999998</v>
      </c>
      <c r="I43" s="96">
        <v>-70.359405199999998</v>
      </c>
      <c r="J43" s="96">
        <v>-13.5000029</v>
      </c>
      <c r="K43" s="96">
        <v>-162.00003480000001</v>
      </c>
      <c r="L43" s="96">
        <v>-13.5000029</v>
      </c>
      <c r="M43" s="96">
        <v>-13.5000029</v>
      </c>
      <c r="N43" s="96">
        <v>-13.5000029</v>
      </c>
      <c r="O43" s="96">
        <v>-13.5000029</v>
      </c>
      <c r="P43" s="96">
        <v>-13.5000029</v>
      </c>
      <c r="Q43" s="96">
        <v>-13.5000029</v>
      </c>
      <c r="R43" s="96">
        <v>-13.5000029</v>
      </c>
      <c r="S43" s="96">
        <v>-13.5000029</v>
      </c>
      <c r="T43" s="96">
        <v>-13.5000029</v>
      </c>
      <c r="U43" s="96">
        <v>-13.5000029</v>
      </c>
      <c r="V43" s="96">
        <v>-13.5000029</v>
      </c>
      <c r="W43" s="189">
        <v>-13.5000029</v>
      </c>
    </row>
    <row r="44" spans="2:23" x14ac:dyDescent="0.2">
      <c r="B44" s="100" t="s">
        <v>1680</v>
      </c>
      <c r="C44" s="96"/>
      <c r="D44" s="96"/>
      <c r="E44" s="96">
        <v>-109.62248750000001</v>
      </c>
      <c r="F44" s="96">
        <v>-97.251092400000005</v>
      </c>
      <c r="G44" s="96">
        <v>-88.359332499999994</v>
      </c>
      <c r="H44" s="96">
        <v>-295.23291240000003</v>
      </c>
      <c r="I44" s="96">
        <v>-295.23291240000003</v>
      </c>
      <c r="J44" s="96">
        <v>-102.0202968</v>
      </c>
      <c r="K44" s="96">
        <v>-1256.2372410000003</v>
      </c>
      <c r="L44" s="96">
        <v>-109.0013817</v>
      </c>
      <c r="M44" s="96">
        <v>-108.7007517</v>
      </c>
      <c r="N44" s="96">
        <v>-109.60264170000001</v>
      </c>
      <c r="O44" s="96">
        <v>-108.3875954</v>
      </c>
      <c r="P44" s="96">
        <v>-107.7863354</v>
      </c>
      <c r="Q44" s="96">
        <v>-106.1328704</v>
      </c>
      <c r="R44" s="96">
        <v>-101.6785359</v>
      </c>
      <c r="S44" s="96">
        <v>-100.9770659</v>
      </c>
      <c r="T44" s="96">
        <v>-100.0250709</v>
      </c>
      <c r="U44" s="96">
        <v>-101.3882401</v>
      </c>
      <c r="V44" s="96">
        <v>-100.5364551</v>
      </c>
      <c r="W44" s="189">
        <v>-102.0202968</v>
      </c>
    </row>
    <row r="45" spans="2:23" x14ac:dyDescent="0.2">
      <c r="B45" s="99" t="s">
        <v>1681</v>
      </c>
      <c r="C45" s="96"/>
      <c r="D45" s="96">
        <v>0</v>
      </c>
      <c r="E45" s="96">
        <v>-484.99300479999999</v>
      </c>
      <c r="F45" s="96">
        <v>-488.35834499999999</v>
      </c>
      <c r="G45" s="96">
        <v>-491.35119229999998</v>
      </c>
      <c r="H45" s="96">
        <v>-1464.7025420999998</v>
      </c>
      <c r="I45" s="96">
        <v>-1464.7025420999998</v>
      </c>
      <c r="J45" s="96">
        <v>-461.72287230000006</v>
      </c>
      <c r="K45" s="96">
        <v>-5597.9419615999996</v>
      </c>
      <c r="L45" s="96">
        <v>-466.81035320000007</v>
      </c>
      <c r="M45" s="96">
        <v>-462.44520479999994</v>
      </c>
      <c r="N45" s="96">
        <v>-475.97585510000005</v>
      </c>
      <c r="O45" s="96">
        <v>-473.39774230000006</v>
      </c>
      <c r="P45" s="96">
        <v>-469.56686350000001</v>
      </c>
      <c r="Q45" s="96">
        <v>-467.46705159999999</v>
      </c>
      <c r="R45" s="96">
        <v>-463.14533549999999</v>
      </c>
      <c r="S45" s="96">
        <v>-463.33158969999994</v>
      </c>
      <c r="T45" s="96">
        <v>-473.08631129999998</v>
      </c>
      <c r="U45" s="96">
        <v>-465.01607580000001</v>
      </c>
      <c r="V45" s="96">
        <v>-455.97670649999998</v>
      </c>
      <c r="W45" s="189">
        <v>-461.72287230000006</v>
      </c>
    </row>
    <row r="46" spans="2:23" x14ac:dyDescent="0.2">
      <c r="B46" s="100" t="s">
        <v>1682</v>
      </c>
      <c r="C46" s="96"/>
      <c r="D46" s="96"/>
      <c r="E46" s="96">
        <v>-158.1840411</v>
      </c>
      <c r="F46" s="96">
        <v>-156.4739711</v>
      </c>
      <c r="G46" s="96">
        <v>-154.92512110000001</v>
      </c>
      <c r="H46" s="96">
        <v>-469.58313330000004</v>
      </c>
      <c r="I46" s="96">
        <v>-469.58313330000004</v>
      </c>
      <c r="J46" s="96">
        <v>-140.69234829999999</v>
      </c>
      <c r="K46" s="96">
        <v>-1703.2165107999999</v>
      </c>
      <c r="L46" s="96">
        <v>-142.18980250000001</v>
      </c>
      <c r="M46" s="96">
        <v>-141.43008209999999</v>
      </c>
      <c r="N46" s="96">
        <v>-142.13189199999999</v>
      </c>
      <c r="O46" s="96">
        <v>-143.63370710000001</v>
      </c>
      <c r="P46" s="96">
        <v>-141.39257649999999</v>
      </c>
      <c r="Q46" s="96">
        <v>-141.6792002</v>
      </c>
      <c r="R46" s="96">
        <v>-142.86362890000001</v>
      </c>
      <c r="S46" s="96">
        <v>-140.69234829999999</v>
      </c>
      <c r="T46" s="96">
        <v>-143.4270483</v>
      </c>
      <c r="U46" s="96">
        <v>-141.2814683</v>
      </c>
      <c r="V46" s="96">
        <v>-141.8024083</v>
      </c>
      <c r="W46" s="189">
        <v>-140.69234829999999</v>
      </c>
    </row>
    <row r="47" spans="2:23" x14ac:dyDescent="0.2">
      <c r="B47" s="100" t="s">
        <v>1683</v>
      </c>
      <c r="C47" s="96"/>
      <c r="D47" s="96"/>
      <c r="E47" s="96">
        <v>-458.87262729999998</v>
      </c>
      <c r="F47" s="96">
        <v>-463.9480375</v>
      </c>
      <c r="G47" s="96">
        <v>-468.48973480000001</v>
      </c>
      <c r="H47" s="96">
        <v>-1391.3103996</v>
      </c>
      <c r="I47" s="96">
        <v>-1391.3103996</v>
      </c>
      <c r="J47" s="96">
        <v>-410.1605055</v>
      </c>
      <c r="K47" s="96">
        <v>-4935.1257421000009</v>
      </c>
      <c r="L47" s="96">
        <v>-407.76756820000003</v>
      </c>
      <c r="M47" s="96">
        <v>-404.40811020000001</v>
      </c>
      <c r="N47" s="96">
        <v>-416.4990406</v>
      </c>
      <c r="O47" s="96">
        <v>-413.41324150000003</v>
      </c>
      <c r="P47" s="96">
        <v>-412.3154333</v>
      </c>
      <c r="Q47" s="96">
        <v>-411.2818327</v>
      </c>
      <c r="R47" s="96">
        <v>-409.42014339999997</v>
      </c>
      <c r="S47" s="96">
        <v>-412.35160819999999</v>
      </c>
      <c r="T47" s="96">
        <v>-420.1505348</v>
      </c>
      <c r="U47" s="96">
        <v>-413.11055900000002</v>
      </c>
      <c r="V47" s="96">
        <v>-404.24716469999998</v>
      </c>
      <c r="W47" s="189">
        <v>-410.1605055</v>
      </c>
    </row>
    <row r="48" spans="2:23" x14ac:dyDescent="0.2">
      <c r="B48" s="100" t="s">
        <v>1684</v>
      </c>
      <c r="C48" s="96"/>
      <c r="D48" s="96"/>
      <c r="E48" s="96">
        <v>132.06366360000001</v>
      </c>
      <c r="F48" s="96">
        <v>132.06366360000001</v>
      </c>
      <c r="G48" s="96">
        <v>132.06366360000001</v>
      </c>
      <c r="H48" s="96">
        <v>396.19099080000001</v>
      </c>
      <c r="I48" s="96">
        <v>396.19099080000001</v>
      </c>
      <c r="J48" s="96">
        <v>89.1299815</v>
      </c>
      <c r="K48" s="96">
        <v>1040.4002913000002</v>
      </c>
      <c r="L48" s="96">
        <v>83.147017500000004</v>
      </c>
      <c r="M48" s="96">
        <v>83.392987500000004</v>
      </c>
      <c r="N48" s="96">
        <v>82.655077500000004</v>
      </c>
      <c r="O48" s="96">
        <v>83.649206300000003</v>
      </c>
      <c r="P48" s="96">
        <v>84.141146300000003</v>
      </c>
      <c r="Q48" s="96">
        <v>85.493981300000002</v>
      </c>
      <c r="R48" s="96">
        <v>89.138436799999994</v>
      </c>
      <c r="S48" s="96">
        <v>89.712366799999998</v>
      </c>
      <c r="T48" s="96">
        <v>90.491271800000007</v>
      </c>
      <c r="U48" s="96">
        <v>89.375951499999999</v>
      </c>
      <c r="V48" s="96">
        <v>90.072866500000003</v>
      </c>
      <c r="W48" s="189">
        <v>89.1299815</v>
      </c>
    </row>
    <row r="49" spans="2:23" x14ac:dyDescent="0.2">
      <c r="B49" s="99" t="s">
        <v>1685</v>
      </c>
      <c r="C49" s="96"/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189">
        <v>0</v>
      </c>
    </row>
    <row r="50" spans="2:23" x14ac:dyDescent="0.2">
      <c r="B50" s="100" t="s">
        <v>1686</v>
      </c>
      <c r="C50" s="96"/>
      <c r="D50" s="96"/>
      <c r="E50" s="96"/>
      <c r="F50" s="96"/>
      <c r="G50" s="96"/>
      <c r="H50" s="96">
        <v>0</v>
      </c>
      <c r="I50" s="96">
        <v>0</v>
      </c>
      <c r="J50" s="96"/>
      <c r="K50" s="96">
        <v>0</v>
      </c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189"/>
    </row>
    <row r="51" spans="2:23" x14ac:dyDescent="0.2">
      <c r="B51" s="100" t="s">
        <v>1687</v>
      </c>
      <c r="C51" s="96"/>
      <c r="D51" s="96"/>
      <c r="E51" s="96"/>
      <c r="F51" s="96"/>
      <c r="G51" s="96"/>
      <c r="H51" s="96">
        <v>0</v>
      </c>
      <c r="I51" s="96">
        <v>0</v>
      </c>
      <c r="J51" s="96"/>
      <c r="K51" s="96">
        <v>0</v>
      </c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189"/>
    </row>
    <row r="52" spans="2:23" x14ac:dyDescent="0.2">
      <c r="B52" s="99" t="s">
        <v>1688</v>
      </c>
      <c r="C52" s="96"/>
      <c r="D52" s="96"/>
      <c r="E52" s="96">
        <v>5.0909139999999997</v>
      </c>
      <c r="F52" s="96">
        <v>5.0334997000000001</v>
      </c>
      <c r="G52" s="96">
        <v>5.1402177</v>
      </c>
      <c r="H52" s="96">
        <v>15.264631399999999</v>
      </c>
      <c r="I52" s="96">
        <v>15.264631399999999</v>
      </c>
      <c r="J52" s="96">
        <v>3.3625988000000002</v>
      </c>
      <c r="K52" s="96">
        <v>58.533005600000003</v>
      </c>
      <c r="L52" s="96">
        <v>3.3625988000000002</v>
      </c>
      <c r="M52" s="96">
        <v>3.3625988000000002</v>
      </c>
      <c r="N52" s="96">
        <v>3.3625988000000002</v>
      </c>
      <c r="O52" s="96">
        <v>3.3625988000000002</v>
      </c>
      <c r="P52" s="96">
        <v>3.3625988000000002</v>
      </c>
      <c r="Q52" s="96">
        <v>3.3625988000000002</v>
      </c>
      <c r="R52" s="96">
        <v>3.3625988000000002</v>
      </c>
      <c r="S52" s="96">
        <v>3.3625988000000002</v>
      </c>
      <c r="T52" s="96">
        <v>3.3625988000000002</v>
      </c>
      <c r="U52" s="96">
        <v>21.544418799999999</v>
      </c>
      <c r="V52" s="96">
        <v>3.3625988000000002</v>
      </c>
      <c r="W52" s="189">
        <v>3.3625988000000002</v>
      </c>
    </row>
    <row r="53" spans="2:23" x14ac:dyDescent="0.2">
      <c r="B53" s="99" t="s">
        <v>1689</v>
      </c>
      <c r="C53" s="96"/>
      <c r="D53" s="96"/>
      <c r="E53" s="96">
        <v>-44.380800100000002</v>
      </c>
      <c r="F53" s="96">
        <v>-48.701647899999998</v>
      </c>
      <c r="G53" s="96">
        <v>-44.316469499999997</v>
      </c>
      <c r="H53" s="96">
        <v>-137.39891749999998</v>
      </c>
      <c r="I53" s="96">
        <v>-137.39891749999998</v>
      </c>
      <c r="J53" s="96">
        <v>-27.0339852</v>
      </c>
      <c r="K53" s="96">
        <v>-389.50582240000006</v>
      </c>
      <c r="L53" s="96">
        <v>-47.801985199999997</v>
      </c>
      <c r="M53" s="96">
        <v>-27.0339852</v>
      </c>
      <c r="N53" s="96">
        <v>-27.0339852</v>
      </c>
      <c r="O53" s="96">
        <v>-27.0339852</v>
      </c>
      <c r="P53" s="96">
        <v>-27.0339852</v>
      </c>
      <c r="Q53" s="96">
        <v>-27.0339852</v>
      </c>
      <c r="R53" s="96">
        <v>-40.7639852</v>
      </c>
      <c r="S53" s="96">
        <v>-57.633985199999998</v>
      </c>
      <c r="T53" s="96">
        <v>-27.0339852</v>
      </c>
      <c r="U53" s="96">
        <v>-27.0339852</v>
      </c>
      <c r="V53" s="96">
        <v>-27.0339852</v>
      </c>
      <c r="W53" s="189">
        <v>-27.0339852</v>
      </c>
    </row>
    <row r="54" spans="2:23" x14ac:dyDescent="0.2">
      <c r="B54" s="190" t="s">
        <v>1690</v>
      </c>
      <c r="C54" s="188"/>
      <c r="D54" s="188">
        <v>0</v>
      </c>
      <c r="E54" s="188">
        <v>-668.10737979999999</v>
      </c>
      <c r="F54" s="188">
        <v>-659.24813019999999</v>
      </c>
      <c r="G54" s="188">
        <v>-654.35884870000007</v>
      </c>
      <c r="H54" s="188">
        <v>-1981.7143587</v>
      </c>
      <c r="I54" s="188">
        <v>-1981.7143587</v>
      </c>
      <c r="J54" s="188">
        <v>-605.93777929999999</v>
      </c>
      <c r="K54" s="188">
        <v>-7424.9823243000001</v>
      </c>
      <c r="L54" s="188">
        <v>-640.01688900000011</v>
      </c>
      <c r="M54" s="188">
        <v>-613.94668229999991</v>
      </c>
      <c r="N54" s="188">
        <v>-627.77310699999998</v>
      </c>
      <c r="O54" s="188">
        <v>-624.58606350000002</v>
      </c>
      <c r="P54" s="188">
        <v>-620.77974209999991</v>
      </c>
      <c r="Q54" s="188">
        <v>-615.79453219999994</v>
      </c>
      <c r="R54" s="188">
        <v>-621.73342189999994</v>
      </c>
      <c r="S54" s="188">
        <v>-649.98323669999991</v>
      </c>
      <c r="T54" s="188">
        <v>-615.30599239999992</v>
      </c>
      <c r="U54" s="188">
        <v>-590.41710609999996</v>
      </c>
      <c r="V54" s="188">
        <v>-598.70777179999993</v>
      </c>
      <c r="W54" s="191">
        <v>-605.93777929999999</v>
      </c>
    </row>
    <row r="55" spans="2:23" x14ac:dyDescent="0.2">
      <c r="B55" s="190" t="s">
        <v>1570</v>
      </c>
      <c r="C55" s="188"/>
      <c r="D55" s="188">
        <v>0</v>
      </c>
      <c r="E55" s="188">
        <v>807.10502020000013</v>
      </c>
      <c r="F55" s="188">
        <v>873.88386980000007</v>
      </c>
      <c r="G55" s="188">
        <v>745.11215129999994</v>
      </c>
      <c r="H55" s="188">
        <v>2426.1010412999999</v>
      </c>
      <c r="I55" s="188">
        <v>2426.1010412999999</v>
      </c>
      <c r="J55" s="188">
        <v>1022.2522207000001</v>
      </c>
      <c r="K55" s="188">
        <v>9541.7158926000011</v>
      </c>
      <c r="L55" s="188">
        <v>536.70275589999994</v>
      </c>
      <c r="M55" s="188">
        <v>606.5767926000002</v>
      </c>
      <c r="N55" s="188">
        <v>666.09512790000008</v>
      </c>
      <c r="O55" s="188">
        <v>633.93603139999993</v>
      </c>
      <c r="P55" s="188">
        <v>913.1154485000003</v>
      </c>
      <c r="Q55" s="188">
        <v>973.18001840000022</v>
      </c>
      <c r="R55" s="188">
        <v>868.77226870000027</v>
      </c>
      <c r="S55" s="188">
        <v>762.3019939000003</v>
      </c>
      <c r="T55" s="188">
        <v>838.85381189999998</v>
      </c>
      <c r="U55" s="188">
        <v>949.25760820000005</v>
      </c>
      <c r="V55" s="188">
        <v>874.55131250000011</v>
      </c>
      <c r="W55" s="191">
        <v>918.37272269999983</v>
      </c>
    </row>
    <row r="56" spans="2:23" x14ac:dyDescent="0.2">
      <c r="B56" s="99" t="s">
        <v>1577</v>
      </c>
      <c r="C56" s="96"/>
      <c r="D56" s="96"/>
      <c r="E56" s="96">
        <v>-336.78884169999998</v>
      </c>
      <c r="F56" s="96">
        <v>-320.57335499999999</v>
      </c>
      <c r="G56" s="96">
        <v>-311.00729699999999</v>
      </c>
      <c r="H56" s="96">
        <v>-968.36949369999991</v>
      </c>
      <c r="I56" s="96">
        <v>-968.36949369999991</v>
      </c>
      <c r="J56" s="96">
        <v>-262.50740519999999</v>
      </c>
      <c r="K56" s="96">
        <v>-4116.1824126000001</v>
      </c>
      <c r="L56" s="96">
        <v>-378.81058919999998</v>
      </c>
      <c r="M56" s="96">
        <v>-422.86932589999998</v>
      </c>
      <c r="N56" s="96">
        <v>-411.84867100000002</v>
      </c>
      <c r="O56" s="96">
        <v>-398.68266460000001</v>
      </c>
      <c r="P56" s="96">
        <v>-404.01044689999998</v>
      </c>
      <c r="Q56" s="96">
        <v>-406.30214960000001</v>
      </c>
      <c r="R56" s="96">
        <v>-359.005042</v>
      </c>
      <c r="S56" s="96">
        <v>-297.2540353</v>
      </c>
      <c r="T56" s="96">
        <v>-267.64768149999998</v>
      </c>
      <c r="U56" s="96">
        <v>-256.04262720000003</v>
      </c>
      <c r="V56" s="96">
        <v>-254.9139879</v>
      </c>
      <c r="W56" s="189">
        <v>-258.79519149999999</v>
      </c>
    </row>
    <row r="57" spans="2:23" x14ac:dyDescent="0.2">
      <c r="B57" s="99" t="s">
        <v>1691</v>
      </c>
      <c r="C57" s="96"/>
      <c r="D57" s="96"/>
      <c r="E57" s="96"/>
      <c r="F57" s="96"/>
      <c r="G57" s="96"/>
      <c r="H57" s="96">
        <v>0</v>
      </c>
      <c r="I57" s="96">
        <v>0</v>
      </c>
      <c r="J57" s="96"/>
      <c r="K57" s="96">
        <v>0</v>
      </c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189"/>
    </row>
    <row r="58" spans="2:23" x14ac:dyDescent="0.2">
      <c r="B58" s="99" t="s">
        <v>1692</v>
      </c>
      <c r="C58" s="96"/>
      <c r="D58" s="96"/>
      <c r="E58" s="96">
        <v>-6.7628364000000003</v>
      </c>
      <c r="F58" s="96">
        <v>-7.2676173999999998</v>
      </c>
      <c r="G58" s="96">
        <v>-6.7682712</v>
      </c>
      <c r="H58" s="96">
        <v>-20.798725000000001</v>
      </c>
      <c r="I58" s="96">
        <v>-20.798725000000001</v>
      </c>
      <c r="J58" s="96">
        <v>-1.423041</v>
      </c>
      <c r="K58" s="96">
        <v>-55.227939000000006</v>
      </c>
      <c r="L58" s="96">
        <v>-7.6948797999999998</v>
      </c>
      <c r="M58" s="96">
        <v>-7.1480753000000004</v>
      </c>
      <c r="N58" s="96">
        <v>-6.5967142000000001</v>
      </c>
      <c r="O58" s="96">
        <v>-6.0407582</v>
      </c>
      <c r="P58" s="96">
        <v>-5.4801697000000003</v>
      </c>
      <c r="Q58" s="96">
        <v>-4.9149089000000004</v>
      </c>
      <c r="R58" s="96">
        <v>-4.3449382999999999</v>
      </c>
      <c r="S58" s="96">
        <v>-3.7702176999999999</v>
      </c>
      <c r="T58" s="96">
        <v>-3.1907076999999999</v>
      </c>
      <c r="U58" s="96">
        <v>-2.6063684</v>
      </c>
      <c r="V58" s="96">
        <v>-2.0171597999999999</v>
      </c>
      <c r="W58" s="189">
        <v>-1.423041</v>
      </c>
    </row>
    <row r="59" spans="2:23" x14ac:dyDescent="0.2">
      <c r="B59" s="190" t="s">
        <v>1693</v>
      </c>
      <c r="C59" s="188"/>
      <c r="D59" s="188">
        <v>0</v>
      </c>
      <c r="E59" s="188">
        <v>463.55334210000012</v>
      </c>
      <c r="F59" s="188">
        <v>546.04289740000013</v>
      </c>
      <c r="G59" s="188">
        <v>427.33658309999993</v>
      </c>
      <c r="H59" s="188">
        <v>1436.9328226000002</v>
      </c>
      <c r="I59" s="188">
        <v>1436.9328226000002</v>
      </c>
      <c r="J59" s="188">
        <v>758.32177450000006</v>
      </c>
      <c r="K59" s="188">
        <v>5370.3055410000006</v>
      </c>
      <c r="L59" s="188">
        <v>150.19728689999997</v>
      </c>
      <c r="M59" s="188">
        <v>176.55939140000024</v>
      </c>
      <c r="N59" s="188">
        <v>247.64974270000005</v>
      </c>
      <c r="O59" s="188">
        <v>229.21260859999992</v>
      </c>
      <c r="P59" s="188">
        <v>503.62483190000034</v>
      </c>
      <c r="Q59" s="188">
        <v>561.96295990000021</v>
      </c>
      <c r="R59" s="188">
        <v>505.42228840000024</v>
      </c>
      <c r="S59" s="188">
        <v>461.27774090000031</v>
      </c>
      <c r="T59" s="188">
        <v>568.01542270000004</v>
      </c>
      <c r="U59" s="188">
        <v>690.60861260000013</v>
      </c>
      <c r="V59" s="188">
        <v>617.62016480000011</v>
      </c>
      <c r="W59" s="191">
        <v>658.15449019999983</v>
      </c>
    </row>
    <row r="60" spans="2:23" x14ac:dyDescent="0.2">
      <c r="B60" s="99" t="s">
        <v>1694</v>
      </c>
      <c r="C60" s="96"/>
      <c r="D60" s="96"/>
      <c r="E60" s="96"/>
      <c r="F60" s="96"/>
      <c r="G60" s="96"/>
      <c r="H60" s="96">
        <v>0</v>
      </c>
      <c r="I60" s="96">
        <v>0</v>
      </c>
      <c r="J60" s="96"/>
      <c r="K60" s="96">
        <v>0</v>
      </c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189"/>
    </row>
    <row r="61" spans="2:23" x14ac:dyDescent="0.2">
      <c r="B61" s="190" t="s">
        <v>1695</v>
      </c>
      <c r="C61" s="188"/>
      <c r="D61" s="188">
        <v>0</v>
      </c>
      <c r="E61" s="188">
        <v>463.55334210000012</v>
      </c>
      <c r="F61" s="188">
        <v>546.04289740000013</v>
      </c>
      <c r="G61" s="188">
        <v>427.33658309999993</v>
      </c>
      <c r="H61" s="188">
        <v>1436.9328226000002</v>
      </c>
      <c r="I61" s="188">
        <v>1436.9328226000002</v>
      </c>
      <c r="J61" s="188">
        <v>758.32177450000006</v>
      </c>
      <c r="K61" s="188">
        <v>5370.3055410000006</v>
      </c>
      <c r="L61" s="188">
        <v>150.19728689999997</v>
      </c>
      <c r="M61" s="188">
        <v>176.55939140000024</v>
      </c>
      <c r="N61" s="188">
        <v>247.64974270000005</v>
      </c>
      <c r="O61" s="188">
        <v>229.21260859999992</v>
      </c>
      <c r="P61" s="188">
        <v>503.62483190000034</v>
      </c>
      <c r="Q61" s="188">
        <v>561.96295990000021</v>
      </c>
      <c r="R61" s="188">
        <v>505.42228840000024</v>
      </c>
      <c r="S61" s="188">
        <v>461.27774090000031</v>
      </c>
      <c r="T61" s="188">
        <v>568.01542270000004</v>
      </c>
      <c r="U61" s="188">
        <v>690.60861260000013</v>
      </c>
      <c r="V61" s="188">
        <v>617.62016480000011</v>
      </c>
      <c r="W61" s="191">
        <v>658.15449019999983</v>
      </c>
    </row>
    <row r="62" spans="2:23" x14ac:dyDescent="0.2">
      <c r="B62" s="99" t="s">
        <v>1696</v>
      </c>
      <c r="C62" s="96"/>
      <c r="D62" s="96"/>
      <c r="E62" s="96"/>
      <c r="F62" s="96"/>
      <c r="G62" s="96"/>
      <c r="H62" s="96">
        <v>0</v>
      </c>
      <c r="I62" s="96">
        <v>0</v>
      </c>
      <c r="J62" s="96"/>
      <c r="K62" s="96">
        <v>0</v>
      </c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189"/>
    </row>
    <row r="63" spans="2:23" x14ac:dyDescent="0.2">
      <c r="B63" s="190" t="s">
        <v>1697</v>
      </c>
      <c r="C63" s="188"/>
      <c r="D63" s="188">
        <v>0</v>
      </c>
      <c r="E63" s="188">
        <v>463.55334210000012</v>
      </c>
      <c r="F63" s="188">
        <v>546.04289740000013</v>
      </c>
      <c r="G63" s="188">
        <v>427.33658309999993</v>
      </c>
      <c r="H63" s="188">
        <v>1436.9328226000002</v>
      </c>
      <c r="I63" s="188">
        <v>1436.9328226000002</v>
      </c>
      <c r="J63" s="188">
        <v>758.32177450000006</v>
      </c>
      <c r="K63" s="188">
        <v>5370.3055410000006</v>
      </c>
      <c r="L63" s="188">
        <v>150.19728689999997</v>
      </c>
      <c r="M63" s="188">
        <v>176.55939140000024</v>
      </c>
      <c r="N63" s="188">
        <v>247.64974270000005</v>
      </c>
      <c r="O63" s="188">
        <v>229.21260859999992</v>
      </c>
      <c r="P63" s="188">
        <v>503.62483190000034</v>
      </c>
      <c r="Q63" s="188">
        <v>561.96295990000021</v>
      </c>
      <c r="R63" s="188">
        <v>505.42228840000024</v>
      </c>
      <c r="S63" s="188">
        <v>461.27774090000031</v>
      </c>
      <c r="T63" s="188">
        <v>568.01542270000004</v>
      </c>
      <c r="U63" s="188">
        <v>690.60861260000013</v>
      </c>
      <c r="V63" s="188">
        <v>617.62016480000011</v>
      </c>
      <c r="W63" s="191">
        <v>658.15449019999983</v>
      </c>
    </row>
    <row r="64" spans="2:23" ht="12" thickBot="1" x14ac:dyDescent="0.25">
      <c r="B64" s="192" t="s">
        <v>1698</v>
      </c>
      <c r="C64" s="193"/>
      <c r="D64" s="193"/>
      <c r="E64" s="193">
        <v>1312.5497674000001</v>
      </c>
      <c r="F64" s="193">
        <v>1380.9080862000001</v>
      </c>
      <c r="G64" s="193">
        <v>1252.9716593000001</v>
      </c>
      <c r="H64" s="193">
        <v>3946.4295129000002</v>
      </c>
      <c r="I64" s="193">
        <v>3946.4295129000002</v>
      </c>
      <c r="J64" s="193">
        <v>1188.1631244</v>
      </c>
      <c r="K64" s="193">
        <v>22805.196911799998</v>
      </c>
      <c r="L64" s="193">
        <v>660.40113069999995</v>
      </c>
      <c r="M64" s="193">
        <v>750.92213349999997</v>
      </c>
      <c r="N64" s="193">
        <v>1825.615233</v>
      </c>
      <c r="O64" s="193">
        <v>1793.8223276000001</v>
      </c>
      <c r="P64" s="193">
        <v>2280.6662715000002</v>
      </c>
      <c r="Q64" s="193">
        <v>2339.4632827999999</v>
      </c>
      <c r="R64" s="193">
        <v>2234.2920936999999</v>
      </c>
      <c r="S64" s="193">
        <v>2047.1557292</v>
      </c>
      <c r="T64" s="193">
        <v>2165.014111</v>
      </c>
      <c r="U64" s="193">
        <v>2271.3353215000002</v>
      </c>
      <c r="V64" s="193">
        <v>2196.7529691999998</v>
      </c>
      <c r="W64" s="194">
        <v>2239.7563080999998</v>
      </c>
    </row>
  </sheetData>
  <mergeCells count="5">
    <mergeCell ref="B2:C3"/>
    <mergeCell ref="D2:I2"/>
    <mergeCell ref="J2:J3"/>
    <mergeCell ref="K2:K3"/>
    <mergeCell ref="L2:W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88C7-E1BA-4F51-A9B9-72D279409920}">
  <dimension ref="B1:V113"/>
  <sheetViews>
    <sheetView showGridLines="0" workbookViewId="0">
      <selection activeCell="Z10" sqref="Z10"/>
    </sheetView>
  </sheetViews>
  <sheetFormatPr defaultRowHeight="12.75" x14ac:dyDescent="0.2"/>
  <cols>
    <col min="1" max="1" width="2.85546875" customWidth="1"/>
    <col min="2" max="2" width="28.5703125" bestFit="1" customWidth="1"/>
    <col min="3" max="3" width="1.5703125" customWidth="1"/>
    <col min="4" max="4" width="5.5703125" hidden="1" customWidth="1"/>
    <col min="5" max="5" width="5.85546875" hidden="1" customWidth="1"/>
    <col min="6" max="9" width="7.42578125" hidden="1" customWidth="1"/>
    <col min="10" max="10" width="11" bestFit="1" customWidth="1"/>
    <col min="11" max="22" width="7.42578125" bestFit="1" customWidth="1"/>
  </cols>
  <sheetData>
    <row r="1" spans="2:22" ht="13.5" thickBot="1" x14ac:dyDescent="0.25"/>
    <row r="2" spans="2:22" x14ac:dyDescent="0.2">
      <c r="B2" s="269" t="s">
        <v>1643</v>
      </c>
      <c r="C2" s="270"/>
      <c r="D2" s="273">
        <v>2025</v>
      </c>
      <c r="E2" s="274"/>
      <c r="F2" s="274"/>
      <c r="G2" s="274"/>
      <c r="H2" s="195"/>
      <c r="I2" s="196"/>
      <c r="J2" s="275" t="s">
        <v>1938</v>
      </c>
      <c r="K2" s="273" t="s">
        <v>1939</v>
      </c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7"/>
    </row>
    <row r="3" spans="2:22" ht="45.75" thickBot="1" x14ac:dyDescent="0.25">
      <c r="B3" s="271"/>
      <c r="C3" s="272"/>
      <c r="D3" s="144" t="s">
        <v>1918</v>
      </c>
      <c r="E3" s="144" t="s">
        <v>1940</v>
      </c>
      <c r="F3" s="144" t="s">
        <v>1941</v>
      </c>
      <c r="G3" s="144" t="s">
        <v>1923</v>
      </c>
      <c r="H3" s="144" t="s">
        <v>1922</v>
      </c>
      <c r="I3" s="144" t="s">
        <v>1942</v>
      </c>
      <c r="J3" s="276"/>
      <c r="K3" s="144" t="s">
        <v>1924</v>
      </c>
      <c r="L3" s="144" t="s">
        <v>1925</v>
      </c>
      <c r="M3" s="144" t="s">
        <v>1926</v>
      </c>
      <c r="N3" s="144" t="s">
        <v>1927</v>
      </c>
      <c r="O3" s="144" t="s">
        <v>1928</v>
      </c>
      <c r="P3" s="144" t="s">
        <v>1929</v>
      </c>
      <c r="Q3" s="144" t="s">
        <v>1930</v>
      </c>
      <c r="R3" s="144" t="s">
        <v>1931</v>
      </c>
      <c r="S3" s="144" t="s">
        <v>1932</v>
      </c>
      <c r="T3" s="144" t="s">
        <v>1933</v>
      </c>
      <c r="U3" s="144" t="s">
        <v>1934</v>
      </c>
      <c r="V3" s="145" t="s">
        <v>1935</v>
      </c>
    </row>
    <row r="4" spans="2:22" x14ac:dyDescent="0.2">
      <c r="B4" s="99" t="s">
        <v>1699</v>
      </c>
      <c r="C4" s="96"/>
      <c r="D4" s="197"/>
      <c r="E4" s="146">
        <v>0</v>
      </c>
      <c r="F4" s="146">
        <v>1.04983</v>
      </c>
      <c r="G4" s="146">
        <v>3.45</v>
      </c>
      <c r="H4" s="146">
        <v>4.4998300000000002</v>
      </c>
      <c r="I4" s="197">
        <v>4.4998300000000002</v>
      </c>
      <c r="J4" s="146">
        <v>3.45</v>
      </c>
      <c r="K4" s="146">
        <v>0.46708</v>
      </c>
      <c r="L4" s="146">
        <v>0.45671</v>
      </c>
      <c r="M4" s="146">
        <v>9.3762299999999996</v>
      </c>
      <c r="N4" s="146">
        <v>3.7781899999999999</v>
      </c>
      <c r="O4" s="146">
        <v>0.46255000000000002</v>
      </c>
      <c r="P4" s="146">
        <v>8.4216800000000003</v>
      </c>
      <c r="Q4" s="146">
        <v>3.8850600000000002</v>
      </c>
      <c r="R4" s="146">
        <v>0.45746999999999999</v>
      </c>
      <c r="S4" s="146">
        <v>6.35</v>
      </c>
      <c r="T4" s="146">
        <v>1.04983</v>
      </c>
      <c r="U4" s="146">
        <v>1.04983</v>
      </c>
      <c r="V4" s="149">
        <v>3.45</v>
      </c>
    </row>
    <row r="5" spans="2:22" x14ac:dyDescent="0.2">
      <c r="B5" s="99" t="s">
        <v>1700</v>
      </c>
      <c r="C5" s="96"/>
      <c r="D5" s="197">
        <v>0</v>
      </c>
      <c r="E5" s="146">
        <v>0</v>
      </c>
      <c r="F5" s="146">
        <v>21765.264999999999</v>
      </c>
      <c r="G5" s="146">
        <v>22986.725720000002</v>
      </c>
      <c r="H5" s="146">
        <v>44751.990720000002</v>
      </c>
      <c r="I5" s="197">
        <v>44751.990720000002</v>
      </c>
      <c r="J5" s="146">
        <v>23553.14572</v>
      </c>
      <c r="K5" s="146">
        <v>27338.472869999998</v>
      </c>
      <c r="L5" s="146">
        <v>26306.832309999998</v>
      </c>
      <c r="M5" s="146">
        <v>25540.458010000002</v>
      </c>
      <c r="N5" s="146">
        <v>25376.389710000003</v>
      </c>
      <c r="O5" s="146">
        <v>28869.276750000001</v>
      </c>
      <c r="P5" s="146">
        <v>29824.814140000002</v>
      </c>
      <c r="Q5" s="146">
        <v>22733.08482</v>
      </c>
      <c r="R5" s="146">
        <v>20303.78674</v>
      </c>
      <c r="S5" s="146">
        <v>20993.377526300003</v>
      </c>
      <c r="T5" s="146">
        <v>20014.065000000002</v>
      </c>
      <c r="U5" s="146">
        <v>21511.165000000001</v>
      </c>
      <c r="V5" s="149">
        <v>23553.14572</v>
      </c>
    </row>
    <row r="6" spans="2:22" x14ac:dyDescent="0.2">
      <c r="B6" s="100" t="s">
        <v>1608</v>
      </c>
      <c r="C6" s="96"/>
      <c r="D6" s="197"/>
      <c r="E6" s="146">
        <v>0</v>
      </c>
      <c r="F6" s="146">
        <v>184.2</v>
      </c>
      <c r="G6" s="146">
        <v>193.2</v>
      </c>
      <c r="H6" s="146">
        <v>377.4</v>
      </c>
      <c r="I6" s="197">
        <v>377.4</v>
      </c>
      <c r="J6" s="146">
        <v>127.2</v>
      </c>
      <c r="K6" s="146">
        <v>249.14832000000001</v>
      </c>
      <c r="L6" s="146">
        <v>418.08449000000002</v>
      </c>
      <c r="M6" s="146">
        <v>451.58143999999999</v>
      </c>
      <c r="N6" s="146">
        <v>319.2672</v>
      </c>
      <c r="O6" s="146">
        <v>205.03286</v>
      </c>
      <c r="P6" s="146">
        <v>205.03286</v>
      </c>
      <c r="Q6" s="146">
        <v>205.03286</v>
      </c>
      <c r="R6" s="146">
        <v>205.03286</v>
      </c>
      <c r="S6" s="146">
        <v>233.3425263</v>
      </c>
      <c r="T6" s="146">
        <v>222</v>
      </c>
      <c r="U6" s="146">
        <v>254.2</v>
      </c>
      <c r="V6" s="149">
        <v>127.2</v>
      </c>
    </row>
    <row r="7" spans="2:22" x14ac:dyDescent="0.2">
      <c r="B7" s="100" t="s">
        <v>1701</v>
      </c>
      <c r="C7" s="96"/>
      <c r="D7" s="197"/>
      <c r="E7" s="146">
        <v>0</v>
      </c>
      <c r="F7" s="146">
        <v>145</v>
      </c>
      <c r="G7" s="146">
        <v>175</v>
      </c>
      <c r="H7" s="146">
        <v>320</v>
      </c>
      <c r="I7" s="197">
        <v>320</v>
      </c>
      <c r="J7" s="146">
        <v>135</v>
      </c>
      <c r="K7" s="146">
        <v>170.12608</v>
      </c>
      <c r="L7" s="146">
        <v>164.83160000000001</v>
      </c>
      <c r="M7" s="146">
        <v>164.83160000000001</v>
      </c>
      <c r="N7" s="146">
        <v>164.83160000000001</v>
      </c>
      <c r="O7" s="146">
        <v>134</v>
      </c>
      <c r="P7" s="146">
        <v>152.63221999999999</v>
      </c>
      <c r="Q7" s="146">
        <v>152.96657999999999</v>
      </c>
      <c r="R7" s="146">
        <v>132.96657999999999</v>
      </c>
      <c r="S7" s="146">
        <v>120</v>
      </c>
      <c r="T7" s="146">
        <v>185</v>
      </c>
      <c r="U7" s="146">
        <v>145</v>
      </c>
      <c r="V7" s="149">
        <v>135</v>
      </c>
    </row>
    <row r="8" spans="2:22" x14ac:dyDescent="0.2">
      <c r="B8" s="100" t="s">
        <v>1702</v>
      </c>
      <c r="C8" s="96"/>
      <c r="D8" s="197"/>
      <c r="E8" s="146"/>
      <c r="F8" s="146"/>
      <c r="G8" s="146"/>
      <c r="H8" s="146">
        <v>0</v>
      </c>
      <c r="I8" s="197">
        <v>0</v>
      </c>
      <c r="J8" s="146">
        <v>0</v>
      </c>
      <c r="K8" s="146"/>
      <c r="L8" s="146"/>
      <c r="M8" s="146"/>
      <c r="N8" s="146">
        <v>0</v>
      </c>
      <c r="O8" s="146"/>
      <c r="P8" s="146"/>
      <c r="Q8" s="146"/>
      <c r="R8" s="146"/>
      <c r="S8" s="146"/>
      <c r="T8" s="146"/>
      <c r="U8" s="146"/>
      <c r="V8" s="149"/>
    </row>
    <row r="9" spans="2:22" x14ac:dyDescent="0.2">
      <c r="B9" s="100" t="s">
        <v>1609</v>
      </c>
      <c r="C9" s="96"/>
      <c r="D9" s="197"/>
      <c r="E9" s="146">
        <v>0</v>
      </c>
      <c r="F9" s="146">
        <v>16553.47</v>
      </c>
      <c r="G9" s="146">
        <v>17774.73</v>
      </c>
      <c r="H9" s="146">
        <v>34328.199999999997</v>
      </c>
      <c r="I9" s="197">
        <v>34328.199999999997</v>
      </c>
      <c r="J9" s="146">
        <v>17394.73</v>
      </c>
      <c r="K9" s="146">
        <v>19003.613020000001</v>
      </c>
      <c r="L9" s="146">
        <v>18316.49627</v>
      </c>
      <c r="M9" s="146">
        <v>17099.856800000001</v>
      </c>
      <c r="N9" s="146">
        <v>18161.907159999999</v>
      </c>
      <c r="O9" s="146">
        <v>19708.542720000001</v>
      </c>
      <c r="P9" s="146">
        <v>19558.38464</v>
      </c>
      <c r="Q9" s="146">
        <v>16406.346389999999</v>
      </c>
      <c r="R9" s="146">
        <v>14413.269200000001</v>
      </c>
      <c r="S9" s="146">
        <v>14701.7</v>
      </c>
      <c r="T9" s="146">
        <v>13932.65</v>
      </c>
      <c r="U9" s="146">
        <v>15463.47</v>
      </c>
      <c r="V9" s="149">
        <v>17394.73</v>
      </c>
    </row>
    <row r="10" spans="2:22" x14ac:dyDescent="0.2">
      <c r="B10" s="100" t="s">
        <v>1703</v>
      </c>
      <c r="C10" s="96"/>
      <c r="D10" s="197"/>
      <c r="E10" s="146">
        <v>0</v>
      </c>
      <c r="F10" s="146">
        <v>3362.21</v>
      </c>
      <c r="G10" s="146">
        <v>3114.41</v>
      </c>
      <c r="H10" s="146">
        <v>6476.62</v>
      </c>
      <c r="I10" s="197">
        <v>6476.62</v>
      </c>
      <c r="J10" s="146">
        <v>4184.41</v>
      </c>
      <c r="K10" s="146">
        <v>5453.8272100000004</v>
      </c>
      <c r="L10" s="146">
        <v>5489.0901299999996</v>
      </c>
      <c r="M10" s="146">
        <v>5655.6803799999998</v>
      </c>
      <c r="N10" s="146">
        <v>4716.2953500000003</v>
      </c>
      <c r="O10" s="146">
        <v>7086.9722000000002</v>
      </c>
      <c r="P10" s="146">
        <v>7990.9100900000003</v>
      </c>
      <c r="Q10" s="146">
        <v>4595.6226699999997</v>
      </c>
      <c r="R10" s="146">
        <v>3943.9992699999998</v>
      </c>
      <c r="S10" s="146">
        <v>4159.1099999999997</v>
      </c>
      <c r="T10" s="146">
        <v>4048.49</v>
      </c>
      <c r="U10" s="146">
        <v>4054.21</v>
      </c>
      <c r="V10" s="149">
        <v>4184.41</v>
      </c>
    </row>
    <row r="11" spans="2:22" x14ac:dyDescent="0.2">
      <c r="B11" s="100" t="s">
        <v>1704</v>
      </c>
      <c r="C11" s="96"/>
      <c r="D11" s="197"/>
      <c r="E11" s="146">
        <v>0</v>
      </c>
      <c r="F11" s="146">
        <v>523.89499999999998</v>
      </c>
      <c r="G11" s="146">
        <v>558.19500000000005</v>
      </c>
      <c r="H11" s="146">
        <v>1082.0900000000001</v>
      </c>
      <c r="I11" s="197">
        <v>1082.0900000000001</v>
      </c>
      <c r="J11" s="146">
        <v>478.19499999999999</v>
      </c>
      <c r="K11" s="146">
        <v>638.56172000000004</v>
      </c>
      <c r="L11" s="146">
        <v>600.87555999999995</v>
      </c>
      <c r="M11" s="146">
        <v>550.68861000000004</v>
      </c>
      <c r="N11" s="146">
        <v>552.20126000000005</v>
      </c>
      <c r="O11" s="146">
        <v>673.51489000000004</v>
      </c>
      <c r="P11" s="146">
        <v>684.88203999999996</v>
      </c>
      <c r="Q11" s="146">
        <v>408.56171000000001</v>
      </c>
      <c r="R11" s="146">
        <v>453.77116000000001</v>
      </c>
      <c r="S11" s="146">
        <v>557.995</v>
      </c>
      <c r="T11" s="146">
        <v>550.55499999999995</v>
      </c>
      <c r="U11" s="146">
        <v>463.89499999999998</v>
      </c>
      <c r="V11" s="149">
        <v>478.19499999999999</v>
      </c>
    </row>
    <row r="12" spans="2:22" x14ac:dyDescent="0.2">
      <c r="B12" s="100" t="s">
        <v>1705</v>
      </c>
      <c r="C12" s="96"/>
      <c r="D12" s="197"/>
      <c r="E12" s="146">
        <v>0</v>
      </c>
      <c r="F12" s="146">
        <v>1407.84</v>
      </c>
      <c r="G12" s="146">
        <v>1565.11</v>
      </c>
      <c r="H12" s="146">
        <v>2972.95</v>
      </c>
      <c r="I12" s="197">
        <v>2972.95</v>
      </c>
      <c r="J12" s="146">
        <v>1281.1099999999999</v>
      </c>
      <c r="K12" s="146">
        <v>1967.13851</v>
      </c>
      <c r="L12" s="146">
        <v>1310.1954599999999</v>
      </c>
      <c r="M12" s="146">
        <v>1809.2083299999999</v>
      </c>
      <c r="N12" s="146">
        <v>1661.95299</v>
      </c>
      <c r="O12" s="146">
        <v>1394.8802800000001</v>
      </c>
      <c r="P12" s="146">
        <v>1414.0707399999999</v>
      </c>
      <c r="Q12" s="146">
        <v>1115.18966</v>
      </c>
      <c r="R12" s="146">
        <v>1241.24089</v>
      </c>
      <c r="S12" s="146">
        <v>1211.42</v>
      </c>
      <c r="T12" s="146">
        <v>1131.46</v>
      </c>
      <c r="U12" s="146">
        <v>1167.8399999999999</v>
      </c>
      <c r="V12" s="149">
        <v>1281.1099999999999</v>
      </c>
    </row>
    <row r="13" spans="2:22" x14ac:dyDescent="0.2">
      <c r="B13" s="100" t="s">
        <v>1584</v>
      </c>
      <c r="C13" s="96"/>
      <c r="D13" s="197"/>
      <c r="E13" s="146">
        <v>0</v>
      </c>
      <c r="F13" s="146">
        <v>-192.45</v>
      </c>
      <c r="G13" s="146">
        <v>-189.71</v>
      </c>
      <c r="H13" s="146">
        <v>-382.15999999999997</v>
      </c>
      <c r="I13" s="197">
        <v>-382.15999999999997</v>
      </c>
      <c r="J13" s="146">
        <v>259.70999999999998</v>
      </c>
      <c r="K13" s="146">
        <v>153.85617999999999</v>
      </c>
      <c r="L13" s="146">
        <v>243.01173</v>
      </c>
      <c r="M13" s="146">
        <v>238.15179000000001</v>
      </c>
      <c r="N13" s="146">
        <v>192.05696</v>
      </c>
      <c r="O13" s="146">
        <v>156.48168999999999</v>
      </c>
      <c r="P13" s="146">
        <v>177.04919000000001</v>
      </c>
      <c r="Q13" s="146">
        <v>150.63310000000001</v>
      </c>
      <c r="R13" s="146">
        <v>191.63274999999999</v>
      </c>
      <c r="S13" s="146">
        <v>265.89999999999998</v>
      </c>
      <c r="T13" s="146">
        <v>282.33</v>
      </c>
      <c r="U13" s="146">
        <v>192.45</v>
      </c>
      <c r="V13" s="149">
        <v>259.70999999999998</v>
      </c>
    </row>
    <row r="14" spans="2:22" x14ac:dyDescent="0.2">
      <c r="B14" s="100" t="s">
        <v>1706</v>
      </c>
      <c r="C14" s="96"/>
      <c r="D14" s="197"/>
      <c r="E14" s="146">
        <v>0</v>
      </c>
      <c r="F14" s="146">
        <v>-218.9</v>
      </c>
      <c r="G14" s="146">
        <v>-204.20928000000001</v>
      </c>
      <c r="H14" s="146">
        <v>-423.10928000000001</v>
      </c>
      <c r="I14" s="197">
        <v>-423.10928000000001</v>
      </c>
      <c r="J14" s="146">
        <v>-307.20927999999998</v>
      </c>
      <c r="K14" s="146">
        <v>-297.79817000000003</v>
      </c>
      <c r="L14" s="146">
        <v>-235.75292999999999</v>
      </c>
      <c r="M14" s="146">
        <v>-429.54093999999998</v>
      </c>
      <c r="N14" s="146">
        <v>-392.12281000000002</v>
      </c>
      <c r="O14" s="146">
        <v>-490.14789000000002</v>
      </c>
      <c r="P14" s="146">
        <v>-358.14764000000002</v>
      </c>
      <c r="Q14" s="146">
        <v>-301.26814999999999</v>
      </c>
      <c r="R14" s="146">
        <v>-278.12597</v>
      </c>
      <c r="S14" s="146">
        <v>-256.08999999999997</v>
      </c>
      <c r="T14" s="146">
        <v>-338.42</v>
      </c>
      <c r="U14" s="146">
        <v>-229.9</v>
      </c>
      <c r="V14" s="149">
        <v>-307.20927999999998</v>
      </c>
    </row>
    <row r="15" spans="2:22" x14ac:dyDescent="0.2">
      <c r="B15" s="99" t="s">
        <v>1607</v>
      </c>
      <c r="C15" s="96"/>
      <c r="D15" s="197">
        <v>0</v>
      </c>
      <c r="E15" s="146">
        <v>0</v>
      </c>
      <c r="F15" s="146">
        <v>247.49</v>
      </c>
      <c r="G15" s="146">
        <v>263.76</v>
      </c>
      <c r="H15" s="146">
        <v>511.25</v>
      </c>
      <c r="I15" s="197">
        <v>511.25</v>
      </c>
      <c r="J15" s="146">
        <v>565.76</v>
      </c>
      <c r="K15" s="146">
        <v>364.03242999999998</v>
      </c>
      <c r="L15" s="146">
        <v>836.35705000000007</v>
      </c>
      <c r="M15" s="146">
        <v>615.34592999999995</v>
      </c>
      <c r="N15" s="146">
        <v>310.76375999999999</v>
      </c>
      <c r="O15" s="146">
        <v>487.77262999999994</v>
      </c>
      <c r="P15" s="146">
        <v>258.01513999999997</v>
      </c>
      <c r="Q15" s="146">
        <v>379.36279999999999</v>
      </c>
      <c r="R15" s="146">
        <v>407.81019000000003</v>
      </c>
      <c r="S15" s="146">
        <v>293.92</v>
      </c>
      <c r="T15" s="146">
        <v>404.09</v>
      </c>
      <c r="U15" s="146">
        <v>573.49</v>
      </c>
      <c r="V15" s="149">
        <v>565.76</v>
      </c>
    </row>
    <row r="16" spans="2:22" x14ac:dyDescent="0.2">
      <c r="B16" s="100" t="s">
        <v>1582</v>
      </c>
      <c r="C16" s="96"/>
      <c r="D16" s="197"/>
      <c r="E16" s="146">
        <v>0</v>
      </c>
      <c r="F16" s="146">
        <v>86.39</v>
      </c>
      <c r="G16" s="146">
        <v>91.54</v>
      </c>
      <c r="H16" s="146">
        <v>177.93</v>
      </c>
      <c r="I16" s="197">
        <v>177.93</v>
      </c>
      <c r="J16" s="146">
        <v>183.54</v>
      </c>
      <c r="K16" s="146">
        <v>165.28313</v>
      </c>
      <c r="L16" s="146">
        <v>123.15573000000001</v>
      </c>
      <c r="M16" s="146">
        <v>130.40682000000001</v>
      </c>
      <c r="N16" s="146">
        <v>123.47427999999999</v>
      </c>
      <c r="O16" s="146">
        <v>155.08170999999999</v>
      </c>
      <c r="P16" s="146">
        <v>102.19126</v>
      </c>
      <c r="Q16" s="146">
        <v>68.747600000000006</v>
      </c>
      <c r="R16" s="146">
        <v>143.11115000000001</v>
      </c>
      <c r="S16" s="146">
        <v>109.37</v>
      </c>
      <c r="T16" s="146">
        <v>101.83</v>
      </c>
      <c r="U16" s="146">
        <v>196.39</v>
      </c>
      <c r="V16" s="149">
        <v>183.54</v>
      </c>
    </row>
    <row r="17" spans="2:22" x14ac:dyDescent="0.2">
      <c r="B17" s="100" t="s">
        <v>1583</v>
      </c>
      <c r="C17" s="96"/>
      <c r="D17" s="197"/>
      <c r="E17" s="146">
        <v>0</v>
      </c>
      <c r="F17" s="146">
        <v>65.989999999999995</v>
      </c>
      <c r="G17" s="146">
        <v>72.13</v>
      </c>
      <c r="H17" s="146">
        <v>138.12</v>
      </c>
      <c r="I17" s="197">
        <v>138.12</v>
      </c>
      <c r="J17" s="146">
        <v>73.13</v>
      </c>
      <c r="K17" s="146">
        <v>86.443160000000006</v>
      </c>
      <c r="L17" s="146">
        <v>195.76917</v>
      </c>
      <c r="M17" s="146">
        <v>163.89505</v>
      </c>
      <c r="N17" s="146">
        <v>59.313670000000002</v>
      </c>
      <c r="O17" s="146">
        <v>85.873009999999994</v>
      </c>
      <c r="P17" s="146">
        <v>33.434660000000001</v>
      </c>
      <c r="Q17" s="146">
        <v>197.92681999999999</v>
      </c>
      <c r="R17" s="146">
        <v>7.6305399999999999</v>
      </c>
      <c r="S17" s="146">
        <v>77.11</v>
      </c>
      <c r="T17" s="146">
        <v>68.94</v>
      </c>
      <c r="U17" s="146">
        <v>63.99</v>
      </c>
      <c r="V17" s="149">
        <v>73.13</v>
      </c>
    </row>
    <row r="18" spans="2:22" x14ac:dyDescent="0.2">
      <c r="B18" s="100" t="s">
        <v>1707</v>
      </c>
      <c r="C18" s="96"/>
      <c r="D18" s="197"/>
      <c r="E18" s="146"/>
      <c r="F18" s="146"/>
      <c r="G18" s="146"/>
      <c r="H18" s="146">
        <v>0</v>
      </c>
      <c r="I18" s="197">
        <v>0</v>
      </c>
      <c r="J18" s="146">
        <v>0</v>
      </c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9"/>
    </row>
    <row r="19" spans="2:22" x14ac:dyDescent="0.2">
      <c r="B19" s="100" t="s">
        <v>1626</v>
      </c>
      <c r="C19" s="96"/>
      <c r="D19" s="197"/>
      <c r="E19" s="146"/>
      <c r="F19" s="146"/>
      <c r="G19" s="146"/>
      <c r="H19" s="146">
        <v>0</v>
      </c>
      <c r="I19" s="197">
        <v>0</v>
      </c>
      <c r="J19" s="146">
        <v>207</v>
      </c>
      <c r="K19" s="146">
        <v>0</v>
      </c>
      <c r="L19" s="146">
        <v>390.43856</v>
      </c>
      <c r="M19" s="146">
        <v>194.10848999999999</v>
      </c>
      <c r="N19" s="146"/>
      <c r="O19" s="146">
        <v>126</v>
      </c>
      <c r="P19" s="146">
        <v>0</v>
      </c>
      <c r="Q19" s="146">
        <v>0</v>
      </c>
      <c r="R19" s="146">
        <v>133</v>
      </c>
      <c r="S19" s="146"/>
      <c r="T19" s="146">
        <v>112</v>
      </c>
      <c r="U19" s="146">
        <v>176</v>
      </c>
      <c r="V19" s="149">
        <v>207</v>
      </c>
    </row>
    <row r="20" spans="2:22" x14ac:dyDescent="0.2">
      <c r="B20" s="100" t="s">
        <v>1708</v>
      </c>
      <c r="C20" s="96"/>
      <c r="D20" s="197"/>
      <c r="E20" s="146"/>
      <c r="F20" s="146"/>
      <c r="G20" s="146"/>
      <c r="H20" s="146">
        <v>0</v>
      </c>
      <c r="I20" s="197">
        <v>0</v>
      </c>
      <c r="J20" s="146">
        <v>0</v>
      </c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9"/>
    </row>
    <row r="21" spans="2:22" x14ac:dyDescent="0.2">
      <c r="B21" s="100" t="s">
        <v>1584</v>
      </c>
      <c r="C21" s="96"/>
      <c r="D21" s="197"/>
      <c r="E21" s="146">
        <v>0</v>
      </c>
      <c r="F21" s="146">
        <v>95.11</v>
      </c>
      <c r="G21" s="146">
        <v>100.09</v>
      </c>
      <c r="H21" s="146">
        <v>195.2</v>
      </c>
      <c r="I21" s="197">
        <v>195.2</v>
      </c>
      <c r="J21" s="146">
        <v>102.09</v>
      </c>
      <c r="K21" s="146">
        <v>112.30614</v>
      </c>
      <c r="L21" s="146">
        <v>126.99359</v>
      </c>
      <c r="M21" s="146">
        <v>126.93557</v>
      </c>
      <c r="N21" s="146">
        <v>127.97581</v>
      </c>
      <c r="O21" s="146">
        <v>120.81791</v>
      </c>
      <c r="P21" s="146">
        <v>122.38921999999999</v>
      </c>
      <c r="Q21" s="146">
        <v>112.68838</v>
      </c>
      <c r="R21" s="146">
        <v>124.0685</v>
      </c>
      <c r="S21" s="146">
        <v>107.44</v>
      </c>
      <c r="T21" s="146">
        <v>121.32</v>
      </c>
      <c r="U21" s="146">
        <v>137.11000000000001</v>
      </c>
      <c r="V21" s="149">
        <v>102.09</v>
      </c>
    </row>
    <row r="22" spans="2:22" x14ac:dyDescent="0.2">
      <c r="B22" s="99" t="s">
        <v>1709</v>
      </c>
      <c r="C22" s="96"/>
      <c r="D22" s="197">
        <v>0</v>
      </c>
      <c r="E22" s="146">
        <v>0</v>
      </c>
      <c r="F22" s="146">
        <v>0</v>
      </c>
      <c r="G22" s="146">
        <v>0</v>
      </c>
      <c r="H22" s="146">
        <v>0</v>
      </c>
      <c r="I22" s="197">
        <v>0</v>
      </c>
      <c r="J22" s="146">
        <v>0</v>
      </c>
      <c r="K22" s="146">
        <v>0</v>
      </c>
      <c r="L22" s="146">
        <v>0</v>
      </c>
      <c r="M22" s="146">
        <v>0</v>
      </c>
      <c r="N22" s="146">
        <v>0</v>
      </c>
      <c r="O22" s="146">
        <v>0</v>
      </c>
      <c r="P22" s="146">
        <v>0</v>
      </c>
      <c r="Q22" s="146">
        <v>0</v>
      </c>
      <c r="R22" s="146">
        <v>0</v>
      </c>
      <c r="S22" s="146">
        <v>0</v>
      </c>
      <c r="T22" s="146">
        <v>0</v>
      </c>
      <c r="U22" s="146">
        <v>0</v>
      </c>
      <c r="V22" s="149">
        <v>0</v>
      </c>
    </row>
    <row r="23" spans="2:22" x14ac:dyDescent="0.2">
      <c r="B23" s="100" t="s">
        <v>1710</v>
      </c>
      <c r="C23" s="96"/>
      <c r="D23" s="197"/>
      <c r="E23" s="146"/>
      <c r="F23" s="146"/>
      <c r="G23" s="146"/>
      <c r="H23" s="146">
        <v>0</v>
      </c>
      <c r="I23" s="197">
        <v>0</v>
      </c>
      <c r="J23" s="146">
        <v>0</v>
      </c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9"/>
    </row>
    <row r="24" spans="2:22" x14ac:dyDescent="0.2">
      <c r="B24" s="100" t="s">
        <v>1706</v>
      </c>
      <c r="C24" s="96"/>
      <c r="D24" s="197"/>
      <c r="E24" s="146"/>
      <c r="F24" s="146"/>
      <c r="G24" s="146"/>
      <c r="H24" s="146">
        <v>0</v>
      </c>
      <c r="I24" s="197">
        <v>0</v>
      </c>
      <c r="J24" s="146">
        <v>0</v>
      </c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9"/>
    </row>
    <row r="25" spans="2:22" x14ac:dyDescent="0.2">
      <c r="B25" s="99" t="s">
        <v>1586</v>
      </c>
      <c r="C25" s="96"/>
      <c r="D25" s="197">
        <v>0</v>
      </c>
      <c r="E25" s="146">
        <v>0</v>
      </c>
      <c r="F25" s="146">
        <v>10621.11255</v>
      </c>
      <c r="G25" s="146">
        <v>12180.561090200001</v>
      </c>
      <c r="H25" s="146">
        <v>22801.673640200002</v>
      </c>
      <c r="I25" s="197">
        <v>22801.673640200002</v>
      </c>
      <c r="J25" s="146">
        <v>13025.4463333</v>
      </c>
      <c r="K25" s="146">
        <v>13433.470759</v>
      </c>
      <c r="L25" s="146">
        <v>13581.5040821</v>
      </c>
      <c r="M25" s="146">
        <v>13304.479115099999</v>
      </c>
      <c r="N25" s="146">
        <v>13414.368881100001</v>
      </c>
      <c r="O25" s="146">
        <v>13399.9207002</v>
      </c>
      <c r="P25" s="146">
        <v>13263.296337400001</v>
      </c>
      <c r="Q25" s="146">
        <v>13381.183889299999</v>
      </c>
      <c r="R25" s="146">
        <v>13114.6067172</v>
      </c>
      <c r="S25" s="146">
        <v>13039.3958327</v>
      </c>
      <c r="T25" s="146">
        <v>13076.102762099999</v>
      </c>
      <c r="U25" s="146">
        <v>13043.9153726</v>
      </c>
      <c r="V25" s="149">
        <v>13025.4463333</v>
      </c>
    </row>
    <row r="26" spans="2:22" x14ac:dyDescent="0.2">
      <c r="B26" s="100" t="s">
        <v>1608</v>
      </c>
      <c r="C26" s="96"/>
      <c r="D26" s="197">
        <v>0</v>
      </c>
      <c r="E26" s="146">
        <v>0</v>
      </c>
      <c r="F26" s="146">
        <v>0</v>
      </c>
      <c r="G26" s="146">
        <v>0</v>
      </c>
      <c r="H26" s="146">
        <v>0</v>
      </c>
      <c r="I26" s="197">
        <v>0</v>
      </c>
      <c r="J26" s="146">
        <v>0</v>
      </c>
      <c r="K26" s="146">
        <v>0</v>
      </c>
      <c r="L26" s="146">
        <v>0</v>
      </c>
      <c r="M26" s="146">
        <v>0</v>
      </c>
      <c r="N26" s="146">
        <v>0</v>
      </c>
      <c r="O26" s="146">
        <v>0</v>
      </c>
      <c r="P26" s="146">
        <v>0</v>
      </c>
      <c r="Q26" s="146">
        <v>0</v>
      </c>
      <c r="R26" s="146">
        <v>0</v>
      </c>
      <c r="S26" s="146">
        <v>0</v>
      </c>
      <c r="T26" s="146">
        <v>0</v>
      </c>
      <c r="U26" s="146">
        <v>0</v>
      </c>
      <c r="V26" s="149">
        <v>0</v>
      </c>
    </row>
    <row r="27" spans="2:22" x14ac:dyDescent="0.2">
      <c r="B27" s="101" t="s">
        <v>1711</v>
      </c>
      <c r="C27" s="96"/>
      <c r="D27" s="197"/>
      <c r="E27" s="146"/>
      <c r="F27" s="146"/>
      <c r="G27" s="146"/>
      <c r="H27" s="146">
        <v>0</v>
      </c>
      <c r="I27" s="197">
        <v>0</v>
      </c>
      <c r="J27" s="146">
        <v>0</v>
      </c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211"/>
    </row>
    <row r="28" spans="2:22" x14ac:dyDescent="0.2">
      <c r="B28" s="101" t="s">
        <v>1712</v>
      </c>
      <c r="C28" s="96"/>
      <c r="D28" s="197"/>
      <c r="E28" s="146"/>
      <c r="F28" s="146"/>
      <c r="G28" s="146"/>
      <c r="H28" s="146">
        <v>0</v>
      </c>
      <c r="I28" s="197">
        <v>0</v>
      </c>
      <c r="J28" s="146">
        <v>0</v>
      </c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211"/>
    </row>
    <row r="29" spans="2:22" x14ac:dyDescent="0.2">
      <c r="B29" s="101" t="s">
        <v>1713</v>
      </c>
      <c r="C29" s="96"/>
      <c r="D29" s="197"/>
      <c r="E29" s="146"/>
      <c r="F29" s="146"/>
      <c r="G29" s="146"/>
      <c r="H29" s="146">
        <v>0</v>
      </c>
      <c r="I29" s="197">
        <v>0</v>
      </c>
      <c r="J29" s="146">
        <v>0</v>
      </c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211"/>
    </row>
    <row r="30" spans="2:22" x14ac:dyDescent="0.2">
      <c r="B30" s="101" t="s">
        <v>1584</v>
      </c>
      <c r="C30" s="96"/>
      <c r="D30" s="197"/>
      <c r="E30" s="146"/>
      <c r="F30" s="146"/>
      <c r="G30" s="146"/>
      <c r="H30" s="146">
        <v>0</v>
      </c>
      <c r="I30" s="197">
        <v>0</v>
      </c>
      <c r="J30" s="146">
        <v>0</v>
      </c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211"/>
    </row>
    <row r="31" spans="2:22" x14ac:dyDescent="0.2">
      <c r="B31" s="101" t="s">
        <v>1714</v>
      </c>
      <c r="C31" s="96"/>
      <c r="D31" s="197"/>
      <c r="E31" s="146"/>
      <c r="F31" s="146"/>
      <c r="G31" s="146"/>
      <c r="H31" s="146">
        <v>0</v>
      </c>
      <c r="I31" s="197">
        <v>0</v>
      </c>
      <c r="J31" s="146">
        <v>0</v>
      </c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211"/>
    </row>
    <row r="32" spans="2:22" x14ac:dyDescent="0.2">
      <c r="B32" s="100" t="s">
        <v>1701</v>
      </c>
      <c r="C32" s="96"/>
      <c r="D32" s="197">
        <v>0</v>
      </c>
      <c r="E32" s="146">
        <v>0</v>
      </c>
      <c r="F32" s="146">
        <v>0</v>
      </c>
      <c r="G32" s="146">
        <v>0</v>
      </c>
      <c r="H32" s="146">
        <v>0</v>
      </c>
      <c r="I32" s="197">
        <v>0</v>
      </c>
      <c r="J32" s="146">
        <v>34.9774721</v>
      </c>
      <c r="K32" s="198">
        <v>1.6006640000000001</v>
      </c>
      <c r="L32" s="198">
        <v>1.4228124</v>
      </c>
      <c r="M32" s="198">
        <v>1.1856770000000001</v>
      </c>
      <c r="N32" s="198">
        <v>2.7863410000000002</v>
      </c>
      <c r="O32" s="198">
        <v>2.9641926000000001</v>
      </c>
      <c r="P32" s="198">
        <v>2.9641926000000001</v>
      </c>
      <c r="Q32" s="198">
        <v>4.9798435000000003</v>
      </c>
      <c r="R32" s="198">
        <v>3.9720179999999998</v>
      </c>
      <c r="S32" s="198">
        <v>4.0905857000000001</v>
      </c>
      <c r="T32" s="198">
        <v>11.323215599999999</v>
      </c>
      <c r="U32" s="198">
        <v>29.523357799999999</v>
      </c>
      <c r="V32" s="211">
        <v>34.9774721</v>
      </c>
    </row>
    <row r="33" spans="2:22" x14ac:dyDescent="0.2">
      <c r="B33" s="101" t="s">
        <v>1711</v>
      </c>
      <c r="C33" s="96"/>
      <c r="D33" s="197"/>
      <c r="E33" s="146"/>
      <c r="F33" s="146"/>
      <c r="G33" s="146"/>
      <c r="H33" s="146">
        <v>0</v>
      </c>
      <c r="I33" s="197">
        <v>0</v>
      </c>
      <c r="J33" s="146">
        <v>34.9774721</v>
      </c>
      <c r="K33" s="198">
        <v>1.6006640000000001</v>
      </c>
      <c r="L33" s="198">
        <v>1.4228124</v>
      </c>
      <c r="M33" s="198">
        <v>1.1856770000000001</v>
      </c>
      <c r="N33" s="198">
        <v>2.7863410000000002</v>
      </c>
      <c r="O33" s="198">
        <v>2.9641926000000001</v>
      </c>
      <c r="P33" s="198">
        <v>2.9641926000000001</v>
      </c>
      <c r="Q33" s="198">
        <v>4.9798435000000003</v>
      </c>
      <c r="R33" s="198">
        <v>3.9720179999999998</v>
      </c>
      <c r="S33" s="198">
        <v>4.0905857000000001</v>
      </c>
      <c r="T33" s="198">
        <v>11.323215599999999</v>
      </c>
      <c r="U33" s="198">
        <v>29.523357799999999</v>
      </c>
      <c r="V33" s="211">
        <v>34.9774721</v>
      </c>
    </row>
    <row r="34" spans="2:22" x14ac:dyDescent="0.2">
      <c r="B34" s="101" t="s">
        <v>1715</v>
      </c>
      <c r="C34" s="96"/>
      <c r="D34" s="197"/>
      <c r="E34" s="146"/>
      <c r="F34" s="146"/>
      <c r="G34" s="146"/>
      <c r="H34" s="146">
        <v>0</v>
      </c>
      <c r="I34" s="197">
        <v>0</v>
      </c>
      <c r="J34" s="146">
        <v>0</v>
      </c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211"/>
    </row>
    <row r="35" spans="2:22" x14ac:dyDescent="0.2">
      <c r="B35" s="101" t="s">
        <v>1713</v>
      </c>
      <c r="C35" s="96"/>
      <c r="D35" s="197"/>
      <c r="E35" s="146"/>
      <c r="F35" s="146"/>
      <c r="G35" s="146"/>
      <c r="H35" s="146">
        <v>0</v>
      </c>
      <c r="I35" s="197">
        <v>0</v>
      </c>
      <c r="J35" s="146">
        <v>0</v>
      </c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211"/>
    </row>
    <row r="36" spans="2:22" x14ac:dyDescent="0.2">
      <c r="B36" s="101" t="s">
        <v>1584</v>
      </c>
      <c r="C36" s="96"/>
      <c r="D36" s="197"/>
      <c r="E36" s="146"/>
      <c r="F36" s="146"/>
      <c r="G36" s="146"/>
      <c r="H36" s="146">
        <v>0</v>
      </c>
      <c r="I36" s="197">
        <v>0</v>
      </c>
      <c r="J36" s="146">
        <v>0</v>
      </c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211"/>
    </row>
    <row r="37" spans="2:22" x14ac:dyDescent="0.2">
      <c r="B37" s="101" t="s">
        <v>1714</v>
      </c>
      <c r="C37" s="96"/>
      <c r="D37" s="197"/>
      <c r="E37" s="146"/>
      <c r="F37" s="146"/>
      <c r="G37" s="146"/>
      <c r="H37" s="146">
        <v>0</v>
      </c>
      <c r="I37" s="197">
        <v>0</v>
      </c>
      <c r="J37" s="146">
        <v>0</v>
      </c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211"/>
    </row>
    <row r="38" spans="2:22" x14ac:dyDescent="0.2">
      <c r="B38" s="100" t="s">
        <v>1702</v>
      </c>
      <c r="C38" s="96"/>
      <c r="D38" s="197"/>
      <c r="E38" s="146"/>
      <c r="F38" s="146"/>
      <c r="G38" s="146"/>
      <c r="H38" s="146">
        <v>0</v>
      </c>
      <c r="I38" s="197">
        <v>0</v>
      </c>
      <c r="J38" s="146">
        <v>0</v>
      </c>
      <c r="K38" s="199"/>
      <c r="L38" s="199"/>
      <c r="M38" s="199"/>
      <c r="N38" s="199"/>
      <c r="O38" s="199"/>
      <c r="P38" s="199"/>
      <c r="Q38" s="199"/>
      <c r="R38" s="199"/>
      <c r="S38" s="199"/>
      <c r="T38" s="199"/>
      <c r="U38" s="199"/>
      <c r="V38" s="212"/>
    </row>
    <row r="39" spans="2:22" x14ac:dyDescent="0.2">
      <c r="B39" s="100" t="s">
        <v>1609</v>
      </c>
      <c r="C39" s="96"/>
      <c r="D39" s="197">
        <v>0</v>
      </c>
      <c r="E39" s="146">
        <v>0</v>
      </c>
      <c r="F39" s="146">
        <v>10199.45255</v>
      </c>
      <c r="G39" s="146">
        <v>11701.3810902</v>
      </c>
      <c r="H39" s="146">
        <v>21900.833640199999</v>
      </c>
      <c r="I39" s="197">
        <v>21900.833640199999</v>
      </c>
      <c r="J39" s="146">
        <v>12366.288861200001</v>
      </c>
      <c r="K39" s="146">
        <v>12590.839725</v>
      </c>
      <c r="L39" s="146">
        <v>12626.0775497</v>
      </c>
      <c r="M39" s="146">
        <v>12581.0498281</v>
      </c>
      <c r="N39" s="146">
        <v>12653.8510401</v>
      </c>
      <c r="O39" s="146">
        <v>12633.440687599999</v>
      </c>
      <c r="P39" s="146">
        <v>12658.6198848</v>
      </c>
      <c r="Q39" s="146">
        <v>12604.323855799999</v>
      </c>
      <c r="R39" s="146">
        <v>12576.489489199999</v>
      </c>
      <c r="S39" s="146">
        <v>12507.325247000001</v>
      </c>
      <c r="T39" s="146">
        <v>12454.1295465</v>
      </c>
      <c r="U39" s="146">
        <v>12395.7320148</v>
      </c>
      <c r="V39" s="149">
        <v>12366.288861200001</v>
      </c>
    </row>
    <row r="40" spans="2:22" x14ac:dyDescent="0.2">
      <c r="B40" s="101" t="s">
        <v>1609</v>
      </c>
      <c r="C40" s="96"/>
      <c r="D40" s="197"/>
      <c r="E40" s="146">
        <v>0</v>
      </c>
      <c r="F40" s="146">
        <v>10199.45255</v>
      </c>
      <c r="G40" s="146">
        <v>11701.3810902</v>
      </c>
      <c r="H40" s="146">
        <v>21900.833640199999</v>
      </c>
      <c r="I40" s="197">
        <v>21900.833640199999</v>
      </c>
      <c r="J40" s="146">
        <v>12366.288861200001</v>
      </c>
      <c r="K40" s="198">
        <v>12590.839725</v>
      </c>
      <c r="L40" s="198">
        <v>12626.0775497</v>
      </c>
      <c r="M40" s="198">
        <v>12581.0498281</v>
      </c>
      <c r="N40" s="198">
        <v>12653.8510401</v>
      </c>
      <c r="O40" s="198">
        <v>12633.440687599999</v>
      </c>
      <c r="P40" s="198">
        <v>12658.6198848</v>
      </c>
      <c r="Q40" s="198">
        <v>12604.323855799999</v>
      </c>
      <c r="R40" s="198">
        <v>12576.489489199999</v>
      </c>
      <c r="S40" s="198">
        <v>12507.325247000001</v>
      </c>
      <c r="T40" s="198">
        <v>12454.1295465</v>
      </c>
      <c r="U40" s="198">
        <v>12395.7320148</v>
      </c>
      <c r="V40" s="211">
        <v>12366.288861200001</v>
      </c>
    </row>
    <row r="41" spans="2:22" x14ac:dyDescent="0.2">
      <c r="B41" s="101" t="s">
        <v>1714</v>
      </c>
      <c r="C41" s="96"/>
      <c r="D41" s="197"/>
      <c r="E41" s="146"/>
      <c r="F41" s="146"/>
      <c r="G41" s="146"/>
      <c r="H41" s="146">
        <v>0</v>
      </c>
      <c r="I41" s="197">
        <v>0</v>
      </c>
      <c r="J41" s="146">
        <v>0</v>
      </c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211"/>
    </row>
    <row r="42" spans="2:22" x14ac:dyDescent="0.2">
      <c r="B42" s="100" t="s">
        <v>1716</v>
      </c>
      <c r="C42" s="96"/>
      <c r="D42" s="197">
        <v>0</v>
      </c>
      <c r="E42" s="146">
        <v>0</v>
      </c>
      <c r="F42" s="146">
        <v>421.66</v>
      </c>
      <c r="G42" s="146">
        <v>479.18</v>
      </c>
      <c r="H42" s="146">
        <v>900.84</v>
      </c>
      <c r="I42" s="197">
        <v>900.84</v>
      </c>
      <c r="J42" s="146">
        <v>624.17999999999995</v>
      </c>
      <c r="K42" s="146">
        <v>841.03036999999995</v>
      </c>
      <c r="L42" s="146">
        <v>954.00372000000004</v>
      </c>
      <c r="M42" s="146">
        <v>722.24360999999999</v>
      </c>
      <c r="N42" s="146">
        <v>757.73149999999998</v>
      </c>
      <c r="O42" s="146">
        <v>763.51581999999996</v>
      </c>
      <c r="P42" s="146">
        <v>601.71226000000001</v>
      </c>
      <c r="Q42" s="146">
        <v>771.88018999999997</v>
      </c>
      <c r="R42" s="146">
        <v>534.14521000000002</v>
      </c>
      <c r="S42" s="146">
        <v>527.98</v>
      </c>
      <c r="T42" s="146">
        <v>610.65</v>
      </c>
      <c r="U42" s="146">
        <v>618.66</v>
      </c>
      <c r="V42" s="149">
        <v>624.17999999999995</v>
      </c>
    </row>
    <row r="43" spans="2:22" x14ac:dyDescent="0.2">
      <c r="B43" s="101" t="s">
        <v>1585</v>
      </c>
      <c r="C43" s="96"/>
      <c r="D43" s="197"/>
      <c r="E43" s="146">
        <v>0</v>
      </c>
      <c r="F43" s="146">
        <v>421.66</v>
      </c>
      <c r="G43" s="146">
        <v>479.18</v>
      </c>
      <c r="H43" s="146">
        <v>900.84</v>
      </c>
      <c r="I43" s="197">
        <v>900.84</v>
      </c>
      <c r="J43" s="146">
        <v>624.17999999999995</v>
      </c>
      <c r="K43" s="146">
        <v>841.03036999999995</v>
      </c>
      <c r="L43" s="146">
        <v>954.00372000000004</v>
      </c>
      <c r="M43" s="146">
        <v>722.24360999999999</v>
      </c>
      <c r="N43" s="146">
        <v>757.73149999999998</v>
      </c>
      <c r="O43" s="146">
        <v>763.51581999999996</v>
      </c>
      <c r="P43" s="146">
        <v>601.71226000000001</v>
      </c>
      <c r="Q43" s="146">
        <v>771.88018999999997</v>
      </c>
      <c r="R43" s="146">
        <v>534.14521000000002</v>
      </c>
      <c r="S43" s="146">
        <v>527.98</v>
      </c>
      <c r="T43" s="146">
        <v>610.65</v>
      </c>
      <c r="U43" s="146">
        <v>618.66</v>
      </c>
      <c r="V43" s="149">
        <v>624.17999999999995</v>
      </c>
    </row>
    <row r="44" spans="2:22" x14ac:dyDescent="0.2">
      <c r="B44" s="101" t="s">
        <v>1717</v>
      </c>
      <c r="C44" s="96"/>
      <c r="D44" s="197"/>
      <c r="E44" s="146"/>
      <c r="F44" s="146"/>
      <c r="G44" s="146"/>
      <c r="H44" s="146">
        <v>0</v>
      </c>
      <c r="I44" s="197">
        <v>0</v>
      </c>
      <c r="J44" s="146">
        <v>0</v>
      </c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9"/>
    </row>
    <row r="45" spans="2:22" x14ac:dyDescent="0.2">
      <c r="B45" s="99" t="s">
        <v>1718</v>
      </c>
      <c r="C45" s="96"/>
      <c r="D45" s="197"/>
      <c r="E45" s="146">
        <v>0</v>
      </c>
      <c r="F45" s="146">
        <v>0.11287999999999999</v>
      </c>
      <c r="G45" s="146">
        <v>0.11287999999999999</v>
      </c>
      <c r="H45" s="146">
        <v>0.22575999999999999</v>
      </c>
      <c r="I45" s="197">
        <v>0.22575999999999999</v>
      </c>
      <c r="J45" s="146">
        <v>0</v>
      </c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13"/>
    </row>
    <row r="46" spans="2:22" x14ac:dyDescent="0.2">
      <c r="B46" s="99" t="s">
        <v>1610</v>
      </c>
      <c r="C46" s="96"/>
      <c r="D46" s="197"/>
      <c r="E46" s="146">
        <v>0</v>
      </c>
      <c r="F46" s="146">
        <v>1032.3901323</v>
      </c>
      <c r="G46" s="146">
        <v>1112.5255491</v>
      </c>
      <c r="H46" s="146">
        <v>2144.9156813999998</v>
      </c>
      <c r="I46" s="197">
        <v>2144.9156813999998</v>
      </c>
      <c r="J46" s="146">
        <v>1426.3511346</v>
      </c>
      <c r="K46" s="146">
        <v>1112.5255491</v>
      </c>
      <c r="L46" s="146">
        <v>1112.5255491</v>
      </c>
      <c r="M46" s="146">
        <v>1483.9264449</v>
      </c>
      <c r="N46" s="146">
        <v>1485.1761018</v>
      </c>
      <c r="O46" s="146">
        <v>1510.1979808999999</v>
      </c>
      <c r="P46" s="146">
        <v>1498.2198599999999</v>
      </c>
      <c r="Q46" s="146">
        <v>1486.2417390999999</v>
      </c>
      <c r="R46" s="146">
        <v>1474.2636182000001</v>
      </c>
      <c r="S46" s="146">
        <v>1462.2854973000001</v>
      </c>
      <c r="T46" s="146">
        <v>1450.3073764000001</v>
      </c>
      <c r="U46" s="146">
        <v>1438.3292555</v>
      </c>
      <c r="V46" s="149">
        <v>1426.3511346</v>
      </c>
    </row>
    <row r="47" spans="2:22" x14ac:dyDescent="0.2">
      <c r="B47" s="99" t="s">
        <v>1591</v>
      </c>
      <c r="C47" s="96"/>
      <c r="D47" s="197"/>
      <c r="E47" s="146">
        <v>0</v>
      </c>
      <c r="F47" s="146">
        <v>-68.280869999999993</v>
      </c>
      <c r="G47" s="146">
        <v>-68.280869999999993</v>
      </c>
      <c r="H47" s="146">
        <v>-136.56173999999999</v>
      </c>
      <c r="I47" s="197">
        <v>-136.56173999999999</v>
      </c>
      <c r="J47" s="146">
        <v>-68.280869999999993</v>
      </c>
      <c r="K47" s="146">
        <v>-68.280869999999993</v>
      </c>
      <c r="L47" s="146">
        <v>-68.280869999999993</v>
      </c>
      <c r="M47" s="146">
        <v>-68.280869999999993</v>
      </c>
      <c r="N47" s="146">
        <v>-68.280869999999993</v>
      </c>
      <c r="O47" s="146">
        <v>-68.280869999999993</v>
      </c>
      <c r="P47" s="146">
        <v>-68.280869999999993</v>
      </c>
      <c r="Q47" s="146">
        <v>-68.280869999999993</v>
      </c>
      <c r="R47" s="146">
        <v>-68.280869999999993</v>
      </c>
      <c r="S47" s="146">
        <v>-68.280869999999993</v>
      </c>
      <c r="T47" s="146">
        <v>-68.280869999999993</v>
      </c>
      <c r="U47" s="146">
        <v>-68.280869999999993</v>
      </c>
      <c r="V47" s="149">
        <v>-68.280869999999993</v>
      </c>
    </row>
    <row r="48" spans="2:22" x14ac:dyDescent="0.2">
      <c r="B48" s="99" t="s">
        <v>1719</v>
      </c>
      <c r="C48" s="96"/>
      <c r="D48" s="197">
        <v>0</v>
      </c>
      <c r="E48" s="146">
        <v>0</v>
      </c>
      <c r="F48" s="146">
        <v>33599.1395223</v>
      </c>
      <c r="G48" s="146">
        <v>36478.854369299996</v>
      </c>
      <c r="H48" s="146">
        <v>70077.993891599996</v>
      </c>
      <c r="I48" s="197">
        <v>70077.993891599996</v>
      </c>
      <c r="J48" s="146">
        <v>38505.872317900001</v>
      </c>
      <c r="K48" s="146">
        <v>42180.687818099992</v>
      </c>
      <c r="L48" s="146">
        <v>41769.394831199992</v>
      </c>
      <c r="M48" s="146">
        <v>40885.304859999997</v>
      </c>
      <c r="N48" s="146">
        <v>40522.195772900006</v>
      </c>
      <c r="O48" s="146">
        <v>44199.349741099992</v>
      </c>
      <c r="P48" s="146">
        <v>44784.486287399995</v>
      </c>
      <c r="Q48" s="146">
        <v>37915.477438399997</v>
      </c>
      <c r="R48" s="146">
        <v>35232.643865399994</v>
      </c>
      <c r="S48" s="146">
        <v>35727.0479863</v>
      </c>
      <c r="T48" s="146">
        <v>34877.334098499996</v>
      </c>
      <c r="U48" s="146">
        <v>36499.668588100001</v>
      </c>
      <c r="V48" s="149">
        <v>38505.872317900001</v>
      </c>
    </row>
    <row r="49" spans="2:22" x14ac:dyDescent="0.2">
      <c r="B49" s="99" t="s">
        <v>1720</v>
      </c>
      <c r="C49" s="96"/>
      <c r="D49" s="197"/>
      <c r="E49" s="146"/>
      <c r="F49" s="146"/>
      <c r="G49" s="146"/>
      <c r="H49" s="146">
        <v>0</v>
      </c>
      <c r="I49" s="197">
        <v>0</v>
      </c>
      <c r="J49" s="146">
        <v>0</v>
      </c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9"/>
    </row>
    <row r="50" spans="2:22" x14ac:dyDescent="0.2">
      <c r="B50" s="99" t="s">
        <v>1721</v>
      </c>
      <c r="C50" s="96"/>
      <c r="D50" s="197"/>
      <c r="E50" s="146"/>
      <c r="F50" s="146"/>
      <c r="G50" s="146"/>
      <c r="H50" s="146">
        <v>0</v>
      </c>
      <c r="I50" s="197">
        <v>0</v>
      </c>
      <c r="J50" s="146">
        <v>0</v>
      </c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9"/>
    </row>
    <row r="51" spans="2:22" x14ac:dyDescent="0.2">
      <c r="B51" s="99" t="s">
        <v>1722</v>
      </c>
      <c r="C51" s="96"/>
      <c r="D51" s="197">
        <v>0</v>
      </c>
      <c r="E51" s="146">
        <v>0</v>
      </c>
      <c r="F51" s="146">
        <v>13380.533300000001</v>
      </c>
      <c r="G51" s="146">
        <v>12990.94065</v>
      </c>
      <c r="H51" s="146">
        <v>26371.47395</v>
      </c>
      <c r="I51" s="197">
        <v>26371.47395</v>
      </c>
      <c r="J51" s="146">
        <v>7678.5712827999996</v>
      </c>
      <c r="K51" s="198">
        <v>12582.936469999999</v>
      </c>
      <c r="L51" s="198">
        <v>12319.191411700001</v>
      </c>
      <c r="M51" s="198">
        <v>11913.008482399999</v>
      </c>
      <c r="N51" s="198">
        <v>11358.434630900001</v>
      </c>
      <c r="O51" s="198">
        <v>10620.7728909</v>
      </c>
      <c r="P51" s="198">
        <v>9805.3996994000008</v>
      </c>
      <c r="Q51" s="198">
        <v>9266.6983176999984</v>
      </c>
      <c r="R51" s="198">
        <v>8567.3360912999979</v>
      </c>
      <c r="S51" s="198">
        <v>7856.6965880999987</v>
      </c>
      <c r="T51" s="198">
        <v>8231.0249613999986</v>
      </c>
      <c r="U51" s="198">
        <v>8109.1235191000005</v>
      </c>
      <c r="V51" s="211">
        <v>7678.5712827999996</v>
      </c>
    </row>
    <row r="52" spans="2:22" x14ac:dyDescent="0.2">
      <c r="B52" s="100" t="s">
        <v>1611</v>
      </c>
      <c r="C52" s="96"/>
      <c r="D52" s="197"/>
      <c r="E52" s="146">
        <v>0</v>
      </c>
      <c r="F52" s="146">
        <v>72.781670000000005</v>
      </c>
      <c r="G52" s="146">
        <v>71.602310000000003</v>
      </c>
      <c r="H52" s="146">
        <v>144.38398000000001</v>
      </c>
      <c r="I52" s="197">
        <v>144.38398000000001</v>
      </c>
      <c r="J52" s="146">
        <v>57.449640000000002</v>
      </c>
      <c r="K52" s="198">
        <v>70.422910000000002</v>
      </c>
      <c r="L52" s="198">
        <v>69.243530000000007</v>
      </c>
      <c r="M52" s="198">
        <v>68.064130000000006</v>
      </c>
      <c r="N52" s="198">
        <v>66.884749999999997</v>
      </c>
      <c r="O52" s="198">
        <v>65.705359999999999</v>
      </c>
      <c r="P52" s="198">
        <v>64.525989999999993</v>
      </c>
      <c r="Q52" s="198">
        <v>63.34657</v>
      </c>
      <c r="R52" s="198">
        <v>62.16722</v>
      </c>
      <c r="S52" s="198">
        <v>60.987810000000003</v>
      </c>
      <c r="T52" s="198">
        <v>59.808439999999997</v>
      </c>
      <c r="U52" s="198">
        <v>58.629040000000003</v>
      </c>
      <c r="V52" s="211">
        <v>57.449640000000002</v>
      </c>
    </row>
    <row r="53" spans="2:22" x14ac:dyDescent="0.2">
      <c r="B53" s="100" t="s">
        <v>1723</v>
      </c>
      <c r="C53" s="96"/>
      <c r="D53" s="197"/>
      <c r="E53" s="146"/>
      <c r="F53" s="146"/>
      <c r="G53" s="146"/>
      <c r="H53" s="146">
        <v>0</v>
      </c>
      <c r="I53" s="197">
        <v>0</v>
      </c>
      <c r="J53" s="146">
        <v>0</v>
      </c>
      <c r="K53" s="198">
        <v>0</v>
      </c>
      <c r="L53" s="198">
        <v>0</v>
      </c>
      <c r="M53" s="198">
        <v>0</v>
      </c>
      <c r="N53" s="198">
        <v>0</v>
      </c>
      <c r="O53" s="198">
        <v>0</v>
      </c>
      <c r="P53" s="198">
        <v>0</v>
      </c>
      <c r="Q53" s="198">
        <v>0</v>
      </c>
      <c r="R53" s="198">
        <v>0</v>
      </c>
      <c r="S53" s="198">
        <v>0</v>
      </c>
      <c r="T53" s="198">
        <v>0</v>
      </c>
      <c r="U53" s="198">
        <v>0</v>
      </c>
      <c r="V53" s="211">
        <v>0</v>
      </c>
    </row>
    <row r="54" spans="2:22" x14ac:dyDescent="0.2">
      <c r="B54" s="100" t="s">
        <v>1588</v>
      </c>
      <c r="C54" s="96"/>
      <c r="D54" s="197"/>
      <c r="E54" s="146">
        <v>0</v>
      </c>
      <c r="F54" s="146">
        <v>1070.0267200000001</v>
      </c>
      <c r="G54" s="146">
        <v>1060.5267200000001</v>
      </c>
      <c r="H54" s="146">
        <v>2130.5534400000001</v>
      </c>
      <c r="I54" s="197">
        <v>2130.5534400000001</v>
      </c>
      <c r="J54" s="146">
        <v>1078.2337934</v>
      </c>
      <c r="K54" s="198">
        <v>1044.91957</v>
      </c>
      <c r="L54" s="198">
        <v>1051.2674732999999</v>
      </c>
      <c r="M54" s="198">
        <v>1039.2784199</v>
      </c>
      <c r="N54" s="198">
        <v>1027.8515563999999</v>
      </c>
      <c r="O54" s="198">
        <v>1036.3060011</v>
      </c>
      <c r="P54" s="198">
        <v>1025.9958687000001</v>
      </c>
      <c r="Q54" s="198">
        <v>1014.6621726</v>
      </c>
      <c r="R54" s="198">
        <v>1000.5048952</v>
      </c>
      <c r="S54" s="198">
        <v>985.23935779999999</v>
      </c>
      <c r="T54" s="198">
        <v>1040.2432004</v>
      </c>
      <c r="U54" s="198">
        <v>1093.1463862999999</v>
      </c>
      <c r="V54" s="211">
        <v>1078.2337934</v>
      </c>
    </row>
    <row r="55" spans="2:22" x14ac:dyDescent="0.2">
      <c r="B55" s="100" t="s">
        <v>1589</v>
      </c>
      <c r="C55" s="96"/>
      <c r="D55" s="197"/>
      <c r="E55" s="146">
        <v>0</v>
      </c>
      <c r="F55" s="146">
        <v>11399.84186</v>
      </c>
      <c r="G55" s="146">
        <v>11030.49057</v>
      </c>
      <c r="H55" s="146">
        <v>22430.332430000002</v>
      </c>
      <c r="I55" s="197">
        <v>22430.332430000002</v>
      </c>
      <c r="J55" s="146">
        <v>6013.117741</v>
      </c>
      <c r="K55" s="198">
        <v>10670.93744</v>
      </c>
      <c r="L55" s="198">
        <v>10429.969276100001</v>
      </c>
      <c r="M55" s="198">
        <v>10067.2700446</v>
      </c>
      <c r="N55" s="198">
        <v>9551.2028131000006</v>
      </c>
      <c r="O55" s="198">
        <v>8837.1848816000002</v>
      </c>
      <c r="P55" s="198">
        <v>8055.3775200999999</v>
      </c>
      <c r="Q55" s="198">
        <v>7555.5406186</v>
      </c>
      <c r="R55" s="198">
        <v>6898.9399371</v>
      </c>
      <c r="S55" s="198">
        <v>6202.7346755999997</v>
      </c>
      <c r="T55" s="198">
        <v>6552.6769906</v>
      </c>
      <c r="U55" s="198">
        <v>6398.5774134000003</v>
      </c>
      <c r="V55" s="211">
        <v>6013.117741</v>
      </c>
    </row>
    <row r="56" spans="2:22" x14ac:dyDescent="0.2">
      <c r="B56" s="100" t="s">
        <v>1612</v>
      </c>
      <c r="C56" s="96"/>
      <c r="D56" s="197"/>
      <c r="E56" s="146">
        <v>0</v>
      </c>
      <c r="F56" s="146">
        <v>510.12513000000001</v>
      </c>
      <c r="G56" s="146">
        <v>486.93513000000002</v>
      </c>
      <c r="H56" s="146">
        <v>997.06025999999997</v>
      </c>
      <c r="I56" s="197">
        <v>997.06025999999997</v>
      </c>
      <c r="J56" s="146">
        <v>269.34964000000002</v>
      </c>
      <c r="K56" s="198">
        <v>467.58114</v>
      </c>
      <c r="L56" s="198">
        <v>448.22717</v>
      </c>
      <c r="M56" s="198">
        <v>428.87315999999998</v>
      </c>
      <c r="N56" s="198">
        <v>409.51920000000001</v>
      </c>
      <c r="O56" s="198">
        <v>390.16518000000002</v>
      </c>
      <c r="P56" s="198">
        <v>372.04016000000001</v>
      </c>
      <c r="Q56" s="198">
        <v>353.91512</v>
      </c>
      <c r="R56" s="198">
        <v>335.7901</v>
      </c>
      <c r="S56" s="198">
        <v>317.66503999999998</v>
      </c>
      <c r="T56" s="198">
        <v>301.03777000000002</v>
      </c>
      <c r="U56" s="198">
        <v>284.93126000000001</v>
      </c>
      <c r="V56" s="211">
        <v>269.34964000000002</v>
      </c>
    </row>
    <row r="57" spans="2:22" x14ac:dyDescent="0.2">
      <c r="B57" s="100" t="s">
        <v>1590</v>
      </c>
      <c r="C57" s="96"/>
      <c r="D57" s="197"/>
      <c r="E57" s="146">
        <v>0</v>
      </c>
      <c r="F57" s="146">
        <v>8.0599999999999995E-3</v>
      </c>
      <c r="G57" s="146">
        <v>-1.1939999999999999E-2</v>
      </c>
      <c r="H57" s="146">
        <v>-3.8799999999999998E-3</v>
      </c>
      <c r="I57" s="197">
        <v>-3.8799999999999998E-3</v>
      </c>
      <c r="J57" s="146">
        <v>-1.1939999999999999E-2</v>
      </c>
      <c r="K57" s="198">
        <v>-1.1939999999999999E-2</v>
      </c>
      <c r="L57" s="198">
        <v>-1.1939999999999999E-2</v>
      </c>
      <c r="M57" s="198">
        <v>-1.1939999999999999E-2</v>
      </c>
      <c r="N57" s="198">
        <v>-1.1939999999999999E-2</v>
      </c>
      <c r="O57" s="198">
        <v>-1.1939999999999999E-2</v>
      </c>
      <c r="P57" s="198">
        <v>-1.1939999999999999E-2</v>
      </c>
      <c r="Q57" s="198">
        <v>-1.1939999999999999E-2</v>
      </c>
      <c r="R57" s="198">
        <v>-1.1939999999999999E-2</v>
      </c>
      <c r="S57" s="198">
        <v>-1.1939999999999999E-2</v>
      </c>
      <c r="T57" s="198">
        <v>-1.1939999999999999E-2</v>
      </c>
      <c r="U57" s="198">
        <v>-1.1939999999999999E-2</v>
      </c>
      <c r="V57" s="211">
        <v>-1.1939999999999999E-2</v>
      </c>
    </row>
    <row r="58" spans="2:22" x14ac:dyDescent="0.2">
      <c r="B58" s="100" t="s">
        <v>1613</v>
      </c>
      <c r="C58" s="96"/>
      <c r="D58" s="197"/>
      <c r="E58" s="146">
        <v>0</v>
      </c>
      <c r="F58" s="146">
        <v>252.49081000000001</v>
      </c>
      <c r="G58" s="146">
        <v>245.61080999999999</v>
      </c>
      <c r="H58" s="146">
        <v>498.10162000000003</v>
      </c>
      <c r="I58" s="197">
        <v>498.10162000000003</v>
      </c>
      <c r="J58" s="146">
        <v>189.50852</v>
      </c>
      <c r="K58" s="198">
        <v>240.93563</v>
      </c>
      <c r="L58" s="198">
        <v>236.26043000000001</v>
      </c>
      <c r="M58" s="198">
        <v>231.58525</v>
      </c>
      <c r="N58" s="198">
        <v>226.91005000000001</v>
      </c>
      <c r="O58" s="198">
        <v>222.23486</v>
      </c>
      <c r="P58" s="198">
        <v>217.55966000000001</v>
      </c>
      <c r="Q58" s="198">
        <v>212.8845</v>
      </c>
      <c r="R58" s="198">
        <v>208.20928000000001</v>
      </c>
      <c r="S58" s="198">
        <v>203.5341</v>
      </c>
      <c r="T58" s="198">
        <v>198.85892000000001</v>
      </c>
      <c r="U58" s="198">
        <v>194.18370999999999</v>
      </c>
      <c r="V58" s="211">
        <v>189.50852</v>
      </c>
    </row>
    <row r="59" spans="2:22" x14ac:dyDescent="0.2">
      <c r="B59" s="100" t="s">
        <v>1584</v>
      </c>
      <c r="C59" s="96"/>
      <c r="D59" s="197"/>
      <c r="E59" s="146">
        <v>0</v>
      </c>
      <c r="F59" s="146">
        <v>75.259050000000002</v>
      </c>
      <c r="G59" s="146">
        <v>95.787049999999994</v>
      </c>
      <c r="H59" s="146">
        <v>171.0461</v>
      </c>
      <c r="I59" s="197">
        <v>171.0461</v>
      </c>
      <c r="J59" s="146">
        <v>70.923888399999996</v>
      </c>
      <c r="K59" s="198">
        <v>88.151719999999997</v>
      </c>
      <c r="L59" s="198">
        <v>84.235472299999998</v>
      </c>
      <c r="M59" s="198">
        <v>77.9494179</v>
      </c>
      <c r="N59" s="198">
        <v>76.078201399999998</v>
      </c>
      <c r="O59" s="198">
        <v>69.1885482</v>
      </c>
      <c r="P59" s="198">
        <v>69.912440599999996</v>
      </c>
      <c r="Q59" s="198">
        <v>66.361276500000002</v>
      </c>
      <c r="R59" s="198">
        <v>61.736598999999998</v>
      </c>
      <c r="S59" s="198">
        <v>86.547544700000003</v>
      </c>
      <c r="T59" s="198">
        <v>78.411580400000005</v>
      </c>
      <c r="U59" s="198">
        <v>79.667649400000002</v>
      </c>
      <c r="V59" s="211">
        <v>70.923888399999996</v>
      </c>
    </row>
    <row r="60" spans="2:22" x14ac:dyDescent="0.2">
      <c r="B60" s="99" t="s">
        <v>1724</v>
      </c>
      <c r="C60" s="96"/>
      <c r="D60" s="197"/>
      <c r="E60" s="146"/>
      <c r="F60" s="146"/>
      <c r="G60" s="146"/>
      <c r="H60" s="146">
        <v>0</v>
      </c>
      <c r="I60" s="197">
        <v>0</v>
      </c>
      <c r="J60" s="146">
        <v>0</v>
      </c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9"/>
    </row>
    <row r="61" spans="2:22" x14ac:dyDescent="0.2">
      <c r="B61" s="99" t="s">
        <v>1725</v>
      </c>
      <c r="C61" s="96"/>
      <c r="D61" s="197"/>
      <c r="E61" s="146"/>
      <c r="F61" s="146"/>
      <c r="G61" s="146"/>
      <c r="H61" s="146">
        <v>0</v>
      </c>
      <c r="I61" s="197">
        <v>0</v>
      </c>
      <c r="J61" s="146">
        <v>0</v>
      </c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9"/>
    </row>
    <row r="62" spans="2:22" x14ac:dyDescent="0.2">
      <c r="B62" s="99" t="s">
        <v>1726</v>
      </c>
      <c r="C62" s="96"/>
      <c r="D62" s="197"/>
      <c r="E62" s="146"/>
      <c r="F62" s="146"/>
      <c r="G62" s="146"/>
      <c r="H62" s="146">
        <v>0</v>
      </c>
      <c r="I62" s="197">
        <v>0</v>
      </c>
      <c r="J62" s="146">
        <v>0</v>
      </c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9"/>
    </row>
    <row r="63" spans="2:22" x14ac:dyDescent="0.2">
      <c r="B63" s="99" t="s">
        <v>1627</v>
      </c>
      <c r="C63" s="96"/>
      <c r="D63" s="197"/>
      <c r="E63" s="146">
        <v>0</v>
      </c>
      <c r="F63" s="146">
        <v>821.77</v>
      </c>
      <c r="G63" s="146">
        <v>842.4</v>
      </c>
      <c r="H63" s="146">
        <v>1664.17</v>
      </c>
      <c r="I63" s="197">
        <v>1664.17</v>
      </c>
      <c r="J63" s="146">
        <v>0</v>
      </c>
      <c r="K63" s="146">
        <v>0</v>
      </c>
      <c r="L63" s="146">
        <v>0</v>
      </c>
      <c r="M63" s="146">
        <v>0</v>
      </c>
      <c r="N63" s="146">
        <v>0</v>
      </c>
      <c r="O63" s="146"/>
      <c r="P63" s="146"/>
      <c r="Q63" s="146"/>
      <c r="R63" s="146"/>
      <c r="S63" s="146"/>
      <c r="T63" s="146"/>
      <c r="U63" s="146"/>
      <c r="V63" s="149"/>
    </row>
    <row r="64" spans="2:22" x14ac:dyDescent="0.2">
      <c r="B64" s="99" t="s">
        <v>1727</v>
      </c>
      <c r="C64" s="96"/>
      <c r="D64" s="197"/>
      <c r="E64" s="146"/>
      <c r="F64" s="146"/>
      <c r="G64" s="146"/>
      <c r="H64" s="146">
        <v>0</v>
      </c>
      <c r="I64" s="197">
        <v>0</v>
      </c>
      <c r="J64" s="146">
        <v>0</v>
      </c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9"/>
    </row>
    <row r="65" spans="2:22" x14ac:dyDescent="0.2">
      <c r="B65" s="99" t="s">
        <v>1728</v>
      </c>
      <c r="C65" s="96"/>
      <c r="D65" s="197">
        <v>0</v>
      </c>
      <c r="E65" s="146">
        <v>0</v>
      </c>
      <c r="F65" s="146">
        <v>14202.303300000001</v>
      </c>
      <c r="G65" s="146">
        <v>13833.34065</v>
      </c>
      <c r="H65" s="146">
        <v>28035.643950000001</v>
      </c>
      <c r="I65" s="197">
        <v>28035.643950000001</v>
      </c>
      <c r="J65" s="146">
        <v>7678.5712827999996</v>
      </c>
      <c r="K65" s="146">
        <v>12582.936469999999</v>
      </c>
      <c r="L65" s="146">
        <v>12319.191411700001</v>
      </c>
      <c r="M65" s="146">
        <v>11913.008482399999</v>
      </c>
      <c r="N65" s="146">
        <v>11358.434630900001</v>
      </c>
      <c r="O65" s="146">
        <v>10620.7728909</v>
      </c>
      <c r="P65" s="146">
        <v>9805.3996994000008</v>
      </c>
      <c r="Q65" s="146">
        <v>9266.6983176999984</v>
      </c>
      <c r="R65" s="146">
        <v>8567.3360912999979</v>
      </c>
      <c r="S65" s="146">
        <v>7856.6965880999987</v>
      </c>
      <c r="T65" s="146">
        <v>8231.0249613999986</v>
      </c>
      <c r="U65" s="146">
        <v>8109.1235191000005</v>
      </c>
      <c r="V65" s="149">
        <v>7678.5712827999996</v>
      </c>
    </row>
    <row r="66" spans="2:22" x14ac:dyDescent="0.2">
      <c r="B66" s="99" t="s">
        <v>1729</v>
      </c>
      <c r="C66" s="96"/>
      <c r="D66" s="197">
        <v>0</v>
      </c>
      <c r="E66" s="146">
        <v>0</v>
      </c>
      <c r="F66" s="146">
        <v>47801.4428223</v>
      </c>
      <c r="G66" s="146">
        <v>50312.195019299994</v>
      </c>
      <c r="H66" s="146">
        <v>98113.637841599993</v>
      </c>
      <c r="I66" s="197">
        <v>98113.637841599993</v>
      </c>
      <c r="J66" s="146">
        <v>46184.443600700004</v>
      </c>
      <c r="K66" s="146">
        <v>54763.624288099993</v>
      </c>
      <c r="L66" s="146">
        <v>54088.586242899997</v>
      </c>
      <c r="M66" s="146">
        <v>52798.313342399997</v>
      </c>
      <c r="N66" s="146">
        <v>51880.630403800009</v>
      </c>
      <c r="O66" s="146">
        <v>54820.122631999991</v>
      </c>
      <c r="P66" s="146">
        <v>54589.8859868</v>
      </c>
      <c r="Q66" s="146">
        <v>47182.175756099998</v>
      </c>
      <c r="R66" s="146">
        <v>43799.979956699994</v>
      </c>
      <c r="S66" s="146">
        <v>43583.7445744</v>
      </c>
      <c r="T66" s="146">
        <v>43108.359059899994</v>
      </c>
      <c r="U66" s="146">
        <v>44608.792107200003</v>
      </c>
      <c r="V66" s="149">
        <v>46184.443600700004</v>
      </c>
    </row>
    <row r="67" spans="2:22" x14ac:dyDescent="0.2">
      <c r="B67" s="99" t="s">
        <v>1730</v>
      </c>
      <c r="C67" s="96"/>
      <c r="D67" s="197"/>
      <c r="E67" s="146"/>
      <c r="F67" s="146"/>
      <c r="G67" s="146"/>
      <c r="H67" s="146">
        <v>0</v>
      </c>
      <c r="I67" s="197">
        <v>0</v>
      </c>
      <c r="J67" s="146">
        <v>0</v>
      </c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9"/>
    </row>
    <row r="68" spans="2:22" x14ac:dyDescent="0.2">
      <c r="B68" s="99" t="s">
        <v>1731</v>
      </c>
      <c r="C68" s="96"/>
      <c r="D68" s="197">
        <v>0</v>
      </c>
      <c r="E68" s="146">
        <v>0</v>
      </c>
      <c r="F68" s="146">
        <v>100.22</v>
      </c>
      <c r="G68" s="146">
        <v>99.67</v>
      </c>
      <c r="H68" s="146">
        <v>199.89</v>
      </c>
      <c r="I68" s="197">
        <v>199.89</v>
      </c>
      <c r="J68" s="146">
        <v>369.77</v>
      </c>
      <c r="K68" s="146">
        <v>459.48707999999999</v>
      </c>
      <c r="L68" s="146">
        <v>383.54248000000001</v>
      </c>
      <c r="M68" s="146">
        <v>506.97602000000001</v>
      </c>
      <c r="N68" s="146">
        <v>332.16176000000002</v>
      </c>
      <c r="O68" s="146">
        <v>389.13954000000001</v>
      </c>
      <c r="P68" s="146">
        <v>486.73581999999999</v>
      </c>
      <c r="Q68" s="146">
        <v>385.43828000000002</v>
      </c>
      <c r="R68" s="146">
        <v>388.6961</v>
      </c>
      <c r="S68" s="146">
        <v>365.08</v>
      </c>
      <c r="T68" s="146">
        <v>352.08</v>
      </c>
      <c r="U68" s="146">
        <v>381.08000000000004</v>
      </c>
      <c r="V68" s="149">
        <v>369.77</v>
      </c>
    </row>
    <row r="69" spans="2:22" x14ac:dyDescent="0.2">
      <c r="B69" s="100" t="s">
        <v>1732</v>
      </c>
      <c r="C69" s="96"/>
      <c r="D69" s="197"/>
      <c r="E69" s="146">
        <v>0</v>
      </c>
      <c r="F69" s="146">
        <v>-101.43</v>
      </c>
      <c r="G69" s="146">
        <v>-99.55</v>
      </c>
      <c r="H69" s="146">
        <v>-200.98000000000002</v>
      </c>
      <c r="I69" s="197">
        <v>-200.98000000000002</v>
      </c>
      <c r="J69" s="146">
        <v>124.55</v>
      </c>
      <c r="K69" s="146">
        <v>135</v>
      </c>
      <c r="L69" s="146">
        <v>107.32</v>
      </c>
      <c r="M69" s="146">
        <v>179.86372</v>
      </c>
      <c r="N69" s="146">
        <v>104.03767000000001</v>
      </c>
      <c r="O69" s="146">
        <v>124.43007</v>
      </c>
      <c r="P69" s="146">
        <v>156.54422</v>
      </c>
      <c r="Q69" s="146">
        <v>125.05342</v>
      </c>
      <c r="R69" s="146">
        <v>137.17994999999999</v>
      </c>
      <c r="S69" s="146">
        <v>107.32</v>
      </c>
      <c r="T69" s="146">
        <v>102.64</v>
      </c>
      <c r="U69" s="146">
        <v>133.43</v>
      </c>
      <c r="V69" s="149">
        <v>124.55</v>
      </c>
    </row>
    <row r="70" spans="2:22" x14ac:dyDescent="0.2">
      <c r="B70" s="100" t="s">
        <v>1733</v>
      </c>
      <c r="C70" s="96"/>
      <c r="D70" s="197"/>
      <c r="E70" s="146">
        <v>0</v>
      </c>
      <c r="F70" s="146">
        <v>201.65</v>
      </c>
      <c r="G70" s="146">
        <v>199.22</v>
      </c>
      <c r="H70" s="146">
        <v>400.87</v>
      </c>
      <c r="I70" s="197">
        <v>400.87</v>
      </c>
      <c r="J70" s="146">
        <v>245.22</v>
      </c>
      <c r="K70" s="146">
        <v>324.48707999999999</v>
      </c>
      <c r="L70" s="146">
        <v>276.22248000000002</v>
      </c>
      <c r="M70" s="146">
        <v>327.1123</v>
      </c>
      <c r="N70" s="146">
        <v>228.12409</v>
      </c>
      <c r="O70" s="146">
        <v>264.70947000000001</v>
      </c>
      <c r="P70" s="146">
        <v>330.19159999999999</v>
      </c>
      <c r="Q70" s="146">
        <v>260.38486</v>
      </c>
      <c r="R70" s="146">
        <v>251.51615000000001</v>
      </c>
      <c r="S70" s="146">
        <v>257.76</v>
      </c>
      <c r="T70" s="146">
        <v>249.44</v>
      </c>
      <c r="U70" s="146">
        <v>247.65</v>
      </c>
      <c r="V70" s="149">
        <v>245.22</v>
      </c>
    </row>
    <row r="71" spans="2:22" x14ac:dyDescent="0.2">
      <c r="B71" s="99" t="s">
        <v>1734</v>
      </c>
      <c r="C71" s="96"/>
      <c r="D71" s="197"/>
      <c r="E71" s="146">
        <v>0</v>
      </c>
      <c r="F71" s="146">
        <v>5128.05</v>
      </c>
      <c r="G71" s="146">
        <v>5399.11</v>
      </c>
      <c r="H71" s="146">
        <v>10527.16</v>
      </c>
      <c r="I71" s="197">
        <v>10527.16</v>
      </c>
      <c r="J71" s="146">
        <v>5304.11</v>
      </c>
      <c r="K71" s="146">
        <v>5992.6402200000002</v>
      </c>
      <c r="L71" s="146">
        <v>5175.2223999999997</v>
      </c>
      <c r="M71" s="146">
        <v>5418.7397199999996</v>
      </c>
      <c r="N71" s="146">
        <v>5177.52549</v>
      </c>
      <c r="O71" s="146">
        <v>5201.7376199999999</v>
      </c>
      <c r="P71" s="146">
        <v>5312.4578000000001</v>
      </c>
      <c r="Q71" s="146">
        <v>5275.7601299999997</v>
      </c>
      <c r="R71" s="146">
        <v>5380.1125499999998</v>
      </c>
      <c r="S71" s="146">
        <v>5783.46</v>
      </c>
      <c r="T71" s="146">
        <v>5210.67</v>
      </c>
      <c r="U71" s="146">
        <v>5213.05</v>
      </c>
      <c r="V71" s="149">
        <v>5304.11</v>
      </c>
    </row>
    <row r="72" spans="2:22" x14ac:dyDescent="0.2">
      <c r="B72" s="99" t="s">
        <v>1735</v>
      </c>
      <c r="C72" s="96"/>
      <c r="D72" s="197"/>
      <c r="E72" s="146">
        <v>0</v>
      </c>
      <c r="F72" s="146">
        <v>-6.98</v>
      </c>
      <c r="G72" s="146">
        <v>-7.17</v>
      </c>
      <c r="H72" s="146">
        <v>-14.15</v>
      </c>
      <c r="I72" s="197">
        <v>-14.15</v>
      </c>
      <c r="J72" s="146">
        <v>-5.17</v>
      </c>
      <c r="K72" s="146">
        <v>-7.9378000000000002</v>
      </c>
      <c r="L72" s="146">
        <v>-6.2896599999999996</v>
      </c>
      <c r="M72" s="146">
        <v>-5.8793199999999999</v>
      </c>
      <c r="N72" s="146">
        <v>-3.2886000000000002</v>
      </c>
      <c r="O72" s="146">
        <v>-2.1257199999999998</v>
      </c>
      <c r="P72" s="146">
        <v>-3.92049</v>
      </c>
      <c r="Q72" s="146">
        <v>-2.25936</v>
      </c>
      <c r="R72" s="146">
        <v>-1.82125</v>
      </c>
      <c r="S72" s="146">
        <v>-6.51</v>
      </c>
      <c r="T72" s="146">
        <v>-6.72</v>
      </c>
      <c r="U72" s="146">
        <v>-6.98</v>
      </c>
      <c r="V72" s="149">
        <v>-5.17</v>
      </c>
    </row>
    <row r="73" spans="2:22" x14ac:dyDescent="0.2">
      <c r="B73" s="99" t="s">
        <v>1736</v>
      </c>
      <c r="C73" s="96"/>
      <c r="D73" s="197">
        <v>0</v>
      </c>
      <c r="E73" s="146">
        <v>0</v>
      </c>
      <c r="F73" s="146">
        <v>2786.7595999999999</v>
      </c>
      <c r="G73" s="146">
        <v>2834.7395999999999</v>
      </c>
      <c r="H73" s="146">
        <v>5621.4992000000002</v>
      </c>
      <c r="I73" s="197">
        <v>5621.4992000000002</v>
      </c>
      <c r="J73" s="146">
        <v>3044.7395999999999</v>
      </c>
      <c r="K73" s="146">
        <v>3357.7891600000003</v>
      </c>
      <c r="L73" s="146">
        <v>3239.4725600000002</v>
      </c>
      <c r="M73" s="146">
        <v>2789.6166999999996</v>
      </c>
      <c r="N73" s="146">
        <v>2578.0616700000005</v>
      </c>
      <c r="O73" s="146">
        <v>2688.5691700000002</v>
      </c>
      <c r="P73" s="146">
        <v>2755.1271499999998</v>
      </c>
      <c r="Q73" s="146">
        <v>2778.4191799999999</v>
      </c>
      <c r="R73" s="146">
        <v>2889.61258</v>
      </c>
      <c r="S73" s="146">
        <v>2984.3096</v>
      </c>
      <c r="T73" s="146">
        <v>2788.1895999999997</v>
      </c>
      <c r="U73" s="146">
        <v>2818.7595999999999</v>
      </c>
      <c r="V73" s="149">
        <v>3044.7395999999999</v>
      </c>
    </row>
    <row r="74" spans="2:22" x14ac:dyDescent="0.2">
      <c r="B74" s="100" t="s">
        <v>1737</v>
      </c>
      <c r="C74" s="96"/>
      <c r="D74" s="197"/>
      <c r="E74" s="146">
        <v>0</v>
      </c>
      <c r="F74" s="146">
        <v>23.94</v>
      </c>
      <c r="G74" s="146">
        <v>22.12</v>
      </c>
      <c r="H74" s="146">
        <v>46.06</v>
      </c>
      <c r="I74" s="197">
        <v>46.06</v>
      </c>
      <c r="J74" s="146">
        <v>32.119999999999997</v>
      </c>
      <c r="K74" s="146">
        <v>23.116859999999999</v>
      </c>
      <c r="L74" s="146">
        <v>22.338809999999999</v>
      </c>
      <c r="M74" s="146">
        <v>24.58897</v>
      </c>
      <c r="N74" s="146">
        <v>25.77487</v>
      </c>
      <c r="O74" s="146">
        <v>20.690909999999999</v>
      </c>
      <c r="P74" s="146">
        <v>21.27251</v>
      </c>
      <c r="Q74" s="146">
        <v>24.985440000000001</v>
      </c>
      <c r="R74" s="146">
        <v>22.21706</v>
      </c>
      <c r="S74" s="146">
        <v>22.03</v>
      </c>
      <c r="T74" s="146">
        <v>29.38</v>
      </c>
      <c r="U74" s="146">
        <v>23.94</v>
      </c>
      <c r="V74" s="149">
        <v>32.119999999999997</v>
      </c>
    </row>
    <row r="75" spans="2:22" x14ac:dyDescent="0.2">
      <c r="B75" s="100" t="s">
        <v>1738</v>
      </c>
      <c r="C75" s="96"/>
      <c r="D75" s="197"/>
      <c r="E75" s="146">
        <v>0</v>
      </c>
      <c r="F75" s="146">
        <v>1758.66</v>
      </c>
      <c r="G75" s="146">
        <v>1801.11</v>
      </c>
      <c r="H75" s="146">
        <v>3559.77</v>
      </c>
      <c r="I75" s="197">
        <v>3559.77</v>
      </c>
      <c r="J75" s="146">
        <v>1890.11</v>
      </c>
      <c r="K75" s="146">
        <v>1901.59584</v>
      </c>
      <c r="L75" s="146">
        <v>1899.9150500000001</v>
      </c>
      <c r="M75" s="146">
        <v>1793.7453399999999</v>
      </c>
      <c r="N75" s="146">
        <v>1648.2171000000001</v>
      </c>
      <c r="O75" s="146">
        <v>1729.2226900000001</v>
      </c>
      <c r="P75" s="146">
        <v>1773.42554</v>
      </c>
      <c r="Q75" s="146">
        <v>1777.87691</v>
      </c>
      <c r="R75" s="146">
        <v>1811.2719099999999</v>
      </c>
      <c r="S75" s="146">
        <v>1889.02</v>
      </c>
      <c r="T75" s="146">
        <v>1753.99</v>
      </c>
      <c r="U75" s="146">
        <v>1773.66</v>
      </c>
      <c r="V75" s="149">
        <v>1890.11</v>
      </c>
    </row>
    <row r="76" spans="2:22" x14ac:dyDescent="0.2">
      <c r="B76" s="100" t="s">
        <v>1739</v>
      </c>
      <c r="C76" s="96"/>
      <c r="D76" s="197"/>
      <c r="E76" s="146">
        <v>0</v>
      </c>
      <c r="F76" s="146">
        <v>-53.570399999999999</v>
      </c>
      <c r="G76" s="146">
        <v>-52.570399999999999</v>
      </c>
      <c r="H76" s="146">
        <v>-106.1408</v>
      </c>
      <c r="I76" s="197">
        <v>-106.1408</v>
      </c>
      <c r="J76" s="146">
        <v>-54.570399999999999</v>
      </c>
      <c r="K76" s="146">
        <v>-63.306420000000003</v>
      </c>
      <c r="L76" s="146">
        <v>-88.831450000000004</v>
      </c>
      <c r="M76" s="146">
        <v>-79.432869999999994</v>
      </c>
      <c r="N76" s="146">
        <v>-78.119100000000003</v>
      </c>
      <c r="O76" s="146">
        <v>-72.597840000000005</v>
      </c>
      <c r="P76" s="146">
        <v>-64.570400000000006</v>
      </c>
      <c r="Q76" s="146">
        <v>-58.68768</v>
      </c>
      <c r="R76" s="146">
        <v>-53.588230000000003</v>
      </c>
      <c r="S76" s="146">
        <v>-54.570399999999999</v>
      </c>
      <c r="T76" s="146">
        <v>-54.570399999999999</v>
      </c>
      <c r="U76" s="146">
        <v>-54.570399999999999</v>
      </c>
      <c r="V76" s="149">
        <v>-54.570399999999999</v>
      </c>
    </row>
    <row r="77" spans="2:22" x14ac:dyDescent="0.2">
      <c r="B77" s="100" t="s">
        <v>1740</v>
      </c>
      <c r="C77" s="96"/>
      <c r="D77" s="197"/>
      <c r="E77" s="146">
        <v>0</v>
      </c>
      <c r="F77" s="146">
        <v>850.32</v>
      </c>
      <c r="G77" s="146">
        <v>861.09</v>
      </c>
      <c r="H77" s="146">
        <v>1711.41</v>
      </c>
      <c r="I77" s="197">
        <v>1711.41</v>
      </c>
      <c r="J77" s="146">
        <v>929.09</v>
      </c>
      <c r="K77" s="146">
        <v>896.05137000000002</v>
      </c>
      <c r="L77" s="146">
        <v>886.67876000000001</v>
      </c>
      <c r="M77" s="146">
        <v>893.04253000000006</v>
      </c>
      <c r="N77" s="146">
        <v>889.81748000000005</v>
      </c>
      <c r="O77" s="146">
        <v>934.98203000000001</v>
      </c>
      <c r="P77" s="146">
        <v>946.65900999999997</v>
      </c>
      <c r="Q77" s="146">
        <v>938.65432999999996</v>
      </c>
      <c r="R77" s="146">
        <v>948.82155999999998</v>
      </c>
      <c r="S77" s="146">
        <v>882.78</v>
      </c>
      <c r="T77" s="146">
        <v>821.65</v>
      </c>
      <c r="U77" s="146">
        <v>847.32</v>
      </c>
      <c r="V77" s="149">
        <v>929.09</v>
      </c>
    </row>
    <row r="78" spans="2:22" x14ac:dyDescent="0.2">
      <c r="B78" s="100" t="s">
        <v>1741</v>
      </c>
      <c r="C78" s="96"/>
      <c r="D78" s="197"/>
      <c r="E78" s="146">
        <v>0</v>
      </c>
      <c r="F78" s="146">
        <v>207.41</v>
      </c>
      <c r="G78" s="146">
        <v>202.99</v>
      </c>
      <c r="H78" s="146">
        <v>410.4</v>
      </c>
      <c r="I78" s="197">
        <v>410.4</v>
      </c>
      <c r="J78" s="146">
        <v>247.99</v>
      </c>
      <c r="K78" s="146">
        <v>600.33150999999998</v>
      </c>
      <c r="L78" s="146">
        <v>519.37139000000002</v>
      </c>
      <c r="M78" s="146">
        <v>157.67273</v>
      </c>
      <c r="N78" s="146">
        <v>92.371319999999997</v>
      </c>
      <c r="O78" s="146">
        <v>76.271379999999994</v>
      </c>
      <c r="P78" s="146">
        <v>78.340490000000003</v>
      </c>
      <c r="Q78" s="146">
        <v>95.590180000000004</v>
      </c>
      <c r="R78" s="146">
        <v>160.89027999999999</v>
      </c>
      <c r="S78" s="146">
        <v>245.05</v>
      </c>
      <c r="T78" s="146">
        <v>237.74</v>
      </c>
      <c r="U78" s="146">
        <v>228.41</v>
      </c>
      <c r="V78" s="149">
        <v>247.99</v>
      </c>
    </row>
    <row r="79" spans="2:22" x14ac:dyDescent="0.2">
      <c r="B79" s="99" t="s">
        <v>1601</v>
      </c>
      <c r="C79" s="96"/>
      <c r="D79" s="197">
        <v>0</v>
      </c>
      <c r="E79" s="146">
        <v>0</v>
      </c>
      <c r="F79" s="146">
        <v>996.30599400000006</v>
      </c>
      <c r="G79" s="146">
        <v>1020.835994</v>
      </c>
      <c r="H79" s="146">
        <v>2017.1419880000001</v>
      </c>
      <c r="I79" s="197">
        <v>2017.1419880000001</v>
      </c>
      <c r="J79" s="146">
        <v>1023.835994</v>
      </c>
      <c r="K79" s="146">
        <v>840.89013999999997</v>
      </c>
      <c r="L79" s="146">
        <v>876.26916000000006</v>
      </c>
      <c r="M79" s="146">
        <v>918.84041999999999</v>
      </c>
      <c r="N79" s="146">
        <v>926.58907999999997</v>
      </c>
      <c r="O79" s="146">
        <v>999.00230999999997</v>
      </c>
      <c r="P79" s="146">
        <v>1035.16129</v>
      </c>
      <c r="Q79" s="146">
        <v>989.47004000000004</v>
      </c>
      <c r="R79" s="146">
        <v>1015.3241499999999</v>
      </c>
      <c r="S79" s="146">
        <v>846.80599400000006</v>
      </c>
      <c r="T79" s="146">
        <v>945.34599400000002</v>
      </c>
      <c r="U79" s="146">
        <v>999.30599400000006</v>
      </c>
      <c r="V79" s="149">
        <v>1023.835994</v>
      </c>
    </row>
    <row r="80" spans="2:22" x14ac:dyDescent="0.2">
      <c r="B80" s="100" t="s">
        <v>1629</v>
      </c>
      <c r="C80" s="96"/>
      <c r="D80" s="197"/>
      <c r="E80" s="146">
        <v>0</v>
      </c>
      <c r="F80" s="146">
        <v>868.21599400000002</v>
      </c>
      <c r="G80" s="146">
        <v>888.21599400000002</v>
      </c>
      <c r="H80" s="146">
        <v>1756.431988</v>
      </c>
      <c r="I80" s="197">
        <v>1756.431988</v>
      </c>
      <c r="J80" s="146">
        <v>891.21599400000002</v>
      </c>
      <c r="K80" s="146">
        <v>712.33897999999999</v>
      </c>
      <c r="L80" s="146">
        <v>770.96820000000002</v>
      </c>
      <c r="M80" s="146">
        <v>814.64711</v>
      </c>
      <c r="N80" s="146">
        <v>822.18929000000003</v>
      </c>
      <c r="O80" s="146">
        <v>896.28683999999998</v>
      </c>
      <c r="P80" s="146">
        <v>935.5684</v>
      </c>
      <c r="Q80" s="146">
        <v>802.59491000000003</v>
      </c>
      <c r="R80" s="146">
        <v>825.70051999999998</v>
      </c>
      <c r="S80" s="146">
        <v>721.21599400000002</v>
      </c>
      <c r="T80" s="146">
        <v>821.21599400000002</v>
      </c>
      <c r="U80" s="146">
        <v>871.21599400000002</v>
      </c>
      <c r="V80" s="149">
        <v>891.21599400000002</v>
      </c>
    </row>
    <row r="81" spans="2:22" x14ac:dyDescent="0.2">
      <c r="B81" s="100" t="s">
        <v>1630</v>
      </c>
      <c r="C81" s="96"/>
      <c r="D81" s="197"/>
      <c r="E81" s="146">
        <v>0</v>
      </c>
      <c r="F81" s="146">
        <v>128.09</v>
      </c>
      <c r="G81" s="146">
        <v>132.62</v>
      </c>
      <c r="H81" s="146">
        <v>260.71000000000004</v>
      </c>
      <c r="I81" s="197">
        <v>260.71000000000004</v>
      </c>
      <c r="J81" s="146">
        <v>132.62</v>
      </c>
      <c r="K81" s="146">
        <v>128.55116000000001</v>
      </c>
      <c r="L81" s="146">
        <v>105.30096</v>
      </c>
      <c r="M81" s="146">
        <v>104.19331</v>
      </c>
      <c r="N81" s="146">
        <v>104.39979</v>
      </c>
      <c r="O81" s="146">
        <v>102.71547</v>
      </c>
      <c r="P81" s="146">
        <v>99.592889999999997</v>
      </c>
      <c r="Q81" s="146">
        <v>186.87513000000001</v>
      </c>
      <c r="R81" s="146">
        <v>189.62362999999999</v>
      </c>
      <c r="S81" s="146">
        <v>125.59</v>
      </c>
      <c r="T81" s="146">
        <v>124.13</v>
      </c>
      <c r="U81" s="146">
        <v>128.09</v>
      </c>
      <c r="V81" s="149">
        <v>132.62</v>
      </c>
    </row>
    <row r="82" spans="2:22" x14ac:dyDescent="0.2">
      <c r="B82" s="99" t="s">
        <v>1602</v>
      </c>
      <c r="C82" s="96"/>
      <c r="D82" s="197"/>
      <c r="E82" s="146">
        <v>0</v>
      </c>
      <c r="F82" s="146">
        <v>868.53</v>
      </c>
      <c r="G82" s="146">
        <v>899.14</v>
      </c>
      <c r="H82" s="146">
        <v>1767.67</v>
      </c>
      <c r="I82" s="197">
        <v>1767.67</v>
      </c>
      <c r="J82" s="146">
        <v>937.14</v>
      </c>
      <c r="K82" s="146">
        <v>896.79538000000002</v>
      </c>
      <c r="L82" s="146">
        <v>984.12112000000002</v>
      </c>
      <c r="M82" s="146">
        <v>960.36563000000001</v>
      </c>
      <c r="N82" s="146">
        <v>918.43409999999994</v>
      </c>
      <c r="O82" s="146">
        <v>874.53120000000001</v>
      </c>
      <c r="P82" s="146">
        <v>794.09222</v>
      </c>
      <c r="Q82" s="146">
        <v>716.68262000000004</v>
      </c>
      <c r="R82" s="146">
        <v>645.06584999999995</v>
      </c>
      <c r="S82" s="146">
        <v>899.01</v>
      </c>
      <c r="T82" s="146">
        <v>874.5</v>
      </c>
      <c r="U82" s="146">
        <v>898.53</v>
      </c>
      <c r="V82" s="149">
        <v>937.14</v>
      </c>
    </row>
    <row r="83" spans="2:22" x14ac:dyDescent="0.2">
      <c r="B83" s="99" t="s">
        <v>1742</v>
      </c>
      <c r="C83" s="96"/>
      <c r="D83" s="197"/>
      <c r="E83" s="146"/>
      <c r="F83" s="146"/>
      <c r="G83" s="146"/>
      <c r="H83" s="146">
        <v>0</v>
      </c>
      <c r="I83" s="197">
        <v>0</v>
      </c>
      <c r="J83" s="146">
        <v>0</v>
      </c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211"/>
    </row>
    <row r="84" spans="2:22" x14ac:dyDescent="0.2">
      <c r="B84" s="99" t="s">
        <v>1743</v>
      </c>
      <c r="C84" s="96"/>
      <c r="D84" s="197">
        <v>0</v>
      </c>
      <c r="E84" s="146">
        <v>0</v>
      </c>
      <c r="F84" s="146">
        <v>9872.8855940000012</v>
      </c>
      <c r="G84" s="146">
        <v>10246.325593999998</v>
      </c>
      <c r="H84" s="146">
        <v>20119.211188000001</v>
      </c>
      <c r="I84" s="197">
        <v>20119.211188000001</v>
      </c>
      <c r="J84" s="146">
        <v>10674.425594</v>
      </c>
      <c r="K84" s="146">
        <v>11539.66418</v>
      </c>
      <c r="L84" s="146">
        <v>10652.338059999998</v>
      </c>
      <c r="M84" s="146">
        <v>10588.659169999999</v>
      </c>
      <c r="N84" s="146">
        <v>9929.4835000000003</v>
      </c>
      <c r="O84" s="146">
        <v>10150.85412</v>
      </c>
      <c r="P84" s="146">
        <v>10379.65379</v>
      </c>
      <c r="Q84" s="146">
        <v>10143.51089</v>
      </c>
      <c r="R84" s="146">
        <v>10316.989979999998</v>
      </c>
      <c r="S84" s="146">
        <v>10872.155594</v>
      </c>
      <c r="T84" s="146">
        <v>10164.065594</v>
      </c>
      <c r="U84" s="146">
        <v>10303.745594000002</v>
      </c>
      <c r="V84" s="149">
        <v>10674.425594</v>
      </c>
    </row>
    <row r="85" spans="2:22" x14ac:dyDescent="0.2">
      <c r="B85" s="99" t="s">
        <v>1603</v>
      </c>
      <c r="C85" s="96"/>
      <c r="D85" s="197"/>
      <c r="E85" s="146">
        <v>0</v>
      </c>
      <c r="F85" s="146">
        <v>586.74</v>
      </c>
      <c r="G85" s="146">
        <v>593.12</v>
      </c>
      <c r="H85" s="146">
        <v>1179.8600000000001</v>
      </c>
      <c r="I85" s="197">
        <v>1179.8600000000001</v>
      </c>
      <c r="J85" s="146">
        <v>0</v>
      </c>
      <c r="K85" s="146">
        <v>214.44932</v>
      </c>
      <c r="L85" s="146">
        <v>214.44932</v>
      </c>
      <c r="M85" s="146">
        <v>145.3472252</v>
      </c>
      <c r="N85" s="146">
        <v>75.155637200000001</v>
      </c>
      <c r="O85" s="146">
        <v>3.8745552000000001</v>
      </c>
      <c r="P85" s="146"/>
      <c r="Q85" s="146"/>
      <c r="R85" s="146"/>
      <c r="S85" s="146"/>
      <c r="T85" s="146"/>
      <c r="U85" s="146"/>
      <c r="V85" s="149"/>
    </row>
    <row r="86" spans="2:22" x14ac:dyDescent="0.2">
      <c r="B86" s="99" t="s">
        <v>1744</v>
      </c>
      <c r="C86" s="96"/>
      <c r="D86" s="197"/>
      <c r="E86" s="146"/>
      <c r="F86" s="146"/>
      <c r="G86" s="146"/>
      <c r="H86" s="146">
        <v>0</v>
      </c>
      <c r="I86" s="197">
        <v>0</v>
      </c>
      <c r="J86" s="146">
        <v>0</v>
      </c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9"/>
    </row>
    <row r="87" spans="2:22" x14ac:dyDescent="0.2">
      <c r="B87" s="99" t="s">
        <v>1943</v>
      </c>
      <c r="C87" s="96"/>
      <c r="D87" s="197"/>
      <c r="E87" s="146">
        <v>0</v>
      </c>
      <c r="F87" s="146">
        <v>31044.3448561</v>
      </c>
      <c r="G87" s="146">
        <v>32643.360573000002</v>
      </c>
      <c r="H87" s="146">
        <v>63687.705429100002</v>
      </c>
      <c r="I87" s="197">
        <v>63687.705429100002</v>
      </c>
      <c r="J87" s="146">
        <v>26023.530053099999</v>
      </c>
      <c r="K87" s="198">
        <v>42480.502912000004</v>
      </c>
      <c r="L87" s="198">
        <v>42093.362269500001</v>
      </c>
      <c r="M87" s="198">
        <v>40276.371940099998</v>
      </c>
      <c r="N87" s="198">
        <v>39460.160986299998</v>
      </c>
      <c r="O87" s="198">
        <v>41341.928397700001</v>
      </c>
      <c r="P87" s="198">
        <v>39918.501528200002</v>
      </c>
      <c r="Q87" s="198">
        <v>31882.506867100001</v>
      </c>
      <c r="R87" s="198">
        <v>27568.300201499998</v>
      </c>
      <c r="S87" s="198">
        <v>25961.236100999999</v>
      </c>
      <c r="T87" s="198">
        <v>25247.289346699999</v>
      </c>
      <c r="U87" s="198">
        <v>25735.508241299998</v>
      </c>
      <c r="V87" s="211">
        <v>26023.530053099999</v>
      </c>
    </row>
    <row r="88" spans="2:22" x14ac:dyDescent="0.2">
      <c r="B88" s="99" t="s">
        <v>1745</v>
      </c>
      <c r="C88" s="96"/>
      <c r="D88" s="197"/>
      <c r="E88" s="146"/>
      <c r="F88" s="146"/>
      <c r="G88" s="146"/>
      <c r="H88" s="146">
        <v>0</v>
      </c>
      <c r="I88" s="197">
        <v>0</v>
      </c>
      <c r="J88" s="146">
        <v>0</v>
      </c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9"/>
    </row>
    <row r="89" spans="2:22" x14ac:dyDescent="0.2">
      <c r="B89" s="99" t="s">
        <v>1746</v>
      </c>
      <c r="C89" s="96"/>
      <c r="D89" s="197"/>
      <c r="E89" s="146">
        <v>0</v>
      </c>
      <c r="F89" s="146">
        <v>65.7</v>
      </c>
      <c r="G89" s="146">
        <v>68.599999999999994</v>
      </c>
      <c r="H89" s="146">
        <v>134.30000000000001</v>
      </c>
      <c r="I89" s="197">
        <v>134.30000000000001</v>
      </c>
      <c r="J89" s="146">
        <v>0</v>
      </c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9"/>
    </row>
    <row r="90" spans="2:22" x14ac:dyDescent="0.2">
      <c r="B90" s="99" t="s">
        <v>1747</v>
      </c>
      <c r="C90" s="96"/>
      <c r="D90" s="197">
        <v>0</v>
      </c>
      <c r="E90" s="146">
        <v>0</v>
      </c>
      <c r="F90" s="146">
        <v>31696.784856100003</v>
      </c>
      <c r="G90" s="146">
        <v>33305.080572999999</v>
      </c>
      <c r="H90" s="146">
        <v>65001.865429099998</v>
      </c>
      <c r="I90" s="197">
        <v>65001.865429099998</v>
      </c>
      <c r="J90" s="146">
        <v>26023.530053099999</v>
      </c>
      <c r="K90" s="146">
        <v>42694.952232000003</v>
      </c>
      <c r="L90" s="146">
        <v>42307.811589500001</v>
      </c>
      <c r="M90" s="146">
        <v>40421.719165299997</v>
      </c>
      <c r="N90" s="146">
        <v>39535.316623499995</v>
      </c>
      <c r="O90" s="146">
        <v>41345.802952899998</v>
      </c>
      <c r="P90" s="146">
        <v>39918.501528200002</v>
      </c>
      <c r="Q90" s="146">
        <v>31882.506867100001</v>
      </c>
      <c r="R90" s="146">
        <v>27568.300201499998</v>
      </c>
      <c r="S90" s="146">
        <v>25961.236100999999</v>
      </c>
      <c r="T90" s="146">
        <v>25247.289346699999</v>
      </c>
      <c r="U90" s="146">
        <v>25735.508241299998</v>
      </c>
      <c r="V90" s="149">
        <v>26023.530053099999</v>
      </c>
    </row>
    <row r="91" spans="2:22" x14ac:dyDescent="0.2">
      <c r="B91" s="99" t="s">
        <v>1748</v>
      </c>
      <c r="C91" s="96"/>
      <c r="D91" s="197">
        <v>0</v>
      </c>
      <c r="E91" s="146">
        <v>0</v>
      </c>
      <c r="F91" s="146">
        <v>41569.670450100006</v>
      </c>
      <c r="G91" s="146">
        <v>43551.406166999994</v>
      </c>
      <c r="H91" s="146">
        <v>85121.0766171</v>
      </c>
      <c r="I91" s="197">
        <v>85121.0766171</v>
      </c>
      <c r="J91" s="146">
        <v>36697.955647099996</v>
      </c>
      <c r="K91" s="146">
        <v>54234.616412000003</v>
      </c>
      <c r="L91" s="146">
        <v>52960.149649500003</v>
      </c>
      <c r="M91" s="146">
        <v>51010.378335299996</v>
      </c>
      <c r="N91" s="146">
        <v>49464.800123499997</v>
      </c>
      <c r="O91" s="146">
        <v>51496.657072899994</v>
      </c>
      <c r="P91" s="146">
        <v>50298.155318200006</v>
      </c>
      <c r="Q91" s="146">
        <v>42026.017757100002</v>
      </c>
      <c r="R91" s="146">
        <v>37885.290181499993</v>
      </c>
      <c r="S91" s="146">
        <v>36833.391694999998</v>
      </c>
      <c r="T91" s="146">
        <v>35411.354940699995</v>
      </c>
      <c r="U91" s="146">
        <v>36039.253835299998</v>
      </c>
      <c r="V91" s="149">
        <v>36697.955647099996</v>
      </c>
    </row>
    <row r="92" spans="2:22" x14ac:dyDescent="0.2">
      <c r="B92" s="99" t="s">
        <v>1749</v>
      </c>
      <c r="C92" s="96"/>
      <c r="D92" s="197"/>
      <c r="E92" s="146"/>
      <c r="F92" s="146"/>
      <c r="G92" s="146"/>
      <c r="H92" s="146">
        <v>0</v>
      </c>
      <c r="I92" s="197">
        <v>0</v>
      </c>
      <c r="J92" s="146">
        <v>0</v>
      </c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211"/>
    </row>
    <row r="93" spans="2:22" x14ac:dyDescent="0.2">
      <c r="B93" s="99" t="s">
        <v>1750</v>
      </c>
      <c r="C93" s="96"/>
      <c r="D93" s="197">
        <v>0</v>
      </c>
      <c r="E93" s="146">
        <v>0</v>
      </c>
      <c r="F93" s="146">
        <v>5911.9565524999998</v>
      </c>
      <c r="G93" s="146">
        <v>6122.5345053999999</v>
      </c>
      <c r="H93" s="146">
        <v>12034.491057899999</v>
      </c>
      <c r="I93" s="197">
        <v>12034.491057899999</v>
      </c>
      <c r="J93" s="146">
        <v>9486.4879536000008</v>
      </c>
      <c r="K93" s="146">
        <v>529.00787609999998</v>
      </c>
      <c r="L93" s="146">
        <v>1128.4365934</v>
      </c>
      <c r="M93" s="146">
        <v>1787.9350070999999</v>
      </c>
      <c r="N93" s="146">
        <v>2415.8302803000001</v>
      </c>
      <c r="O93" s="146">
        <v>3323.4655591000001</v>
      </c>
      <c r="P93" s="146">
        <v>4291.7306686000002</v>
      </c>
      <c r="Q93" s="146">
        <v>5156.157999</v>
      </c>
      <c r="R93" s="146">
        <v>5914.6897752000004</v>
      </c>
      <c r="S93" s="146">
        <v>6750.3528794000003</v>
      </c>
      <c r="T93" s="146">
        <v>7697.0041191999999</v>
      </c>
      <c r="U93" s="146">
        <v>8569.5382719000008</v>
      </c>
      <c r="V93" s="149">
        <v>9486.4879536000008</v>
      </c>
    </row>
    <row r="94" spans="2:22" x14ac:dyDescent="0.2">
      <c r="B94" s="100" t="s">
        <v>1751</v>
      </c>
      <c r="C94" s="96"/>
      <c r="D94" s="197"/>
      <c r="E94" s="146"/>
      <c r="F94" s="146"/>
      <c r="G94" s="146"/>
      <c r="H94" s="146">
        <v>0</v>
      </c>
      <c r="I94" s="197">
        <v>0</v>
      </c>
      <c r="J94" s="146">
        <v>0</v>
      </c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211"/>
    </row>
    <row r="95" spans="2:22" x14ac:dyDescent="0.2">
      <c r="B95" s="100" t="s">
        <v>1752</v>
      </c>
      <c r="C95" s="96"/>
      <c r="D95" s="197"/>
      <c r="E95" s="146">
        <v>0</v>
      </c>
      <c r="F95" s="146">
        <v>5911.9565524999998</v>
      </c>
      <c r="G95" s="146">
        <v>6122.5345053999999</v>
      </c>
      <c r="H95" s="146">
        <v>12034.491057899999</v>
      </c>
      <c r="I95" s="197">
        <v>12034.491057899999</v>
      </c>
      <c r="J95" s="146">
        <v>9486.4879536000008</v>
      </c>
      <c r="K95" s="198">
        <v>529.00787609999998</v>
      </c>
      <c r="L95" s="198">
        <v>1128.4365934</v>
      </c>
      <c r="M95" s="198">
        <v>1787.9350070999999</v>
      </c>
      <c r="N95" s="198">
        <v>2415.8302803000001</v>
      </c>
      <c r="O95" s="198">
        <v>3323.4655591000001</v>
      </c>
      <c r="P95" s="198">
        <v>4291.7306686000002</v>
      </c>
      <c r="Q95" s="198">
        <v>5156.157999</v>
      </c>
      <c r="R95" s="198">
        <v>5914.6897752000004</v>
      </c>
      <c r="S95" s="198">
        <v>6750.3528794000003</v>
      </c>
      <c r="T95" s="198">
        <v>7697.0041191999999</v>
      </c>
      <c r="U95" s="198">
        <v>8569.5382719000008</v>
      </c>
      <c r="V95" s="211">
        <v>9486.4879536000008</v>
      </c>
    </row>
    <row r="96" spans="2:22" x14ac:dyDescent="0.2">
      <c r="B96" s="100" t="s">
        <v>1753</v>
      </c>
      <c r="C96" s="96"/>
      <c r="D96" s="197"/>
      <c r="E96" s="146"/>
      <c r="F96" s="146"/>
      <c r="G96" s="146"/>
      <c r="H96" s="146">
        <v>0</v>
      </c>
      <c r="I96" s="197">
        <v>0</v>
      </c>
      <c r="J96" s="146">
        <v>0</v>
      </c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211"/>
    </row>
    <row r="97" spans="2:22" x14ac:dyDescent="0.2">
      <c r="B97" s="99" t="s">
        <v>1696</v>
      </c>
      <c r="C97" s="96"/>
      <c r="D97" s="197">
        <v>0</v>
      </c>
      <c r="E97" s="146">
        <v>0</v>
      </c>
      <c r="F97" s="146">
        <v>0</v>
      </c>
      <c r="G97" s="146">
        <v>0</v>
      </c>
      <c r="H97" s="146">
        <v>0</v>
      </c>
      <c r="I97" s="197">
        <v>0</v>
      </c>
      <c r="J97" s="146">
        <v>0</v>
      </c>
      <c r="K97" s="146">
        <v>0</v>
      </c>
      <c r="L97" s="146">
        <v>0</v>
      </c>
      <c r="M97" s="146">
        <v>0</v>
      </c>
      <c r="N97" s="146">
        <v>0</v>
      </c>
      <c r="O97" s="146">
        <v>0</v>
      </c>
      <c r="P97" s="146">
        <v>0</v>
      </c>
      <c r="Q97" s="146">
        <v>0</v>
      </c>
      <c r="R97" s="146">
        <v>0</v>
      </c>
      <c r="S97" s="146">
        <v>0</v>
      </c>
      <c r="T97" s="146">
        <v>0</v>
      </c>
      <c r="U97" s="146">
        <v>0</v>
      </c>
      <c r="V97" s="149">
        <v>0</v>
      </c>
    </row>
    <row r="98" spans="2:22" x14ac:dyDescent="0.2">
      <c r="B98" s="100" t="s">
        <v>1751</v>
      </c>
      <c r="C98" s="96"/>
      <c r="D98" s="197"/>
      <c r="E98" s="146"/>
      <c r="F98" s="146"/>
      <c r="G98" s="146"/>
      <c r="H98" s="146">
        <v>0</v>
      </c>
      <c r="I98" s="197">
        <v>0</v>
      </c>
      <c r="J98" s="146">
        <v>0</v>
      </c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9"/>
    </row>
    <row r="99" spans="2:22" x14ac:dyDescent="0.2">
      <c r="B99" s="100" t="s">
        <v>1754</v>
      </c>
      <c r="C99" s="96"/>
      <c r="D99" s="197"/>
      <c r="E99" s="146"/>
      <c r="F99" s="146"/>
      <c r="G99" s="146"/>
      <c r="H99" s="146">
        <v>0</v>
      </c>
      <c r="I99" s="197">
        <v>0</v>
      </c>
      <c r="J99" s="146">
        <v>0</v>
      </c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9"/>
    </row>
    <row r="100" spans="2:22" x14ac:dyDescent="0.2">
      <c r="B100" s="214"/>
      <c r="C100" s="201"/>
      <c r="D100" s="202">
        <v>0</v>
      </c>
      <c r="E100" s="203">
        <v>0</v>
      </c>
      <c r="F100" s="203">
        <v>72.781670000000005</v>
      </c>
      <c r="G100" s="203">
        <v>71.602310000000003</v>
      </c>
      <c r="H100" s="203">
        <v>144.38398000000001</v>
      </c>
      <c r="I100" s="204">
        <v>144.38398000000001</v>
      </c>
      <c r="J100" s="203"/>
      <c r="K100" s="201">
        <v>70.422910000000002</v>
      </c>
      <c r="L100" s="203">
        <v>69.243530000000007</v>
      </c>
      <c r="M100" s="203">
        <v>68.064130000000006</v>
      </c>
      <c r="N100" s="203">
        <v>66.884749999999997</v>
      </c>
      <c r="O100" s="203">
        <v>65.705359999999999</v>
      </c>
      <c r="P100" s="203">
        <v>64.525989999999993</v>
      </c>
      <c r="Q100" s="203">
        <v>63.34657</v>
      </c>
      <c r="R100" s="203">
        <v>62.16722</v>
      </c>
      <c r="S100" s="203">
        <v>60.987810000000003</v>
      </c>
      <c r="T100" s="203">
        <v>59.808439999999997</v>
      </c>
      <c r="U100" s="203">
        <v>58.629040000000003</v>
      </c>
      <c r="V100" s="215">
        <v>57.449640000000002</v>
      </c>
    </row>
    <row r="101" spans="2:22" x14ac:dyDescent="0.2">
      <c r="B101" s="214"/>
      <c r="C101" s="96"/>
      <c r="D101" s="205">
        <v>0</v>
      </c>
      <c r="E101" s="146">
        <v>0</v>
      </c>
      <c r="F101" s="146">
        <v>0</v>
      </c>
      <c r="G101" s="146">
        <v>0</v>
      </c>
      <c r="H101" s="146">
        <v>0</v>
      </c>
      <c r="I101" s="197">
        <v>0</v>
      </c>
      <c r="J101" s="146"/>
      <c r="K101" s="96">
        <v>0</v>
      </c>
      <c r="L101" s="146">
        <v>0</v>
      </c>
      <c r="M101" s="146">
        <v>0</v>
      </c>
      <c r="N101" s="146">
        <v>0</v>
      </c>
      <c r="O101" s="146">
        <v>0</v>
      </c>
      <c r="P101" s="146">
        <v>0</v>
      </c>
      <c r="Q101" s="146">
        <v>0</v>
      </c>
      <c r="R101" s="146">
        <v>0</v>
      </c>
      <c r="S101" s="146">
        <v>0</v>
      </c>
      <c r="T101" s="146">
        <v>0</v>
      </c>
      <c r="U101" s="146">
        <v>0</v>
      </c>
      <c r="V101" s="149">
        <v>0</v>
      </c>
    </row>
    <row r="102" spans="2:22" x14ac:dyDescent="0.2">
      <c r="B102" s="214"/>
      <c r="C102" s="96"/>
      <c r="D102" s="205">
        <v>0</v>
      </c>
      <c r="E102" s="146">
        <v>0</v>
      </c>
      <c r="F102" s="146">
        <v>1070.0267200000001</v>
      </c>
      <c r="G102" s="146">
        <v>1060.5267200000001</v>
      </c>
      <c r="H102" s="146">
        <v>2130.5534400000001</v>
      </c>
      <c r="I102" s="197">
        <v>2130.5534400000001</v>
      </c>
      <c r="J102" s="146"/>
      <c r="K102" s="96">
        <v>1044.91957</v>
      </c>
      <c r="L102" s="146">
        <v>1051.2674732999999</v>
      </c>
      <c r="M102" s="146">
        <v>1039.2784199</v>
      </c>
      <c r="N102" s="146">
        <v>1027.8515563999999</v>
      </c>
      <c r="O102" s="146">
        <v>1036.3060011</v>
      </c>
      <c r="P102" s="146">
        <v>1025.9958687000001</v>
      </c>
      <c r="Q102" s="146">
        <v>1014.6621726</v>
      </c>
      <c r="R102" s="146">
        <v>1000.5048952</v>
      </c>
      <c r="S102" s="146">
        <v>985.23935779999999</v>
      </c>
      <c r="T102" s="146">
        <v>1040.2432004</v>
      </c>
      <c r="U102" s="146">
        <v>1093.1463862999999</v>
      </c>
      <c r="V102" s="149">
        <v>1078.2337934</v>
      </c>
    </row>
    <row r="103" spans="2:22" x14ac:dyDescent="0.2">
      <c r="B103" s="214"/>
      <c r="C103" s="96"/>
      <c r="D103" s="205">
        <v>0</v>
      </c>
      <c r="E103" s="146">
        <v>0</v>
      </c>
      <c r="F103" s="146">
        <v>11399.84186</v>
      </c>
      <c r="G103" s="146">
        <v>11030.49057</v>
      </c>
      <c r="H103" s="146">
        <v>22430.332430000002</v>
      </c>
      <c r="I103" s="197">
        <v>22430.332430000002</v>
      </c>
      <c r="J103" s="146"/>
      <c r="K103" s="96">
        <v>10670.93744</v>
      </c>
      <c r="L103" s="146">
        <v>10429.969276100001</v>
      </c>
      <c r="M103" s="146">
        <v>10067.2700446</v>
      </c>
      <c r="N103" s="146">
        <v>9551.2028131000006</v>
      </c>
      <c r="O103" s="146">
        <v>8837.1848816000002</v>
      </c>
      <c r="P103" s="146">
        <v>8055.3775200999999</v>
      </c>
      <c r="Q103" s="146">
        <v>7555.5406186</v>
      </c>
      <c r="R103" s="146">
        <v>6898.9399371</v>
      </c>
      <c r="S103" s="146">
        <v>6202.7346755999997</v>
      </c>
      <c r="T103" s="146">
        <v>6552.6769906</v>
      </c>
      <c r="U103" s="146">
        <v>6398.5774134000003</v>
      </c>
      <c r="V103" s="149">
        <v>6013.117741</v>
      </c>
    </row>
    <row r="104" spans="2:22" x14ac:dyDescent="0.2">
      <c r="B104" s="214"/>
      <c r="C104" s="96"/>
      <c r="D104" s="205">
        <v>0</v>
      </c>
      <c r="E104" s="146">
        <v>0</v>
      </c>
      <c r="F104" s="146">
        <v>510.12513000000001</v>
      </c>
      <c r="G104" s="146">
        <v>486.93513000000002</v>
      </c>
      <c r="H104" s="146">
        <v>997.06025999999997</v>
      </c>
      <c r="I104" s="197">
        <v>997.06025999999997</v>
      </c>
      <c r="J104" s="146"/>
      <c r="K104" s="96">
        <v>467.58114</v>
      </c>
      <c r="L104" s="146">
        <v>448.22717</v>
      </c>
      <c r="M104" s="146">
        <v>428.87315999999998</v>
      </c>
      <c r="N104" s="146">
        <v>409.51920000000001</v>
      </c>
      <c r="O104" s="146">
        <v>390.16518000000002</v>
      </c>
      <c r="P104" s="146">
        <v>372.04016000000001</v>
      </c>
      <c r="Q104" s="146">
        <v>353.91512</v>
      </c>
      <c r="R104" s="146">
        <v>335.7901</v>
      </c>
      <c r="S104" s="146">
        <v>317.66503999999998</v>
      </c>
      <c r="T104" s="146">
        <v>301.03777000000002</v>
      </c>
      <c r="U104" s="146">
        <v>284.93126000000001</v>
      </c>
      <c r="V104" s="149">
        <v>269.34964000000002</v>
      </c>
    </row>
    <row r="105" spans="2:22" x14ac:dyDescent="0.2">
      <c r="B105" s="214"/>
      <c r="C105" s="96"/>
      <c r="D105" s="205">
        <v>0</v>
      </c>
      <c r="E105" s="146">
        <v>0</v>
      </c>
      <c r="F105" s="146">
        <v>8.0599999999999995E-3</v>
      </c>
      <c r="G105" s="146">
        <v>-1.1939999999999999E-2</v>
      </c>
      <c r="H105" s="146">
        <v>-3.8799999999999998E-3</v>
      </c>
      <c r="I105" s="197">
        <v>-3.8799999999999998E-3</v>
      </c>
      <c r="J105" s="146"/>
      <c r="K105" s="96">
        <v>-1.1939999999999999E-2</v>
      </c>
      <c r="L105" s="146">
        <v>-1.1939999999999999E-2</v>
      </c>
      <c r="M105" s="146">
        <v>-1.1939999999999999E-2</v>
      </c>
      <c r="N105" s="146">
        <v>-1.1939999999999999E-2</v>
      </c>
      <c r="O105" s="146">
        <v>-1.1939999999999999E-2</v>
      </c>
      <c r="P105" s="146">
        <v>-1.1939999999999999E-2</v>
      </c>
      <c r="Q105" s="146">
        <v>-1.1939999999999999E-2</v>
      </c>
      <c r="R105" s="146">
        <v>-1.1939999999999999E-2</v>
      </c>
      <c r="S105" s="146">
        <v>-1.1939999999999999E-2</v>
      </c>
      <c r="T105" s="146">
        <v>-1.1939999999999999E-2</v>
      </c>
      <c r="U105" s="146">
        <v>-1.1939999999999999E-2</v>
      </c>
      <c r="V105" s="149">
        <v>-1.1939999999999999E-2</v>
      </c>
    </row>
    <row r="106" spans="2:22" x14ac:dyDescent="0.2">
      <c r="B106" s="214"/>
      <c r="C106" s="96"/>
      <c r="D106" s="205">
        <v>0</v>
      </c>
      <c r="E106" s="146">
        <v>0</v>
      </c>
      <c r="F106" s="146">
        <v>252.49081000000001</v>
      </c>
      <c r="G106" s="146">
        <v>245.61080999999999</v>
      </c>
      <c r="H106" s="146">
        <v>498.10162000000003</v>
      </c>
      <c r="I106" s="197">
        <v>498.10162000000003</v>
      </c>
      <c r="J106" s="146"/>
      <c r="K106" s="96">
        <v>240.93563</v>
      </c>
      <c r="L106" s="146">
        <v>236.26043000000001</v>
      </c>
      <c r="M106" s="146">
        <v>231.58525</v>
      </c>
      <c r="N106" s="146">
        <v>226.91005000000001</v>
      </c>
      <c r="O106" s="146">
        <v>222.23486</v>
      </c>
      <c r="P106" s="146">
        <v>217.55966000000001</v>
      </c>
      <c r="Q106" s="146">
        <v>212.8845</v>
      </c>
      <c r="R106" s="146">
        <v>208.20928000000001</v>
      </c>
      <c r="S106" s="146">
        <v>203.5341</v>
      </c>
      <c r="T106" s="146">
        <v>198.85892000000001</v>
      </c>
      <c r="U106" s="146">
        <v>194.18370999999999</v>
      </c>
      <c r="V106" s="149">
        <v>189.50852</v>
      </c>
    </row>
    <row r="107" spans="2:22" x14ac:dyDescent="0.2">
      <c r="B107" s="214"/>
      <c r="C107" s="96"/>
      <c r="D107" s="205">
        <v>0</v>
      </c>
      <c r="E107" s="146">
        <v>0</v>
      </c>
      <c r="F107" s="146">
        <v>75.259050000000002</v>
      </c>
      <c r="G107" s="146">
        <v>95.787049999999994</v>
      </c>
      <c r="H107" s="146">
        <v>171.0461</v>
      </c>
      <c r="I107" s="197">
        <v>171.0461</v>
      </c>
      <c r="J107" s="146"/>
      <c r="K107" s="96">
        <v>88.151719999999997</v>
      </c>
      <c r="L107" s="146">
        <v>84.235472299999998</v>
      </c>
      <c r="M107" s="146">
        <v>77.9494179</v>
      </c>
      <c r="N107" s="146">
        <v>76.078201399999998</v>
      </c>
      <c r="O107" s="146">
        <v>69.1885482</v>
      </c>
      <c r="P107" s="146">
        <v>69.912440599999996</v>
      </c>
      <c r="Q107" s="146">
        <v>66.361276500000002</v>
      </c>
      <c r="R107" s="146">
        <v>61.736598999999998</v>
      </c>
      <c r="S107" s="146">
        <v>86.547544700000003</v>
      </c>
      <c r="T107" s="146">
        <v>78.411580400000005</v>
      </c>
      <c r="U107" s="146">
        <v>79.667649400000002</v>
      </c>
      <c r="V107" s="149">
        <v>70.923888399999996</v>
      </c>
    </row>
    <row r="108" spans="2:22" x14ac:dyDescent="0.2">
      <c r="B108" s="214"/>
      <c r="C108" s="206"/>
      <c r="D108" s="207"/>
      <c r="E108" s="208"/>
      <c r="F108" s="208"/>
      <c r="G108" s="208"/>
      <c r="H108" s="208">
        <v>0</v>
      </c>
      <c r="I108" s="209">
        <v>0</v>
      </c>
      <c r="J108" s="208"/>
      <c r="K108" s="206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16"/>
    </row>
    <row r="109" spans="2:22" x14ac:dyDescent="0.2">
      <c r="B109" s="99" t="s">
        <v>1755</v>
      </c>
      <c r="C109" s="96"/>
      <c r="D109" s="197">
        <v>0</v>
      </c>
      <c r="E109" s="146">
        <v>0</v>
      </c>
      <c r="F109" s="146">
        <v>5911.9565524999998</v>
      </c>
      <c r="G109" s="146">
        <v>6122.5345053999999</v>
      </c>
      <c r="H109" s="146">
        <v>12034.491057899999</v>
      </c>
      <c r="I109" s="197">
        <v>12034.491057899999</v>
      </c>
      <c r="J109" s="146">
        <v>9486.4879536000008</v>
      </c>
      <c r="K109" s="146">
        <v>529.00787609999998</v>
      </c>
      <c r="L109" s="146">
        <v>1128.4365934</v>
      </c>
      <c r="M109" s="146">
        <v>1787.9350070999999</v>
      </c>
      <c r="N109" s="146">
        <v>2415.8302803000001</v>
      </c>
      <c r="O109" s="146">
        <v>3323.4655591000001</v>
      </c>
      <c r="P109" s="146">
        <v>4291.7306686000002</v>
      </c>
      <c r="Q109" s="146">
        <v>5156.157999</v>
      </c>
      <c r="R109" s="146">
        <v>5914.6897752000004</v>
      </c>
      <c r="S109" s="146">
        <v>6750.3528794000003</v>
      </c>
      <c r="T109" s="146">
        <v>7697.0041191999999</v>
      </c>
      <c r="U109" s="146">
        <v>8569.5382719000008</v>
      </c>
      <c r="V109" s="149">
        <v>9486.4879536000008</v>
      </c>
    </row>
    <row r="110" spans="2:22" x14ac:dyDescent="0.2">
      <c r="B110" s="99" t="s">
        <v>1756</v>
      </c>
      <c r="C110" s="96"/>
      <c r="D110" s="197">
        <v>0</v>
      </c>
      <c r="E110" s="146">
        <v>0</v>
      </c>
      <c r="F110" s="146">
        <v>47481.627002600006</v>
      </c>
      <c r="G110" s="146">
        <v>49673.940672399993</v>
      </c>
      <c r="H110" s="146">
        <v>97155.567674999998</v>
      </c>
      <c r="I110" s="197">
        <v>97155.567674999998</v>
      </c>
      <c r="J110" s="146">
        <v>46184.443600699997</v>
      </c>
      <c r="K110" s="146">
        <v>54763.6242881</v>
      </c>
      <c r="L110" s="146">
        <v>54088.586242900004</v>
      </c>
      <c r="M110" s="146">
        <v>52798.313342399997</v>
      </c>
      <c r="N110" s="146">
        <v>51880.630403799994</v>
      </c>
      <c r="O110" s="146">
        <v>54820.122631999991</v>
      </c>
      <c r="P110" s="146">
        <v>54589.885986800007</v>
      </c>
      <c r="Q110" s="146">
        <v>47182.175756100005</v>
      </c>
      <c r="R110" s="146">
        <v>43799.979956699994</v>
      </c>
      <c r="S110" s="146">
        <v>43583.7445744</v>
      </c>
      <c r="T110" s="146">
        <v>43108.359059899994</v>
      </c>
      <c r="U110" s="146">
        <v>44608.792107200003</v>
      </c>
      <c r="V110" s="149">
        <v>46184.443600699997</v>
      </c>
    </row>
    <row r="111" spans="2:22" x14ac:dyDescent="0.2">
      <c r="B111" s="99" t="s">
        <v>1944</v>
      </c>
      <c r="C111" s="96"/>
      <c r="D111" s="197"/>
      <c r="E111" s="146"/>
      <c r="F111" s="146"/>
      <c r="G111" s="146"/>
      <c r="H111" s="146">
        <v>0</v>
      </c>
      <c r="I111" s="197">
        <v>0</v>
      </c>
      <c r="J111" s="146">
        <v>0</v>
      </c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9"/>
    </row>
    <row r="112" spans="2:22" x14ac:dyDescent="0.2">
      <c r="B112" s="99" t="s">
        <v>1945</v>
      </c>
      <c r="C112" s="96"/>
      <c r="D112" s="197"/>
      <c r="E112" s="210"/>
      <c r="F112" s="210"/>
      <c r="G112" s="210"/>
      <c r="H112" s="210">
        <v>0</v>
      </c>
      <c r="I112" s="197">
        <v>0</v>
      </c>
      <c r="J112" s="210">
        <v>0</v>
      </c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7"/>
    </row>
    <row r="113" spans="2:22" ht="13.5" thickBot="1" x14ac:dyDescent="0.25">
      <c r="B113" s="192" t="s">
        <v>1577</v>
      </c>
      <c r="C113" s="193"/>
      <c r="D113" s="218"/>
      <c r="E113" s="219">
        <v>0</v>
      </c>
      <c r="F113" s="219">
        <v>-319.81581970000002</v>
      </c>
      <c r="G113" s="219">
        <v>-318.43852720000001</v>
      </c>
      <c r="H113" s="219">
        <v>-638.25434689999997</v>
      </c>
      <c r="I113" s="218">
        <v>-638.25434689999997</v>
      </c>
      <c r="J113" s="219">
        <v>-258.79519149999999</v>
      </c>
      <c r="K113" s="219">
        <v>-378.81058919999998</v>
      </c>
      <c r="L113" s="219">
        <v>-422.86932589999998</v>
      </c>
      <c r="M113" s="219">
        <v>-411.84867100000002</v>
      </c>
      <c r="N113" s="219">
        <v>-398.68266460000001</v>
      </c>
      <c r="O113" s="219">
        <v>-404.01044689999998</v>
      </c>
      <c r="P113" s="219">
        <v>-406.30214960000001</v>
      </c>
      <c r="Q113" s="219">
        <v>-359.005042</v>
      </c>
      <c r="R113" s="219">
        <v>-297.2540353</v>
      </c>
      <c r="S113" s="219">
        <v>-267.64768149999998</v>
      </c>
      <c r="T113" s="219">
        <v>-256.04262720000003</v>
      </c>
      <c r="U113" s="219">
        <v>-254.9139879</v>
      </c>
      <c r="V113" s="220">
        <v>-258.79519149999999</v>
      </c>
    </row>
  </sheetData>
  <mergeCells count="4">
    <mergeCell ref="B2:C3"/>
    <mergeCell ref="D2:G2"/>
    <mergeCell ref="J2:J3"/>
    <mergeCell ref="K2:V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83E7-CD45-4B04-948E-70F0B171382B}">
  <dimension ref="B1:W107"/>
  <sheetViews>
    <sheetView showGridLines="0" workbookViewId="0">
      <selection activeCell="Z10" sqref="Z10"/>
    </sheetView>
  </sheetViews>
  <sheetFormatPr defaultColWidth="8.7109375" defaultRowHeight="11.25" x14ac:dyDescent="0.2"/>
  <cols>
    <col min="1" max="1" width="2" style="3" customWidth="1"/>
    <col min="2" max="2" width="24.5703125" style="3" bestFit="1" customWidth="1"/>
    <col min="3" max="3" width="1.85546875" style="3" customWidth="1"/>
    <col min="4" max="4" width="10" style="3" hidden="1" customWidth="1"/>
    <col min="5" max="5" width="11.5703125" style="3" hidden="1" customWidth="1"/>
    <col min="6" max="6" width="12" style="3" hidden="1" customWidth="1"/>
    <col min="7" max="8" width="11.85546875" style="3" hidden="1" customWidth="1"/>
    <col min="9" max="9" width="6.5703125" style="3" hidden="1" customWidth="1"/>
    <col min="10" max="10" width="5.5703125" style="3" hidden="1" customWidth="1"/>
    <col min="11" max="11" width="8.42578125" style="3" bestFit="1" customWidth="1"/>
    <col min="12" max="23" width="5.5703125" style="3" bestFit="1" customWidth="1"/>
    <col min="24" max="16384" width="8.7109375" style="3"/>
  </cols>
  <sheetData>
    <row r="1" spans="2:23" ht="12" thickBot="1" x14ac:dyDescent="0.25"/>
    <row r="2" spans="2:23" x14ac:dyDescent="0.2">
      <c r="B2" s="280" t="s">
        <v>1946</v>
      </c>
      <c r="C2" s="259"/>
      <c r="D2" s="273">
        <v>2025</v>
      </c>
      <c r="E2" s="274"/>
      <c r="F2" s="274"/>
      <c r="G2" s="274"/>
      <c r="H2" s="274"/>
      <c r="I2" s="281"/>
      <c r="J2" s="259" t="s">
        <v>1915</v>
      </c>
      <c r="K2" s="259" t="s">
        <v>1916</v>
      </c>
      <c r="L2" s="259" t="s">
        <v>1917</v>
      </c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60"/>
    </row>
    <row r="3" spans="2:23" ht="23.25" thickBot="1" x14ac:dyDescent="0.25">
      <c r="B3" s="265"/>
      <c r="C3" s="266"/>
      <c r="D3" s="144" t="s">
        <v>1918</v>
      </c>
      <c r="E3" s="144" t="s">
        <v>1919</v>
      </c>
      <c r="F3" s="144" t="s">
        <v>1920</v>
      </c>
      <c r="G3" s="144" t="s">
        <v>1947</v>
      </c>
      <c r="H3" s="144" t="s">
        <v>1922</v>
      </c>
      <c r="I3" s="144" t="s">
        <v>1948</v>
      </c>
      <c r="J3" s="266"/>
      <c r="K3" s="266"/>
      <c r="L3" s="144" t="s">
        <v>1924</v>
      </c>
      <c r="M3" s="144" t="s">
        <v>1925</v>
      </c>
      <c r="N3" s="144" t="s">
        <v>1926</v>
      </c>
      <c r="O3" s="144" t="s">
        <v>1927</v>
      </c>
      <c r="P3" s="144" t="s">
        <v>1928</v>
      </c>
      <c r="Q3" s="144" t="s">
        <v>1929</v>
      </c>
      <c r="R3" s="144" t="s">
        <v>1930</v>
      </c>
      <c r="S3" s="144" t="s">
        <v>1931</v>
      </c>
      <c r="T3" s="144" t="s">
        <v>1932</v>
      </c>
      <c r="U3" s="144" t="s">
        <v>1933</v>
      </c>
      <c r="V3" s="144" t="s">
        <v>1934</v>
      </c>
      <c r="W3" s="145" t="s">
        <v>1935</v>
      </c>
    </row>
    <row r="4" spans="2:23" x14ac:dyDescent="0.2">
      <c r="B4" s="166" t="s">
        <v>1949</v>
      </c>
      <c r="C4" s="222"/>
      <c r="D4" s="222"/>
      <c r="E4" s="222"/>
      <c r="F4" s="222"/>
      <c r="G4" s="222"/>
      <c r="H4" s="222">
        <v>0</v>
      </c>
      <c r="I4" s="222">
        <v>0</v>
      </c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49"/>
    </row>
    <row r="5" spans="2:23" x14ac:dyDescent="0.2">
      <c r="B5" s="99" t="s">
        <v>1950</v>
      </c>
      <c r="C5" s="96"/>
      <c r="D5" s="96"/>
      <c r="E5" s="96">
        <v>14.304717200000001</v>
      </c>
      <c r="F5" s="96">
        <v>14.304717200000001</v>
      </c>
      <c r="G5" s="96">
        <v>14.304717200000001</v>
      </c>
      <c r="H5" s="96">
        <v>42.914151600000004</v>
      </c>
      <c r="I5" s="96">
        <v>42.914151600000004</v>
      </c>
      <c r="J5" s="96">
        <v>13.717852300000001</v>
      </c>
      <c r="K5" s="96">
        <v>165.67181840000001</v>
      </c>
      <c r="L5" s="96">
        <v>13.7202976</v>
      </c>
      <c r="M5" s="96">
        <v>13.7184645</v>
      </c>
      <c r="N5" s="96">
        <v>13.717852300000001</v>
      </c>
      <c r="O5" s="96">
        <v>13.717852300000001</v>
      </c>
      <c r="P5" s="96">
        <v>13.717852300000001</v>
      </c>
      <c r="Q5" s="96">
        <v>13.717525</v>
      </c>
      <c r="R5" s="96">
        <v>14.7727129</v>
      </c>
      <c r="S5" s="96">
        <v>13.717852300000001</v>
      </c>
      <c r="T5" s="96">
        <v>13.717852300000001</v>
      </c>
      <c r="U5" s="96">
        <v>13.717852300000001</v>
      </c>
      <c r="V5" s="96">
        <v>13.717852300000001</v>
      </c>
      <c r="W5" s="189">
        <v>13.717852300000001</v>
      </c>
    </row>
    <row r="6" spans="2:23" x14ac:dyDescent="0.2">
      <c r="B6" s="99" t="s">
        <v>1951</v>
      </c>
      <c r="C6" s="96"/>
      <c r="D6" s="96"/>
      <c r="E6" s="96">
        <v>0.92207720000000004</v>
      </c>
      <c r="F6" s="96">
        <v>0.92207720000000004</v>
      </c>
      <c r="G6" s="96">
        <v>0.92207720000000004</v>
      </c>
      <c r="H6" s="96">
        <v>2.7662316000000002</v>
      </c>
      <c r="I6" s="96">
        <v>2.7662316000000002</v>
      </c>
      <c r="J6" s="223">
        <v>0.95587999999999995</v>
      </c>
      <c r="K6" s="96">
        <v>15.157130000000002</v>
      </c>
      <c r="L6" s="96">
        <v>1.6959200000000001</v>
      </c>
      <c r="M6" s="96">
        <v>1.4474199999999999</v>
      </c>
      <c r="N6" s="96">
        <v>1.4474199999999999</v>
      </c>
      <c r="O6" s="96">
        <v>1.19892</v>
      </c>
      <c r="P6" s="96">
        <v>0.99226000000000003</v>
      </c>
      <c r="Q6" s="96">
        <v>1.28681</v>
      </c>
      <c r="R6" s="96">
        <v>1.19892</v>
      </c>
      <c r="S6" s="96">
        <v>0.95587999999999995</v>
      </c>
      <c r="T6" s="96">
        <v>1.4474199999999999</v>
      </c>
      <c r="U6" s="96">
        <v>0.95587999999999995</v>
      </c>
      <c r="V6" s="96">
        <v>1.5744</v>
      </c>
      <c r="W6" s="189">
        <v>0.95587999999999995</v>
      </c>
    </row>
    <row r="7" spans="2:23" x14ac:dyDescent="0.2">
      <c r="B7" s="99" t="s">
        <v>1952</v>
      </c>
      <c r="C7" s="96"/>
      <c r="D7" s="96"/>
      <c r="E7" s="96">
        <v>1.9829391999999999</v>
      </c>
      <c r="F7" s="96">
        <v>1.9829391999999999</v>
      </c>
      <c r="G7" s="96">
        <v>1.9829391999999999</v>
      </c>
      <c r="H7" s="96">
        <v>5.9488175999999999</v>
      </c>
      <c r="I7" s="96">
        <v>5.9488175999999999</v>
      </c>
      <c r="J7" s="96">
        <v>2</v>
      </c>
      <c r="K7" s="96">
        <v>24</v>
      </c>
      <c r="L7" s="96">
        <v>2</v>
      </c>
      <c r="M7" s="96">
        <v>2</v>
      </c>
      <c r="N7" s="96">
        <v>2</v>
      </c>
      <c r="O7" s="96">
        <v>2</v>
      </c>
      <c r="P7" s="96">
        <v>2</v>
      </c>
      <c r="Q7" s="96">
        <v>2</v>
      </c>
      <c r="R7" s="96">
        <v>2</v>
      </c>
      <c r="S7" s="96">
        <v>2</v>
      </c>
      <c r="T7" s="96">
        <v>2</v>
      </c>
      <c r="U7" s="96">
        <v>2</v>
      </c>
      <c r="V7" s="96">
        <v>2</v>
      </c>
      <c r="W7" s="189">
        <v>2</v>
      </c>
    </row>
    <row r="8" spans="2:23" x14ac:dyDescent="0.2">
      <c r="B8" s="224" t="s">
        <v>1953</v>
      </c>
      <c r="C8" s="188"/>
      <c r="D8" s="188">
        <v>0</v>
      </c>
      <c r="E8" s="188">
        <v>17.2097336</v>
      </c>
      <c r="F8" s="188">
        <v>17.2097336</v>
      </c>
      <c r="G8" s="188">
        <v>17.2097336</v>
      </c>
      <c r="H8" s="188">
        <v>51.6292008</v>
      </c>
      <c r="I8" s="188">
        <v>51.6292008</v>
      </c>
      <c r="J8" s="188">
        <v>16.673732300000001</v>
      </c>
      <c r="K8" s="188">
        <v>204.8289484</v>
      </c>
      <c r="L8" s="188">
        <v>17.4162176</v>
      </c>
      <c r="M8" s="188">
        <v>17.165884499999997</v>
      </c>
      <c r="N8" s="188">
        <v>17.165272299999998</v>
      </c>
      <c r="O8" s="188">
        <v>16.916772299999998</v>
      </c>
      <c r="P8" s="188">
        <v>16.710112299999999</v>
      </c>
      <c r="Q8" s="188">
        <v>17.004335000000001</v>
      </c>
      <c r="R8" s="188">
        <v>17.971632899999999</v>
      </c>
      <c r="S8" s="188">
        <v>16.673732300000001</v>
      </c>
      <c r="T8" s="188">
        <v>17.165272299999998</v>
      </c>
      <c r="U8" s="188">
        <v>16.673732300000001</v>
      </c>
      <c r="V8" s="188">
        <v>17.292252300000001</v>
      </c>
      <c r="W8" s="191">
        <v>16.673732300000001</v>
      </c>
    </row>
    <row r="9" spans="2:23" x14ac:dyDescent="0.2">
      <c r="B9" s="166" t="s">
        <v>1954</v>
      </c>
      <c r="C9" s="222"/>
      <c r="D9" s="222"/>
      <c r="E9" s="222"/>
      <c r="F9" s="222"/>
      <c r="G9" s="222"/>
      <c r="H9" s="222">
        <v>0</v>
      </c>
      <c r="I9" s="222">
        <v>0</v>
      </c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49"/>
    </row>
    <row r="10" spans="2:23" x14ac:dyDescent="0.2">
      <c r="B10" s="99" t="s">
        <v>1950</v>
      </c>
      <c r="C10" s="96"/>
      <c r="D10" s="96"/>
      <c r="E10" s="96">
        <v>135.45040059999999</v>
      </c>
      <c r="F10" s="96">
        <v>135.45040059999999</v>
      </c>
      <c r="G10" s="96">
        <v>135.45040059999999</v>
      </c>
      <c r="H10" s="96">
        <v>406.35120180000001</v>
      </c>
      <c r="I10" s="96">
        <v>406.35120180000001</v>
      </c>
      <c r="J10" s="96">
        <v>122.0064246</v>
      </c>
      <c r="K10" s="96">
        <v>1464.0739555999996</v>
      </c>
      <c r="L10" s="96">
        <v>122.0213535</v>
      </c>
      <c r="M10" s="96">
        <v>122.0089662</v>
      </c>
      <c r="N10" s="96">
        <v>122.0040683</v>
      </c>
      <c r="O10" s="96">
        <v>121.9966434</v>
      </c>
      <c r="P10" s="96">
        <v>122.0035628</v>
      </c>
      <c r="Q10" s="96">
        <v>122.0008138</v>
      </c>
      <c r="R10" s="96">
        <v>122.0064246</v>
      </c>
      <c r="S10" s="96">
        <v>122.0064246</v>
      </c>
      <c r="T10" s="96">
        <v>122.0064246</v>
      </c>
      <c r="U10" s="96">
        <v>122.0064246</v>
      </c>
      <c r="V10" s="96">
        <v>122.0064246</v>
      </c>
      <c r="W10" s="189">
        <v>122.0064246</v>
      </c>
    </row>
    <row r="11" spans="2:23" x14ac:dyDescent="0.2">
      <c r="B11" s="99" t="s">
        <v>1951</v>
      </c>
      <c r="C11" s="96"/>
      <c r="D11" s="96"/>
      <c r="E11" s="96">
        <v>3.2589199999999998</v>
      </c>
      <c r="F11" s="96">
        <v>1.5488500000000001</v>
      </c>
      <c r="G11" s="96"/>
      <c r="H11" s="96">
        <v>4.8077699999999997</v>
      </c>
      <c r="I11" s="96">
        <v>4.8077699999999997</v>
      </c>
      <c r="J11" s="223">
        <v>0.71457999999999999</v>
      </c>
      <c r="K11" s="96">
        <v>18.742270000000001</v>
      </c>
      <c r="L11" s="96">
        <v>1.45462</v>
      </c>
      <c r="M11" s="96">
        <v>0.95762000000000003</v>
      </c>
      <c r="N11" s="96">
        <v>1.6649400000000001</v>
      </c>
      <c r="O11" s="96">
        <v>3.4226800000000002</v>
      </c>
      <c r="P11" s="96">
        <v>1.3812899999999999</v>
      </c>
      <c r="Q11" s="96">
        <v>1.3764400000000001</v>
      </c>
      <c r="R11" s="96">
        <v>1.58796</v>
      </c>
      <c r="S11" s="96">
        <v>0.71457999999999999</v>
      </c>
      <c r="T11" s="96">
        <v>2.9577399999999998</v>
      </c>
      <c r="U11" s="96">
        <v>1.3037000000000001</v>
      </c>
      <c r="V11" s="96">
        <v>1.2061200000000001</v>
      </c>
      <c r="W11" s="189">
        <v>0.71457999999999999</v>
      </c>
    </row>
    <row r="12" spans="2:23" x14ac:dyDescent="0.2">
      <c r="B12" s="99" t="s">
        <v>1952</v>
      </c>
      <c r="C12" s="96"/>
      <c r="D12" s="96"/>
      <c r="E12" s="96">
        <v>3.0837620000000001</v>
      </c>
      <c r="F12" s="96">
        <v>3.0837620000000001</v>
      </c>
      <c r="G12" s="96">
        <v>3.0837620000000001</v>
      </c>
      <c r="H12" s="96">
        <v>9.2512860000000003</v>
      </c>
      <c r="I12" s="96">
        <v>9.2512860000000003</v>
      </c>
      <c r="J12" s="96">
        <v>2.0629309</v>
      </c>
      <c r="K12" s="96">
        <v>24.755170800000005</v>
      </c>
      <c r="L12" s="96">
        <v>2.0629309</v>
      </c>
      <c r="M12" s="96">
        <v>2.0629309</v>
      </c>
      <c r="N12" s="96">
        <v>2.0629309</v>
      </c>
      <c r="O12" s="96">
        <v>2.0629309</v>
      </c>
      <c r="P12" s="96">
        <v>2.0629309</v>
      </c>
      <c r="Q12" s="96">
        <v>2.0629309</v>
      </c>
      <c r="R12" s="96">
        <v>2.0629309</v>
      </c>
      <c r="S12" s="96">
        <v>2.0629309</v>
      </c>
      <c r="T12" s="96">
        <v>2.0629309</v>
      </c>
      <c r="U12" s="96">
        <v>2.0629309</v>
      </c>
      <c r="V12" s="96">
        <v>2.0629309</v>
      </c>
      <c r="W12" s="189">
        <v>2.0629309</v>
      </c>
    </row>
    <row r="13" spans="2:23" x14ac:dyDescent="0.2">
      <c r="B13" s="224" t="s">
        <v>1953</v>
      </c>
      <c r="C13" s="188"/>
      <c r="D13" s="188">
        <v>0</v>
      </c>
      <c r="E13" s="188">
        <v>141.79308259999999</v>
      </c>
      <c r="F13" s="188">
        <v>140.08301259999999</v>
      </c>
      <c r="G13" s="188">
        <v>138.5341626</v>
      </c>
      <c r="H13" s="188">
        <v>420.41025780000001</v>
      </c>
      <c r="I13" s="188">
        <v>420.41025780000001</v>
      </c>
      <c r="J13" s="188">
        <v>124.7839355</v>
      </c>
      <c r="K13" s="188">
        <v>1507.5713963999997</v>
      </c>
      <c r="L13" s="188">
        <v>125.53890440000001</v>
      </c>
      <c r="M13" s="188">
        <v>125.02951710000001</v>
      </c>
      <c r="N13" s="188">
        <v>125.7319392</v>
      </c>
      <c r="O13" s="188">
        <v>127.48225429999999</v>
      </c>
      <c r="P13" s="188">
        <v>125.4477837</v>
      </c>
      <c r="Q13" s="188">
        <v>125.4401847</v>
      </c>
      <c r="R13" s="188">
        <v>125.6573155</v>
      </c>
      <c r="S13" s="188">
        <v>124.7839355</v>
      </c>
      <c r="T13" s="188">
        <v>127.0270955</v>
      </c>
      <c r="U13" s="188">
        <v>125.37305550000001</v>
      </c>
      <c r="V13" s="188">
        <v>125.2754755</v>
      </c>
      <c r="W13" s="191">
        <v>124.7839355</v>
      </c>
    </row>
    <row r="14" spans="2:23" x14ac:dyDescent="0.2">
      <c r="B14" s="166" t="s">
        <v>1955</v>
      </c>
      <c r="C14" s="222"/>
      <c r="D14" s="222"/>
      <c r="E14" s="222"/>
      <c r="F14" s="222"/>
      <c r="G14" s="222"/>
      <c r="H14" s="222">
        <v>0</v>
      </c>
      <c r="I14" s="222">
        <v>0</v>
      </c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49"/>
    </row>
    <row r="15" spans="2:23" x14ac:dyDescent="0.2">
      <c r="B15" s="99" t="s">
        <v>1950</v>
      </c>
      <c r="C15" s="96"/>
      <c r="D15" s="96"/>
      <c r="E15" s="96">
        <v>6.7103025000000001</v>
      </c>
      <c r="F15" s="96">
        <v>6.7103025000000001</v>
      </c>
      <c r="G15" s="96">
        <v>6.7103025000000001</v>
      </c>
      <c r="H15" s="96">
        <v>20.130907499999999</v>
      </c>
      <c r="I15" s="96">
        <v>20.130907499999999</v>
      </c>
      <c r="J15" s="96">
        <v>6.4299574000000002</v>
      </c>
      <c r="K15" s="96">
        <v>77.160713200000018</v>
      </c>
      <c r="L15" s="96">
        <v>6.4305696000000001</v>
      </c>
      <c r="M15" s="96">
        <v>6.4305696000000001</v>
      </c>
      <c r="N15" s="96">
        <v>6.4299574000000002</v>
      </c>
      <c r="O15" s="96">
        <v>6.4299574000000002</v>
      </c>
      <c r="P15" s="96">
        <v>6.4299574000000002</v>
      </c>
      <c r="Q15" s="96">
        <v>6.4299574000000002</v>
      </c>
      <c r="R15" s="96">
        <v>6.4299574000000002</v>
      </c>
      <c r="S15" s="96">
        <v>6.4299574000000002</v>
      </c>
      <c r="T15" s="96">
        <v>6.4299574000000002</v>
      </c>
      <c r="U15" s="96">
        <v>6.4299574000000002</v>
      </c>
      <c r="V15" s="96">
        <v>6.4299574000000002</v>
      </c>
      <c r="W15" s="189">
        <v>6.4299574000000002</v>
      </c>
    </row>
    <row r="16" spans="2:23" x14ac:dyDescent="0.2">
      <c r="B16" s="99" t="s">
        <v>1951</v>
      </c>
      <c r="C16" s="96"/>
      <c r="D16" s="96"/>
      <c r="E16" s="96">
        <v>0.93111999999999995</v>
      </c>
      <c r="F16" s="96"/>
      <c r="G16" s="96"/>
      <c r="H16" s="96">
        <v>0.93111999999999995</v>
      </c>
      <c r="I16" s="96">
        <v>0.93111999999999995</v>
      </c>
      <c r="J16" s="223">
        <v>0.35729</v>
      </c>
      <c r="K16" s="96">
        <v>5.6405799999999999</v>
      </c>
      <c r="L16" s="96">
        <v>0.72731000000000001</v>
      </c>
      <c r="M16" s="96">
        <v>0.47881000000000001</v>
      </c>
      <c r="N16" s="96">
        <v>0.60579000000000005</v>
      </c>
      <c r="O16" s="96">
        <v>0.35729</v>
      </c>
      <c r="P16" s="96">
        <v>0.35729</v>
      </c>
      <c r="Q16" s="96">
        <v>0.35729</v>
      </c>
      <c r="R16" s="96">
        <v>0.47881000000000001</v>
      </c>
      <c r="S16" s="96">
        <v>0.35729</v>
      </c>
      <c r="T16" s="96">
        <v>0.72731000000000001</v>
      </c>
      <c r="U16" s="96">
        <v>0.35729</v>
      </c>
      <c r="V16" s="96">
        <v>0.47881000000000001</v>
      </c>
      <c r="W16" s="189">
        <v>0.35729</v>
      </c>
    </row>
    <row r="17" spans="2:23" x14ac:dyDescent="0.2">
      <c r="B17" s="99" t="s">
        <v>1952</v>
      </c>
      <c r="C17" s="96"/>
      <c r="D17" s="96"/>
      <c r="E17" s="96">
        <v>1.5316506000000001</v>
      </c>
      <c r="F17" s="96">
        <v>1.5316506000000001</v>
      </c>
      <c r="G17" s="96">
        <v>1.5316506000000001</v>
      </c>
      <c r="H17" s="96">
        <v>4.5949518000000005</v>
      </c>
      <c r="I17" s="96">
        <v>4.5949518000000005</v>
      </c>
      <c r="J17" s="96"/>
      <c r="K17" s="96">
        <v>0</v>
      </c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189"/>
    </row>
    <row r="18" spans="2:23" x14ac:dyDescent="0.2">
      <c r="B18" s="224" t="s">
        <v>1953</v>
      </c>
      <c r="C18" s="188"/>
      <c r="D18" s="188">
        <v>0</v>
      </c>
      <c r="E18" s="188">
        <v>9.1730730999999999</v>
      </c>
      <c r="F18" s="188">
        <v>8.2419530999999999</v>
      </c>
      <c r="G18" s="188">
        <v>8.2419530999999999</v>
      </c>
      <c r="H18" s="188">
        <v>25.6569793</v>
      </c>
      <c r="I18" s="188">
        <v>25.6569793</v>
      </c>
      <c r="J18" s="188">
        <v>6.7872474</v>
      </c>
      <c r="K18" s="188">
        <v>82.801293200000018</v>
      </c>
      <c r="L18" s="188">
        <v>7.1578796000000002</v>
      </c>
      <c r="M18" s="188">
        <v>6.9093796000000003</v>
      </c>
      <c r="N18" s="188">
        <v>7.0357474</v>
      </c>
      <c r="O18" s="188">
        <v>6.7872474</v>
      </c>
      <c r="P18" s="188">
        <v>6.7872474</v>
      </c>
      <c r="Q18" s="188">
        <v>6.7872474</v>
      </c>
      <c r="R18" s="188">
        <v>6.9087674000000003</v>
      </c>
      <c r="S18" s="188">
        <v>6.7872474</v>
      </c>
      <c r="T18" s="188">
        <v>7.1572674000000003</v>
      </c>
      <c r="U18" s="188">
        <v>6.7872474</v>
      </c>
      <c r="V18" s="188">
        <v>6.9087674000000003</v>
      </c>
      <c r="W18" s="191">
        <v>6.7872474</v>
      </c>
    </row>
    <row r="19" spans="2:23" x14ac:dyDescent="0.2">
      <c r="B19" s="166" t="s">
        <v>1956</v>
      </c>
      <c r="C19" s="222"/>
      <c r="D19" s="222"/>
      <c r="E19" s="222"/>
      <c r="F19" s="222"/>
      <c r="G19" s="222"/>
      <c r="H19" s="222">
        <v>0</v>
      </c>
      <c r="I19" s="222">
        <v>0</v>
      </c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49"/>
    </row>
    <row r="20" spans="2:23" x14ac:dyDescent="0.2">
      <c r="B20" s="99" t="s">
        <v>1950</v>
      </c>
      <c r="C20" s="96"/>
      <c r="D20" s="96"/>
      <c r="E20" s="96">
        <v>6.5166187000000004</v>
      </c>
      <c r="F20" s="96">
        <v>6.5166187000000004</v>
      </c>
      <c r="G20" s="96">
        <v>6.5166187000000004</v>
      </c>
      <c r="H20" s="96">
        <v>19.5498561</v>
      </c>
      <c r="I20" s="96">
        <v>19.5498561</v>
      </c>
      <c r="J20" s="96">
        <v>5.7606555999999998</v>
      </c>
      <c r="K20" s="96">
        <v>69.129091799999998</v>
      </c>
      <c r="L20" s="96">
        <v>5.7612679</v>
      </c>
      <c r="M20" s="96">
        <v>5.7612679</v>
      </c>
      <c r="N20" s="96">
        <v>5.7606555999999998</v>
      </c>
      <c r="O20" s="96">
        <v>5.7606555999999998</v>
      </c>
      <c r="P20" s="96">
        <v>5.7606555999999998</v>
      </c>
      <c r="Q20" s="96">
        <v>5.7606555999999998</v>
      </c>
      <c r="R20" s="96">
        <v>5.7606555999999998</v>
      </c>
      <c r="S20" s="96">
        <v>5.7606555999999998</v>
      </c>
      <c r="T20" s="96">
        <v>5.7606555999999998</v>
      </c>
      <c r="U20" s="96">
        <v>5.7606555999999998</v>
      </c>
      <c r="V20" s="96">
        <v>5.7606555999999998</v>
      </c>
      <c r="W20" s="189">
        <v>5.7606555999999998</v>
      </c>
    </row>
    <row r="21" spans="2:23" x14ac:dyDescent="0.2">
      <c r="B21" s="99" t="s">
        <v>1951</v>
      </c>
      <c r="C21" s="96"/>
      <c r="D21" s="96"/>
      <c r="E21" s="96">
        <v>0.30434</v>
      </c>
      <c r="F21" s="96"/>
      <c r="G21" s="96">
        <v>0.30434</v>
      </c>
      <c r="H21" s="96">
        <v>0.60868</v>
      </c>
      <c r="I21" s="96">
        <v>0.60868</v>
      </c>
      <c r="J21" s="223">
        <v>0.47881000000000001</v>
      </c>
      <c r="K21" s="96">
        <v>7.5867399999999998</v>
      </c>
      <c r="L21" s="96">
        <v>0.72731000000000001</v>
      </c>
      <c r="M21" s="96">
        <v>0.72731000000000001</v>
      </c>
      <c r="N21" s="96">
        <v>0.72731000000000001</v>
      </c>
      <c r="O21" s="96">
        <v>0.47881000000000001</v>
      </c>
      <c r="P21" s="96">
        <v>0.35729</v>
      </c>
      <c r="Q21" s="96">
        <v>0.83609999999999995</v>
      </c>
      <c r="R21" s="96">
        <v>0.83609999999999995</v>
      </c>
      <c r="S21" s="96">
        <v>0.35729</v>
      </c>
      <c r="T21" s="96">
        <v>0.72731000000000001</v>
      </c>
      <c r="U21" s="96">
        <v>0.60579000000000005</v>
      </c>
      <c r="V21" s="96">
        <v>0.72731000000000001</v>
      </c>
      <c r="W21" s="189">
        <v>0.47881000000000001</v>
      </c>
    </row>
    <row r="22" spans="2:23" x14ac:dyDescent="0.2">
      <c r="B22" s="99" t="s">
        <v>1952</v>
      </c>
      <c r="C22" s="96"/>
      <c r="D22" s="96"/>
      <c r="E22" s="96">
        <v>0.27604139999999999</v>
      </c>
      <c r="F22" s="96">
        <v>0.27604139999999999</v>
      </c>
      <c r="G22" s="96">
        <v>0.27604139999999999</v>
      </c>
      <c r="H22" s="96">
        <v>0.82812419999999998</v>
      </c>
      <c r="I22" s="96">
        <v>0.82812419999999998</v>
      </c>
      <c r="J22" s="96"/>
      <c r="K22" s="96">
        <v>0</v>
      </c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189"/>
    </row>
    <row r="23" spans="2:23" x14ac:dyDescent="0.2">
      <c r="B23" s="224" t="s">
        <v>1953</v>
      </c>
      <c r="C23" s="188"/>
      <c r="D23" s="188">
        <v>0</v>
      </c>
      <c r="E23" s="188">
        <v>7.0970001000000007</v>
      </c>
      <c r="F23" s="188">
        <v>6.7926601000000009</v>
      </c>
      <c r="G23" s="188">
        <v>7.0970001000000007</v>
      </c>
      <c r="H23" s="188">
        <v>20.986660300000004</v>
      </c>
      <c r="I23" s="188">
        <v>20.986660300000004</v>
      </c>
      <c r="J23" s="188">
        <v>6.2394655999999999</v>
      </c>
      <c r="K23" s="188">
        <v>76.715831800000004</v>
      </c>
      <c r="L23" s="188">
        <v>6.4885779000000001</v>
      </c>
      <c r="M23" s="188">
        <v>6.4885779000000001</v>
      </c>
      <c r="N23" s="188">
        <v>6.4879655999999999</v>
      </c>
      <c r="O23" s="188">
        <v>6.2394655999999999</v>
      </c>
      <c r="P23" s="188">
        <v>6.1179455999999997</v>
      </c>
      <c r="Q23" s="188">
        <v>6.5967555999999998</v>
      </c>
      <c r="R23" s="188">
        <v>6.5967555999999998</v>
      </c>
      <c r="S23" s="188">
        <v>6.1179455999999997</v>
      </c>
      <c r="T23" s="188">
        <v>6.4879655999999999</v>
      </c>
      <c r="U23" s="188">
        <v>6.3664455999999996</v>
      </c>
      <c r="V23" s="188">
        <v>6.4879655999999999</v>
      </c>
      <c r="W23" s="191">
        <v>6.2394655999999999</v>
      </c>
    </row>
    <row r="24" spans="2:23" x14ac:dyDescent="0.2">
      <c r="B24" s="166" t="s">
        <v>1957</v>
      </c>
      <c r="C24" s="222"/>
      <c r="D24" s="222"/>
      <c r="E24" s="222"/>
      <c r="F24" s="222"/>
      <c r="G24" s="222"/>
      <c r="H24" s="222">
        <v>0</v>
      </c>
      <c r="I24" s="222">
        <v>0</v>
      </c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49"/>
    </row>
    <row r="25" spans="2:23" x14ac:dyDescent="0.2">
      <c r="B25" s="99" t="s">
        <v>1950</v>
      </c>
      <c r="C25" s="96"/>
      <c r="D25" s="96"/>
      <c r="E25" s="96">
        <v>72.692303600000002</v>
      </c>
      <c r="F25" s="96">
        <v>73.389533400000005</v>
      </c>
      <c r="G25" s="96">
        <v>72.692303600000002</v>
      </c>
      <c r="H25" s="96">
        <v>218.77414060000001</v>
      </c>
      <c r="I25" s="96">
        <v>218.77414060000001</v>
      </c>
      <c r="J25" s="96">
        <v>73.014543399999994</v>
      </c>
      <c r="K25" s="96">
        <v>876.91842409999992</v>
      </c>
      <c r="L25" s="96">
        <v>73.023070799999999</v>
      </c>
      <c r="M25" s="96">
        <v>73.015155699999994</v>
      </c>
      <c r="N25" s="96">
        <v>73.014543399999994</v>
      </c>
      <c r="O25" s="96">
        <v>73.014543399999994</v>
      </c>
      <c r="P25" s="96">
        <v>73.014543399999994</v>
      </c>
      <c r="Q25" s="96">
        <v>73.349719100000002</v>
      </c>
      <c r="R25" s="96">
        <v>73.014543399999994</v>
      </c>
      <c r="S25" s="96">
        <v>73.014543399999994</v>
      </c>
      <c r="T25" s="96">
        <v>73.014543399999994</v>
      </c>
      <c r="U25" s="96">
        <v>73.014543399999994</v>
      </c>
      <c r="V25" s="96">
        <v>73.414131299999994</v>
      </c>
      <c r="W25" s="189">
        <v>73.014543399999994</v>
      </c>
    </row>
    <row r="26" spans="2:23" x14ac:dyDescent="0.2">
      <c r="B26" s="99" t="s">
        <v>1951</v>
      </c>
      <c r="C26" s="96"/>
      <c r="D26" s="96"/>
      <c r="E26" s="96">
        <v>0.16769999999999999</v>
      </c>
      <c r="F26" s="96">
        <v>0.26396999999999998</v>
      </c>
      <c r="G26" s="96">
        <v>0.25775999999999999</v>
      </c>
      <c r="H26" s="96">
        <v>0.68942999999999999</v>
      </c>
      <c r="I26" s="96">
        <v>0.68942999999999999</v>
      </c>
      <c r="J26" s="223">
        <v>0.71457999999999999</v>
      </c>
      <c r="K26" s="96">
        <v>9.1371899999999986</v>
      </c>
      <c r="L26" s="96">
        <v>1.3331</v>
      </c>
      <c r="M26" s="96">
        <v>0.48458000000000001</v>
      </c>
      <c r="N26" s="96">
        <v>0.99944999999999995</v>
      </c>
      <c r="O26" s="96">
        <v>0.44821</v>
      </c>
      <c r="P26" s="96">
        <v>0.78732000000000002</v>
      </c>
      <c r="Q26" s="96">
        <v>0.75095000000000001</v>
      </c>
      <c r="R26" s="96">
        <v>0.82006000000000001</v>
      </c>
      <c r="S26" s="96">
        <v>0.84187000000000001</v>
      </c>
      <c r="T26" s="96">
        <v>1.12097</v>
      </c>
      <c r="U26" s="96">
        <v>0.35729</v>
      </c>
      <c r="V26" s="96">
        <v>0.47881000000000001</v>
      </c>
      <c r="W26" s="189">
        <v>0.71457999999999999</v>
      </c>
    </row>
    <row r="27" spans="2:23" x14ac:dyDescent="0.2">
      <c r="B27" s="99" t="s">
        <v>1952</v>
      </c>
      <c r="C27" s="96"/>
      <c r="D27" s="96"/>
      <c r="E27" s="96">
        <v>4.7630566999999999</v>
      </c>
      <c r="F27" s="96">
        <v>4.7630566999999999</v>
      </c>
      <c r="G27" s="96">
        <v>4.7630566999999999</v>
      </c>
      <c r="H27" s="96">
        <v>14.2891701</v>
      </c>
      <c r="I27" s="96">
        <v>14.2891701</v>
      </c>
      <c r="J27" s="96">
        <v>2.7022933999999998</v>
      </c>
      <c r="K27" s="96">
        <v>36.328585699999998</v>
      </c>
      <c r="L27" s="96">
        <v>3.3198477999999998</v>
      </c>
      <c r="M27" s="96">
        <v>3.3198477999999998</v>
      </c>
      <c r="N27" s="96">
        <v>3.3198477999999998</v>
      </c>
      <c r="O27" s="96">
        <v>3.3198477999999998</v>
      </c>
      <c r="P27" s="96">
        <v>3.1792425</v>
      </c>
      <c r="Q27" s="96">
        <v>3.1792425</v>
      </c>
      <c r="R27" s="96">
        <v>3.1792425</v>
      </c>
      <c r="S27" s="96">
        <v>2.7022933999999998</v>
      </c>
      <c r="T27" s="96">
        <v>2.7022933999999998</v>
      </c>
      <c r="U27" s="96">
        <v>2.7022933999999998</v>
      </c>
      <c r="V27" s="96">
        <v>2.7022933999999998</v>
      </c>
      <c r="W27" s="189">
        <v>2.7022933999999998</v>
      </c>
    </row>
    <row r="28" spans="2:23" x14ac:dyDescent="0.2">
      <c r="B28" s="224" t="s">
        <v>1953</v>
      </c>
      <c r="C28" s="188"/>
      <c r="D28" s="188">
        <v>0</v>
      </c>
      <c r="E28" s="188">
        <v>77.623060299999992</v>
      </c>
      <c r="F28" s="188">
        <v>78.416560099999998</v>
      </c>
      <c r="G28" s="188">
        <v>77.713120300000014</v>
      </c>
      <c r="H28" s="188">
        <v>233.7527407</v>
      </c>
      <c r="I28" s="188">
        <v>233.7527407</v>
      </c>
      <c r="J28" s="188">
        <v>76.431416799999994</v>
      </c>
      <c r="K28" s="188">
        <v>922.38419979999992</v>
      </c>
      <c r="L28" s="188">
        <v>77.676018600000006</v>
      </c>
      <c r="M28" s="188">
        <v>76.819583499999993</v>
      </c>
      <c r="N28" s="188">
        <v>77.333841199999995</v>
      </c>
      <c r="O28" s="188">
        <v>76.782601200000002</v>
      </c>
      <c r="P28" s="188">
        <v>76.981105899999989</v>
      </c>
      <c r="Q28" s="188">
        <v>77.279911600000005</v>
      </c>
      <c r="R28" s="188">
        <v>77.013845899999993</v>
      </c>
      <c r="S28" s="188">
        <v>76.558706799999996</v>
      </c>
      <c r="T28" s="188">
        <v>76.837806799999996</v>
      </c>
      <c r="U28" s="188">
        <v>76.074126800000002</v>
      </c>
      <c r="V28" s="188">
        <v>76.595234699999992</v>
      </c>
      <c r="W28" s="191">
        <v>76.431416799999994</v>
      </c>
    </row>
    <row r="29" spans="2:23" x14ac:dyDescent="0.2">
      <c r="B29" s="166" t="s">
        <v>1958</v>
      </c>
      <c r="C29" s="222"/>
      <c r="D29" s="222"/>
      <c r="E29" s="222"/>
      <c r="F29" s="222"/>
      <c r="G29" s="222"/>
      <c r="H29" s="222">
        <v>0</v>
      </c>
      <c r="I29" s="222">
        <v>0</v>
      </c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49"/>
    </row>
    <row r="30" spans="2:23" x14ac:dyDescent="0.2">
      <c r="B30" s="99" t="s">
        <v>1950</v>
      </c>
      <c r="C30" s="96"/>
      <c r="D30" s="96"/>
      <c r="E30" s="96">
        <v>28.940268199999998</v>
      </c>
      <c r="F30" s="96">
        <v>28.940268199999998</v>
      </c>
      <c r="G30" s="96">
        <v>28.940268199999998</v>
      </c>
      <c r="H30" s="96">
        <v>86.820804600000002</v>
      </c>
      <c r="I30" s="96">
        <v>86.820804600000002</v>
      </c>
      <c r="J30" s="96">
        <v>21.8358998</v>
      </c>
      <c r="K30" s="96">
        <v>262.50807029999993</v>
      </c>
      <c r="L30" s="96">
        <v>21.8374755</v>
      </c>
      <c r="M30" s="96">
        <v>21.8358998</v>
      </c>
      <c r="N30" s="96">
        <v>21.8358998</v>
      </c>
      <c r="O30" s="96">
        <v>21.8358998</v>
      </c>
      <c r="P30" s="96">
        <v>21.8358998</v>
      </c>
      <c r="Q30" s="96">
        <v>21.835560399999999</v>
      </c>
      <c r="R30" s="96">
        <v>22.311936200000002</v>
      </c>
      <c r="S30" s="96">
        <v>21.8358998</v>
      </c>
      <c r="T30" s="96">
        <v>21.8358998</v>
      </c>
      <c r="U30" s="96">
        <v>21.8358998</v>
      </c>
      <c r="V30" s="96">
        <v>21.8358998</v>
      </c>
      <c r="W30" s="189">
        <v>21.8358998</v>
      </c>
    </row>
    <row r="31" spans="2:23" x14ac:dyDescent="0.2">
      <c r="B31" s="99" t="s">
        <v>1951</v>
      </c>
      <c r="C31" s="96"/>
      <c r="D31" s="96"/>
      <c r="E31" s="96">
        <v>0.99039999999999995</v>
      </c>
      <c r="F31" s="96">
        <v>0.80096000000000001</v>
      </c>
      <c r="G31" s="96">
        <v>0.15217</v>
      </c>
      <c r="H31" s="96">
        <v>1.94353</v>
      </c>
      <c r="I31" s="96">
        <v>1.94353</v>
      </c>
      <c r="J31" s="223">
        <v>0.71457999999999999</v>
      </c>
      <c r="K31" s="96">
        <v>13.41554</v>
      </c>
      <c r="L31" s="96">
        <v>1.45462</v>
      </c>
      <c r="M31" s="96">
        <v>1.2061200000000001</v>
      </c>
      <c r="N31" s="96">
        <v>1.45462</v>
      </c>
      <c r="O31" s="96">
        <v>0.83609999999999995</v>
      </c>
      <c r="P31" s="96">
        <v>1.0297499999999999</v>
      </c>
      <c r="Q31" s="96">
        <v>0.78732000000000002</v>
      </c>
      <c r="R31" s="96">
        <v>1.2727900000000001</v>
      </c>
      <c r="S31" s="96">
        <v>0.71457999999999999</v>
      </c>
      <c r="T31" s="96">
        <v>1.49099</v>
      </c>
      <c r="U31" s="96">
        <v>0.99944999999999995</v>
      </c>
      <c r="V31" s="96">
        <v>1.45462</v>
      </c>
      <c r="W31" s="189">
        <v>0.71457999999999999</v>
      </c>
    </row>
    <row r="32" spans="2:23" x14ac:dyDescent="0.2">
      <c r="B32" s="99" t="s">
        <v>1952</v>
      </c>
      <c r="C32" s="96"/>
      <c r="D32" s="96"/>
      <c r="E32" s="96">
        <v>5.0685412000000003</v>
      </c>
      <c r="F32" s="96">
        <v>5.0685412000000003</v>
      </c>
      <c r="G32" s="96">
        <v>5.0685412000000003</v>
      </c>
      <c r="H32" s="96">
        <v>15.205623600000001</v>
      </c>
      <c r="I32" s="96">
        <v>15.205623600000001</v>
      </c>
      <c r="J32" s="96">
        <v>4.6398846000000002</v>
      </c>
      <c r="K32" s="96">
        <v>68.144089199999996</v>
      </c>
      <c r="L32" s="96">
        <v>7.5056779999999996</v>
      </c>
      <c r="M32" s="96">
        <v>7.5056779999999996</v>
      </c>
      <c r="N32" s="96">
        <v>6.6984678000000004</v>
      </c>
      <c r="O32" s="96">
        <v>5.8405975999999997</v>
      </c>
      <c r="P32" s="96">
        <v>5.8405975999999997</v>
      </c>
      <c r="Q32" s="96">
        <v>5.0946601999999999</v>
      </c>
      <c r="R32" s="96">
        <v>5.0946601999999999</v>
      </c>
      <c r="S32" s="96">
        <v>5.0946601999999999</v>
      </c>
      <c r="T32" s="96">
        <v>5.0946601999999999</v>
      </c>
      <c r="U32" s="96">
        <v>5.0946601999999999</v>
      </c>
      <c r="V32" s="96">
        <v>4.6398846000000002</v>
      </c>
      <c r="W32" s="189">
        <v>4.6398846000000002</v>
      </c>
    </row>
    <row r="33" spans="2:23" x14ac:dyDescent="0.2">
      <c r="B33" s="224" t="s">
        <v>1953</v>
      </c>
      <c r="C33" s="188"/>
      <c r="D33" s="188">
        <v>0</v>
      </c>
      <c r="E33" s="188">
        <v>34.999209399999998</v>
      </c>
      <c r="F33" s="188">
        <v>34.8097694</v>
      </c>
      <c r="G33" s="188">
        <v>34.160979400000002</v>
      </c>
      <c r="H33" s="188">
        <v>103.96995820000001</v>
      </c>
      <c r="I33" s="188">
        <v>103.96995820000001</v>
      </c>
      <c r="J33" s="188">
        <v>27.1903644</v>
      </c>
      <c r="K33" s="188">
        <v>344.06769949999995</v>
      </c>
      <c r="L33" s="188">
        <v>30.797773499999998</v>
      </c>
      <c r="M33" s="188">
        <v>30.547697799999998</v>
      </c>
      <c r="N33" s="188">
        <v>29.988987599999998</v>
      </c>
      <c r="O33" s="188">
        <v>28.512597399999997</v>
      </c>
      <c r="P33" s="188">
        <v>28.706247399999999</v>
      </c>
      <c r="Q33" s="188">
        <v>27.7175406</v>
      </c>
      <c r="R33" s="188">
        <v>28.679386400000002</v>
      </c>
      <c r="S33" s="188">
        <v>27.645140000000001</v>
      </c>
      <c r="T33" s="188">
        <v>28.42155</v>
      </c>
      <c r="U33" s="188">
        <v>27.930009999999999</v>
      </c>
      <c r="V33" s="188">
        <v>27.9304044</v>
      </c>
      <c r="W33" s="191">
        <v>27.1903644</v>
      </c>
    </row>
    <row r="34" spans="2:23" x14ac:dyDescent="0.2">
      <c r="B34" s="166" t="s">
        <v>1959</v>
      </c>
      <c r="C34" s="222"/>
      <c r="D34" s="222"/>
      <c r="E34" s="222"/>
      <c r="F34" s="222"/>
      <c r="G34" s="222"/>
      <c r="H34" s="222">
        <v>0</v>
      </c>
      <c r="I34" s="222">
        <v>0</v>
      </c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49"/>
    </row>
    <row r="35" spans="2:23" x14ac:dyDescent="0.2">
      <c r="B35" s="99" t="s">
        <v>1950</v>
      </c>
      <c r="C35" s="96"/>
      <c r="D35" s="96"/>
      <c r="E35" s="96">
        <v>8.1375876999999992</v>
      </c>
      <c r="F35" s="96">
        <v>8.1375876999999992</v>
      </c>
      <c r="G35" s="96">
        <v>8.1375876999999992</v>
      </c>
      <c r="H35" s="96">
        <v>24.412763099999999</v>
      </c>
      <c r="I35" s="96">
        <v>24.412763099999999</v>
      </c>
      <c r="J35" s="96">
        <v>7.9620037000000004</v>
      </c>
      <c r="K35" s="96">
        <v>95.544541399999986</v>
      </c>
      <c r="L35" s="96">
        <v>7.9630098</v>
      </c>
      <c r="M35" s="96">
        <v>7.9620037000000004</v>
      </c>
      <c r="N35" s="96">
        <v>7.9620037000000004</v>
      </c>
      <c r="O35" s="96">
        <v>7.9620037000000004</v>
      </c>
      <c r="P35" s="96">
        <v>7.9614946</v>
      </c>
      <c r="Q35" s="96">
        <v>7.9620037000000004</v>
      </c>
      <c r="R35" s="96">
        <v>7.9620037000000004</v>
      </c>
      <c r="S35" s="96">
        <v>7.9620037000000004</v>
      </c>
      <c r="T35" s="96">
        <v>7.9620037000000004</v>
      </c>
      <c r="U35" s="96">
        <v>7.9620037000000004</v>
      </c>
      <c r="V35" s="96">
        <v>7.9620037000000004</v>
      </c>
      <c r="W35" s="189">
        <v>7.9620037000000004</v>
      </c>
    </row>
    <row r="36" spans="2:23" x14ac:dyDescent="0.2">
      <c r="B36" s="99" t="s">
        <v>1951</v>
      </c>
      <c r="C36" s="96"/>
      <c r="D36" s="96"/>
      <c r="E36" s="96">
        <v>5.5899999999999998E-2</v>
      </c>
      <c r="F36" s="96"/>
      <c r="G36" s="96">
        <v>0.18634000000000001</v>
      </c>
      <c r="H36" s="96">
        <v>0.24224000000000001</v>
      </c>
      <c r="I36" s="96">
        <v>0.24224000000000001</v>
      </c>
      <c r="J36" s="223">
        <v>0.35729</v>
      </c>
      <c r="K36" s="96">
        <v>6.2769899999999996</v>
      </c>
      <c r="L36" s="96">
        <v>0.72731000000000001</v>
      </c>
      <c r="M36" s="96">
        <v>0.47881000000000001</v>
      </c>
      <c r="N36" s="96">
        <v>0.60579000000000005</v>
      </c>
      <c r="O36" s="96">
        <v>0.67245999999999995</v>
      </c>
      <c r="P36" s="96">
        <v>0.35729</v>
      </c>
      <c r="Q36" s="96">
        <v>0.35729</v>
      </c>
      <c r="R36" s="96">
        <v>0.51517999999999997</v>
      </c>
      <c r="S36" s="96">
        <v>0.35729</v>
      </c>
      <c r="T36" s="96">
        <v>0.76368000000000003</v>
      </c>
      <c r="U36" s="96">
        <v>0.35729</v>
      </c>
      <c r="V36" s="96">
        <v>0.72731000000000001</v>
      </c>
      <c r="W36" s="189">
        <v>0.35729</v>
      </c>
    </row>
    <row r="37" spans="2:23" x14ac:dyDescent="0.2">
      <c r="B37" s="99" t="s">
        <v>1952</v>
      </c>
      <c r="C37" s="96"/>
      <c r="D37" s="96"/>
      <c r="E37" s="96">
        <v>0.25719049999999999</v>
      </c>
      <c r="F37" s="96">
        <v>0.25719049999999999</v>
      </c>
      <c r="G37" s="96">
        <v>0.25719049999999999</v>
      </c>
      <c r="H37" s="96">
        <v>0.77157149999999997</v>
      </c>
      <c r="I37" s="96">
        <v>0.77157149999999997</v>
      </c>
      <c r="J37" s="96"/>
      <c r="K37" s="96">
        <v>0</v>
      </c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189"/>
    </row>
    <row r="38" spans="2:23" x14ac:dyDescent="0.2">
      <c r="B38" s="224" t="s">
        <v>1953</v>
      </c>
      <c r="C38" s="188"/>
      <c r="D38" s="188">
        <v>0</v>
      </c>
      <c r="E38" s="188">
        <v>8.4506781999999987</v>
      </c>
      <c r="F38" s="188">
        <v>8.3947781999999993</v>
      </c>
      <c r="G38" s="188">
        <v>8.5811181999999988</v>
      </c>
      <c r="H38" s="188">
        <v>25.426574599999995</v>
      </c>
      <c r="I38" s="188">
        <v>25.426574599999995</v>
      </c>
      <c r="J38" s="188">
        <v>8.3192937000000011</v>
      </c>
      <c r="K38" s="188">
        <v>101.82153139999998</v>
      </c>
      <c r="L38" s="188">
        <v>8.6903197999999993</v>
      </c>
      <c r="M38" s="188">
        <v>8.4408136999999996</v>
      </c>
      <c r="N38" s="188">
        <v>8.5677937000000011</v>
      </c>
      <c r="O38" s="188">
        <v>8.6344636999999995</v>
      </c>
      <c r="P38" s="188">
        <v>8.3187846000000008</v>
      </c>
      <c r="Q38" s="188">
        <v>8.3192937000000011</v>
      </c>
      <c r="R38" s="188">
        <v>8.4771837000000012</v>
      </c>
      <c r="S38" s="188">
        <v>8.3192937000000011</v>
      </c>
      <c r="T38" s="188">
        <v>8.7256837000000012</v>
      </c>
      <c r="U38" s="188">
        <v>8.3192937000000011</v>
      </c>
      <c r="V38" s="188">
        <v>8.6893136999999996</v>
      </c>
      <c r="W38" s="191">
        <v>8.3192937000000011</v>
      </c>
    </row>
    <row r="39" spans="2:23" x14ac:dyDescent="0.2">
      <c r="B39" s="166" t="s">
        <v>1960</v>
      </c>
      <c r="C39" s="222"/>
      <c r="D39" s="222"/>
      <c r="E39" s="222"/>
      <c r="F39" s="222"/>
      <c r="G39" s="222"/>
      <c r="H39" s="222">
        <v>0</v>
      </c>
      <c r="I39" s="222">
        <v>0</v>
      </c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49"/>
    </row>
    <row r="40" spans="2:23" x14ac:dyDescent="0.2">
      <c r="B40" s="99" t="s">
        <v>1950</v>
      </c>
      <c r="C40" s="96"/>
      <c r="D40" s="96"/>
      <c r="E40" s="96"/>
      <c r="F40" s="96"/>
      <c r="G40" s="96"/>
      <c r="H40" s="96">
        <v>0</v>
      </c>
      <c r="I40" s="96">
        <v>0</v>
      </c>
      <c r="J40" s="96"/>
      <c r="K40" s="96">
        <v>0</v>
      </c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189"/>
    </row>
    <row r="41" spans="2:23" x14ac:dyDescent="0.2">
      <c r="B41" s="99" t="s">
        <v>1951</v>
      </c>
      <c r="C41" s="96"/>
      <c r="D41" s="96"/>
      <c r="E41" s="96"/>
      <c r="F41" s="96"/>
      <c r="G41" s="96"/>
      <c r="H41" s="96">
        <v>0</v>
      </c>
      <c r="I41" s="96">
        <v>0</v>
      </c>
      <c r="J41" s="223"/>
      <c r="K41" s="96">
        <v>0</v>
      </c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189"/>
    </row>
    <row r="42" spans="2:23" x14ac:dyDescent="0.2">
      <c r="B42" s="99" t="s">
        <v>1952</v>
      </c>
      <c r="C42" s="96"/>
      <c r="D42" s="96"/>
      <c r="E42" s="96"/>
      <c r="F42" s="96"/>
      <c r="G42" s="96"/>
      <c r="H42" s="96">
        <v>0</v>
      </c>
      <c r="I42" s="96">
        <v>0</v>
      </c>
      <c r="J42" s="96"/>
      <c r="K42" s="96">
        <v>0</v>
      </c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189"/>
    </row>
    <row r="43" spans="2:23" x14ac:dyDescent="0.2">
      <c r="B43" s="224" t="s">
        <v>1953</v>
      </c>
      <c r="C43" s="188"/>
      <c r="D43" s="188">
        <v>0</v>
      </c>
      <c r="E43" s="188">
        <v>0</v>
      </c>
      <c r="F43" s="188">
        <v>0</v>
      </c>
      <c r="G43" s="188">
        <v>0</v>
      </c>
      <c r="H43" s="188">
        <v>0</v>
      </c>
      <c r="I43" s="188">
        <v>0</v>
      </c>
      <c r="J43" s="188">
        <v>0</v>
      </c>
      <c r="K43" s="188">
        <v>0</v>
      </c>
      <c r="L43" s="188">
        <v>0</v>
      </c>
      <c r="M43" s="188">
        <v>0</v>
      </c>
      <c r="N43" s="188">
        <v>0</v>
      </c>
      <c r="O43" s="188">
        <v>0</v>
      </c>
      <c r="P43" s="188">
        <v>0</v>
      </c>
      <c r="Q43" s="188">
        <v>0</v>
      </c>
      <c r="R43" s="188">
        <v>0</v>
      </c>
      <c r="S43" s="188">
        <v>0</v>
      </c>
      <c r="T43" s="188">
        <v>0</v>
      </c>
      <c r="U43" s="188">
        <v>0</v>
      </c>
      <c r="V43" s="188">
        <v>0</v>
      </c>
      <c r="W43" s="191">
        <v>0</v>
      </c>
    </row>
    <row r="44" spans="2:23" x14ac:dyDescent="0.2">
      <c r="B44" s="166" t="s">
        <v>1961</v>
      </c>
      <c r="C44" s="222"/>
      <c r="D44" s="222"/>
      <c r="E44" s="222"/>
      <c r="F44" s="222"/>
      <c r="G44" s="222"/>
      <c r="H44" s="222">
        <v>0</v>
      </c>
      <c r="I44" s="222">
        <v>0</v>
      </c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49"/>
    </row>
    <row r="45" spans="2:23" x14ac:dyDescent="0.2">
      <c r="B45" s="99" t="s">
        <v>1950</v>
      </c>
      <c r="C45" s="96"/>
      <c r="D45" s="96"/>
      <c r="E45" s="96"/>
      <c r="F45" s="96"/>
      <c r="G45" s="96"/>
      <c r="H45" s="96">
        <v>0</v>
      </c>
      <c r="I45" s="96">
        <v>0</v>
      </c>
      <c r="J45" s="96"/>
      <c r="K45" s="96">
        <v>0</v>
      </c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189"/>
    </row>
    <row r="46" spans="2:23" x14ac:dyDescent="0.2">
      <c r="B46" s="99" t="s">
        <v>1951</v>
      </c>
      <c r="C46" s="96"/>
      <c r="D46" s="96"/>
      <c r="E46" s="96"/>
      <c r="F46" s="96"/>
      <c r="G46" s="96"/>
      <c r="H46" s="96">
        <v>0</v>
      </c>
      <c r="I46" s="96">
        <v>0</v>
      </c>
      <c r="J46" s="223"/>
      <c r="K46" s="96">
        <v>0</v>
      </c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189"/>
    </row>
    <row r="47" spans="2:23" x14ac:dyDescent="0.2">
      <c r="B47" s="99" t="s">
        <v>1952</v>
      </c>
      <c r="C47" s="96"/>
      <c r="D47" s="96"/>
      <c r="E47" s="96"/>
      <c r="F47" s="96"/>
      <c r="G47" s="96"/>
      <c r="H47" s="96">
        <v>0</v>
      </c>
      <c r="I47" s="96">
        <v>0</v>
      </c>
      <c r="J47" s="96"/>
      <c r="K47" s="96">
        <v>0</v>
      </c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189"/>
    </row>
    <row r="48" spans="2:23" x14ac:dyDescent="0.2">
      <c r="B48" s="224" t="s">
        <v>1953</v>
      </c>
      <c r="C48" s="188"/>
      <c r="D48" s="188">
        <v>0</v>
      </c>
      <c r="E48" s="188">
        <v>0</v>
      </c>
      <c r="F48" s="188">
        <v>0</v>
      </c>
      <c r="G48" s="188">
        <v>0</v>
      </c>
      <c r="H48" s="188">
        <v>0</v>
      </c>
      <c r="I48" s="188">
        <v>0</v>
      </c>
      <c r="J48" s="188">
        <v>0</v>
      </c>
      <c r="K48" s="188">
        <v>0</v>
      </c>
      <c r="L48" s="188">
        <v>0</v>
      </c>
      <c r="M48" s="188">
        <v>0</v>
      </c>
      <c r="N48" s="188">
        <v>0</v>
      </c>
      <c r="O48" s="188">
        <v>0</v>
      </c>
      <c r="P48" s="188">
        <v>0</v>
      </c>
      <c r="Q48" s="188">
        <v>0</v>
      </c>
      <c r="R48" s="188">
        <v>0</v>
      </c>
      <c r="S48" s="188">
        <v>0</v>
      </c>
      <c r="T48" s="188">
        <v>0</v>
      </c>
      <c r="U48" s="188">
        <v>0</v>
      </c>
      <c r="V48" s="188">
        <v>0</v>
      </c>
      <c r="W48" s="191">
        <v>0</v>
      </c>
    </row>
    <row r="49" spans="2:23" x14ac:dyDescent="0.2">
      <c r="B49" s="190" t="s">
        <v>1962</v>
      </c>
      <c r="C49" s="188"/>
      <c r="D49" s="188">
        <v>0</v>
      </c>
      <c r="E49" s="188">
        <v>296.34583729999997</v>
      </c>
      <c r="F49" s="188">
        <v>293.94846710000002</v>
      </c>
      <c r="G49" s="188">
        <v>291.53806729999997</v>
      </c>
      <c r="H49" s="188">
        <v>881.83237169999995</v>
      </c>
      <c r="I49" s="188">
        <v>881.83237169999995</v>
      </c>
      <c r="J49" s="188">
        <v>266.42545569999999</v>
      </c>
      <c r="K49" s="188">
        <v>3240.1909004999993</v>
      </c>
      <c r="L49" s="188">
        <v>273.76569140000004</v>
      </c>
      <c r="M49" s="188">
        <v>271.40145409999997</v>
      </c>
      <c r="N49" s="188">
        <v>272.31154699999996</v>
      </c>
      <c r="O49" s="188">
        <v>271.3554019</v>
      </c>
      <c r="P49" s="188">
        <v>269.06922690000005</v>
      </c>
      <c r="Q49" s="188">
        <v>269.14526860000001</v>
      </c>
      <c r="R49" s="188">
        <v>271.30488739999998</v>
      </c>
      <c r="S49" s="188">
        <v>266.88600130000003</v>
      </c>
      <c r="T49" s="188">
        <v>271.82264129999999</v>
      </c>
      <c r="U49" s="188">
        <v>267.52391130000001</v>
      </c>
      <c r="V49" s="188">
        <v>269.17941359999998</v>
      </c>
      <c r="W49" s="191">
        <v>266.42545569999999</v>
      </c>
    </row>
    <row r="50" spans="2:23" x14ac:dyDescent="0.2">
      <c r="B50" s="225" t="s">
        <v>1963</v>
      </c>
      <c r="C50" s="226"/>
      <c r="D50" s="226"/>
      <c r="E50" s="226"/>
      <c r="F50" s="226"/>
      <c r="G50" s="226"/>
      <c r="H50" s="226">
        <v>0</v>
      </c>
      <c r="I50" s="226">
        <v>0</v>
      </c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50"/>
    </row>
    <row r="51" spans="2:23" x14ac:dyDescent="0.2">
      <c r="B51" s="99" t="s">
        <v>1964</v>
      </c>
      <c r="C51" s="96"/>
      <c r="D51" s="96"/>
      <c r="E51" s="96">
        <v>5.2820824000000002</v>
      </c>
      <c r="F51" s="96">
        <v>5.2820824000000002</v>
      </c>
      <c r="G51" s="96">
        <v>5.2820824000000002</v>
      </c>
      <c r="H51" s="96">
        <v>15.846247200000001</v>
      </c>
      <c r="I51" s="96">
        <v>15.846247200000001</v>
      </c>
      <c r="J51" s="223">
        <v>5.4312019999999999</v>
      </c>
      <c r="K51" s="96">
        <v>65.174424000000002</v>
      </c>
      <c r="L51" s="96">
        <v>5.4312019999999999</v>
      </c>
      <c r="M51" s="96">
        <v>5.4312019999999999</v>
      </c>
      <c r="N51" s="96">
        <v>5.4312019999999999</v>
      </c>
      <c r="O51" s="96">
        <v>5.4312019999999999</v>
      </c>
      <c r="P51" s="96">
        <v>5.4312019999999999</v>
      </c>
      <c r="Q51" s="96">
        <v>5.4312019999999999</v>
      </c>
      <c r="R51" s="96">
        <v>5.4312019999999999</v>
      </c>
      <c r="S51" s="96">
        <v>5.4312019999999999</v>
      </c>
      <c r="T51" s="96">
        <v>5.4312019999999999</v>
      </c>
      <c r="U51" s="96">
        <v>5.4312019999999999</v>
      </c>
      <c r="V51" s="96">
        <v>5.4312019999999999</v>
      </c>
      <c r="W51" s="189">
        <v>5.4312019999999999</v>
      </c>
    </row>
    <row r="52" spans="2:23" x14ac:dyDescent="0.2">
      <c r="B52" s="99" t="s">
        <v>1965</v>
      </c>
      <c r="C52" s="96"/>
      <c r="D52" s="96"/>
      <c r="E52" s="96">
        <v>26.265820000000001</v>
      </c>
      <c r="F52" s="96">
        <v>26.265820000000001</v>
      </c>
      <c r="G52" s="96">
        <v>37.893819999999998</v>
      </c>
      <c r="H52" s="96">
        <v>90.425460000000001</v>
      </c>
      <c r="I52" s="96">
        <v>90.425460000000001</v>
      </c>
      <c r="J52" s="96">
        <v>34.657376800000002</v>
      </c>
      <c r="K52" s="96">
        <v>299.72852160000002</v>
      </c>
      <c r="L52" s="96">
        <v>24.097376799999999</v>
      </c>
      <c r="M52" s="96">
        <v>24.097376799999999</v>
      </c>
      <c r="N52" s="96">
        <v>24.097376799999999</v>
      </c>
      <c r="O52" s="96">
        <v>24.097376799999999</v>
      </c>
      <c r="P52" s="96">
        <v>24.097376799999999</v>
      </c>
      <c r="Q52" s="96">
        <v>24.097376799999999</v>
      </c>
      <c r="R52" s="96">
        <v>24.097376799999999</v>
      </c>
      <c r="S52" s="96">
        <v>24.097376799999999</v>
      </c>
      <c r="T52" s="96">
        <v>24.097376799999999</v>
      </c>
      <c r="U52" s="96">
        <v>24.097376799999999</v>
      </c>
      <c r="V52" s="96">
        <v>24.097376799999999</v>
      </c>
      <c r="W52" s="189">
        <v>34.657376800000002</v>
      </c>
    </row>
    <row r="53" spans="2:23" x14ac:dyDescent="0.2">
      <c r="B53" s="99" t="s">
        <v>1966</v>
      </c>
      <c r="C53" s="96"/>
      <c r="D53" s="96"/>
      <c r="E53" s="96">
        <v>1.8583300000000001E-2</v>
      </c>
      <c r="F53" s="96">
        <v>1.8583300000000001E-2</v>
      </c>
      <c r="G53" s="96">
        <v>1.8583300000000001E-2</v>
      </c>
      <c r="H53" s="96">
        <v>5.5749900000000005E-2</v>
      </c>
      <c r="I53" s="96">
        <v>5.5749900000000005E-2</v>
      </c>
      <c r="J53" s="223">
        <v>0.21624070000000001</v>
      </c>
      <c r="K53" s="96">
        <v>2.1019284000000003</v>
      </c>
      <c r="L53" s="96">
        <v>0.72981070000000003</v>
      </c>
      <c r="M53" s="96">
        <v>7.2450700000000007E-2</v>
      </c>
      <c r="N53" s="96">
        <v>7.2450700000000007E-2</v>
      </c>
      <c r="O53" s="96">
        <v>7.2450700000000007E-2</v>
      </c>
      <c r="P53" s="96">
        <v>0.21624070000000001</v>
      </c>
      <c r="Q53" s="96">
        <v>0.21624070000000001</v>
      </c>
      <c r="R53" s="96">
        <v>7.2450700000000007E-2</v>
      </c>
      <c r="S53" s="96">
        <v>7.2450700000000007E-2</v>
      </c>
      <c r="T53" s="96">
        <v>0.21624070000000001</v>
      </c>
      <c r="U53" s="96">
        <v>7.2450700000000007E-2</v>
      </c>
      <c r="V53" s="96">
        <v>7.2450700000000007E-2</v>
      </c>
      <c r="W53" s="189">
        <v>0.21624070000000001</v>
      </c>
    </row>
    <row r="54" spans="2:23" x14ac:dyDescent="0.2">
      <c r="B54" s="99" t="s">
        <v>1967</v>
      </c>
      <c r="C54" s="96"/>
      <c r="D54" s="96"/>
      <c r="E54" s="96">
        <v>2.8396667</v>
      </c>
      <c r="F54" s="96">
        <v>5.9326667000000004</v>
      </c>
      <c r="G54" s="96">
        <v>6.5506666999999998</v>
      </c>
      <c r="H54" s="96">
        <v>15.323000100000002</v>
      </c>
      <c r="I54" s="96">
        <v>15.323000100000002</v>
      </c>
      <c r="J54" s="223">
        <v>3.8693875000000002</v>
      </c>
      <c r="K54" s="96">
        <v>53.584710000000001</v>
      </c>
      <c r="L54" s="96">
        <v>3.8693875000000002</v>
      </c>
      <c r="M54" s="96">
        <v>6.5809974999999996</v>
      </c>
      <c r="N54" s="96">
        <v>7.4026975000000004</v>
      </c>
      <c r="O54" s="96">
        <v>5.6286275000000003</v>
      </c>
      <c r="P54" s="96">
        <v>3.6639675</v>
      </c>
      <c r="Q54" s="96">
        <v>3.8693875000000002</v>
      </c>
      <c r="R54" s="96">
        <v>3.6639675</v>
      </c>
      <c r="S54" s="96">
        <v>3.8389674999999999</v>
      </c>
      <c r="T54" s="96">
        <v>3.8693875000000002</v>
      </c>
      <c r="U54" s="96">
        <v>3.6639675</v>
      </c>
      <c r="V54" s="96">
        <v>3.6639675</v>
      </c>
      <c r="W54" s="189">
        <v>3.8693875000000002</v>
      </c>
    </row>
    <row r="55" spans="2:23" x14ac:dyDescent="0.2">
      <c r="B55" s="99" t="s">
        <v>1968</v>
      </c>
      <c r="C55" s="96"/>
      <c r="D55" s="96"/>
      <c r="E55" s="96">
        <v>1.82056</v>
      </c>
      <c r="F55" s="96">
        <v>0.94352999999999998</v>
      </c>
      <c r="G55" s="96">
        <v>1.7872699999999999</v>
      </c>
      <c r="H55" s="96">
        <v>4.5513599999999999</v>
      </c>
      <c r="I55" s="96">
        <v>4.5513599999999999</v>
      </c>
      <c r="J55" s="96"/>
      <c r="K55" s="96">
        <v>30.590280000000003</v>
      </c>
      <c r="L55" s="96">
        <v>0.48485</v>
      </c>
      <c r="M55" s="96">
        <v>0.91693000000000002</v>
      </c>
      <c r="N55" s="96">
        <v>1.7637700000000001</v>
      </c>
      <c r="O55" s="96">
        <v>2.6710799999999999</v>
      </c>
      <c r="P55" s="96">
        <v>1.57094</v>
      </c>
      <c r="Q55" s="96">
        <v>2.8949099999999999</v>
      </c>
      <c r="R55" s="96">
        <v>1.57067</v>
      </c>
      <c r="S55" s="96">
        <v>0.84084000000000003</v>
      </c>
      <c r="T55" s="96">
        <v>5.3775000000000004</v>
      </c>
      <c r="U55" s="96">
        <v>10.364890000000001</v>
      </c>
      <c r="V55" s="96">
        <v>2.1339000000000001</v>
      </c>
      <c r="W55" s="189"/>
    </row>
    <row r="56" spans="2:23" x14ac:dyDescent="0.2">
      <c r="B56" s="99" t="s">
        <v>1969</v>
      </c>
      <c r="C56" s="96"/>
      <c r="D56" s="96"/>
      <c r="E56" s="96">
        <v>4.0380744999999996</v>
      </c>
      <c r="F56" s="96">
        <v>4.0380744999999996</v>
      </c>
      <c r="G56" s="96">
        <v>4.0380744999999996</v>
      </c>
      <c r="H56" s="96">
        <v>12.114223499999998</v>
      </c>
      <c r="I56" s="96">
        <v>12.114223499999998</v>
      </c>
      <c r="J56" s="223">
        <v>2.7299392</v>
      </c>
      <c r="K56" s="96">
        <v>32.759270399999998</v>
      </c>
      <c r="L56" s="96">
        <v>2.7299392</v>
      </c>
      <c r="M56" s="96">
        <v>2.7299392</v>
      </c>
      <c r="N56" s="96">
        <v>2.7299392</v>
      </c>
      <c r="O56" s="96">
        <v>2.7299392</v>
      </c>
      <c r="P56" s="96">
        <v>2.7299392</v>
      </c>
      <c r="Q56" s="96">
        <v>2.7299392</v>
      </c>
      <c r="R56" s="96">
        <v>2.7299392</v>
      </c>
      <c r="S56" s="96">
        <v>2.7299392</v>
      </c>
      <c r="T56" s="96">
        <v>2.7299392</v>
      </c>
      <c r="U56" s="96">
        <v>2.7299392</v>
      </c>
      <c r="V56" s="96">
        <v>2.7299392</v>
      </c>
      <c r="W56" s="189">
        <v>2.7299392</v>
      </c>
    </row>
    <row r="57" spans="2:23" x14ac:dyDescent="0.2">
      <c r="B57" s="99" t="s">
        <v>1970</v>
      </c>
      <c r="C57" s="96"/>
      <c r="D57" s="96"/>
      <c r="E57" s="96">
        <v>44.352240000000002</v>
      </c>
      <c r="F57" s="96">
        <v>44.352240000000002</v>
      </c>
      <c r="G57" s="96">
        <v>44.352240000000002</v>
      </c>
      <c r="H57" s="96">
        <v>133.05672000000001</v>
      </c>
      <c r="I57" s="96">
        <v>133.05672000000001</v>
      </c>
      <c r="J57" s="223">
        <v>47.179209999999998</v>
      </c>
      <c r="K57" s="96">
        <v>566.15052000000003</v>
      </c>
      <c r="L57" s="96">
        <v>47.179209999999998</v>
      </c>
      <c r="M57" s="96">
        <v>47.179209999999998</v>
      </c>
      <c r="N57" s="96">
        <v>47.179209999999998</v>
      </c>
      <c r="O57" s="96">
        <v>47.179209999999998</v>
      </c>
      <c r="P57" s="96">
        <v>47.179209999999998</v>
      </c>
      <c r="Q57" s="96">
        <v>47.179209999999998</v>
      </c>
      <c r="R57" s="96">
        <v>47.179209999999998</v>
      </c>
      <c r="S57" s="96">
        <v>47.179209999999998</v>
      </c>
      <c r="T57" s="96">
        <v>47.179209999999998</v>
      </c>
      <c r="U57" s="96">
        <v>47.179209999999998</v>
      </c>
      <c r="V57" s="96">
        <v>47.179209999999998</v>
      </c>
      <c r="W57" s="189">
        <v>47.179209999999998</v>
      </c>
    </row>
    <row r="58" spans="2:23" x14ac:dyDescent="0.2">
      <c r="B58" s="99" t="s">
        <v>1971</v>
      </c>
      <c r="C58" s="96"/>
      <c r="D58" s="96"/>
      <c r="E58" s="96"/>
      <c r="F58" s="96"/>
      <c r="G58" s="96"/>
      <c r="H58" s="96">
        <v>0</v>
      </c>
      <c r="I58" s="96">
        <v>0</v>
      </c>
      <c r="J58" s="223">
        <v>0.51515</v>
      </c>
      <c r="K58" s="96">
        <v>31.290889999999997</v>
      </c>
      <c r="L58" s="96">
        <v>0.51515</v>
      </c>
      <c r="M58" s="96">
        <v>2.9696899999999999</v>
      </c>
      <c r="N58" s="96">
        <v>2.5515099999999999</v>
      </c>
      <c r="O58" s="96">
        <v>2.4242400000000002</v>
      </c>
      <c r="P58" s="96">
        <v>3</v>
      </c>
      <c r="Q58" s="96">
        <v>1.9151499999999999</v>
      </c>
      <c r="R58" s="96">
        <v>1.5151600000000001</v>
      </c>
      <c r="S58" s="96">
        <v>3.9151500000000001</v>
      </c>
      <c r="T58" s="96">
        <v>8.2484800000000007</v>
      </c>
      <c r="U58" s="96">
        <v>2.80606</v>
      </c>
      <c r="V58" s="96">
        <v>0.91515000000000002</v>
      </c>
      <c r="W58" s="189">
        <v>0.51515</v>
      </c>
    </row>
    <row r="59" spans="2:23" x14ac:dyDescent="0.2">
      <c r="B59" s="99" t="s">
        <v>1972</v>
      </c>
      <c r="C59" s="96"/>
      <c r="D59" s="96"/>
      <c r="E59" s="96">
        <v>5.3507945000000001</v>
      </c>
      <c r="F59" s="96">
        <v>5.3507945000000001</v>
      </c>
      <c r="G59" s="96">
        <v>5.3507945000000001</v>
      </c>
      <c r="H59" s="96">
        <v>16.052383500000001</v>
      </c>
      <c r="I59" s="96">
        <v>16.052383500000001</v>
      </c>
      <c r="J59" s="223">
        <v>4.7731586999999998</v>
      </c>
      <c r="K59" s="96">
        <v>57.277904399999983</v>
      </c>
      <c r="L59" s="96">
        <v>4.7731586999999998</v>
      </c>
      <c r="M59" s="96">
        <v>4.7731586999999998</v>
      </c>
      <c r="N59" s="96">
        <v>4.7731586999999998</v>
      </c>
      <c r="O59" s="96">
        <v>4.7731586999999998</v>
      </c>
      <c r="P59" s="96">
        <v>4.7731586999999998</v>
      </c>
      <c r="Q59" s="96">
        <v>4.7731586999999998</v>
      </c>
      <c r="R59" s="96">
        <v>4.7731586999999998</v>
      </c>
      <c r="S59" s="96">
        <v>4.7731586999999998</v>
      </c>
      <c r="T59" s="96">
        <v>4.7731586999999998</v>
      </c>
      <c r="U59" s="96">
        <v>4.7731586999999998</v>
      </c>
      <c r="V59" s="96">
        <v>4.7731586999999998</v>
      </c>
      <c r="W59" s="189">
        <v>4.7731586999999998</v>
      </c>
    </row>
    <row r="60" spans="2:23" x14ac:dyDescent="0.2">
      <c r="B60" s="99" t="s">
        <v>1973</v>
      </c>
      <c r="C60" s="96"/>
      <c r="D60" s="96"/>
      <c r="E60" s="96"/>
      <c r="F60" s="96"/>
      <c r="G60" s="96"/>
      <c r="H60" s="96">
        <v>0</v>
      </c>
      <c r="I60" s="96">
        <v>0</v>
      </c>
      <c r="J60" s="223"/>
      <c r="K60" s="96">
        <v>0</v>
      </c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189"/>
    </row>
    <row r="61" spans="2:23" x14ac:dyDescent="0.2">
      <c r="B61" s="99" t="s">
        <v>1584</v>
      </c>
      <c r="C61" s="96"/>
      <c r="D61" s="96"/>
      <c r="E61" s="96">
        <v>24.438042599999999</v>
      </c>
      <c r="F61" s="96">
        <v>24.438042599999999</v>
      </c>
      <c r="G61" s="96">
        <v>24.438042599999999</v>
      </c>
      <c r="H61" s="96">
        <v>73.314127799999994</v>
      </c>
      <c r="I61" s="96">
        <v>73.314127799999994</v>
      </c>
      <c r="J61" s="223">
        <v>20.366721900000002</v>
      </c>
      <c r="K61" s="96">
        <v>244.40066280000008</v>
      </c>
      <c r="L61" s="96">
        <v>20.366721900000002</v>
      </c>
      <c r="M61" s="96">
        <v>20.366721900000002</v>
      </c>
      <c r="N61" s="96">
        <v>20.366721900000002</v>
      </c>
      <c r="O61" s="96">
        <v>20.366721900000002</v>
      </c>
      <c r="P61" s="96">
        <v>20.366721900000002</v>
      </c>
      <c r="Q61" s="96">
        <v>20.366721900000002</v>
      </c>
      <c r="R61" s="96">
        <v>20.366721900000002</v>
      </c>
      <c r="S61" s="96">
        <v>20.366721900000002</v>
      </c>
      <c r="T61" s="96">
        <v>20.366721900000002</v>
      </c>
      <c r="U61" s="96">
        <v>20.366721900000002</v>
      </c>
      <c r="V61" s="96">
        <v>20.366721900000002</v>
      </c>
      <c r="W61" s="189">
        <v>20.366721900000002</v>
      </c>
    </row>
    <row r="62" spans="2:23" x14ac:dyDescent="0.2">
      <c r="B62" s="99" t="s">
        <v>1974</v>
      </c>
      <c r="C62" s="96"/>
      <c r="D62" s="96"/>
      <c r="E62" s="96">
        <v>1.2350542</v>
      </c>
      <c r="F62" s="96">
        <v>1.2350542</v>
      </c>
      <c r="G62" s="96">
        <v>1.2350542</v>
      </c>
      <c r="H62" s="96">
        <v>3.7051626</v>
      </c>
      <c r="I62" s="96">
        <v>3.7051626</v>
      </c>
      <c r="J62" s="223">
        <v>0.94909089999999996</v>
      </c>
      <c r="K62" s="96">
        <v>11.3890908</v>
      </c>
      <c r="L62" s="96">
        <v>0.94909089999999996</v>
      </c>
      <c r="M62" s="96">
        <v>0.94909089999999996</v>
      </c>
      <c r="N62" s="96">
        <v>0.94909089999999996</v>
      </c>
      <c r="O62" s="96">
        <v>0.94909089999999996</v>
      </c>
      <c r="P62" s="96">
        <v>0.94909089999999996</v>
      </c>
      <c r="Q62" s="96">
        <v>0.94909089999999996</v>
      </c>
      <c r="R62" s="96">
        <v>0.94909089999999996</v>
      </c>
      <c r="S62" s="96">
        <v>0.94909089999999996</v>
      </c>
      <c r="T62" s="96">
        <v>0.94909089999999996</v>
      </c>
      <c r="U62" s="96">
        <v>0.94909089999999996</v>
      </c>
      <c r="V62" s="96">
        <v>0.94909089999999996</v>
      </c>
      <c r="W62" s="189">
        <v>0.94909089999999996</v>
      </c>
    </row>
    <row r="63" spans="2:23" x14ac:dyDescent="0.2">
      <c r="B63" s="227" t="s">
        <v>1975</v>
      </c>
      <c r="C63" s="228"/>
      <c r="D63" s="228">
        <v>0</v>
      </c>
      <c r="E63" s="228">
        <v>115.64091820000002</v>
      </c>
      <c r="F63" s="228">
        <v>117.85688820000001</v>
      </c>
      <c r="G63" s="228">
        <v>130.94662820000002</v>
      </c>
      <c r="H63" s="228">
        <v>364.44443460000002</v>
      </c>
      <c r="I63" s="228">
        <v>364.44443460000002</v>
      </c>
      <c r="J63" s="228">
        <v>120.6874777</v>
      </c>
      <c r="K63" s="228">
        <v>1394.4482024000001</v>
      </c>
      <c r="L63" s="228">
        <v>111.12589770000001</v>
      </c>
      <c r="M63" s="228">
        <v>116.06676769999999</v>
      </c>
      <c r="N63" s="228">
        <v>117.31712769999999</v>
      </c>
      <c r="O63" s="228">
        <v>116.32309769999999</v>
      </c>
      <c r="P63" s="228">
        <v>113.9778477</v>
      </c>
      <c r="Q63" s="228">
        <v>114.4223877</v>
      </c>
      <c r="R63" s="228">
        <v>112.3489477</v>
      </c>
      <c r="S63" s="228">
        <v>114.19410769999999</v>
      </c>
      <c r="T63" s="228">
        <v>123.23830769999999</v>
      </c>
      <c r="U63" s="228">
        <v>122.4340677</v>
      </c>
      <c r="V63" s="228">
        <v>112.31216769999999</v>
      </c>
      <c r="W63" s="251">
        <v>120.6874777</v>
      </c>
    </row>
    <row r="64" spans="2:23" x14ac:dyDescent="0.2">
      <c r="B64" s="99" t="s">
        <v>1976</v>
      </c>
      <c r="C64" s="96"/>
      <c r="D64" s="96"/>
      <c r="E64" s="96"/>
      <c r="F64" s="96"/>
      <c r="G64" s="96"/>
      <c r="H64" s="96">
        <v>0</v>
      </c>
      <c r="I64" s="96">
        <v>0</v>
      </c>
      <c r="J64" s="96"/>
      <c r="K64" s="96">
        <v>0</v>
      </c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189"/>
    </row>
    <row r="65" spans="2:23" x14ac:dyDescent="0.2">
      <c r="B65" s="99" t="s">
        <v>1977</v>
      </c>
      <c r="C65" s="96"/>
      <c r="D65" s="96"/>
      <c r="E65" s="96"/>
      <c r="F65" s="96"/>
      <c r="G65" s="96"/>
      <c r="H65" s="96">
        <v>0</v>
      </c>
      <c r="I65" s="96">
        <v>0</v>
      </c>
      <c r="J65" s="223"/>
      <c r="K65" s="96">
        <v>0</v>
      </c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189"/>
    </row>
    <row r="66" spans="2:23" x14ac:dyDescent="0.2">
      <c r="B66" s="99" t="s">
        <v>1978</v>
      </c>
      <c r="C66" s="96"/>
      <c r="D66" s="96"/>
      <c r="E66" s="96"/>
      <c r="F66" s="96"/>
      <c r="G66" s="96"/>
      <c r="H66" s="96">
        <v>0</v>
      </c>
      <c r="I66" s="96">
        <v>0</v>
      </c>
      <c r="J66" s="96"/>
      <c r="K66" s="96">
        <v>0</v>
      </c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189"/>
    </row>
    <row r="67" spans="2:23" x14ac:dyDescent="0.2">
      <c r="B67" s="99" t="s">
        <v>1979</v>
      </c>
      <c r="C67" s="96"/>
      <c r="D67" s="96"/>
      <c r="E67" s="96">
        <v>143.58474720000001</v>
      </c>
      <c r="F67" s="96">
        <v>145.16421639999999</v>
      </c>
      <c r="G67" s="96">
        <v>145.99950799999999</v>
      </c>
      <c r="H67" s="96">
        <v>434.74847160000002</v>
      </c>
      <c r="I67" s="96">
        <v>434.74847160000002</v>
      </c>
      <c r="J67" s="96">
        <v>145.30196939999999</v>
      </c>
      <c r="K67" s="96">
        <v>1782.4477424000002</v>
      </c>
      <c r="L67" s="96">
        <v>146.627835</v>
      </c>
      <c r="M67" s="96">
        <v>139.9320195</v>
      </c>
      <c r="N67" s="96">
        <v>150.56430689999999</v>
      </c>
      <c r="O67" s="96">
        <v>150.930498</v>
      </c>
      <c r="P67" s="96">
        <v>152.22298420000001</v>
      </c>
      <c r="Q67" s="96">
        <v>150.95542560000001</v>
      </c>
      <c r="R67" s="96">
        <v>150.1919862</v>
      </c>
      <c r="S67" s="96">
        <v>153.52589649999999</v>
      </c>
      <c r="T67" s="96">
        <v>150.07868310000001</v>
      </c>
      <c r="U67" s="96">
        <v>145.9960973</v>
      </c>
      <c r="V67" s="96">
        <v>146.1200407</v>
      </c>
      <c r="W67" s="189">
        <v>145.30196939999999</v>
      </c>
    </row>
    <row r="68" spans="2:23" x14ac:dyDescent="0.2">
      <c r="B68" s="99" t="s">
        <v>1980</v>
      </c>
      <c r="C68" s="96"/>
      <c r="D68" s="96"/>
      <c r="E68" s="96">
        <v>53.254733799999997</v>
      </c>
      <c r="F68" s="96">
        <v>55.222005000000003</v>
      </c>
      <c r="G68" s="96">
        <v>46.7002205</v>
      </c>
      <c r="H68" s="96">
        <v>155.17695929999999</v>
      </c>
      <c r="I68" s="96">
        <v>155.17695929999999</v>
      </c>
      <c r="J68" s="96">
        <v>10.807868300000001</v>
      </c>
      <c r="K68" s="96">
        <v>129.69441519999998</v>
      </c>
      <c r="L68" s="96">
        <v>10.807863899999999</v>
      </c>
      <c r="M68" s="96">
        <v>10.807868300000001</v>
      </c>
      <c r="N68" s="96">
        <v>10.807868300000001</v>
      </c>
      <c r="O68" s="96">
        <v>10.807868300000001</v>
      </c>
      <c r="P68" s="96">
        <v>10.807868300000001</v>
      </c>
      <c r="Q68" s="96">
        <v>10.807868300000001</v>
      </c>
      <c r="R68" s="96">
        <v>10.807868300000001</v>
      </c>
      <c r="S68" s="96">
        <v>10.807868300000001</v>
      </c>
      <c r="T68" s="96">
        <v>10.807868300000001</v>
      </c>
      <c r="U68" s="96">
        <v>10.807868300000001</v>
      </c>
      <c r="V68" s="96">
        <v>10.807868300000001</v>
      </c>
      <c r="W68" s="189">
        <v>10.807868300000001</v>
      </c>
    </row>
    <row r="69" spans="2:23" x14ac:dyDescent="0.2">
      <c r="B69" s="229" t="s">
        <v>1981</v>
      </c>
      <c r="C69" s="96"/>
      <c r="D69" s="96"/>
      <c r="E69" s="96">
        <v>8.2304318999999992</v>
      </c>
      <c r="F69" s="96">
        <v>8.2304318999999992</v>
      </c>
      <c r="G69" s="96">
        <v>8.2304318999999992</v>
      </c>
      <c r="H69" s="96">
        <v>24.691295699999998</v>
      </c>
      <c r="I69" s="96">
        <v>24.691295699999998</v>
      </c>
      <c r="J69" s="96">
        <v>7.6300827</v>
      </c>
      <c r="K69" s="96">
        <v>91.560992400000018</v>
      </c>
      <c r="L69" s="96">
        <v>7.6300827</v>
      </c>
      <c r="M69" s="96">
        <v>7.6300827</v>
      </c>
      <c r="N69" s="96">
        <v>7.6300827</v>
      </c>
      <c r="O69" s="96">
        <v>7.6300827</v>
      </c>
      <c r="P69" s="96">
        <v>7.6300827</v>
      </c>
      <c r="Q69" s="96">
        <v>7.6300827</v>
      </c>
      <c r="R69" s="96">
        <v>7.6300827</v>
      </c>
      <c r="S69" s="96">
        <v>7.6300827</v>
      </c>
      <c r="T69" s="96">
        <v>7.6300827</v>
      </c>
      <c r="U69" s="96">
        <v>7.6300827</v>
      </c>
      <c r="V69" s="96">
        <v>7.6300827</v>
      </c>
      <c r="W69" s="189">
        <v>7.6300827</v>
      </c>
    </row>
    <row r="70" spans="2:23" x14ac:dyDescent="0.2">
      <c r="B70" s="99" t="s">
        <v>1982</v>
      </c>
      <c r="C70" s="96"/>
      <c r="D70" s="96"/>
      <c r="E70" s="96"/>
      <c r="F70" s="96"/>
      <c r="G70" s="96"/>
      <c r="H70" s="96">
        <v>0</v>
      </c>
      <c r="I70" s="96">
        <v>0</v>
      </c>
      <c r="J70" s="96"/>
      <c r="K70" s="96">
        <v>0</v>
      </c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189"/>
    </row>
    <row r="71" spans="2:23" x14ac:dyDescent="0.2">
      <c r="B71" s="227" t="s">
        <v>1975</v>
      </c>
      <c r="C71" s="228"/>
      <c r="D71" s="228">
        <v>0</v>
      </c>
      <c r="E71" s="228">
        <v>205.06991290000002</v>
      </c>
      <c r="F71" s="228">
        <v>208.6166533</v>
      </c>
      <c r="G71" s="228">
        <v>200.93016039999998</v>
      </c>
      <c r="H71" s="228">
        <v>614.61672659999999</v>
      </c>
      <c r="I71" s="228">
        <v>614.61672659999999</v>
      </c>
      <c r="J71" s="228">
        <v>163.73992039999999</v>
      </c>
      <c r="K71" s="228">
        <v>2003.7031500000001</v>
      </c>
      <c r="L71" s="228">
        <v>165.06578160000001</v>
      </c>
      <c r="M71" s="228">
        <v>158.36997049999999</v>
      </c>
      <c r="N71" s="228">
        <v>169.00225789999999</v>
      </c>
      <c r="O71" s="228">
        <v>169.368449</v>
      </c>
      <c r="P71" s="228">
        <v>170.66093520000001</v>
      </c>
      <c r="Q71" s="228">
        <v>169.39337660000001</v>
      </c>
      <c r="R71" s="228">
        <v>168.6299372</v>
      </c>
      <c r="S71" s="228">
        <v>171.96384749999999</v>
      </c>
      <c r="T71" s="228">
        <v>168.5166341</v>
      </c>
      <c r="U71" s="228">
        <v>164.4340483</v>
      </c>
      <c r="V71" s="228">
        <v>164.5579917</v>
      </c>
      <c r="W71" s="251">
        <v>163.73992039999999</v>
      </c>
    </row>
    <row r="72" spans="2:23" x14ac:dyDescent="0.2">
      <c r="B72" s="190" t="s">
        <v>1983</v>
      </c>
      <c r="C72" s="188"/>
      <c r="D72" s="188">
        <v>0</v>
      </c>
      <c r="E72" s="188">
        <v>320.71083110000006</v>
      </c>
      <c r="F72" s="188">
        <v>326.47354150000001</v>
      </c>
      <c r="G72" s="188">
        <v>331.8767886</v>
      </c>
      <c r="H72" s="188">
        <v>979.06116120000002</v>
      </c>
      <c r="I72" s="188">
        <v>979.06116120000002</v>
      </c>
      <c r="J72" s="188">
        <v>284.4273981</v>
      </c>
      <c r="K72" s="188">
        <v>3398.1513524000002</v>
      </c>
      <c r="L72" s="188">
        <v>276.19167930000003</v>
      </c>
      <c r="M72" s="188">
        <v>274.43673819999998</v>
      </c>
      <c r="N72" s="188">
        <v>286.31938559999998</v>
      </c>
      <c r="O72" s="188">
        <v>285.6915467</v>
      </c>
      <c r="P72" s="188">
        <v>284.63878290000002</v>
      </c>
      <c r="Q72" s="188">
        <v>283.81576430000001</v>
      </c>
      <c r="R72" s="188">
        <v>280.97888490000003</v>
      </c>
      <c r="S72" s="188">
        <v>286.15795519999995</v>
      </c>
      <c r="T72" s="188">
        <v>291.75494179999998</v>
      </c>
      <c r="U72" s="188">
        <v>286.86811599999999</v>
      </c>
      <c r="V72" s="188">
        <v>276.87015939999998</v>
      </c>
      <c r="W72" s="191">
        <v>284.4273981</v>
      </c>
    </row>
    <row r="73" spans="2:23" x14ac:dyDescent="0.2">
      <c r="B73" s="190" t="s">
        <v>1984</v>
      </c>
      <c r="C73" s="188"/>
      <c r="D73" s="188">
        <v>0</v>
      </c>
      <c r="E73" s="188">
        <v>-484.99300479999999</v>
      </c>
      <c r="F73" s="188">
        <v>-488.35834499999999</v>
      </c>
      <c r="G73" s="188">
        <v>-491.35119229999998</v>
      </c>
      <c r="H73" s="188">
        <v>-1464.7025420999998</v>
      </c>
      <c r="I73" s="188">
        <v>-1464.7025420999998</v>
      </c>
      <c r="J73" s="188">
        <v>-461.72287230000006</v>
      </c>
      <c r="K73" s="188">
        <v>-5597.9419615999996</v>
      </c>
      <c r="L73" s="188">
        <v>-466.81035320000007</v>
      </c>
      <c r="M73" s="188">
        <v>-462.44520479999994</v>
      </c>
      <c r="N73" s="188">
        <v>-475.97585510000005</v>
      </c>
      <c r="O73" s="188">
        <v>-473.39774230000006</v>
      </c>
      <c r="P73" s="188">
        <v>-469.56686350000001</v>
      </c>
      <c r="Q73" s="188">
        <v>-467.46705159999999</v>
      </c>
      <c r="R73" s="188">
        <v>-463.14533549999999</v>
      </c>
      <c r="S73" s="188">
        <v>-463.33158969999994</v>
      </c>
      <c r="T73" s="188">
        <v>-473.08631129999998</v>
      </c>
      <c r="U73" s="188">
        <v>-465.01607580000001</v>
      </c>
      <c r="V73" s="188">
        <v>-455.97670649999998</v>
      </c>
      <c r="W73" s="191">
        <v>-461.72287230000006</v>
      </c>
    </row>
    <row r="74" spans="2:23" x14ac:dyDescent="0.2">
      <c r="B74" s="230" t="s">
        <v>1984</v>
      </c>
      <c r="C74" s="231"/>
      <c r="D74" s="231">
        <v>0</v>
      </c>
      <c r="E74" s="231">
        <v>484.99300479999999</v>
      </c>
      <c r="F74" s="231">
        <v>488.35834499999999</v>
      </c>
      <c r="G74" s="231">
        <v>491.35119229999998</v>
      </c>
      <c r="H74" s="231">
        <v>1464.7025420999998</v>
      </c>
      <c r="I74" s="231">
        <v>1464.7025420999998</v>
      </c>
      <c r="J74" s="231">
        <v>461.72287230000006</v>
      </c>
      <c r="K74" s="231">
        <v>5597.9419615999996</v>
      </c>
      <c r="L74" s="231">
        <v>466.81035320000007</v>
      </c>
      <c r="M74" s="231">
        <v>462.44520479999994</v>
      </c>
      <c r="N74" s="231">
        <v>475.97585510000005</v>
      </c>
      <c r="O74" s="231">
        <v>473.39774230000006</v>
      </c>
      <c r="P74" s="231">
        <v>469.56686350000001</v>
      </c>
      <c r="Q74" s="231">
        <v>467.46705159999999</v>
      </c>
      <c r="R74" s="231">
        <v>463.14533549999999</v>
      </c>
      <c r="S74" s="231">
        <v>463.33158969999994</v>
      </c>
      <c r="T74" s="231">
        <v>473.08631129999998</v>
      </c>
      <c r="U74" s="231">
        <v>465.01607580000001</v>
      </c>
      <c r="V74" s="231">
        <v>455.97670649999998</v>
      </c>
      <c r="W74" s="252">
        <v>461.72287230000006</v>
      </c>
    </row>
    <row r="75" spans="2:23" x14ac:dyDescent="0.2">
      <c r="B75" s="232" t="s">
        <v>1985</v>
      </c>
      <c r="C75" s="226"/>
      <c r="D75" s="226"/>
      <c r="E75" s="226"/>
      <c r="F75" s="226"/>
      <c r="G75" s="226"/>
      <c r="H75" s="226">
        <v>0</v>
      </c>
      <c r="I75" s="226">
        <v>0</v>
      </c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50"/>
    </row>
    <row r="76" spans="2:23" x14ac:dyDescent="0.2">
      <c r="B76" s="233" t="s">
        <v>1682</v>
      </c>
      <c r="C76" s="234"/>
      <c r="D76" s="234"/>
      <c r="E76" s="234">
        <v>-158.1840411</v>
      </c>
      <c r="F76" s="234">
        <v>-156.4739711</v>
      </c>
      <c r="G76" s="234">
        <v>-154.92512110000001</v>
      </c>
      <c r="H76" s="234">
        <v>-469.58313330000004</v>
      </c>
      <c r="I76" s="234">
        <v>-469.58313330000004</v>
      </c>
      <c r="J76" s="234">
        <v>-140.69234829999999</v>
      </c>
      <c r="K76" s="234">
        <v>-1703.2165107999999</v>
      </c>
      <c r="L76" s="234">
        <v>-142.18980250000001</v>
      </c>
      <c r="M76" s="234">
        <v>-141.43008209999999</v>
      </c>
      <c r="N76" s="234">
        <v>-142.13189199999999</v>
      </c>
      <c r="O76" s="234">
        <v>-143.63370710000001</v>
      </c>
      <c r="P76" s="234">
        <v>-141.39257649999999</v>
      </c>
      <c r="Q76" s="234">
        <v>-141.6792002</v>
      </c>
      <c r="R76" s="234">
        <v>-142.86362890000001</v>
      </c>
      <c r="S76" s="234">
        <v>-140.69234829999999</v>
      </c>
      <c r="T76" s="234">
        <v>-143.4270483</v>
      </c>
      <c r="U76" s="234">
        <v>-141.2814683</v>
      </c>
      <c r="V76" s="234">
        <v>-141.8024083</v>
      </c>
      <c r="W76" s="253">
        <v>-140.69234829999999</v>
      </c>
    </row>
    <row r="77" spans="2:23" x14ac:dyDescent="0.2">
      <c r="B77" s="233" t="s">
        <v>1683</v>
      </c>
      <c r="C77" s="234"/>
      <c r="D77" s="234"/>
      <c r="E77" s="234">
        <v>-458.87262729999998</v>
      </c>
      <c r="F77" s="234">
        <v>-463.9480375</v>
      </c>
      <c r="G77" s="234">
        <v>-468.48973480000001</v>
      </c>
      <c r="H77" s="234">
        <v>-1391.3103996</v>
      </c>
      <c r="I77" s="234">
        <v>-1391.3103996</v>
      </c>
      <c r="J77" s="234">
        <v>-410.1605055</v>
      </c>
      <c r="K77" s="234">
        <v>-4935.1257421000009</v>
      </c>
      <c r="L77" s="234">
        <v>-407.76756820000003</v>
      </c>
      <c r="M77" s="234">
        <v>-404.40811020000001</v>
      </c>
      <c r="N77" s="234">
        <v>-416.4990406</v>
      </c>
      <c r="O77" s="234">
        <v>-413.41324150000003</v>
      </c>
      <c r="P77" s="234">
        <v>-412.3154333</v>
      </c>
      <c r="Q77" s="234">
        <v>-411.2818327</v>
      </c>
      <c r="R77" s="234">
        <v>-409.42014339999997</v>
      </c>
      <c r="S77" s="234">
        <v>-412.35160819999999</v>
      </c>
      <c r="T77" s="234">
        <v>-420.1505348</v>
      </c>
      <c r="U77" s="234">
        <v>-413.11055900000002</v>
      </c>
      <c r="V77" s="234">
        <v>-404.24716469999998</v>
      </c>
      <c r="W77" s="253">
        <v>-410.1605055</v>
      </c>
    </row>
    <row r="78" spans="2:23" x14ac:dyDescent="0.2">
      <c r="B78" s="235" t="s">
        <v>1682</v>
      </c>
      <c r="C78" s="236"/>
      <c r="D78" s="236">
        <v>0</v>
      </c>
      <c r="E78" s="236">
        <v>158.1840411</v>
      </c>
      <c r="F78" s="236">
        <v>156.4739711</v>
      </c>
      <c r="G78" s="236">
        <v>154.92512110000001</v>
      </c>
      <c r="H78" s="236">
        <v>469.58313330000004</v>
      </c>
      <c r="I78" s="236">
        <v>469.58313330000004</v>
      </c>
      <c r="J78" s="236">
        <v>140.69234829999999</v>
      </c>
      <c r="K78" s="236">
        <v>1703.2165107999999</v>
      </c>
      <c r="L78" s="236">
        <v>142.18980250000001</v>
      </c>
      <c r="M78" s="236">
        <v>141.43008209999999</v>
      </c>
      <c r="N78" s="236">
        <v>142.13189199999999</v>
      </c>
      <c r="O78" s="236">
        <v>143.63370710000001</v>
      </c>
      <c r="P78" s="236">
        <v>141.39257649999999</v>
      </c>
      <c r="Q78" s="236">
        <v>141.6792002</v>
      </c>
      <c r="R78" s="236">
        <v>142.86362890000001</v>
      </c>
      <c r="S78" s="236">
        <v>140.69234829999999</v>
      </c>
      <c r="T78" s="236">
        <v>143.4270483</v>
      </c>
      <c r="U78" s="236">
        <v>141.2814683</v>
      </c>
      <c r="V78" s="236">
        <v>141.8024083</v>
      </c>
      <c r="W78" s="254">
        <v>140.69234829999999</v>
      </c>
    </row>
    <row r="79" spans="2:23" x14ac:dyDescent="0.2">
      <c r="B79" s="235" t="s">
        <v>1683</v>
      </c>
      <c r="C79" s="236"/>
      <c r="D79" s="236">
        <v>0</v>
      </c>
      <c r="E79" s="236">
        <v>458.87262729999998</v>
      </c>
      <c r="F79" s="236">
        <v>463.9480375</v>
      </c>
      <c r="G79" s="236">
        <v>468.48973480000001</v>
      </c>
      <c r="H79" s="236">
        <v>1391.3103996</v>
      </c>
      <c r="I79" s="236">
        <v>1391.3103996</v>
      </c>
      <c r="J79" s="236">
        <v>410.1605055</v>
      </c>
      <c r="K79" s="236">
        <v>4935.1257421000009</v>
      </c>
      <c r="L79" s="236">
        <v>407.76756820000003</v>
      </c>
      <c r="M79" s="236">
        <v>404.40811020000001</v>
      </c>
      <c r="N79" s="236">
        <v>416.4990406</v>
      </c>
      <c r="O79" s="236">
        <v>413.41324150000003</v>
      </c>
      <c r="P79" s="236">
        <v>412.3154333</v>
      </c>
      <c r="Q79" s="236">
        <v>411.2818327</v>
      </c>
      <c r="R79" s="236">
        <v>409.42014339999997</v>
      </c>
      <c r="S79" s="236">
        <v>412.35160819999999</v>
      </c>
      <c r="T79" s="236">
        <v>420.1505348</v>
      </c>
      <c r="U79" s="236">
        <v>413.11055900000002</v>
      </c>
      <c r="V79" s="236">
        <v>404.24716469999998</v>
      </c>
      <c r="W79" s="254">
        <v>410.1605055</v>
      </c>
    </row>
    <row r="80" spans="2:23" x14ac:dyDescent="0.2">
      <c r="B80" s="235" t="s">
        <v>1684</v>
      </c>
      <c r="C80" s="236"/>
      <c r="D80" s="236">
        <v>0</v>
      </c>
      <c r="E80" s="236">
        <v>-132.06366360000001</v>
      </c>
      <c r="F80" s="236">
        <v>-132.06366360000001</v>
      </c>
      <c r="G80" s="236">
        <v>-132.06366360000001</v>
      </c>
      <c r="H80" s="236">
        <v>-396.19099080000001</v>
      </c>
      <c r="I80" s="236">
        <v>-396.19099080000001</v>
      </c>
      <c r="J80" s="237">
        <v>-89.1299815</v>
      </c>
      <c r="K80" s="236">
        <v>-1040.4002913000002</v>
      </c>
      <c r="L80" s="236">
        <v>-83.147017500000004</v>
      </c>
      <c r="M80" s="236">
        <v>-83.392987500000004</v>
      </c>
      <c r="N80" s="236">
        <v>-82.655077500000004</v>
      </c>
      <c r="O80" s="236">
        <v>-83.649206300000003</v>
      </c>
      <c r="P80" s="236">
        <v>-84.141146300000003</v>
      </c>
      <c r="Q80" s="236">
        <v>-85.493981300000002</v>
      </c>
      <c r="R80" s="236">
        <v>-89.138436799999994</v>
      </c>
      <c r="S80" s="236">
        <v>-89.712366799999998</v>
      </c>
      <c r="T80" s="236">
        <v>-90.491271800000007</v>
      </c>
      <c r="U80" s="236">
        <v>-89.375951499999999</v>
      </c>
      <c r="V80" s="236">
        <v>-90.072866500000003</v>
      </c>
      <c r="W80" s="254">
        <v>-89.1299815</v>
      </c>
    </row>
    <row r="81" spans="2:23" ht="12" thickBot="1" x14ac:dyDescent="0.25">
      <c r="B81" s="238" t="s">
        <v>1684</v>
      </c>
      <c r="C81" s="239"/>
      <c r="D81" s="239"/>
      <c r="E81" s="239">
        <v>132.06366360000001</v>
      </c>
      <c r="F81" s="239">
        <v>132.06366360000001</v>
      </c>
      <c r="G81" s="239">
        <v>132.06366360000001</v>
      </c>
      <c r="H81" s="239">
        <v>396.19099080000001</v>
      </c>
      <c r="I81" s="239">
        <v>396.19099080000001</v>
      </c>
      <c r="J81" s="240">
        <v>89.1299815</v>
      </c>
      <c r="K81" s="239">
        <v>1040.4002913000002</v>
      </c>
      <c r="L81" s="239">
        <v>83.147017500000004</v>
      </c>
      <c r="M81" s="239">
        <v>83.392987500000004</v>
      </c>
      <c r="N81" s="239">
        <v>82.655077500000004</v>
      </c>
      <c r="O81" s="239">
        <v>83.649206300000003</v>
      </c>
      <c r="P81" s="239">
        <v>84.141146300000003</v>
      </c>
      <c r="Q81" s="239">
        <v>85.493981300000002</v>
      </c>
      <c r="R81" s="239">
        <v>89.138436799999994</v>
      </c>
      <c r="S81" s="239">
        <v>89.712366799999998</v>
      </c>
      <c r="T81" s="239">
        <v>90.491271800000007</v>
      </c>
      <c r="U81" s="239">
        <v>89.375951499999999</v>
      </c>
      <c r="V81" s="239">
        <v>90.072866500000003</v>
      </c>
      <c r="W81" s="255">
        <v>89.1299815</v>
      </c>
    </row>
    <row r="82" spans="2:23" x14ac:dyDescent="0.2">
      <c r="B82" s="241"/>
      <c r="C82" s="242"/>
      <c r="D82" s="242"/>
      <c r="E82" s="242"/>
      <c r="F82" s="242"/>
      <c r="G82" s="242"/>
      <c r="H82" s="242"/>
      <c r="I82" s="242"/>
      <c r="J82" s="242"/>
      <c r="K82" s="242"/>
      <c r="L82" s="242"/>
      <c r="M82" s="242"/>
      <c r="N82" s="242"/>
      <c r="O82" s="242"/>
      <c r="P82" s="242"/>
      <c r="Q82" s="242"/>
      <c r="R82" s="242"/>
      <c r="S82" s="242"/>
      <c r="T82" s="242"/>
      <c r="U82" s="242"/>
      <c r="V82" s="242"/>
      <c r="W82" s="242"/>
    </row>
    <row r="83" spans="2:23" ht="12" thickBot="1" x14ac:dyDescent="0.25">
      <c r="B83" s="243"/>
      <c r="C83" s="244"/>
      <c r="D83" s="244"/>
      <c r="E83" s="245"/>
      <c r="F83" s="245"/>
      <c r="G83" s="245"/>
      <c r="H83" s="244"/>
      <c r="I83" s="244"/>
      <c r="J83" s="245"/>
      <c r="K83" s="244"/>
      <c r="L83" s="244"/>
      <c r="M83" s="244"/>
      <c r="N83" s="244"/>
      <c r="O83" s="244"/>
      <c r="P83" s="244"/>
      <c r="Q83" s="244"/>
      <c r="R83" s="244"/>
      <c r="S83" s="244"/>
      <c r="T83" s="244"/>
      <c r="U83" s="244"/>
      <c r="V83" s="244"/>
      <c r="W83" s="244"/>
    </row>
    <row r="84" spans="2:23" ht="23.25" thickBot="1" x14ac:dyDescent="0.25">
      <c r="B84" s="278" t="s">
        <v>1946</v>
      </c>
      <c r="C84" s="279"/>
      <c r="D84" s="144" t="s">
        <v>1918</v>
      </c>
      <c r="E84" s="144" t="s">
        <v>1940</v>
      </c>
      <c r="F84" s="144" t="s">
        <v>1941</v>
      </c>
      <c r="G84" s="144" t="s">
        <v>1923</v>
      </c>
      <c r="H84" s="144" t="s">
        <v>1922</v>
      </c>
      <c r="I84" s="144" t="s">
        <v>1948</v>
      </c>
      <c r="J84" s="144" t="s">
        <v>1915</v>
      </c>
      <c r="K84" s="144" t="s">
        <v>1916</v>
      </c>
      <c r="L84" s="144" t="s">
        <v>1924</v>
      </c>
      <c r="M84" s="144" t="s">
        <v>1925</v>
      </c>
      <c r="N84" s="144" t="s">
        <v>1926</v>
      </c>
      <c r="O84" s="144" t="s">
        <v>1927</v>
      </c>
      <c r="P84" s="144" t="s">
        <v>1928</v>
      </c>
      <c r="Q84" s="144" t="s">
        <v>1929</v>
      </c>
      <c r="R84" s="144" t="s">
        <v>1930</v>
      </c>
      <c r="S84" s="144" t="s">
        <v>1931</v>
      </c>
      <c r="T84" s="144" t="s">
        <v>1932</v>
      </c>
      <c r="U84" s="144" t="s">
        <v>1933</v>
      </c>
      <c r="V84" s="144" t="s">
        <v>1934</v>
      </c>
      <c r="W84" s="145" t="s">
        <v>1935</v>
      </c>
    </row>
    <row r="85" spans="2:23" ht="12" thickBot="1" x14ac:dyDescent="0.25">
      <c r="B85" s="247" t="s">
        <v>1986</v>
      </c>
      <c r="C85" s="248"/>
      <c r="D85" s="248"/>
      <c r="E85" s="248">
        <v>376</v>
      </c>
      <c r="F85" s="248">
        <v>376</v>
      </c>
      <c r="G85" s="248">
        <v>376</v>
      </c>
      <c r="H85" s="248">
        <v>376</v>
      </c>
      <c r="I85" s="248">
        <v>376</v>
      </c>
      <c r="J85" s="248">
        <v>349</v>
      </c>
      <c r="K85" s="248">
        <v>349</v>
      </c>
      <c r="L85" s="248">
        <v>349</v>
      </c>
      <c r="M85" s="248">
        <v>349</v>
      </c>
      <c r="N85" s="248">
        <v>349</v>
      </c>
      <c r="O85" s="248">
        <v>349</v>
      </c>
      <c r="P85" s="248">
        <v>349</v>
      </c>
      <c r="Q85" s="248">
        <v>349</v>
      </c>
      <c r="R85" s="248">
        <v>349</v>
      </c>
      <c r="S85" s="248">
        <v>349</v>
      </c>
      <c r="T85" s="248">
        <v>349</v>
      </c>
      <c r="U85" s="248">
        <v>349</v>
      </c>
      <c r="V85" s="248">
        <v>349</v>
      </c>
      <c r="W85" s="248">
        <v>349</v>
      </c>
    </row>
    <row r="86" spans="2:23" x14ac:dyDescent="0.2"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</row>
    <row r="87" spans="2:23" x14ac:dyDescent="0.2"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</row>
    <row r="88" spans="2:23" x14ac:dyDescent="0.2"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</row>
    <row r="89" spans="2:23" x14ac:dyDescent="0.2">
      <c r="B89" s="221"/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</row>
    <row r="90" spans="2:23" x14ac:dyDescent="0.2">
      <c r="B90" s="221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  <c r="V90" s="221"/>
      <c r="W90" s="221"/>
    </row>
    <row r="91" spans="2:23" x14ac:dyDescent="0.2"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</row>
    <row r="92" spans="2:23" x14ac:dyDescent="0.2"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</row>
    <row r="93" spans="2:23" x14ac:dyDescent="0.2">
      <c r="B93" s="221"/>
      <c r="C93" s="221"/>
      <c r="D93" s="246"/>
      <c r="E93" s="246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</row>
    <row r="94" spans="2:23" x14ac:dyDescent="0.2">
      <c r="B94" s="221"/>
      <c r="C94" s="221"/>
      <c r="D94" s="246"/>
      <c r="E94" s="246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</row>
    <row r="95" spans="2:23" x14ac:dyDescent="0.2">
      <c r="B95" s="221"/>
      <c r="C95" s="221"/>
      <c r="D95" s="246"/>
      <c r="E95" s="246"/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</row>
    <row r="96" spans="2:23" x14ac:dyDescent="0.2">
      <c r="B96" s="221"/>
      <c r="C96" s="221"/>
      <c r="D96" s="246"/>
      <c r="E96" s="246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</row>
    <row r="97" spans="2:23" x14ac:dyDescent="0.2">
      <c r="B97" s="221"/>
      <c r="C97" s="221"/>
      <c r="D97" s="246"/>
      <c r="E97" s="246"/>
      <c r="F97" s="221"/>
      <c r="G97" s="221"/>
      <c r="H97" s="221"/>
      <c r="I97" s="221"/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</row>
    <row r="98" spans="2:23" x14ac:dyDescent="0.2">
      <c r="B98" s="221"/>
      <c r="C98" s="221"/>
      <c r="D98" s="246"/>
      <c r="E98" s="246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</row>
    <row r="99" spans="2:23" x14ac:dyDescent="0.2">
      <c r="B99" s="221"/>
      <c r="C99" s="221"/>
      <c r="D99" s="246"/>
      <c r="E99" s="246"/>
      <c r="F99" s="221"/>
      <c r="G99" s="221"/>
      <c r="H99" s="221"/>
      <c r="I99" s="221"/>
      <c r="J99" s="221"/>
      <c r="K99" s="221"/>
      <c r="L99" s="221"/>
      <c r="M99" s="221"/>
      <c r="N99" s="221"/>
      <c r="O99" s="221"/>
      <c r="P99" s="221"/>
      <c r="Q99" s="221"/>
      <c r="R99" s="221"/>
      <c r="S99" s="221"/>
      <c r="T99" s="221"/>
      <c r="U99" s="221"/>
      <c r="V99" s="221"/>
      <c r="W99" s="221"/>
    </row>
    <row r="100" spans="2:23" x14ac:dyDescent="0.2">
      <c r="B100" s="221"/>
      <c r="C100" s="221"/>
      <c r="D100" s="246"/>
      <c r="E100" s="246"/>
      <c r="F100" s="221"/>
      <c r="G100" s="221"/>
      <c r="H100" s="221"/>
      <c r="I100" s="221"/>
      <c r="J100" s="221"/>
      <c r="K100" s="221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</row>
    <row r="101" spans="2:23" x14ac:dyDescent="0.2">
      <c r="B101" s="221"/>
      <c r="C101" s="221"/>
      <c r="D101" s="246"/>
      <c r="E101" s="246"/>
      <c r="F101" s="221"/>
      <c r="G101" s="221"/>
      <c r="H101" s="221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</row>
    <row r="102" spans="2:23" x14ac:dyDescent="0.2">
      <c r="B102" s="221"/>
      <c r="C102" s="221"/>
      <c r="D102" s="246"/>
      <c r="E102" s="246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</row>
    <row r="103" spans="2:23" x14ac:dyDescent="0.2">
      <c r="B103" s="221"/>
      <c r="C103" s="221"/>
      <c r="D103" s="246"/>
      <c r="E103" s="246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</row>
    <row r="104" spans="2:23" x14ac:dyDescent="0.2">
      <c r="B104" s="221"/>
      <c r="C104" s="221"/>
      <c r="D104" s="246"/>
      <c r="E104" s="246"/>
      <c r="F104" s="221"/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</row>
    <row r="105" spans="2:23" x14ac:dyDescent="0.2">
      <c r="B105" s="221"/>
      <c r="C105" s="221"/>
      <c r="D105" s="246"/>
      <c r="E105" s="246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1"/>
      <c r="V105" s="221"/>
      <c r="W105" s="221"/>
    </row>
    <row r="106" spans="2:23" x14ac:dyDescent="0.2">
      <c r="B106" s="221"/>
      <c r="C106" s="221"/>
      <c r="D106" s="246"/>
      <c r="E106" s="246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</row>
    <row r="107" spans="2:23" x14ac:dyDescent="0.2">
      <c r="B107" s="221"/>
      <c r="C107" s="221"/>
      <c r="D107" s="246"/>
      <c r="E107" s="246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</row>
  </sheetData>
  <mergeCells count="6">
    <mergeCell ref="L2:W2"/>
    <mergeCell ref="B84:C84"/>
    <mergeCell ref="B2:C3"/>
    <mergeCell ref="D2:I2"/>
    <mergeCell ref="J2:J3"/>
    <mergeCell ref="K2:K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0FC5-C529-4AD0-9130-BC6DD76CDE50}">
  <dimension ref="B1:W63"/>
  <sheetViews>
    <sheetView showGridLines="0" topLeftCell="A38" workbookViewId="0">
      <selection activeCell="Z10" sqref="Z10"/>
    </sheetView>
  </sheetViews>
  <sheetFormatPr defaultColWidth="8.7109375" defaultRowHeight="11.25" x14ac:dyDescent="0.2"/>
  <cols>
    <col min="1" max="1" width="3" style="3" customWidth="1"/>
    <col min="2" max="2" width="31.5703125" style="3" bestFit="1" customWidth="1"/>
    <col min="3" max="3" width="1" style="3" customWidth="1"/>
    <col min="4" max="4" width="5.5703125" style="3" hidden="1" customWidth="1"/>
    <col min="5" max="5" width="6.140625" style="3" hidden="1" customWidth="1"/>
    <col min="6" max="6" width="6.42578125" style="3" hidden="1" customWidth="1"/>
    <col min="7" max="7" width="6.140625" style="3" hidden="1" customWidth="1"/>
    <col min="8" max="8" width="6.28515625" style="3" hidden="1" customWidth="1"/>
    <col min="9" max="10" width="5.5703125" style="3" hidden="1" customWidth="1"/>
    <col min="11" max="11" width="8.42578125" style="3" bestFit="1" customWidth="1"/>
    <col min="12" max="23" width="5.5703125" style="3" bestFit="1" customWidth="1"/>
    <col min="24" max="16384" width="8.7109375" style="3"/>
  </cols>
  <sheetData>
    <row r="1" spans="2:23" ht="12" thickBot="1" x14ac:dyDescent="0.25"/>
    <row r="2" spans="2:23" x14ac:dyDescent="0.2">
      <c r="B2" s="263" t="s">
        <v>1643</v>
      </c>
      <c r="C2" s="259"/>
      <c r="D2" s="259">
        <v>2025</v>
      </c>
      <c r="E2" s="259"/>
      <c r="F2" s="259"/>
      <c r="G2" s="259"/>
      <c r="H2" s="259"/>
      <c r="I2" s="259"/>
      <c r="J2" s="259" t="s">
        <v>1915</v>
      </c>
      <c r="K2" s="259" t="s">
        <v>1916</v>
      </c>
      <c r="L2" s="259" t="s">
        <v>1917</v>
      </c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60"/>
    </row>
    <row r="3" spans="2:23" ht="45.75" thickBot="1" x14ac:dyDescent="0.25">
      <c r="B3" s="265"/>
      <c r="C3" s="266"/>
      <c r="D3" s="144" t="s">
        <v>1918</v>
      </c>
      <c r="E3" s="144" t="s">
        <v>1919</v>
      </c>
      <c r="F3" s="144" t="s">
        <v>1920</v>
      </c>
      <c r="G3" s="144" t="s">
        <v>1921</v>
      </c>
      <c r="H3" s="144" t="s">
        <v>1922</v>
      </c>
      <c r="I3" s="144" t="s">
        <v>1936</v>
      </c>
      <c r="J3" s="266"/>
      <c r="K3" s="266"/>
      <c r="L3" s="144" t="s">
        <v>1924</v>
      </c>
      <c r="M3" s="144" t="s">
        <v>1925</v>
      </c>
      <c r="N3" s="144" t="s">
        <v>1926</v>
      </c>
      <c r="O3" s="144" t="s">
        <v>1927</v>
      </c>
      <c r="P3" s="144" t="s">
        <v>1928</v>
      </c>
      <c r="Q3" s="144" t="s">
        <v>1929</v>
      </c>
      <c r="R3" s="144" t="s">
        <v>1930</v>
      </c>
      <c r="S3" s="144" t="s">
        <v>1931</v>
      </c>
      <c r="T3" s="144" t="s">
        <v>1932</v>
      </c>
      <c r="U3" s="144" t="s">
        <v>1933</v>
      </c>
      <c r="V3" s="144" t="s">
        <v>1934</v>
      </c>
      <c r="W3" s="145" t="s">
        <v>1935</v>
      </c>
    </row>
    <row r="4" spans="2:23" x14ac:dyDescent="0.2">
      <c r="B4" s="99" t="s">
        <v>1987</v>
      </c>
      <c r="C4" s="96"/>
      <c r="D4" s="96"/>
      <c r="E4" s="96">
        <v>2.5212184</v>
      </c>
      <c r="F4" s="96">
        <v>4.5419771999999998</v>
      </c>
      <c r="G4" s="96">
        <v>3.4520545999999999</v>
      </c>
      <c r="H4" s="96">
        <v>10.515250200000001</v>
      </c>
      <c r="I4" s="96">
        <v>10.515250200000001</v>
      </c>
      <c r="J4" s="96"/>
      <c r="K4" s="96">
        <v>17.551619299999999</v>
      </c>
      <c r="L4" s="96">
        <v>1.2425439</v>
      </c>
      <c r="M4" s="96">
        <v>0.60611559999999998</v>
      </c>
      <c r="N4" s="96"/>
      <c r="O4" s="96">
        <v>0.60611559999999998</v>
      </c>
      <c r="P4" s="96">
        <v>1.2319329999999999</v>
      </c>
      <c r="Q4" s="96"/>
      <c r="R4" s="96">
        <v>0.98494029999999999</v>
      </c>
      <c r="S4" s="96">
        <v>12.8799709</v>
      </c>
      <c r="T4" s="96"/>
      <c r="U4" s="96"/>
      <c r="V4" s="96"/>
      <c r="W4" s="189"/>
    </row>
    <row r="5" spans="2:23" x14ac:dyDescent="0.2">
      <c r="B5" s="99" t="s">
        <v>1988</v>
      </c>
      <c r="C5" s="96"/>
      <c r="D5" s="96"/>
      <c r="E5" s="96"/>
      <c r="F5" s="96"/>
      <c r="G5" s="96"/>
      <c r="H5" s="96">
        <v>0</v>
      </c>
      <c r="I5" s="96">
        <v>0</v>
      </c>
      <c r="J5" s="96"/>
      <c r="K5" s="96">
        <v>0</v>
      </c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189"/>
    </row>
    <row r="6" spans="2:23" x14ac:dyDescent="0.2">
      <c r="B6" s="99" t="s">
        <v>1989</v>
      </c>
      <c r="C6" s="96"/>
      <c r="D6" s="96"/>
      <c r="E6" s="96"/>
      <c r="F6" s="96"/>
      <c r="G6" s="96"/>
      <c r="H6" s="96">
        <v>0</v>
      </c>
      <c r="I6" s="96">
        <v>0</v>
      </c>
      <c r="J6" s="96"/>
      <c r="K6" s="96">
        <v>0</v>
      </c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189"/>
    </row>
    <row r="7" spans="2:23" x14ac:dyDescent="0.2">
      <c r="B7" s="99" t="s">
        <v>1990</v>
      </c>
      <c r="C7" s="96"/>
      <c r="D7" s="96"/>
      <c r="E7" s="96"/>
      <c r="F7" s="96"/>
      <c r="G7" s="96"/>
      <c r="H7" s="96">
        <v>0</v>
      </c>
      <c r="I7" s="96">
        <v>0</v>
      </c>
      <c r="J7" s="96"/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189">
        <v>0</v>
      </c>
    </row>
    <row r="8" spans="2:23" x14ac:dyDescent="0.2">
      <c r="B8" s="99" t="s">
        <v>1991</v>
      </c>
      <c r="C8" s="96"/>
      <c r="D8" s="96"/>
      <c r="E8" s="96"/>
      <c r="F8" s="96"/>
      <c r="G8" s="96"/>
      <c r="H8" s="96">
        <v>0</v>
      </c>
      <c r="I8" s="96">
        <v>0</v>
      </c>
      <c r="J8" s="96"/>
      <c r="K8" s="96">
        <v>0</v>
      </c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189"/>
    </row>
    <row r="9" spans="2:23" x14ac:dyDescent="0.2">
      <c r="B9" s="102" t="s">
        <v>1992</v>
      </c>
      <c r="C9" s="147"/>
      <c r="D9" s="147">
        <v>0</v>
      </c>
      <c r="E9" s="147">
        <v>2.5212184</v>
      </c>
      <c r="F9" s="147">
        <v>4.5419771999999998</v>
      </c>
      <c r="G9" s="147">
        <v>3.4520545999999999</v>
      </c>
      <c r="H9" s="147">
        <v>10.515250200000001</v>
      </c>
      <c r="I9" s="147">
        <v>10.515250200000001</v>
      </c>
      <c r="J9" s="147">
        <v>0</v>
      </c>
      <c r="K9" s="147">
        <v>17.551619299999999</v>
      </c>
      <c r="L9" s="147">
        <v>1.2425439</v>
      </c>
      <c r="M9" s="147">
        <v>0.60611559999999998</v>
      </c>
      <c r="N9" s="147">
        <v>0</v>
      </c>
      <c r="O9" s="147">
        <v>0.60611559999999998</v>
      </c>
      <c r="P9" s="147">
        <v>1.2319329999999999</v>
      </c>
      <c r="Q9" s="147">
        <v>0</v>
      </c>
      <c r="R9" s="147">
        <v>0.98494029999999999</v>
      </c>
      <c r="S9" s="147">
        <v>12.8799709</v>
      </c>
      <c r="T9" s="147">
        <v>0</v>
      </c>
      <c r="U9" s="147">
        <v>0</v>
      </c>
      <c r="V9" s="147">
        <v>0</v>
      </c>
      <c r="W9" s="256">
        <v>0</v>
      </c>
    </row>
    <row r="10" spans="2:23" x14ac:dyDescent="0.2">
      <c r="B10" s="99" t="s">
        <v>1993</v>
      </c>
      <c r="C10" s="96"/>
      <c r="D10" s="96"/>
      <c r="E10" s="96"/>
      <c r="F10" s="96"/>
      <c r="G10" s="96"/>
      <c r="H10" s="96">
        <v>0</v>
      </c>
      <c r="I10" s="96">
        <v>0</v>
      </c>
      <c r="J10" s="96">
        <v>9.7530099999999995E-2</v>
      </c>
      <c r="K10" s="96">
        <v>1.1703611999999997</v>
      </c>
      <c r="L10" s="96">
        <v>9.7530099999999995E-2</v>
      </c>
      <c r="M10" s="96">
        <v>9.7530099999999995E-2</v>
      </c>
      <c r="N10" s="96">
        <v>9.7530099999999995E-2</v>
      </c>
      <c r="O10" s="96">
        <v>9.7530099999999995E-2</v>
      </c>
      <c r="P10" s="96">
        <v>9.7530099999999995E-2</v>
      </c>
      <c r="Q10" s="96">
        <v>9.7530099999999995E-2</v>
      </c>
      <c r="R10" s="96">
        <v>9.7530099999999995E-2</v>
      </c>
      <c r="S10" s="96">
        <v>9.7530099999999995E-2</v>
      </c>
      <c r="T10" s="96">
        <v>9.7530099999999995E-2</v>
      </c>
      <c r="U10" s="96">
        <v>9.7530099999999995E-2</v>
      </c>
      <c r="V10" s="96">
        <v>9.7530099999999995E-2</v>
      </c>
      <c r="W10" s="189">
        <v>9.7530099999999995E-2</v>
      </c>
    </row>
    <row r="11" spans="2:23" x14ac:dyDescent="0.2">
      <c r="B11" s="99" t="s">
        <v>1994</v>
      </c>
      <c r="C11" s="96"/>
      <c r="D11" s="96"/>
      <c r="E11" s="96"/>
      <c r="F11" s="96"/>
      <c r="G11" s="96"/>
      <c r="H11" s="96">
        <v>0</v>
      </c>
      <c r="I11" s="96">
        <v>0</v>
      </c>
      <c r="J11" s="96">
        <v>0.97524270000000002</v>
      </c>
      <c r="K11" s="96">
        <v>11.702912400000002</v>
      </c>
      <c r="L11" s="96">
        <v>0.97524270000000002</v>
      </c>
      <c r="M11" s="96">
        <v>0.97524270000000002</v>
      </c>
      <c r="N11" s="96">
        <v>0.97524270000000002</v>
      </c>
      <c r="O11" s="96">
        <v>0.97524270000000002</v>
      </c>
      <c r="P11" s="96">
        <v>0.97524270000000002</v>
      </c>
      <c r="Q11" s="96">
        <v>0.97524270000000002</v>
      </c>
      <c r="R11" s="96">
        <v>0.97524270000000002</v>
      </c>
      <c r="S11" s="96">
        <v>0.97524270000000002</v>
      </c>
      <c r="T11" s="96">
        <v>0.97524270000000002</v>
      </c>
      <c r="U11" s="96">
        <v>0.97524270000000002</v>
      </c>
      <c r="V11" s="96">
        <v>0.97524270000000002</v>
      </c>
      <c r="W11" s="189">
        <v>0.97524270000000002</v>
      </c>
    </row>
    <row r="12" spans="2:23" x14ac:dyDescent="0.2">
      <c r="B12" s="99" t="s">
        <v>1995</v>
      </c>
      <c r="C12" s="96"/>
      <c r="D12" s="96"/>
      <c r="E12" s="96">
        <v>5.1125426000000003</v>
      </c>
      <c r="F12" s="96">
        <v>7.3559897999999997</v>
      </c>
      <c r="G12" s="96">
        <v>6.3014302999999998</v>
      </c>
      <c r="H12" s="96">
        <v>18.769962700000001</v>
      </c>
      <c r="I12" s="96">
        <v>18.769962700000001</v>
      </c>
      <c r="J12" s="96">
        <v>3.9504481</v>
      </c>
      <c r="K12" s="96">
        <v>47.405377200000004</v>
      </c>
      <c r="L12" s="96">
        <v>3.9504481</v>
      </c>
      <c r="M12" s="96">
        <v>3.9504481</v>
      </c>
      <c r="N12" s="96">
        <v>3.9504481</v>
      </c>
      <c r="O12" s="96">
        <v>3.9504481</v>
      </c>
      <c r="P12" s="96">
        <v>3.9504481</v>
      </c>
      <c r="Q12" s="96">
        <v>3.9504481</v>
      </c>
      <c r="R12" s="96">
        <v>3.9504481</v>
      </c>
      <c r="S12" s="96">
        <v>3.9504481</v>
      </c>
      <c r="T12" s="96">
        <v>3.9504481</v>
      </c>
      <c r="U12" s="96">
        <v>3.9504481</v>
      </c>
      <c r="V12" s="96">
        <v>3.9504481</v>
      </c>
      <c r="W12" s="189">
        <v>3.9504481</v>
      </c>
    </row>
    <row r="13" spans="2:23" x14ac:dyDescent="0.2">
      <c r="B13" s="99" t="s">
        <v>1991</v>
      </c>
      <c r="C13" s="96"/>
      <c r="D13" s="96"/>
      <c r="E13" s="96"/>
      <c r="F13" s="96"/>
      <c r="G13" s="96"/>
      <c r="H13" s="96">
        <v>0</v>
      </c>
      <c r="I13" s="96">
        <v>0</v>
      </c>
      <c r="J13" s="96"/>
      <c r="K13" s="96">
        <v>0</v>
      </c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189"/>
    </row>
    <row r="14" spans="2:23" x14ac:dyDescent="0.2">
      <c r="B14" s="102" t="s">
        <v>1996</v>
      </c>
      <c r="C14" s="147"/>
      <c r="D14" s="147">
        <v>0</v>
      </c>
      <c r="E14" s="147">
        <v>5.1125426000000003</v>
      </c>
      <c r="F14" s="147">
        <v>7.3559897999999997</v>
      </c>
      <c r="G14" s="147">
        <v>6.3014302999999998</v>
      </c>
      <c r="H14" s="147">
        <v>18.769962700000001</v>
      </c>
      <c r="I14" s="147">
        <v>18.769962700000001</v>
      </c>
      <c r="J14" s="147">
        <v>5.0232209000000001</v>
      </c>
      <c r="K14" s="147">
        <v>60.278650799999987</v>
      </c>
      <c r="L14" s="147">
        <v>5.0232209000000001</v>
      </c>
      <c r="M14" s="147">
        <v>5.0232209000000001</v>
      </c>
      <c r="N14" s="147">
        <v>5.0232209000000001</v>
      </c>
      <c r="O14" s="147">
        <v>5.0232209000000001</v>
      </c>
      <c r="P14" s="147">
        <v>5.0232209000000001</v>
      </c>
      <c r="Q14" s="147">
        <v>5.0232209000000001</v>
      </c>
      <c r="R14" s="147">
        <v>5.0232209000000001</v>
      </c>
      <c r="S14" s="147">
        <v>5.0232209000000001</v>
      </c>
      <c r="T14" s="147">
        <v>5.0232209000000001</v>
      </c>
      <c r="U14" s="147">
        <v>5.0232209000000001</v>
      </c>
      <c r="V14" s="147">
        <v>5.0232209000000001</v>
      </c>
      <c r="W14" s="256">
        <v>5.0232209000000001</v>
      </c>
    </row>
    <row r="15" spans="2:23" x14ac:dyDescent="0.2">
      <c r="B15" s="99" t="s">
        <v>1997</v>
      </c>
      <c r="C15" s="96"/>
      <c r="D15" s="96"/>
      <c r="E15" s="96">
        <v>3.0787526999999999</v>
      </c>
      <c r="F15" s="96">
        <v>6.2411991999999996</v>
      </c>
      <c r="G15" s="96">
        <v>5.5375170000000002</v>
      </c>
      <c r="H15" s="96">
        <v>14.857468900000001</v>
      </c>
      <c r="I15" s="96">
        <v>14.857468900000001</v>
      </c>
      <c r="J15" s="96">
        <v>2.4511574999999999</v>
      </c>
      <c r="K15" s="96">
        <v>29.413890000000006</v>
      </c>
      <c r="L15" s="96">
        <v>2.4511574999999999</v>
      </c>
      <c r="M15" s="96">
        <v>2.4511574999999999</v>
      </c>
      <c r="N15" s="96">
        <v>2.4511574999999999</v>
      </c>
      <c r="O15" s="96">
        <v>2.4511574999999999</v>
      </c>
      <c r="P15" s="96">
        <v>2.4511574999999999</v>
      </c>
      <c r="Q15" s="96">
        <v>2.4511574999999999</v>
      </c>
      <c r="R15" s="96">
        <v>2.4511574999999999</v>
      </c>
      <c r="S15" s="96">
        <v>2.4511574999999999</v>
      </c>
      <c r="T15" s="96">
        <v>2.4511574999999999</v>
      </c>
      <c r="U15" s="96">
        <v>2.4511574999999999</v>
      </c>
      <c r="V15" s="96">
        <v>2.4511574999999999</v>
      </c>
      <c r="W15" s="189">
        <v>2.4511574999999999</v>
      </c>
    </row>
    <row r="16" spans="2:23" x14ac:dyDescent="0.2">
      <c r="B16" s="99" t="s">
        <v>1998</v>
      </c>
      <c r="C16" s="96"/>
      <c r="D16" s="96"/>
      <c r="E16" s="96"/>
      <c r="F16" s="96"/>
      <c r="G16" s="96"/>
      <c r="H16" s="96">
        <v>0</v>
      </c>
      <c r="I16" s="96">
        <v>0</v>
      </c>
      <c r="J16" s="96"/>
      <c r="K16" s="96">
        <v>0</v>
      </c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189"/>
    </row>
    <row r="17" spans="2:23" x14ac:dyDescent="0.2">
      <c r="B17" s="99" t="s">
        <v>1999</v>
      </c>
      <c r="C17" s="96"/>
      <c r="D17" s="96"/>
      <c r="E17" s="96"/>
      <c r="F17" s="96"/>
      <c r="G17" s="96"/>
      <c r="H17" s="96">
        <v>0</v>
      </c>
      <c r="I17" s="96">
        <v>0</v>
      </c>
      <c r="J17" s="96"/>
      <c r="K17" s="96">
        <v>0</v>
      </c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189"/>
    </row>
    <row r="18" spans="2:23" x14ac:dyDescent="0.2">
      <c r="B18" s="99" t="s">
        <v>1995</v>
      </c>
      <c r="C18" s="96"/>
      <c r="D18" s="96"/>
      <c r="E18" s="96"/>
      <c r="F18" s="96"/>
      <c r="G18" s="96"/>
      <c r="H18" s="96">
        <v>0</v>
      </c>
      <c r="I18" s="96">
        <v>0</v>
      </c>
      <c r="J18" s="96"/>
      <c r="K18" s="96">
        <v>0</v>
      </c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189"/>
    </row>
    <row r="19" spans="2:23" x14ac:dyDescent="0.2">
      <c r="B19" s="99" t="s">
        <v>2000</v>
      </c>
      <c r="C19" s="96"/>
      <c r="D19" s="96"/>
      <c r="E19" s="96">
        <v>5.5151526999999998</v>
      </c>
      <c r="F19" s="96">
        <v>3.6949798999999999</v>
      </c>
      <c r="G19" s="96">
        <v>5.9160082999999997</v>
      </c>
      <c r="H19" s="96">
        <v>15.126140899999999</v>
      </c>
      <c r="I19" s="96">
        <v>15.126140899999999</v>
      </c>
      <c r="J19" s="96">
        <v>5.3081408000000003</v>
      </c>
      <c r="K19" s="96">
        <v>63.697689600000018</v>
      </c>
      <c r="L19" s="96">
        <v>5.3081408000000003</v>
      </c>
      <c r="M19" s="96">
        <v>5.3081408000000003</v>
      </c>
      <c r="N19" s="96">
        <v>5.3081408000000003</v>
      </c>
      <c r="O19" s="96">
        <v>5.3081408000000003</v>
      </c>
      <c r="P19" s="96">
        <v>5.3081408000000003</v>
      </c>
      <c r="Q19" s="96">
        <v>5.3081408000000003</v>
      </c>
      <c r="R19" s="96">
        <v>5.3081408000000003</v>
      </c>
      <c r="S19" s="96">
        <v>5.3081408000000003</v>
      </c>
      <c r="T19" s="96">
        <v>5.3081408000000003</v>
      </c>
      <c r="U19" s="96">
        <v>5.3081408000000003</v>
      </c>
      <c r="V19" s="96">
        <v>5.3081408000000003</v>
      </c>
      <c r="W19" s="189">
        <v>5.3081408000000003</v>
      </c>
    </row>
    <row r="20" spans="2:23" x14ac:dyDescent="0.2">
      <c r="B20" s="99" t="s">
        <v>2001</v>
      </c>
      <c r="C20" s="96"/>
      <c r="D20" s="96"/>
      <c r="E20" s="96"/>
      <c r="F20" s="96"/>
      <c r="G20" s="96"/>
      <c r="H20" s="96">
        <v>0</v>
      </c>
      <c r="I20" s="96">
        <v>0</v>
      </c>
      <c r="J20" s="96"/>
      <c r="K20" s="96">
        <v>0</v>
      </c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189"/>
    </row>
    <row r="21" spans="2:23" x14ac:dyDescent="0.2">
      <c r="B21" s="99" t="s">
        <v>2002</v>
      </c>
      <c r="C21" s="96"/>
      <c r="D21" s="96"/>
      <c r="E21" s="96"/>
      <c r="F21" s="96"/>
      <c r="G21" s="96"/>
      <c r="H21" s="96">
        <v>0</v>
      </c>
      <c r="I21" s="96">
        <v>0</v>
      </c>
      <c r="J21" s="96"/>
      <c r="K21" s="96">
        <v>0</v>
      </c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189"/>
    </row>
    <row r="22" spans="2:23" x14ac:dyDescent="0.2">
      <c r="B22" s="99" t="s">
        <v>2003</v>
      </c>
      <c r="C22" s="96"/>
      <c r="D22" s="96"/>
      <c r="E22" s="96">
        <v>2.0212400000000001</v>
      </c>
      <c r="F22" s="96">
        <v>1.07</v>
      </c>
      <c r="G22" s="96">
        <v>1.0212399999999999</v>
      </c>
      <c r="H22" s="96">
        <v>4.1124799999999997</v>
      </c>
      <c r="I22" s="96">
        <v>4.1124799999999997</v>
      </c>
      <c r="J22" s="96">
        <v>0.78049630000000003</v>
      </c>
      <c r="K22" s="96">
        <v>9.3659556000000013</v>
      </c>
      <c r="L22" s="96">
        <v>0.78049630000000003</v>
      </c>
      <c r="M22" s="96">
        <v>0.78049630000000003</v>
      </c>
      <c r="N22" s="96">
        <v>0.78049630000000003</v>
      </c>
      <c r="O22" s="96">
        <v>0.78049630000000003</v>
      </c>
      <c r="P22" s="96">
        <v>0.78049630000000003</v>
      </c>
      <c r="Q22" s="96">
        <v>0.78049630000000003</v>
      </c>
      <c r="R22" s="96">
        <v>0.78049630000000003</v>
      </c>
      <c r="S22" s="96">
        <v>0.78049630000000003</v>
      </c>
      <c r="T22" s="96">
        <v>0.78049630000000003</v>
      </c>
      <c r="U22" s="96">
        <v>0.78049630000000003</v>
      </c>
      <c r="V22" s="96">
        <v>0.78049630000000003</v>
      </c>
      <c r="W22" s="189">
        <v>0.78049630000000003</v>
      </c>
    </row>
    <row r="23" spans="2:23" x14ac:dyDescent="0.2">
      <c r="B23" s="99" t="s">
        <v>2004</v>
      </c>
      <c r="C23" s="96"/>
      <c r="D23" s="96"/>
      <c r="E23" s="96"/>
      <c r="F23" s="96"/>
      <c r="G23" s="96"/>
      <c r="H23" s="96">
        <v>0</v>
      </c>
      <c r="I23" s="96">
        <v>0</v>
      </c>
      <c r="J23" s="96"/>
      <c r="K23" s="96">
        <v>0</v>
      </c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189"/>
    </row>
    <row r="24" spans="2:23" x14ac:dyDescent="0.2">
      <c r="B24" s="99" t="s">
        <v>2005</v>
      </c>
      <c r="C24" s="96"/>
      <c r="D24" s="96"/>
      <c r="E24" s="96"/>
      <c r="F24" s="96"/>
      <c r="G24" s="96"/>
      <c r="H24" s="96">
        <v>0</v>
      </c>
      <c r="I24" s="96">
        <v>0</v>
      </c>
      <c r="J24" s="96"/>
      <c r="K24" s="96">
        <v>0</v>
      </c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189"/>
    </row>
    <row r="25" spans="2:23" x14ac:dyDescent="0.2">
      <c r="B25" s="99" t="s">
        <v>2006</v>
      </c>
      <c r="C25" s="96"/>
      <c r="D25" s="96"/>
      <c r="E25" s="96"/>
      <c r="F25" s="96"/>
      <c r="G25" s="96"/>
      <c r="H25" s="96">
        <v>0</v>
      </c>
      <c r="I25" s="96">
        <v>0</v>
      </c>
      <c r="J25" s="96"/>
      <c r="K25" s="96">
        <v>0</v>
      </c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189"/>
    </row>
    <row r="26" spans="2:23" x14ac:dyDescent="0.2">
      <c r="B26" s="99" t="s">
        <v>2007</v>
      </c>
      <c r="C26" s="96"/>
      <c r="D26" s="96"/>
      <c r="E26" s="96"/>
      <c r="F26" s="96"/>
      <c r="G26" s="96"/>
      <c r="H26" s="96">
        <v>0</v>
      </c>
      <c r="I26" s="96">
        <v>0</v>
      </c>
      <c r="J26" s="96">
        <v>1.5071665999999999</v>
      </c>
      <c r="K26" s="96">
        <v>18.0859992</v>
      </c>
      <c r="L26" s="96">
        <v>1.5071665999999999</v>
      </c>
      <c r="M26" s="96">
        <v>1.5071665999999999</v>
      </c>
      <c r="N26" s="96">
        <v>1.5071665999999999</v>
      </c>
      <c r="O26" s="96">
        <v>1.5071665999999999</v>
      </c>
      <c r="P26" s="96">
        <v>1.5071665999999999</v>
      </c>
      <c r="Q26" s="96">
        <v>1.5071665999999999</v>
      </c>
      <c r="R26" s="96">
        <v>1.5071665999999999</v>
      </c>
      <c r="S26" s="96">
        <v>1.5071665999999999</v>
      </c>
      <c r="T26" s="96">
        <v>1.5071665999999999</v>
      </c>
      <c r="U26" s="96">
        <v>1.5071665999999999</v>
      </c>
      <c r="V26" s="96">
        <v>1.5071665999999999</v>
      </c>
      <c r="W26" s="189">
        <v>1.5071665999999999</v>
      </c>
    </row>
    <row r="27" spans="2:23" x14ac:dyDescent="0.2">
      <c r="B27" s="99" t="s">
        <v>2008</v>
      </c>
      <c r="C27" s="96"/>
      <c r="D27" s="96"/>
      <c r="E27" s="96"/>
      <c r="F27" s="96"/>
      <c r="G27" s="96"/>
      <c r="H27" s="96">
        <v>0</v>
      </c>
      <c r="I27" s="96">
        <v>0</v>
      </c>
      <c r="J27" s="96"/>
      <c r="K27" s="96">
        <v>0</v>
      </c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189"/>
    </row>
    <row r="28" spans="2:23" x14ac:dyDescent="0.2">
      <c r="B28" s="99" t="s">
        <v>2009</v>
      </c>
      <c r="C28" s="96"/>
      <c r="D28" s="96"/>
      <c r="E28" s="96"/>
      <c r="F28" s="96"/>
      <c r="G28" s="96"/>
      <c r="H28" s="96">
        <v>0</v>
      </c>
      <c r="I28" s="96">
        <v>0</v>
      </c>
      <c r="J28" s="96"/>
      <c r="K28" s="96">
        <v>0</v>
      </c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189"/>
    </row>
    <row r="29" spans="2:23" x14ac:dyDescent="0.2">
      <c r="B29" s="99" t="s">
        <v>1991</v>
      </c>
      <c r="C29" s="96"/>
      <c r="D29" s="96"/>
      <c r="E29" s="96">
        <v>15.953094999999999</v>
      </c>
      <c r="F29" s="96">
        <v>7.0663985</v>
      </c>
      <c r="G29" s="96">
        <v>13.2438219</v>
      </c>
      <c r="H29" s="96">
        <v>36.263315399999996</v>
      </c>
      <c r="I29" s="96">
        <v>36.263315399999996</v>
      </c>
      <c r="J29" s="96">
        <v>3.4530417</v>
      </c>
      <c r="K29" s="96">
        <v>41.4365004</v>
      </c>
      <c r="L29" s="96">
        <v>3.4530417</v>
      </c>
      <c r="M29" s="96">
        <v>3.4530417</v>
      </c>
      <c r="N29" s="96">
        <v>3.4530417</v>
      </c>
      <c r="O29" s="96">
        <v>3.4530417</v>
      </c>
      <c r="P29" s="96">
        <v>3.4530417</v>
      </c>
      <c r="Q29" s="96">
        <v>3.4530417</v>
      </c>
      <c r="R29" s="96">
        <v>3.4530417</v>
      </c>
      <c r="S29" s="96">
        <v>3.4530417</v>
      </c>
      <c r="T29" s="96">
        <v>3.4530417</v>
      </c>
      <c r="U29" s="96">
        <v>3.4530417</v>
      </c>
      <c r="V29" s="96">
        <v>3.4530417</v>
      </c>
      <c r="W29" s="189">
        <v>3.4530417</v>
      </c>
    </row>
    <row r="30" spans="2:23" x14ac:dyDescent="0.2">
      <c r="B30" s="102" t="s">
        <v>2010</v>
      </c>
      <c r="C30" s="147"/>
      <c r="D30" s="147">
        <v>0</v>
      </c>
      <c r="E30" s="147">
        <v>26.568240400000001</v>
      </c>
      <c r="F30" s="147">
        <v>18.072577600000002</v>
      </c>
      <c r="G30" s="147">
        <v>25.718587200000002</v>
      </c>
      <c r="H30" s="147">
        <v>70.359405199999998</v>
      </c>
      <c r="I30" s="147">
        <v>70.359405199999998</v>
      </c>
      <c r="J30" s="147">
        <v>13.5000029</v>
      </c>
      <c r="K30" s="147">
        <v>162.00003480000001</v>
      </c>
      <c r="L30" s="147">
        <v>13.5000029</v>
      </c>
      <c r="M30" s="147">
        <v>13.5000029</v>
      </c>
      <c r="N30" s="147">
        <v>13.5000029</v>
      </c>
      <c r="O30" s="147">
        <v>13.5000029</v>
      </c>
      <c r="P30" s="147">
        <v>13.5000029</v>
      </c>
      <c r="Q30" s="147">
        <v>13.5000029</v>
      </c>
      <c r="R30" s="147">
        <v>13.5000029</v>
      </c>
      <c r="S30" s="147">
        <v>13.5000029</v>
      </c>
      <c r="T30" s="147">
        <v>13.5000029</v>
      </c>
      <c r="U30" s="147">
        <v>13.5000029</v>
      </c>
      <c r="V30" s="147">
        <v>13.5000029</v>
      </c>
      <c r="W30" s="256">
        <v>13.5000029</v>
      </c>
    </row>
    <row r="31" spans="2:23" x14ac:dyDescent="0.2">
      <c r="B31" s="99" t="s">
        <v>2011</v>
      </c>
      <c r="C31" s="96"/>
      <c r="D31" s="96"/>
      <c r="E31" s="96">
        <v>112.6734768</v>
      </c>
      <c r="F31" s="96">
        <v>109.0283464</v>
      </c>
      <c r="G31" s="96">
        <v>103.01781219999999</v>
      </c>
      <c r="H31" s="96">
        <v>324.71963540000002</v>
      </c>
      <c r="I31" s="96">
        <v>324.71963540000002</v>
      </c>
      <c r="J31" s="96">
        <v>132.38650910000001</v>
      </c>
      <c r="K31" s="96">
        <v>1584.9924154999997</v>
      </c>
      <c r="L31" s="96">
        <v>132.0550824</v>
      </c>
      <c r="M31" s="96">
        <v>132.0550824</v>
      </c>
      <c r="N31" s="96">
        <v>132.0550824</v>
      </c>
      <c r="O31" s="96">
        <v>132.0550824</v>
      </c>
      <c r="P31" s="96">
        <v>132.0550824</v>
      </c>
      <c r="Q31" s="96">
        <v>132.0550824</v>
      </c>
      <c r="R31" s="96">
        <v>132.0550824</v>
      </c>
      <c r="S31" s="96">
        <v>132.0550824</v>
      </c>
      <c r="T31" s="96">
        <v>132.0550824</v>
      </c>
      <c r="U31" s="96">
        <v>132.0550824</v>
      </c>
      <c r="V31" s="96">
        <v>132.0550824</v>
      </c>
      <c r="W31" s="189">
        <v>132.38650910000001</v>
      </c>
    </row>
    <row r="32" spans="2:23" x14ac:dyDescent="0.2">
      <c r="B32" s="99" t="s">
        <v>2012</v>
      </c>
      <c r="C32" s="96"/>
      <c r="D32" s="96"/>
      <c r="E32" s="96">
        <v>35.230031400000001</v>
      </c>
      <c r="F32" s="96">
        <v>37.230031400000001</v>
      </c>
      <c r="G32" s="96">
        <v>39.230031400000001</v>
      </c>
      <c r="H32" s="96">
        <v>111.6900942</v>
      </c>
      <c r="I32" s="96">
        <v>111.6900942</v>
      </c>
      <c r="J32" s="96">
        <v>38.955015500000002</v>
      </c>
      <c r="K32" s="96">
        <v>467.46018600000002</v>
      </c>
      <c r="L32" s="96">
        <v>38.955015500000002</v>
      </c>
      <c r="M32" s="96">
        <v>38.955015500000002</v>
      </c>
      <c r="N32" s="96">
        <v>38.955015500000002</v>
      </c>
      <c r="O32" s="96">
        <v>38.955015500000002</v>
      </c>
      <c r="P32" s="96">
        <v>38.955015500000002</v>
      </c>
      <c r="Q32" s="96">
        <v>38.955015500000002</v>
      </c>
      <c r="R32" s="96">
        <v>38.955015500000002</v>
      </c>
      <c r="S32" s="96">
        <v>38.955015500000002</v>
      </c>
      <c r="T32" s="96">
        <v>38.955015500000002</v>
      </c>
      <c r="U32" s="96">
        <v>38.955015500000002</v>
      </c>
      <c r="V32" s="96">
        <v>38.955015500000002</v>
      </c>
      <c r="W32" s="189">
        <v>38.955015500000002</v>
      </c>
    </row>
    <row r="33" spans="2:23" x14ac:dyDescent="0.2">
      <c r="B33" s="99" t="s">
        <v>2013</v>
      </c>
      <c r="C33" s="96"/>
      <c r="D33" s="96"/>
      <c r="E33" s="96"/>
      <c r="F33" s="96"/>
      <c r="G33" s="96"/>
      <c r="H33" s="96">
        <v>0</v>
      </c>
      <c r="I33" s="96">
        <v>0</v>
      </c>
      <c r="J33" s="96"/>
      <c r="K33" s="96">
        <v>0</v>
      </c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189"/>
    </row>
    <row r="34" spans="2:23" x14ac:dyDescent="0.2">
      <c r="B34" s="99" t="s">
        <v>2014</v>
      </c>
      <c r="C34" s="96"/>
      <c r="D34" s="96"/>
      <c r="E34" s="96">
        <v>23.35483</v>
      </c>
      <c r="F34" s="96">
        <v>17.35483</v>
      </c>
      <c r="G34" s="96">
        <v>21.35483</v>
      </c>
      <c r="H34" s="96">
        <v>62.064489999999999</v>
      </c>
      <c r="I34" s="96">
        <v>62.064489999999999</v>
      </c>
      <c r="J34" s="96">
        <v>12.196109999999999</v>
      </c>
      <c r="K34" s="96">
        <v>146.35332000000002</v>
      </c>
      <c r="L34" s="96">
        <v>12.196109999999999</v>
      </c>
      <c r="M34" s="96">
        <v>12.196109999999999</v>
      </c>
      <c r="N34" s="96">
        <v>12.196109999999999</v>
      </c>
      <c r="O34" s="96">
        <v>12.196109999999999</v>
      </c>
      <c r="P34" s="96">
        <v>12.196109999999999</v>
      </c>
      <c r="Q34" s="96">
        <v>12.196109999999999</v>
      </c>
      <c r="R34" s="96">
        <v>12.196109999999999</v>
      </c>
      <c r="S34" s="96">
        <v>12.196109999999999</v>
      </c>
      <c r="T34" s="96">
        <v>12.196109999999999</v>
      </c>
      <c r="U34" s="96">
        <v>12.196109999999999</v>
      </c>
      <c r="V34" s="96">
        <v>12.196109999999999</v>
      </c>
      <c r="W34" s="189">
        <v>12.196109999999999</v>
      </c>
    </row>
    <row r="35" spans="2:23" x14ac:dyDescent="0.2">
      <c r="B35" s="99" t="s">
        <v>2015</v>
      </c>
      <c r="C35" s="96"/>
      <c r="D35" s="96"/>
      <c r="E35" s="96"/>
      <c r="F35" s="96"/>
      <c r="G35" s="96"/>
      <c r="H35" s="96">
        <v>0</v>
      </c>
      <c r="I35" s="96">
        <v>0</v>
      </c>
      <c r="J35" s="96"/>
      <c r="K35" s="96">
        <v>0</v>
      </c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189"/>
    </row>
    <row r="36" spans="2:23" x14ac:dyDescent="0.2">
      <c r="B36" s="99" t="s">
        <v>2016</v>
      </c>
      <c r="C36" s="96"/>
      <c r="D36" s="96"/>
      <c r="E36" s="96"/>
      <c r="F36" s="96"/>
      <c r="G36" s="96"/>
      <c r="H36" s="96">
        <v>0</v>
      </c>
      <c r="I36" s="96">
        <v>0</v>
      </c>
      <c r="J36" s="96"/>
      <c r="K36" s="96">
        <v>0</v>
      </c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189"/>
    </row>
    <row r="37" spans="2:23" x14ac:dyDescent="0.2">
      <c r="B37" s="99" t="s">
        <v>2017</v>
      </c>
      <c r="C37" s="96"/>
      <c r="D37" s="96"/>
      <c r="E37" s="96"/>
      <c r="F37" s="96"/>
      <c r="G37" s="96"/>
      <c r="H37" s="96">
        <v>0</v>
      </c>
      <c r="I37" s="96">
        <v>0</v>
      </c>
      <c r="J37" s="96"/>
      <c r="K37" s="96">
        <v>0</v>
      </c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189"/>
    </row>
    <row r="38" spans="2:23" x14ac:dyDescent="0.2">
      <c r="B38" s="99" t="s">
        <v>2018</v>
      </c>
      <c r="C38" s="96"/>
      <c r="D38" s="96"/>
      <c r="E38" s="96"/>
      <c r="F38" s="96">
        <v>2.1</v>
      </c>
      <c r="G38" s="96">
        <v>0</v>
      </c>
      <c r="H38" s="96">
        <v>2.1</v>
      </c>
      <c r="I38" s="96">
        <v>2.1</v>
      </c>
      <c r="J38" s="96">
        <v>1.32932E-2</v>
      </c>
      <c r="K38" s="96">
        <v>0.15951840000000003</v>
      </c>
      <c r="L38" s="96">
        <v>1.32932E-2</v>
      </c>
      <c r="M38" s="96">
        <v>1.32932E-2</v>
      </c>
      <c r="N38" s="96">
        <v>1.32932E-2</v>
      </c>
      <c r="O38" s="96">
        <v>1.32932E-2</v>
      </c>
      <c r="P38" s="96">
        <v>1.32932E-2</v>
      </c>
      <c r="Q38" s="96">
        <v>1.32932E-2</v>
      </c>
      <c r="R38" s="96">
        <v>1.32932E-2</v>
      </c>
      <c r="S38" s="96">
        <v>1.32932E-2</v>
      </c>
      <c r="T38" s="96">
        <v>1.32932E-2</v>
      </c>
      <c r="U38" s="96">
        <v>1.32932E-2</v>
      </c>
      <c r="V38" s="96">
        <v>1.32932E-2</v>
      </c>
      <c r="W38" s="189">
        <v>1.32932E-2</v>
      </c>
    </row>
    <row r="39" spans="2:23" x14ac:dyDescent="0.2">
      <c r="B39" s="99" t="s">
        <v>2019</v>
      </c>
      <c r="C39" s="96"/>
      <c r="D39" s="96"/>
      <c r="E39" s="96">
        <v>1.4982595999999999</v>
      </c>
      <c r="F39" s="96">
        <v>1.5181039999999999</v>
      </c>
      <c r="G39" s="96">
        <v>1.4321423</v>
      </c>
      <c r="H39" s="96">
        <v>4.4485058999999998</v>
      </c>
      <c r="I39" s="96">
        <v>4.4485058999999998</v>
      </c>
      <c r="J39" s="96">
        <v>0.4101804</v>
      </c>
      <c r="K39" s="96">
        <v>4.9221647999999982</v>
      </c>
      <c r="L39" s="96">
        <v>0.4101804</v>
      </c>
      <c r="M39" s="96">
        <v>0.4101804</v>
      </c>
      <c r="N39" s="96">
        <v>0.4101804</v>
      </c>
      <c r="O39" s="96">
        <v>0.4101804</v>
      </c>
      <c r="P39" s="96">
        <v>0.4101804</v>
      </c>
      <c r="Q39" s="96">
        <v>0.4101804</v>
      </c>
      <c r="R39" s="96">
        <v>0.4101804</v>
      </c>
      <c r="S39" s="96">
        <v>0.4101804</v>
      </c>
      <c r="T39" s="96">
        <v>0.4101804</v>
      </c>
      <c r="U39" s="96">
        <v>0.4101804</v>
      </c>
      <c r="V39" s="96">
        <v>0.4101804</v>
      </c>
      <c r="W39" s="189">
        <v>0.4101804</v>
      </c>
    </row>
    <row r="40" spans="2:23" x14ac:dyDescent="0.2">
      <c r="B40" s="99" t="s">
        <v>2020</v>
      </c>
      <c r="C40" s="96"/>
      <c r="D40" s="96"/>
      <c r="E40" s="96"/>
      <c r="F40" s="96"/>
      <c r="G40" s="96"/>
      <c r="H40" s="96">
        <v>0</v>
      </c>
      <c r="I40" s="96">
        <v>0</v>
      </c>
      <c r="J40" s="96"/>
      <c r="K40" s="96">
        <v>0</v>
      </c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189"/>
    </row>
    <row r="41" spans="2:23" x14ac:dyDescent="0.2">
      <c r="B41" s="99" t="s">
        <v>2021</v>
      </c>
      <c r="C41" s="96"/>
      <c r="D41" s="96"/>
      <c r="E41" s="96"/>
      <c r="F41" s="96"/>
      <c r="G41" s="96"/>
      <c r="H41" s="96">
        <v>0</v>
      </c>
      <c r="I41" s="96">
        <v>0</v>
      </c>
      <c r="J41" s="96">
        <v>-4.3643800000000003E-2</v>
      </c>
      <c r="K41" s="96">
        <v>-0.52372560000000001</v>
      </c>
      <c r="L41" s="96">
        <v>-4.3643800000000003E-2</v>
      </c>
      <c r="M41" s="96">
        <v>-4.3643800000000003E-2</v>
      </c>
      <c r="N41" s="96">
        <v>-4.3643800000000003E-2</v>
      </c>
      <c r="O41" s="96">
        <v>-4.3643800000000003E-2</v>
      </c>
      <c r="P41" s="96">
        <v>-4.3643800000000003E-2</v>
      </c>
      <c r="Q41" s="96">
        <v>-4.3643800000000003E-2</v>
      </c>
      <c r="R41" s="96">
        <v>-4.3643800000000003E-2</v>
      </c>
      <c r="S41" s="96">
        <v>-4.3643800000000003E-2</v>
      </c>
      <c r="T41" s="96">
        <v>-4.3643800000000003E-2</v>
      </c>
      <c r="U41" s="96">
        <v>-4.3643800000000003E-2</v>
      </c>
      <c r="V41" s="96">
        <v>-4.3643800000000003E-2</v>
      </c>
      <c r="W41" s="189">
        <v>-4.3643800000000003E-2</v>
      </c>
    </row>
    <row r="42" spans="2:23" x14ac:dyDescent="0.2">
      <c r="B42" s="99" t="s">
        <v>2022</v>
      </c>
      <c r="C42" s="96"/>
      <c r="D42" s="96"/>
      <c r="E42" s="96"/>
      <c r="F42" s="96"/>
      <c r="G42" s="96"/>
      <c r="H42" s="96">
        <v>0</v>
      </c>
      <c r="I42" s="96">
        <v>0</v>
      </c>
      <c r="J42" s="96"/>
      <c r="K42" s="96">
        <v>0</v>
      </c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189"/>
    </row>
    <row r="43" spans="2:23" x14ac:dyDescent="0.2">
      <c r="B43" s="99" t="s">
        <v>2023</v>
      </c>
      <c r="C43" s="96"/>
      <c r="D43" s="96"/>
      <c r="E43" s="96">
        <v>8.2014900000000002E-2</v>
      </c>
      <c r="F43" s="96">
        <v>8.5281399999999993E-2</v>
      </c>
      <c r="G43" s="96">
        <v>7.1131899999999998E-2</v>
      </c>
      <c r="H43" s="96">
        <v>0.23842820000000001</v>
      </c>
      <c r="I43" s="96">
        <v>0.23842820000000001</v>
      </c>
      <c r="J43" s="96">
        <v>0.11143550000000001</v>
      </c>
      <c r="K43" s="96">
        <v>1.337226</v>
      </c>
      <c r="L43" s="96">
        <v>0.11143550000000001</v>
      </c>
      <c r="M43" s="96">
        <v>0.11143550000000001</v>
      </c>
      <c r="N43" s="96">
        <v>0.11143550000000001</v>
      </c>
      <c r="O43" s="96">
        <v>0.11143550000000001</v>
      </c>
      <c r="P43" s="96">
        <v>0.11143550000000001</v>
      </c>
      <c r="Q43" s="96">
        <v>0.11143550000000001</v>
      </c>
      <c r="R43" s="96">
        <v>0.11143550000000001</v>
      </c>
      <c r="S43" s="96">
        <v>0.11143550000000001</v>
      </c>
      <c r="T43" s="96">
        <v>0.11143550000000001</v>
      </c>
      <c r="U43" s="96">
        <v>0.11143550000000001</v>
      </c>
      <c r="V43" s="96">
        <v>0.11143550000000001</v>
      </c>
      <c r="W43" s="189">
        <v>0.11143550000000001</v>
      </c>
    </row>
    <row r="44" spans="2:23" x14ac:dyDescent="0.2">
      <c r="B44" s="99" t="s">
        <v>2024</v>
      </c>
      <c r="C44" s="96"/>
      <c r="D44" s="96"/>
      <c r="E44" s="96"/>
      <c r="F44" s="96"/>
      <c r="G44" s="96"/>
      <c r="H44" s="96">
        <v>0</v>
      </c>
      <c r="I44" s="96">
        <v>0</v>
      </c>
      <c r="J44" s="96"/>
      <c r="K44" s="96">
        <v>0</v>
      </c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189"/>
    </row>
    <row r="45" spans="2:23" x14ac:dyDescent="0.2">
      <c r="B45" s="99" t="s">
        <v>2025</v>
      </c>
      <c r="C45" s="96"/>
      <c r="D45" s="96"/>
      <c r="E45" s="96"/>
      <c r="F45" s="96"/>
      <c r="G45" s="96"/>
      <c r="H45" s="96">
        <v>0</v>
      </c>
      <c r="I45" s="96">
        <v>0</v>
      </c>
      <c r="J45" s="96"/>
      <c r="K45" s="96">
        <v>0</v>
      </c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189"/>
    </row>
    <row r="46" spans="2:23" x14ac:dyDescent="0.2">
      <c r="B46" s="99" t="s">
        <v>2026</v>
      </c>
      <c r="C46" s="96"/>
      <c r="D46" s="96"/>
      <c r="E46" s="96">
        <v>5.0330075000000001</v>
      </c>
      <c r="F46" s="96">
        <v>7.2334595000000004</v>
      </c>
      <c r="G46" s="96">
        <v>6.3651456</v>
      </c>
      <c r="H46" s="96">
        <v>18.6316126</v>
      </c>
      <c r="I46" s="96">
        <v>18.6316126</v>
      </c>
      <c r="J46" s="96">
        <v>1.3391541</v>
      </c>
      <c r="K46" s="96">
        <v>16.0698492</v>
      </c>
      <c r="L46" s="96">
        <v>1.3391541</v>
      </c>
      <c r="M46" s="96">
        <v>1.3391541</v>
      </c>
      <c r="N46" s="96">
        <v>1.3391541</v>
      </c>
      <c r="O46" s="96">
        <v>1.3391541</v>
      </c>
      <c r="P46" s="96">
        <v>1.3391541</v>
      </c>
      <c r="Q46" s="96">
        <v>1.3391541</v>
      </c>
      <c r="R46" s="96">
        <v>1.3391541</v>
      </c>
      <c r="S46" s="96">
        <v>1.3391541</v>
      </c>
      <c r="T46" s="96">
        <v>1.3391541</v>
      </c>
      <c r="U46" s="96">
        <v>1.3391541</v>
      </c>
      <c r="V46" s="96">
        <v>1.3391541</v>
      </c>
      <c r="W46" s="189">
        <v>1.3391541</v>
      </c>
    </row>
    <row r="47" spans="2:23" x14ac:dyDescent="0.2">
      <c r="B47" s="99" t="s">
        <v>2027</v>
      </c>
      <c r="C47" s="96"/>
      <c r="D47" s="96"/>
      <c r="E47" s="96"/>
      <c r="F47" s="96"/>
      <c r="G47" s="96"/>
      <c r="H47" s="96">
        <v>0</v>
      </c>
      <c r="I47" s="96">
        <v>0</v>
      </c>
      <c r="J47" s="96"/>
      <c r="K47" s="96">
        <v>0</v>
      </c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189"/>
    </row>
    <row r="48" spans="2:23" x14ac:dyDescent="0.2">
      <c r="B48" s="99" t="s">
        <v>1997</v>
      </c>
      <c r="C48" s="96"/>
      <c r="D48" s="96"/>
      <c r="E48" s="96">
        <v>25.687446999999999</v>
      </c>
      <c r="F48" s="96">
        <v>22.591031000000001</v>
      </c>
      <c r="G48" s="96">
        <v>23.676904799999999</v>
      </c>
      <c r="H48" s="96">
        <v>71.955382799999995</v>
      </c>
      <c r="I48" s="96">
        <v>71.955382799999995</v>
      </c>
      <c r="J48" s="96">
        <v>17.447185900000001</v>
      </c>
      <c r="K48" s="96">
        <v>209.36623079999995</v>
      </c>
      <c r="L48" s="96">
        <v>17.447185900000001</v>
      </c>
      <c r="M48" s="96">
        <v>17.447185900000001</v>
      </c>
      <c r="N48" s="96">
        <v>17.447185900000001</v>
      </c>
      <c r="O48" s="96">
        <v>17.447185900000001</v>
      </c>
      <c r="P48" s="96">
        <v>17.447185900000001</v>
      </c>
      <c r="Q48" s="96">
        <v>17.447185900000001</v>
      </c>
      <c r="R48" s="96">
        <v>17.447185900000001</v>
      </c>
      <c r="S48" s="96">
        <v>17.447185900000001</v>
      </c>
      <c r="T48" s="96">
        <v>17.447185900000001</v>
      </c>
      <c r="U48" s="96">
        <v>17.447185900000001</v>
      </c>
      <c r="V48" s="96">
        <v>17.447185900000001</v>
      </c>
      <c r="W48" s="189">
        <v>17.447185900000001</v>
      </c>
    </row>
    <row r="49" spans="2:23" x14ac:dyDescent="0.2">
      <c r="B49" s="99" t="s">
        <v>2028</v>
      </c>
      <c r="C49" s="96"/>
      <c r="D49" s="96"/>
      <c r="E49" s="96"/>
      <c r="F49" s="96"/>
      <c r="G49" s="96"/>
      <c r="H49" s="96">
        <v>0</v>
      </c>
      <c r="I49" s="96">
        <v>0</v>
      </c>
      <c r="J49" s="96"/>
      <c r="K49" s="96">
        <v>0</v>
      </c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189"/>
    </row>
    <row r="50" spans="2:23" x14ac:dyDescent="0.2">
      <c r="B50" s="99" t="s">
        <v>2029</v>
      </c>
      <c r="C50" s="96"/>
      <c r="D50" s="96"/>
      <c r="E50" s="96"/>
      <c r="F50" s="96"/>
      <c r="G50" s="96"/>
      <c r="H50" s="96">
        <v>0</v>
      </c>
      <c r="I50" s="96">
        <v>0</v>
      </c>
      <c r="J50" s="96"/>
      <c r="K50" s="96">
        <v>0</v>
      </c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189"/>
    </row>
    <row r="51" spans="2:23" x14ac:dyDescent="0.2">
      <c r="B51" s="99" t="s">
        <v>1995</v>
      </c>
      <c r="C51" s="96"/>
      <c r="D51" s="96"/>
      <c r="E51" s="96">
        <v>4.1697537999999996</v>
      </c>
      <c r="F51" s="96">
        <v>2.2163422000000002</v>
      </c>
      <c r="G51" s="96">
        <v>3.0145317</v>
      </c>
      <c r="H51" s="96">
        <v>9.4006277000000011</v>
      </c>
      <c r="I51" s="96">
        <v>9.4006277000000011</v>
      </c>
      <c r="J51" s="96">
        <v>0.75455190000000005</v>
      </c>
      <c r="K51" s="96">
        <v>9.0546228000000006</v>
      </c>
      <c r="L51" s="96">
        <v>0.75455190000000005</v>
      </c>
      <c r="M51" s="96">
        <v>0.75455190000000005</v>
      </c>
      <c r="N51" s="96">
        <v>0.75455190000000005</v>
      </c>
      <c r="O51" s="96">
        <v>0.75455190000000005</v>
      </c>
      <c r="P51" s="96">
        <v>0.75455190000000005</v>
      </c>
      <c r="Q51" s="96">
        <v>0.75455190000000005</v>
      </c>
      <c r="R51" s="96">
        <v>0.75455190000000005</v>
      </c>
      <c r="S51" s="96">
        <v>0.75455190000000005</v>
      </c>
      <c r="T51" s="96">
        <v>0.75455190000000005</v>
      </c>
      <c r="U51" s="96">
        <v>0.75455190000000005</v>
      </c>
      <c r="V51" s="96">
        <v>0.75455190000000005</v>
      </c>
      <c r="W51" s="189">
        <v>0.75455190000000005</v>
      </c>
    </row>
    <row r="52" spans="2:23" x14ac:dyDescent="0.2">
      <c r="B52" s="99" t="s">
        <v>2030</v>
      </c>
      <c r="C52" s="96"/>
      <c r="D52" s="96"/>
      <c r="E52" s="96"/>
      <c r="F52" s="96"/>
      <c r="G52" s="96"/>
      <c r="H52" s="96">
        <v>0</v>
      </c>
      <c r="I52" s="96">
        <v>0</v>
      </c>
      <c r="J52" s="96"/>
      <c r="K52" s="96">
        <v>0</v>
      </c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189"/>
    </row>
    <row r="53" spans="2:23" x14ac:dyDescent="0.2">
      <c r="B53" s="99" t="s">
        <v>2003</v>
      </c>
      <c r="C53" s="96"/>
      <c r="D53" s="96"/>
      <c r="E53" s="96">
        <v>15.607946999999999</v>
      </c>
      <c r="F53" s="96">
        <v>13.607946999999999</v>
      </c>
      <c r="G53" s="96">
        <v>12.607946999999999</v>
      </c>
      <c r="H53" s="96">
        <v>41.823841000000002</v>
      </c>
      <c r="I53" s="96">
        <v>41.823841000000002</v>
      </c>
      <c r="J53" s="96">
        <v>7.3464185000000004</v>
      </c>
      <c r="K53" s="96">
        <v>88.157021999999998</v>
      </c>
      <c r="L53" s="96">
        <v>7.3464185000000004</v>
      </c>
      <c r="M53" s="96">
        <v>7.3464185000000004</v>
      </c>
      <c r="N53" s="96">
        <v>7.3464185000000004</v>
      </c>
      <c r="O53" s="96">
        <v>7.3464185000000004</v>
      </c>
      <c r="P53" s="96">
        <v>7.3464185000000004</v>
      </c>
      <c r="Q53" s="96">
        <v>7.3464185000000004</v>
      </c>
      <c r="R53" s="96">
        <v>7.3464185000000004</v>
      </c>
      <c r="S53" s="96">
        <v>7.3464185000000004</v>
      </c>
      <c r="T53" s="96">
        <v>7.3464185000000004</v>
      </c>
      <c r="U53" s="96">
        <v>7.3464185000000004</v>
      </c>
      <c r="V53" s="96">
        <v>7.3464185000000004</v>
      </c>
      <c r="W53" s="189">
        <v>7.3464185000000004</v>
      </c>
    </row>
    <row r="54" spans="2:23" x14ac:dyDescent="0.2">
      <c r="B54" s="99" t="s">
        <v>2031</v>
      </c>
      <c r="C54" s="96"/>
      <c r="D54" s="96"/>
      <c r="E54" s="96"/>
      <c r="F54" s="96"/>
      <c r="G54" s="96"/>
      <c r="H54" s="96">
        <v>0</v>
      </c>
      <c r="I54" s="96">
        <v>0</v>
      </c>
      <c r="J54" s="96">
        <v>4.0730599999999999E-2</v>
      </c>
      <c r="K54" s="96">
        <v>0.48876720000000001</v>
      </c>
      <c r="L54" s="96">
        <v>4.0730599999999999E-2</v>
      </c>
      <c r="M54" s="96">
        <v>4.0730599999999999E-2</v>
      </c>
      <c r="N54" s="96">
        <v>4.0730599999999999E-2</v>
      </c>
      <c r="O54" s="96">
        <v>4.0730599999999999E-2</v>
      </c>
      <c r="P54" s="96">
        <v>4.0730599999999999E-2</v>
      </c>
      <c r="Q54" s="96">
        <v>4.0730599999999999E-2</v>
      </c>
      <c r="R54" s="96">
        <v>4.0730599999999999E-2</v>
      </c>
      <c r="S54" s="96">
        <v>4.0730599999999999E-2</v>
      </c>
      <c r="T54" s="96">
        <v>4.0730599999999999E-2</v>
      </c>
      <c r="U54" s="96">
        <v>4.0730599999999999E-2</v>
      </c>
      <c r="V54" s="96">
        <v>4.0730599999999999E-2</v>
      </c>
      <c r="W54" s="189">
        <v>4.0730599999999999E-2</v>
      </c>
    </row>
    <row r="55" spans="2:23" x14ac:dyDescent="0.2">
      <c r="B55" s="99" t="s">
        <v>2032</v>
      </c>
      <c r="C55" s="96"/>
      <c r="D55" s="96"/>
      <c r="E55" s="96"/>
      <c r="F55" s="96"/>
      <c r="G55" s="96"/>
      <c r="H55" s="96">
        <v>0</v>
      </c>
      <c r="I55" s="96">
        <v>0</v>
      </c>
      <c r="J55" s="96"/>
      <c r="K55" s="96">
        <v>0</v>
      </c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189"/>
    </row>
    <row r="56" spans="2:23" x14ac:dyDescent="0.2">
      <c r="B56" s="99" t="s">
        <v>2033</v>
      </c>
      <c r="C56" s="96"/>
      <c r="D56" s="96"/>
      <c r="E56" s="96"/>
      <c r="F56" s="96"/>
      <c r="G56" s="96"/>
      <c r="H56" s="96">
        <v>0</v>
      </c>
      <c r="I56" s="96">
        <v>0</v>
      </c>
      <c r="J56" s="96"/>
      <c r="K56" s="96">
        <v>0</v>
      </c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189"/>
    </row>
    <row r="57" spans="2:23" x14ac:dyDescent="0.2">
      <c r="B57" s="99" t="s">
        <v>2034</v>
      </c>
      <c r="C57" s="96"/>
      <c r="D57" s="96"/>
      <c r="E57" s="96"/>
      <c r="F57" s="96"/>
      <c r="G57" s="96"/>
      <c r="H57" s="96">
        <v>0</v>
      </c>
      <c r="I57" s="96">
        <v>0</v>
      </c>
      <c r="J57" s="96"/>
      <c r="K57" s="96">
        <v>0</v>
      </c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189"/>
    </row>
    <row r="58" spans="2:23" x14ac:dyDescent="0.2">
      <c r="B58" s="99" t="s">
        <v>2035</v>
      </c>
      <c r="C58" s="96"/>
      <c r="D58" s="96"/>
      <c r="E58" s="96"/>
      <c r="F58" s="96"/>
      <c r="G58" s="96"/>
      <c r="H58" s="96">
        <v>0</v>
      </c>
      <c r="I58" s="96">
        <v>0</v>
      </c>
      <c r="J58" s="96"/>
      <c r="K58" s="96">
        <v>0</v>
      </c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189"/>
    </row>
    <row r="59" spans="2:23" x14ac:dyDescent="0.2">
      <c r="B59" s="99" t="s">
        <v>2036</v>
      </c>
      <c r="C59" s="96"/>
      <c r="D59" s="96"/>
      <c r="E59" s="96">
        <v>-113.7142805</v>
      </c>
      <c r="F59" s="96">
        <v>-115.7142805</v>
      </c>
      <c r="G59" s="96">
        <v>-122.4111444</v>
      </c>
      <c r="H59" s="96">
        <v>-351.83970540000001</v>
      </c>
      <c r="I59" s="96">
        <v>-351.83970540000001</v>
      </c>
      <c r="J59" s="96">
        <v>-108.9366441</v>
      </c>
      <c r="K59" s="96">
        <v>-1271.6003560999998</v>
      </c>
      <c r="L59" s="96">
        <v>-101.6241325</v>
      </c>
      <c r="M59" s="96">
        <v>-101.9247625</v>
      </c>
      <c r="N59" s="96">
        <v>-101.02287250000001</v>
      </c>
      <c r="O59" s="96">
        <v>-102.2379188</v>
      </c>
      <c r="P59" s="96">
        <v>-102.8391788</v>
      </c>
      <c r="Q59" s="96">
        <v>-104.4926438</v>
      </c>
      <c r="R59" s="96">
        <v>-108.9469783</v>
      </c>
      <c r="S59" s="96">
        <v>-109.6484483</v>
      </c>
      <c r="T59" s="96">
        <v>-110.60044329999999</v>
      </c>
      <c r="U59" s="96">
        <v>-109.23727409999999</v>
      </c>
      <c r="V59" s="96">
        <v>-110.0890591</v>
      </c>
      <c r="W59" s="189">
        <v>-108.9366441</v>
      </c>
    </row>
    <row r="60" spans="2:23" x14ac:dyDescent="0.2">
      <c r="B60" s="99" t="s">
        <v>2037</v>
      </c>
      <c r="C60" s="96"/>
      <c r="D60" s="96"/>
      <c r="E60" s="96"/>
      <c r="F60" s="96"/>
      <c r="G60" s="96"/>
      <c r="H60" s="96">
        <v>0</v>
      </c>
      <c r="I60" s="96">
        <v>0</v>
      </c>
      <c r="J60" s="96"/>
      <c r="K60" s="96">
        <v>0</v>
      </c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189"/>
    </row>
    <row r="61" spans="2:23" x14ac:dyDescent="0.2">
      <c r="B61" s="99" t="s">
        <v>1991</v>
      </c>
      <c r="C61" s="96"/>
      <c r="D61" s="96"/>
      <c r="E61" s="96"/>
      <c r="F61" s="96"/>
      <c r="G61" s="96"/>
      <c r="H61" s="96">
        <v>0</v>
      </c>
      <c r="I61" s="96">
        <v>0</v>
      </c>
      <c r="J61" s="96"/>
      <c r="K61" s="96">
        <v>0</v>
      </c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189"/>
    </row>
    <row r="62" spans="2:23" x14ac:dyDescent="0.2">
      <c r="B62" s="102" t="s">
        <v>2038</v>
      </c>
      <c r="C62" s="147"/>
      <c r="D62" s="147">
        <v>0</v>
      </c>
      <c r="E62" s="147">
        <v>109.62248749999998</v>
      </c>
      <c r="F62" s="147">
        <v>97.251092400000033</v>
      </c>
      <c r="G62" s="147">
        <v>88.359332500000008</v>
      </c>
      <c r="H62" s="147">
        <v>295.23291240000003</v>
      </c>
      <c r="I62" s="147">
        <v>295.23291240000003</v>
      </c>
      <c r="J62" s="147">
        <v>102.02029679999998</v>
      </c>
      <c r="K62" s="147">
        <v>1256.2372409999998</v>
      </c>
      <c r="L62" s="147">
        <v>109.00138169999997</v>
      </c>
      <c r="M62" s="147">
        <v>108.70075169999997</v>
      </c>
      <c r="N62" s="147">
        <v>109.60264169999996</v>
      </c>
      <c r="O62" s="147">
        <v>108.38759539999997</v>
      </c>
      <c r="P62" s="147">
        <v>107.78633539999997</v>
      </c>
      <c r="Q62" s="147">
        <v>106.13287039999997</v>
      </c>
      <c r="R62" s="147">
        <v>101.67853589999997</v>
      </c>
      <c r="S62" s="147">
        <v>100.97706589999997</v>
      </c>
      <c r="T62" s="147">
        <v>100.02507089999997</v>
      </c>
      <c r="U62" s="147">
        <v>101.38824009999998</v>
      </c>
      <c r="V62" s="147">
        <v>100.53645509999997</v>
      </c>
      <c r="W62" s="256">
        <v>102.02029679999998</v>
      </c>
    </row>
    <row r="63" spans="2:23" ht="12" thickBot="1" x14ac:dyDescent="0.25">
      <c r="B63" s="151" t="s">
        <v>2039</v>
      </c>
      <c r="C63" s="153"/>
      <c r="D63" s="153">
        <v>0</v>
      </c>
      <c r="E63" s="153">
        <v>143.82448889999998</v>
      </c>
      <c r="F63" s="153">
        <v>127.22163700000004</v>
      </c>
      <c r="G63" s="153">
        <v>123.83140460000001</v>
      </c>
      <c r="H63" s="153">
        <v>394.87753050000003</v>
      </c>
      <c r="I63" s="153">
        <v>394.87753050000003</v>
      </c>
      <c r="J63" s="153">
        <v>120.54352059999998</v>
      </c>
      <c r="K63" s="153">
        <v>1496.0675458999997</v>
      </c>
      <c r="L63" s="153">
        <v>128.76714939999997</v>
      </c>
      <c r="M63" s="153">
        <v>127.83009109999998</v>
      </c>
      <c r="N63" s="153">
        <v>128.12586549999997</v>
      </c>
      <c r="O63" s="153">
        <v>127.51693479999997</v>
      </c>
      <c r="P63" s="153">
        <v>127.54149219999996</v>
      </c>
      <c r="Q63" s="153">
        <v>124.65609419999997</v>
      </c>
      <c r="R63" s="153">
        <v>121.18669999999997</v>
      </c>
      <c r="S63" s="153">
        <v>132.38026059999999</v>
      </c>
      <c r="T63" s="153">
        <v>118.54829469999997</v>
      </c>
      <c r="U63" s="153">
        <v>119.91146389999997</v>
      </c>
      <c r="V63" s="153">
        <v>119.05967889999997</v>
      </c>
      <c r="W63" s="257">
        <v>120.54352059999998</v>
      </c>
    </row>
  </sheetData>
  <mergeCells count="5">
    <mergeCell ref="B2:C3"/>
    <mergeCell ref="D2:I2"/>
    <mergeCell ref="J2:J3"/>
    <mergeCell ref="K2:K3"/>
    <mergeCell ref="L2:W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8"/>
  <sheetViews>
    <sheetView topLeftCell="A205" workbookViewId="0">
      <selection activeCell="C230" activeCellId="13" sqref="C118 C145 C152 C159 C169 C171 C175 C194 C197 C207 C215 C220 C224 C230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5.5703125" style="3" bestFit="1" customWidth="1"/>
    <col min="6" max="6" width="8.7109375" style="3" bestFit="1" customWidth="1"/>
    <col min="7" max="16384" width="9.140625" style="3"/>
  </cols>
  <sheetData>
    <row r="1" spans="1:6" ht="4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1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>
        <f>VLOOKUP(B2,'Balance Sheet'!$B$2:$C$295,2,0)</f>
        <v>0</v>
      </c>
    </row>
    <row r="3" spans="1:6" s="18" customFormat="1" x14ac:dyDescent="0.2">
      <c r="A3" s="18" t="s">
        <v>0</v>
      </c>
      <c r="B3" s="32" t="s">
        <v>3</v>
      </c>
      <c r="C3" s="19">
        <v>0</v>
      </c>
      <c r="D3" s="19">
        <v>0</v>
      </c>
      <c r="E3" s="19">
        <v>0</v>
      </c>
      <c r="F3" s="3"/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>
        <f>VLOOKUP(B4,'Balance Sheet'!$B$2:$C$295,2,0)</f>
        <v>329.08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>
        <f>VLOOKUP(B5,'Balance Sheet'!$B$2:$C$295,2,0)</f>
        <v>610.44000000000005</v>
      </c>
    </row>
    <row r="6" spans="1:6" x14ac:dyDescent="0.2">
      <c r="A6" s="3" t="s">
        <v>4</v>
      </c>
      <c r="B6" s="3" t="s">
        <v>8</v>
      </c>
      <c r="C6" s="4">
        <v>29159.62</v>
      </c>
      <c r="D6" s="4">
        <v>29159.62</v>
      </c>
      <c r="E6" s="4">
        <v>0</v>
      </c>
      <c r="F6" s="3">
        <f>VLOOKUP(B6,'Balance Sheet'!$B$2:$C$295,2,0)</f>
        <v>29159.62</v>
      </c>
    </row>
    <row r="7" spans="1:6" x14ac:dyDescent="0.2">
      <c r="A7" s="3" t="s">
        <v>4</v>
      </c>
      <c r="B7" s="3" t="s">
        <v>9</v>
      </c>
      <c r="C7" s="4">
        <v>-24199.83</v>
      </c>
      <c r="D7" s="4">
        <v>-24199.83</v>
      </c>
      <c r="E7" s="4">
        <v>0</v>
      </c>
      <c r="F7" s="3">
        <f>VLOOKUP(B7,'Balance Sheet'!$B$2:$C$295,2,0)</f>
        <v>-24199.83</v>
      </c>
    </row>
    <row r="8" spans="1:6" x14ac:dyDescent="0.2">
      <c r="A8" s="3" t="s">
        <v>4</v>
      </c>
      <c r="B8" s="3" t="s">
        <v>10</v>
      </c>
      <c r="C8" s="4">
        <v>68.709999999999994</v>
      </c>
      <c r="D8" s="4">
        <v>68.709999999999994</v>
      </c>
      <c r="E8" s="4">
        <v>0</v>
      </c>
      <c r="F8" s="3">
        <f>VLOOKUP(B8,'Balance Sheet'!$B$2:$C$295,2,0)</f>
        <v>68.709999999999994</v>
      </c>
    </row>
    <row r="9" spans="1:6" x14ac:dyDescent="0.2">
      <c r="A9" s="3" t="s">
        <v>4</v>
      </c>
      <c r="B9" s="3" t="s">
        <v>11</v>
      </c>
      <c r="C9" s="4">
        <v>-0.28000000000000003</v>
      </c>
      <c r="D9" s="4">
        <v>-0.28000000000000003</v>
      </c>
      <c r="E9" s="4">
        <v>0</v>
      </c>
      <c r="F9" s="3">
        <f>VLOOKUP(B9,'Balance Sheet'!$B$2:$C$295,2,0)</f>
        <v>-0.28000000000000003</v>
      </c>
    </row>
    <row r="10" spans="1:6" x14ac:dyDescent="0.2">
      <c r="A10" s="3" t="s">
        <v>4</v>
      </c>
      <c r="B10" s="3" t="s">
        <v>2</v>
      </c>
      <c r="C10" s="4">
        <v>5967.74</v>
      </c>
      <c r="D10" s="4">
        <v>5967.74</v>
      </c>
      <c r="E10" s="4">
        <v>0</v>
      </c>
    </row>
    <row r="11" spans="1:6" x14ac:dyDescent="0.2">
      <c r="A11" s="3" t="s">
        <v>12</v>
      </c>
      <c r="B11" s="3" t="s">
        <v>2</v>
      </c>
      <c r="C11" s="4">
        <v>5967.74</v>
      </c>
      <c r="D11" s="4">
        <v>5967.74</v>
      </c>
      <c r="E11" s="4">
        <v>0</v>
      </c>
    </row>
    <row r="12" spans="1:6" x14ac:dyDescent="0.2">
      <c r="A12" s="3" t="s">
        <v>13</v>
      </c>
      <c r="B12" s="3" t="s">
        <v>14</v>
      </c>
      <c r="C12" s="4">
        <v>25718432.940000001</v>
      </c>
      <c r="D12" s="4">
        <v>25718432.940000001</v>
      </c>
      <c r="E12" s="4">
        <v>0</v>
      </c>
      <c r="F12" s="3">
        <f>VLOOKUP(B12,'Balance Sheet'!$B$2:$C$295,2,0)</f>
        <v>25718432.940000001</v>
      </c>
    </row>
    <row r="13" spans="1:6" x14ac:dyDescent="0.2">
      <c r="A13" s="3" t="s">
        <v>13</v>
      </c>
      <c r="B13" s="3" t="s">
        <v>15</v>
      </c>
      <c r="C13" s="4">
        <v>812336.36</v>
      </c>
      <c r="D13" s="4">
        <v>812336.36</v>
      </c>
      <c r="E13" s="4">
        <v>0</v>
      </c>
      <c r="F13" s="3">
        <f>VLOOKUP(B13,'Balance Sheet'!$B$2:$C$295,2,0)</f>
        <v>812336.36</v>
      </c>
    </row>
    <row r="14" spans="1:6" x14ac:dyDescent="0.2">
      <c r="A14" s="3" t="s">
        <v>13</v>
      </c>
      <c r="B14" s="3" t="s">
        <v>16</v>
      </c>
      <c r="C14" s="4">
        <v>1475835.15</v>
      </c>
      <c r="D14" s="4">
        <v>1475835.15</v>
      </c>
      <c r="E14" s="4">
        <v>0</v>
      </c>
      <c r="F14" s="3">
        <f>VLOOKUP(B14,'Balance Sheet'!$B$2:$C$295,2,0)</f>
        <v>1475835.15</v>
      </c>
    </row>
    <row r="15" spans="1:6" x14ac:dyDescent="0.2">
      <c r="A15" s="3" t="s">
        <v>13</v>
      </c>
      <c r="B15" s="3" t="s">
        <v>17</v>
      </c>
      <c r="C15" s="4">
        <v>-155116.62</v>
      </c>
      <c r="D15" s="4">
        <v>-155116.62</v>
      </c>
      <c r="E15" s="4">
        <v>0</v>
      </c>
      <c r="F15" s="3">
        <f>VLOOKUP(B15,'Balance Sheet'!$B$2:$C$295,2,0)</f>
        <v>-155116.62</v>
      </c>
    </row>
    <row r="16" spans="1:6" x14ac:dyDescent="0.2">
      <c r="A16" s="3" t="s">
        <v>13</v>
      </c>
      <c r="B16" s="3" t="s">
        <v>2</v>
      </c>
      <c r="C16" s="4">
        <v>27851487.829999998</v>
      </c>
      <c r="D16" s="4">
        <v>27851487.829999998</v>
      </c>
      <c r="E16" s="4">
        <v>0</v>
      </c>
    </row>
    <row r="17" spans="1:6" x14ac:dyDescent="0.2">
      <c r="A17" s="3" t="s">
        <v>18</v>
      </c>
      <c r="B17" s="3" t="s">
        <v>19</v>
      </c>
      <c r="C17" s="4">
        <v>-60137.97</v>
      </c>
      <c r="D17" s="4">
        <v>-60137.97</v>
      </c>
      <c r="E17" s="4">
        <v>0</v>
      </c>
      <c r="F17" s="3">
        <f>VLOOKUP(B17,'Balance Sheet'!$B$2:$C$295,2,0)</f>
        <v>-60137.97</v>
      </c>
    </row>
    <row r="18" spans="1:6" x14ac:dyDescent="0.2">
      <c r="A18" s="3" t="s">
        <v>18</v>
      </c>
      <c r="B18" s="3" t="s">
        <v>2</v>
      </c>
      <c r="C18" s="4">
        <v>-60137.97</v>
      </c>
      <c r="D18" s="4">
        <v>-60137.97</v>
      </c>
      <c r="E18" s="4">
        <v>0</v>
      </c>
    </row>
    <row r="19" spans="1:6" x14ac:dyDescent="0.2">
      <c r="A19" s="3" t="s">
        <v>20</v>
      </c>
      <c r="B19" s="3" t="s">
        <v>2</v>
      </c>
      <c r="C19" s="4">
        <v>27791349.859999999</v>
      </c>
      <c r="D19" s="4">
        <v>27791349.859999999</v>
      </c>
      <c r="E19" s="4">
        <v>0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>
        <f>VLOOKUP(B20,'Balance Sheet'!$B$2:$C$295,2,0)</f>
        <v>0.01</v>
      </c>
    </row>
    <row r="21" spans="1:6" s="18" customFormat="1" x14ac:dyDescent="0.2">
      <c r="A21" s="18" t="s">
        <v>21</v>
      </c>
      <c r="B21" s="18" t="s">
        <v>23</v>
      </c>
      <c r="C21" s="19">
        <v>276.48</v>
      </c>
      <c r="D21" s="19">
        <v>276.48</v>
      </c>
      <c r="E21" s="19">
        <v>0</v>
      </c>
      <c r="F21" s="3">
        <f>VLOOKUP(B21,'Balance Sheet'!$B$2:$C$295,2,0)</f>
        <v>276.48</v>
      </c>
    </row>
    <row r="22" spans="1:6" s="18" customFormat="1" x14ac:dyDescent="0.2">
      <c r="A22" s="18" t="s">
        <v>21</v>
      </c>
      <c r="B22" s="18" t="s">
        <v>24</v>
      </c>
      <c r="C22" s="19">
        <v>2572.83</v>
      </c>
      <c r="D22" s="19">
        <v>2572.83</v>
      </c>
      <c r="E22" s="19">
        <v>0</v>
      </c>
      <c r="F22" s="3">
        <f>VLOOKUP(B22,'Balance Sheet'!$B$2:$C$295,2,0)</f>
        <v>2572.83</v>
      </c>
    </row>
    <row r="23" spans="1:6" x14ac:dyDescent="0.2">
      <c r="A23" s="3" t="s">
        <v>21</v>
      </c>
      <c r="B23" s="3" t="s">
        <v>25</v>
      </c>
      <c r="C23" s="4">
        <v>66415.64</v>
      </c>
      <c r="D23" s="4">
        <v>66415.64</v>
      </c>
      <c r="E23" s="4">
        <v>0</v>
      </c>
      <c r="F23" s="3">
        <f>VLOOKUP(B23,'Balance Sheet'!$B$2:$C$295,2,0)</f>
        <v>66415.64</v>
      </c>
    </row>
    <row r="24" spans="1:6" x14ac:dyDescent="0.2">
      <c r="A24" s="3" t="s">
        <v>21</v>
      </c>
      <c r="B24" s="3" t="s">
        <v>26</v>
      </c>
      <c r="C24" s="4">
        <v>0.01</v>
      </c>
      <c r="D24" s="4">
        <v>0.01</v>
      </c>
      <c r="E24" s="4">
        <v>0</v>
      </c>
      <c r="F24" s="3">
        <f>VLOOKUP(B24,'Balance Sheet'!$B$2:$C$295,2,0)</f>
        <v>0.01</v>
      </c>
    </row>
    <row r="25" spans="1:6" x14ac:dyDescent="0.2">
      <c r="A25" s="3" t="s">
        <v>21</v>
      </c>
      <c r="B25" s="3" t="s">
        <v>27</v>
      </c>
      <c r="C25" s="4">
        <v>54276.32</v>
      </c>
      <c r="D25" s="4">
        <v>54276.32</v>
      </c>
      <c r="E25" s="4">
        <v>0</v>
      </c>
      <c r="F25" s="3">
        <f>VLOOKUP(B25,'Balance Sheet'!$B$2:$C$295,2,0)</f>
        <v>54276.32</v>
      </c>
    </row>
    <row r="26" spans="1:6" x14ac:dyDescent="0.2">
      <c r="A26" s="3" t="s">
        <v>21</v>
      </c>
      <c r="B26" s="3" t="s">
        <v>28</v>
      </c>
      <c r="C26" s="4">
        <v>155914.67000000001</v>
      </c>
      <c r="D26" s="4">
        <v>155914.67000000001</v>
      </c>
      <c r="E26" s="4">
        <v>0</v>
      </c>
      <c r="F26" s="3">
        <f>VLOOKUP(B26,'Balance Sheet'!$B$2:$C$295,2,0)</f>
        <v>155914.67000000001</v>
      </c>
    </row>
    <row r="27" spans="1:6" x14ac:dyDescent="0.2">
      <c r="A27" s="3" t="s">
        <v>21</v>
      </c>
      <c r="B27" s="3" t="s">
        <v>29</v>
      </c>
      <c r="C27" s="4">
        <v>19.350000000000001</v>
      </c>
      <c r="D27" s="4">
        <v>19.350000000000001</v>
      </c>
      <c r="E27" s="4">
        <v>0</v>
      </c>
      <c r="F27" s="3">
        <f>VLOOKUP(B27,'Balance Sheet'!$B$2:$C$295,2,0)</f>
        <v>19.350000000000001</v>
      </c>
    </row>
    <row r="28" spans="1:6" x14ac:dyDescent="0.2">
      <c r="A28" s="3" t="s">
        <v>21</v>
      </c>
      <c r="B28" s="3" t="s">
        <v>2</v>
      </c>
      <c r="C28" s="4">
        <v>279475.31</v>
      </c>
      <c r="D28" s="4">
        <v>279475.31</v>
      </c>
      <c r="E28" s="4">
        <v>0</v>
      </c>
    </row>
    <row r="29" spans="1:6" x14ac:dyDescent="0.2">
      <c r="A29" s="3" t="s">
        <v>30</v>
      </c>
      <c r="B29" s="3" t="s">
        <v>31</v>
      </c>
      <c r="C29" s="4">
        <v>55393.68</v>
      </c>
      <c r="D29" s="4">
        <v>55393.68</v>
      </c>
      <c r="E29" s="4">
        <v>0</v>
      </c>
      <c r="F29" s="3">
        <f>VLOOKUP(B29,'Balance Sheet'!$B$2:$C$295,2,0)</f>
        <v>55393.68</v>
      </c>
    </row>
    <row r="30" spans="1:6" x14ac:dyDescent="0.2">
      <c r="A30" s="3" t="s">
        <v>30</v>
      </c>
      <c r="B30" s="3" t="s">
        <v>2</v>
      </c>
      <c r="C30" s="4">
        <v>55393.68</v>
      </c>
      <c r="D30" s="4">
        <v>55393.68</v>
      </c>
      <c r="E30" s="4">
        <v>0</v>
      </c>
    </row>
    <row r="31" spans="1:6" x14ac:dyDescent="0.2">
      <c r="A31" s="3" t="s">
        <v>32</v>
      </c>
      <c r="B31" s="3" t="s">
        <v>33</v>
      </c>
      <c r="C31" s="4">
        <v>61827.360000000001</v>
      </c>
      <c r="D31" s="4">
        <v>61827.360000000001</v>
      </c>
      <c r="E31" s="4">
        <v>0</v>
      </c>
      <c r="F31" s="3">
        <f>VLOOKUP(B31,'Balance Sheet'!$B$2:$C$295,2,0)</f>
        <v>61827.360000000001</v>
      </c>
    </row>
    <row r="32" spans="1:6" x14ac:dyDescent="0.2">
      <c r="A32" s="3" t="s">
        <v>32</v>
      </c>
      <c r="B32" s="3" t="s">
        <v>34</v>
      </c>
      <c r="C32" s="4">
        <v>1075.56</v>
      </c>
      <c r="D32" s="4">
        <v>1075.56</v>
      </c>
      <c r="E32" s="4">
        <v>0</v>
      </c>
      <c r="F32" s="3">
        <f>VLOOKUP(B32,'Balance Sheet'!$B$2:$C$295,2,0)</f>
        <v>1075.56</v>
      </c>
    </row>
    <row r="33" spans="1:6" x14ac:dyDescent="0.2">
      <c r="A33" s="3" t="s">
        <v>32</v>
      </c>
      <c r="B33" s="3" t="s">
        <v>35</v>
      </c>
      <c r="C33" s="4">
        <v>2597.52</v>
      </c>
      <c r="D33" s="4">
        <v>2597.52</v>
      </c>
      <c r="E33" s="4">
        <v>0</v>
      </c>
      <c r="F33" s="3">
        <f>VLOOKUP(B33,'Balance Sheet'!$B$2:$C$295,2,0)</f>
        <v>2597.52</v>
      </c>
    </row>
    <row r="34" spans="1:6" x14ac:dyDescent="0.2">
      <c r="A34" s="3" t="s">
        <v>32</v>
      </c>
      <c r="B34" s="3" t="s">
        <v>36</v>
      </c>
      <c r="C34" s="4">
        <v>266.16000000000003</v>
      </c>
      <c r="D34" s="4">
        <v>266.16000000000003</v>
      </c>
      <c r="E34" s="4">
        <v>0</v>
      </c>
      <c r="F34" s="3">
        <f>VLOOKUP(B34,'Balance Sheet'!$B$2:$C$295,2,0)</f>
        <v>266.16000000000003</v>
      </c>
    </row>
    <row r="35" spans="1:6" s="18" customFormat="1" x14ac:dyDescent="0.2">
      <c r="A35" s="18" t="s">
        <v>32</v>
      </c>
      <c r="B35" s="18" t="s">
        <v>37</v>
      </c>
      <c r="C35" s="19">
        <v>653147.53</v>
      </c>
      <c r="D35" s="19">
        <v>653147.53</v>
      </c>
      <c r="E35" s="19">
        <v>0</v>
      </c>
      <c r="F35" s="3">
        <f>VLOOKUP(B35,'Balance Sheet'!$B$2:$C$295,2,0)</f>
        <v>653147.53</v>
      </c>
    </row>
    <row r="36" spans="1:6" s="18" customFormat="1" x14ac:dyDescent="0.2">
      <c r="A36" s="18" t="s">
        <v>32</v>
      </c>
      <c r="B36" s="18" t="s">
        <v>38</v>
      </c>
      <c r="C36" s="19">
        <v>26597.24</v>
      </c>
      <c r="D36" s="19">
        <v>26597.24</v>
      </c>
      <c r="E36" s="19">
        <v>0</v>
      </c>
      <c r="F36" s="3">
        <f>VLOOKUP(B36,'Balance Sheet'!$B$2:$C$295,2,0)</f>
        <v>26597.24</v>
      </c>
    </row>
    <row r="37" spans="1:6" x14ac:dyDescent="0.2">
      <c r="A37" s="3" t="s">
        <v>32</v>
      </c>
      <c r="B37" s="3" t="s">
        <v>39</v>
      </c>
      <c r="C37" s="4">
        <v>2185.29</v>
      </c>
      <c r="D37" s="4">
        <v>2185.29</v>
      </c>
      <c r="E37" s="4">
        <v>0</v>
      </c>
      <c r="F37" s="3">
        <f>VLOOKUP(B37,'Balance Sheet'!$B$2:$C$295,2,0)</f>
        <v>2185.29</v>
      </c>
    </row>
    <row r="38" spans="1:6" s="18" customFormat="1" x14ac:dyDescent="0.2">
      <c r="A38" s="18" t="s">
        <v>32</v>
      </c>
      <c r="B38" s="18" t="s">
        <v>40</v>
      </c>
      <c r="C38" s="19">
        <v>0.1</v>
      </c>
      <c r="D38" s="19">
        <v>0.1</v>
      </c>
      <c r="E38" s="19">
        <v>0</v>
      </c>
      <c r="F38" s="3">
        <f>VLOOKUP(B38,'Balance Sheet'!$B$2:$C$295,2,0)</f>
        <v>0.1</v>
      </c>
    </row>
    <row r="39" spans="1:6" s="18" customFormat="1" x14ac:dyDescent="0.2">
      <c r="A39" s="18" t="s">
        <v>32</v>
      </c>
      <c r="B39" s="18" t="s">
        <v>41</v>
      </c>
      <c r="C39" s="19">
        <v>1225.31</v>
      </c>
      <c r="D39" s="19">
        <v>1225.31</v>
      </c>
      <c r="E39" s="19">
        <v>0</v>
      </c>
      <c r="F39" s="3">
        <f>VLOOKUP(B39,'Balance Sheet'!$B$2:$C$295,2,0)</f>
        <v>1225.31</v>
      </c>
    </row>
    <row r="40" spans="1:6" x14ac:dyDescent="0.2">
      <c r="A40" s="3" t="s">
        <v>32</v>
      </c>
      <c r="B40" s="3" t="s">
        <v>42</v>
      </c>
      <c r="C40" s="4">
        <v>49.42</v>
      </c>
      <c r="D40" s="4">
        <v>49.42</v>
      </c>
      <c r="E40" s="4">
        <v>0</v>
      </c>
      <c r="F40" s="3">
        <f>VLOOKUP(B40,'Balance Sheet'!$B$2:$C$295,2,0)</f>
        <v>49.42</v>
      </c>
    </row>
    <row r="41" spans="1:6" x14ac:dyDescent="0.2">
      <c r="A41" s="3" t="s">
        <v>32</v>
      </c>
      <c r="B41" s="3" t="s">
        <v>2</v>
      </c>
      <c r="C41" s="4">
        <v>748971.49</v>
      </c>
      <c r="D41" s="4">
        <v>748971.49</v>
      </c>
      <c r="E41" s="4">
        <v>0</v>
      </c>
    </row>
    <row r="42" spans="1:6" x14ac:dyDescent="0.2">
      <c r="A42" s="3" t="s">
        <v>43</v>
      </c>
      <c r="B42" s="3" t="s">
        <v>2</v>
      </c>
      <c r="C42" s="4">
        <v>1083840.48</v>
      </c>
      <c r="D42" s="4">
        <v>1083840.48</v>
      </c>
      <c r="E42" s="4">
        <v>0</v>
      </c>
    </row>
    <row r="43" spans="1:6" x14ac:dyDescent="0.2">
      <c r="A43" s="3" t="s">
        <v>44</v>
      </c>
      <c r="B43" s="3" t="s">
        <v>45</v>
      </c>
      <c r="C43" s="4">
        <v>17.88</v>
      </c>
      <c r="D43" s="4">
        <v>17.88</v>
      </c>
      <c r="E43" s="4">
        <v>0</v>
      </c>
      <c r="F43" s="3">
        <f>VLOOKUP(B43,'Balance Sheet'!$B$2:$C$295,2,0)</f>
        <v>17.88</v>
      </c>
    </row>
    <row r="44" spans="1:6" x14ac:dyDescent="0.2">
      <c r="A44" s="3" t="s">
        <v>44</v>
      </c>
      <c r="B44" s="3" t="s">
        <v>46</v>
      </c>
      <c r="C44" s="4">
        <v>601.42999999999995</v>
      </c>
      <c r="D44" s="4">
        <v>601.42999999999995</v>
      </c>
      <c r="E44" s="4">
        <v>0</v>
      </c>
      <c r="F44" s="3">
        <f>VLOOKUP(B44,'Balance Sheet'!$B$2:$C$295,2,0)</f>
        <v>601.42999999999995</v>
      </c>
    </row>
    <row r="45" spans="1:6" x14ac:dyDescent="0.2">
      <c r="A45" s="3" t="s">
        <v>44</v>
      </c>
      <c r="B45" s="3" t="s">
        <v>2</v>
      </c>
      <c r="C45" s="4">
        <v>619.30999999999995</v>
      </c>
      <c r="D45" s="4">
        <v>619.30999999999995</v>
      </c>
      <c r="E45" s="4">
        <v>0</v>
      </c>
    </row>
    <row r="46" spans="1:6" x14ac:dyDescent="0.2">
      <c r="A46" s="3" t="s">
        <v>47</v>
      </c>
      <c r="B46" s="3" t="s">
        <v>48</v>
      </c>
      <c r="C46" s="4">
        <v>18516576.800000001</v>
      </c>
      <c r="D46" s="4">
        <v>18516576.800000001</v>
      </c>
      <c r="E46" s="4">
        <v>0</v>
      </c>
      <c r="F46" s="3">
        <f>VLOOKUP(B46,'Balance Sheet'!$B$2:$C$295,2,0)</f>
        <v>18516576.800000001</v>
      </c>
    </row>
    <row r="47" spans="1:6" x14ac:dyDescent="0.2">
      <c r="A47" s="3" t="s">
        <v>47</v>
      </c>
      <c r="B47" s="3" t="s">
        <v>49</v>
      </c>
      <c r="C47" s="4">
        <v>-160955.35999999999</v>
      </c>
      <c r="D47" s="4">
        <v>-160955.35999999999</v>
      </c>
      <c r="E47" s="4">
        <v>0</v>
      </c>
      <c r="F47" s="3">
        <f>VLOOKUP(B47,'Balance Sheet'!$B$2:$C$295,2,0)</f>
        <v>-160955.35999999999</v>
      </c>
    </row>
    <row r="48" spans="1:6" x14ac:dyDescent="0.2">
      <c r="A48" s="3" t="s">
        <v>47</v>
      </c>
      <c r="B48" s="3" t="s">
        <v>50</v>
      </c>
      <c r="C48" s="4">
        <v>1700260.51</v>
      </c>
      <c r="D48" s="4">
        <v>1700260.51</v>
      </c>
      <c r="E48" s="4">
        <v>0</v>
      </c>
      <c r="F48" s="3">
        <f>VLOOKUP(B48,'Balance Sheet'!$B$2:$C$295,2,0)</f>
        <v>1700260.51</v>
      </c>
    </row>
    <row r="49" spans="1:6" x14ac:dyDescent="0.2">
      <c r="A49" s="3" t="s">
        <v>47</v>
      </c>
      <c r="B49" s="3" t="s">
        <v>51</v>
      </c>
      <c r="C49" s="4">
        <v>1056688.8600000001</v>
      </c>
      <c r="D49" s="4">
        <v>1056688.8600000001</v>
      </c>
      <c r="E49" s="4">
        <v>0</v>
      </c>
      <c r="F49" s="3">
        <f>VLOOKUP(B49,'Balance Sheet'!$B$2:$C$295,2,0)</f>
        <v>1056688.8600000001</v>
      </c>
    </row>
    <row r="50" spans="1:6" x14ac:dyDescent="0.2">
      <c r="A50" s="3" t="s">
        <v>47</v>
      </c>
      <c r="B50" s="3" t="s">
        <v>52</v>
      </c>
      <c r="C50" s="4">
        <v>3803674.39</v>
      </c>
      <c r="D50" s="4">
        <v>3803674.39</v>
      </c>
      <c r="E50" s="4">
        <v>0</v>
      </c>
      <c r="F50" s="3">
        <f>VLOOKUP(B50,'Balance Sheet'!$B$2:$C$295,2,0)</f>
        <v>3803674.39</v>
      </c>
    </row>
    <row r="51" spans="1:6" s="18" customFormat="1" x14ac:dyDescent="0.2">
      <c r="A51" s="18" t="s">
        <v>47</v>
      </c>
      <c r="B51" s="18" t="s">
        <v>53</v>
      </c>
      <c r="C51" s="19">
        <v>-240.41</v>
      </c>
      <c r="D51" s="19">
        <v>-240.41</v>
      </c>
      <c r="E51" s="19">
        <v>0</v>
      </c>
      <c r="F51" s="3">
        <f>VLOOKUP(B51,'Balance Sheet'!$B$2:$C$295,2,0)</f>
        <v>-240.41</v>
      </c>
    </row>
    <row r="52" spans="1:6" x14ac:dyDescent="0.2">
      <c r="A52" s="3" t="s">
        <v>47</v>
      </c>
      <c r="B52" s="3" t="s">
        <v>54</v>
      </c>
      <c r="C52" s="4">
        <v>54089.09</v>
      </c>
      <c r="D52" s="4">
        <v>54089.09</v>
      </c>
      <c r="E52" s="4">
        <v>0</v>
      </c>
      <c r="F52" s="3">
        <f>VLOOKUP(B52,'Balance Sheet'!$B$2:$C$295,2,0)</f>
        <v>54089.09</v>
      </c>
    </row>
    <row r="53" spans="1:6" x14ac:dyDescent="0.2">
      <c r="A53" s="3" t="s">
        <v>47</v>
      </c>
      <c r="B53" s="3" t="s">
        <v>55</v>
      </c>
      <c r="C53" s="4">
        <v>-1510996.42</v>
      </c>
      <c r="D53" s="4">
        <v>-1510996.42</v>
      </c>
      <c r="E53" s="4">
        <v>0</v>
      </c>
      <c r="F53" s="3">
        <f>VLOOKUP(B53,'Balance Sheet'!$B$2:$C$295,2,0)</f>
        <v>-1510996.42</v>
      </c>
    </row>
    <row r="54" spans="1:6" x14ac:dyDescent="0.2">
      <c r="A54" s="3" t="s">
        <v>47</v>
      </c>
      <c r="B54" s="3" t="s">
        <v>56</v>
      </c>
      <c r="C54" s="4">
        <v>-10101.379999999999</v>
      </c>
      <c r="D54" s="4">
        <v>-10101.379999999999</v>
      </c>
      <c r="E54" s="4">
        <v>0</v>
      </c>
      <c r="F54" s="3">
        <f>VLOOKUP(B54,'Balance Sheet'!$B$2:$C$295,2,0)</f>
        <v>-10101.379999999999</v>
      </c>
    </row>
    <row r="55" spans="1:6" x14ac:dyDescent="0.2">
      <c r="A55" s="3" t="s">
        <v>47</v>
      </c>
      <c r="B55" s="3" t="s">
        <v>57</v>
      </c>
      <c r="C55" s="4">
        <v>-28249.32</v>
      </c>
      <c r="D55" s="4">
        <v>-28249.32</v>
      </c>
      <c r="E55" s="4">
        <v>0</v>
      </c>
      <c r="F55" s="3">
        <f>VLOOKUP(B55,'Balance Sheet'!$B$2:$C$295,2,0)</f>
        <v>-28249.32</v>
      </c>
    </row>
    <row r="56" spans="1:6" x14ac:dyDescent="0.2">
      <c r="A56" s="3" t="s">
        <v>47</v>
      </c>
      <c r="B56" s="3" t="s">
        <v>58</v>
      </c>
      <c r="C56" s="4">
        <v>-13433.84</v>
      </c>
      <c r="D56" s="4">
        <v>-13433.84</v>
      </c>
      <c r="E56" s="4">
        <v>0</v>
      </c>
      <c r="F56" s="3">
        <f>VLOOKUP(B56,'Balance Sheet'!$B$2:$C$295,2,0)</f>
        <v>-13433.84</v>
      </c>
    </row>
    <row r="57" spans="1:6" x14ac:dyDescent="0.2">
      <c r="A57" s="3" t="s">
        <v>47</v>
      </c>
      <c r="B57" s="3" t="s">
        <v>2</v>
      </c>
      <c r="C57" s="4">
        <v>23407312.920000002</v>
      </c>
      <c r="D57" s="4">
        <v>23407312.920000002</v>
      </c>
      <c r="E57" s="4">
        <v>0</v>
      </c>
    </row>
    <row r="58" spans="1:6" x14ac:dyDescent="0.2">
      <c r="A58" s="3" t="s">
        <v>59</v>
      </c>
      <c r="B58" s="3" t="s">
        <v>60</v>
      </c>
      <c r="C58" s="4">
        <v>700433.21</v>
      </c>
      <c r="D58" s="4">
        <v>700433.21</v>
      </c>
      <c r="E58" s="4">
        <v>0</v>
      </c>
      <c r="F58" s="3">
        <f>VLOOKUP(B58,'Balance Sheet'!$B$2:$C$295,2,0)</f>
        <v>700433.21</v>
      </c>
    </row>
    <row r="59" spans="1:6" x14ac:dyDescent="0.2">
      <c r="A59" s="3" t="s">
        <v>59</v>
      </c>
      <c r="B59" s="3" t="s">
        <v>61</v>
      </c>
      <c r="C59" s="4">
        <v>166.69</v>
      </c>
      <c r="D59" s="4">
        <v>166.69</v>
      </c>
      <c r="E59" s="4">
        <v>0</v>
      </c>
      <c r="F59" s="3">
        <f>VLOOKUP(B59,'Balance Sheet'!$B$2:$C$295,2,0)</f>
        <v>166.69</v>
      </c>
    </row>
    <row r="60" spans="1:6" x14ac:dyDescent="0.2">
      <c r="A60" s="3" t="s">
        <v>59</v>
      </c>
      <c r="B60" s="3" t="s">
        <v>62</v>
      </c>
      <c r="C60" s="4">
        <v>260901.12</v>
      </c>
      <c r="D60" s="4">
        <v>260901.12</v>
      </c>
      <c r="E60" s="4">
        <v>0</v>
      </c>
      <c r="F60" s="3">
        <f>VLOOKUP(B60,'Balance Sheet'!$B$2:$C$295,2,0)</f>
        <v>260901.12</v>
      </c>
    </row>
    <row r="61" spans="1:6" x14ac:dyDescent="0.2">
      <c r="A61" s="3" t="s">
        <v>59</v>
      </c>
      <c r="B61" s="3" t="s">
        <v>63</v>
      </c>
      <c r="C61" s="4">
        <v>28129.23</v>
      </c>
      <c r="D61" s="4">
        <v>28129.23</v>
      </c>
      <c r="E61" s="4">
        <v>0</v>
      </c>
      <c r="F61" s="3">
        <f>VLOOKUP(B61,'Balance Sheet'!$B$2:$C$295,2,0)</f>
        <v>28129.23</v>
      </c>
    </row>
    <row r="62" spans="1:6" x14ac:dyDescent="0.2">
      <c r="A62" s="3" t="s">
        <v>59</v>
      </c>
      <c r="B62" s="3" t="s">
        <v>64</v>
      </c>
      <c r="C62" s="4">
        <v>148.82</v>
      </c>
      <c r="D62" s="4">
        <v>148.82</v>
      </c>
      <c r="E62" s="4">
        <v>0</v>
      </c>
      <c r="F62" s="3">
        <f>VLOOKUP(B62,'Balance Sheet'!$B$2:$C$295,2,0)</f>
        <v>148.82</v>
      </c>
    </row>
    <row r="63" spans="1:6" x14ac:dyDescent="0.2">
      <c r="A63" s="3" t="s">
        <v>59</v>
      </c>
      <c r="B63" s="3" t="s">
        <v>2</v>
      </c>
      <c r="C63" s="4">
        <v>989779.07</v>
      </c>
      <c r="D63" s="4">
        <v>989779.07</v>
      </c>
      <c r="E63" s="4">
        <v>0</v>
      </c>
    </row>
    <row r="64" spans="1:6" x14ac:dyDescent="0.2">
      <c r="A64" s="3" t="s">
        <v>65</v>
      </c>
      <c r="B64" s="3" t="s">
        <v>2</v>
      </c>
      <c r="C64" s="4">
        <v>24397711.300000001</v>
      </c>
      <c r="D64" s="4">
        <v>24397711.300000001</v>
      </c>
      <c r="E64" s="4">
        <v>0</v>
      </c>
    </row>
    <row r="65" spans="1:6" x14ac:dyDescent="0.2">
      <c r="A65" s="3" t="s">
        <v>66</v>
      </c>
      <c r="B65" s="3" t="s">
        <v>67</v>
      </c>
      <c r="C65" s="4">
        <v>-6135.39</v>
      </c>
      <c r="D65" s="4">
        <v>-6135.39</v>
      </c>
      <c r="E65" s="4">
        <v>0</v>
      </c>
      <c r="F65" s="3">
        <f>VLOOKUP(B65,'Balance Sheet'!$B$2:$C$295,2,0)</f>
        <v>-6135.39</v>
      </c>
    </row>
    <row r="66" spans="1:6" x14ac:dyDescent="0.2">
      <c r="A66" s="3" t="s">
        <v>66</v>
      </c>
      <c r="B66" s="3" t="s">
        <v>68</v>
      </c>
      <c r="C66" s="4">
        <v>4564.38</v>
      </c>
      <c r="D66" s="4">
        <v>4564.38</v>
      </c>
      <c r="E66" s="4">
        <v>0</v>
      </c>
      <c r="F66" s="3">
        <f>VLOOKUP(B66,'Balance Sheet'!$B$2:$C$295,2,0)</f>
        <v>4564.38</v>
      </c>
    </row>
    <row r="67" spans="1:6" x14ac:dyDescent="0.2">
      <c r="A67" s="3" t="s">
        <v>66</v>
      </c>
      <c r="B67" s="3" t="s">
        <v>2</v>
      </c>
      <c r="C67" s="4">
        <v>-1571.01</v>
      </c>
      <c r="D67" s="4">
        <v>-1571.01</v>
      </c>
      <c r="E67" s="4">
        <v>0</v>
      </c>
    </row>
    <row r="68" spans="1:6" x14ac:dyDescent="0.2">
      <c r="A68" s="3" t="s">
        <v>69</v>
      </c>
      <c r="B68" s="3" t="s">
        <v>2</v>
      </c>
      <c r="C68" s="4">
        <v>-1571.01</v>
      </c>
      <c r="D68" s="4">
        <v>-1571.01</v>
      </c>
      <c r="E68" s="4">
        <v>0</v>
      </c>
    </row>
    <row r="69" spans="1:6" x14ac:dyDescent="0.2">
      <c r="A69" s="3" t="s">
        <v>70</v>
      </c>
      <c r="B69" s="3" t="s">
        <v>71</v>
      </c>
      <c r="C69" s="4">
        <v>359163.46</v>
      </c>
      <c r="D69" s="4">
        <v>359163.46</v>
      </c>
      <c r="E69" s="4">
        <v>0</v>
      </c>
      <c r="F69" s="3">
        <f>VLOOKUP(B69,'Balance Sheet'!$B$2:$C$295,2,0)</f>
        <v>359163.46</v>
      </c>
    </row>
    <row r="70" spans="1:6" x14ac:dyDescent="0.2">
      <c r="A70" s="3" t="s">
        <v>70</v>
      </c>
      <c r="B70" s="3" t="s">
        <v>72</v>
      </c>
      <c r="C70" s="4">
        <v>-270414.81</v>
      </c>
      <c r="D70" s="4">
        <v>-270414.81</v>
      </c>
      <c r="E70" s="4">
        <v>0</v>
      </c>
      <c r="F70" s="3">
        <f>VLOOKUP(B70,'Balance Sheet'!$B$2:$C$295,2,0)</f>
        <v>-270414.81</v>
      </c>
    </row>
    <row r="71" spans="1:6" x14ac:dyDescent="0.2">
      <c r="A71" s="3" t="s">
        <v>70</v>
      </c>
      <c r="B71" s="3" t="s">
        <v>2</v>
      </c>
      <c r="C71" s="4">
        <v>88748.65</v>
      </c>
      <c r="D71" s="4">
        <v>88748.65</v>
      </c>
      <c r="E71" s="4">
        <v>0</v>
      </c>
    </row>
    <row r="72" spans="1:6" x14ac:dyDescent="0.2">
      <c r="A72" s="3" t="s">
        <v>73</v>
      </c>
      <c r="B72" s="3" t="s">
        <v>74</v>
      </c>
      <c r="C72" s="4">
        <v>136435.63</v>
      </c>
      <c r="D72" s="4">
        <v>136435.63</v>
      </c>
      <c r="E72" s="4">
        <v>0</v>
      </c>
      <c r="F72" s="3">
        <f>VLOOKUP(B72,'Balance Sheet'!$B$2:$C$295,2,0)</f>
        <v>136435.63</v>
      </c>
    </row>
    <row r="73" spans="1:6" x14ac:dyDescent="0.2">
      <c r="A73" s="3" t="s">
        <v>73</v>
      </c>
      <c r="B73" s="3" t="s">
        <v>75</v>
      </c>
      <c r="C73" s="4">
        <v>792872.27</v>
      </c>
      <c r="D73" s="4">
        <v>792872.27</v>
      </c>
      <c r="E73" s="4">
        <v>0</v>
      </c>
      <c r="F73" s="3">
        <f>VLOOKUP(B73,'Balance Sheet'!$B$2:$C$295,2,0)</f>
        <v>792872.27</v>
      </c>
    </row>
    <row r="74" spans="1:6" x14ac:dyDescent="0.2">
      <c r="A74" s="3" t="s">
        <v>73</v>
      </c>
      <c r="B74" s="3" t="s">
        <v>76</v>
      </c>
      <c r="C74" s="4">
        <v>409841.02</v>
      </c>
      <c r="D74" s="4">
        <v>409841.02</v>
      </c>
      <c r="E74" s="4">
        <v>0</v>
      </c>
      <c r="F74" s="3">
        <f>VLOOKUP(B74,'Balance Sheet'!$B$2:$C$295,2,0)</f>
        <v>409841.02</v>
      </c>
    </row>
    <row r="75" spans="1:6" x14ac:dyDescent="0.2">
      <c r="A75" s="3" t="s">
        <v>73</v>
      </c>
      <c r="B75" s="3" t="s">
        <v>77</v>
      </c>
      <c r="C75" s="4">
        <v>495.24</v>
      </c>
      <c r="D75" s="4">
        <v>495.24</v>
      </c>
      <c r="E75" s="4">
        <v>0</v>
      </c>
      <c r="F75" s="3">
        <f>VLOOKUP(B75,'Balance Sheet'!$B$2:$C$295,2,0)</f>
        <v>495.24</v>
      </c>
    </row>
    <row r="76" spans="1:6" x14ac:dyDescent="0.2">
      <c r="A76" s="3" t="s">
        <v>73</v>
      </c>
      <c r="B76" s="3" t="s">
        <v>78</v>
      </c>
      <c r="C76" s="4">
        <v>410018.01</v>
      </c>
      <c r="D76" s="4">
        <v>410018.01</v>
      </c>
      <c r="E76" s="4">
        <v>0</v>
      </c>
      <c r="F76" s="3">
        <f>VLOOKUP(B76,'Balance Sheet'!$B$2:$C$295,2,0)</f>
        <v>410018.01</v>
      </c>
    </row>
    <row r="77" spans="1:6" x14ac:dyDescent="0.2">
      <c r="A77" s="3" t="s">
        <v>73</v>
      </c>
      <c r="B77" s="3" t="s">
        <v>79</v>
      </c>
      <c r="C77" s="4">
        <v>-132008.15</v>
      </c>
      <c r="D77" s="4">
        <v>-132008.15</v>
      </c>
      <c r="E77" s="4">
        <v>0</v>
      </c>
      <c r="F77" s="3">
        <f>VLOOKUP(B77,'Balance Sheet'!$B$2:$C$295,2,0)</f>
        <v>-132008.15</v>
      </c>
    </row>
    <row r="78" spans="1:6" x14ac:dyDescent="0.2">
      <c r="A78" s="3" t="s">
        <v>73</v>
      </c>
      <c r="B78" s="3" t="s">
        <v>80</v>
      </c>
      <c r="C78" s="4">
        <v>-486994.46</v>
      </c>
      <c r="D78" s="4">
        <v>-486994.46</v>
      </c>
      <c r="E78" s="4">
        <v>0</v>
      </c>
      <c r="F78" s="3">
        <f>VLOOKUP(B78,'Balance Sheet'!$B$2:$C$295,2,0)</f>
        <v>-486994.46</v>
      </c>
    </row>
    <row r="79" spans="1:6" x14ac:dyDescent="0.2">
      <c r="A79" s="3" t="s">
        <v>73</v>
      </c>
      <c r="B79" s="3" t="s">
        <v>81</v>
      </c>
      <c r="C79" s="4">
        <v>-304759.42</v>
      </c>
      <c r="D79" s="4">
        <v>-304759.42</v>
      </c>
      <c r="E79" s="4">
        <v>0</v>
      </c>
      <c r="F79" s="3">
        <f>VLOOKUP(B79,'Balance Sheet'!$B$2:$C$295,2,0)</f>
        <v>-304759.42</v>
      </c>
    </row>
    <row r="80" spans="1:6" x14ac:dyDescent="0.2">
      <c r="A80" s="3" t="s">
        <v>73</v>
      </c>
      <c r="B80" s="3" t="s">
        <v>82</v>
      </c>
      <c r="C80" s="4">
        <v>-495.24</v>
      </c>
      <c r="D80" s="4">
        <v>-495.24</v>
      </c>
      <c r="E80" s="4">
        <v>0</v>
      </c>
      <c r="F80" s="3">
        <f>VLOOKUP(B80,'Balance Sheet'!$B$2:$C$295,2,0)</f>
        <v>-495.24</v>
      </c>
    </row>
    <row r="81" spans="1:6" x14ac:dyDescent="0.2">
      <c r="A81" s="3" t="s">
        <v>73</v>
      </c>
      <c r="B81" s="3" t="s">
        <v>83</v>
      </c>
      <c r="C81" s="4">
        <v>-263021.82</v>
      </c>
      <c r="D81" s="4">
        <v>-263021.82</v>
      </c>
      <c r="E81" s="4">
        <v>0</v>
      </c>
      <c r="F81" s="3">
        <f>VLOOKUP(B81,'Balance Sheet'!$B$2:$C$295,2,0)</f>
        <v>-263021.82</v>
      </c>
    </row>
    <row r="82" spans="1:6" x14ac:dyDescent="0.2">
      <c r="A82" s="3" t="s">
        <v>73</v>
      </c>
      <c r="B82" s="3" t="s">
        <v>2</v>
      </c>
      <c r="C82" s="4">
        <v>562383.07999999996</v>
      </c>
      <c r="D82" s="4">
        <v>562383.07999999996</v>
      </c>
      <c r="E82" s="4">
        <v>0</v>
      </c>
    </row>
    <row r="83" spans="1:6" x14ac:dyDescent="0.2">
      <c r="A83" s="3" t="s">
        <v>84</v>
      </c>
      <c r="B83" s="3" t="s">
        <v>85</v>
      </c>
      <c r="C83" s="4">
        <v>19836670.899999999</v>
      </c>
      <c r="D83" s="4">
        <v>19836670.899999999</v>
      </c>
      <c r="E83" s="4">
        <v>0</v>
      </c>
      <c r="F83" s="3">
        <f>VLOOKUP(B83,'Balance Sheet'!$B$2:$C$295,2,0)</f>
        <v>19836670.899999999</v>
      </c>
    </row>
    <row r="84" spans="1:6" x14ac:dyDescent="0.2">
      <c r="A84" s="3" t="s">
        <v>84</v>
      </c>
      <c r="B84" s="3" t="s">
        <v>86</v>
      </c>
      <c r="C84" s="4">
        <v>-7997130.0800000001</v>
      </c>
      <c r="D84" s="4">
        <v>-7997130.0800000001</v>
      </c>
      <c r="E84" s="4">
        <v>0</v>
      </c>
      <c r="F84" s="3">
        <f>VLOOKUP(B84,'Balance Sheet'!$B$2:$C$295,2,0)</f>
        <v>-7997130.0800000001</v>
      </c>
    </row>
    <row r="85" spans="1:6" x14ac:dyDescent="0.2">
      <c r="A85" s="3" t="s">
        <v>84</v>
      </c>
      <c r="B85" s="3" t="s">
        <v>2</v>
      </c>
      <c r="C85" s="4">
        <v>11839540.82</v>
      </c>
      <c r="D85" s="4">
        <v>11839540.82</v>
      </c>
      <c r="E85" s="4">
        <v>0</v>
      </c>
    </row>
    <row r="86" spans="1:6" x14ac:dyDescent="0.2">
      <c r="A86" s="3" t="s">
        <v>87</v>
      </c>
      <c r="B86" s="3" t="s">
        <v>88</v>
      </c>
      <c r="C86" s="4">
        <v>138174.15</v>
      </c>
      <c r="D86" s="4">
        <v>138174.15</v>
      </c>
      <c r="E86" s="4">
        <v>0</v>
      </c>
      <c r="F86" s="3">
        <f>VLOOKUP(B86,'Balance Sheet'!$B$2:$C$295,2,0)</f>
        <v>138174.15</v>
      </c>
    </row>
    <row r="87" spans="1:6" x14ac:dyDescent="0.2">
      <c r="A87" s="3" t="s">
        <v>87</v>
      </c>
      <c r="B87" s="3" t="s">
        <v>89</v>
      </c>
      <c r="C87" s="4">
        <v>698073.71</v>
      </c>
      <c r="D87" s="4">
        <v>698073.71</v>
      </c>
      <c r="E87" s="4">
        <v>0</v>
      </c>
      <c r="F87" s="3">
        <f>VLOOKUP(B87,'Balance Sheet'!$B$2:$C$295,2,0)</f>
        <v>698073.71</v>
      </c>
    </row>
    <row r="88" spans="1:6" x14ac:dyDescent="0.2">
      <c r="A88" s="3" t="s">
        <v>87</v>
      </c>
      <c r="B88" s="3" t="s">
        <v>90</v>
      </c>
      <c r="C88" s="4">
        <v>-137562.73000000001</v>
      </c>
      <c r="D88" s="4">
        <v>-137562.73000000001</v>
      </c>
      <c r="E88" s="4">
        <v>0</v>
      </c>
      <c r="F88" s="3">
        <f>VLOOKUP(B88,'Balance Sheet'!$B$2:$C$295,2,0)</f>
        <v>-137562.73000000001</v>
      </c>
    </row>
    <row r="89" spans="1:6" x14ac:dyDescent="0.2">
      <c r="A89" s="3" t="s">
        <v>87</v>
      </c>
      <c r="B89" s="3" t="s">
        <v>91</v>
      </c>
      <c r="C89" s="4">
        <v>-676639.4</v>
      </c>
      <c r="D89" s="4">
        <v>-676639.4</v>
      </c>
      <c r="E89" s="4">
        <v>0</v>
      </c>
      <c r="F89" s="3">
        <f>VLOOKUP(B89,'Balance Sheet'!$B$2:$C$295,2,0)</f>
        <v>-676639.4</v>
      </c>
    </row>
    <row r="90" spans="1:6" x14ac:dyDescent="0.2">
      <c r="A90" s="3" t="s">
        <v>87</v>
      </c>
      <c r="B90" s="3" t="s">
        <v>2</v>
      </c>
      <c r="C90" s="4">
        <v>22045.73</v>
      </c>
      <c r="D90" s="4">
        <v>22045.73</v>
      </c>
      <c r="E90" s="4">
        <v>0</v>
      </c>
    </row>
    <row r="91" spans="1:6" x14ac:dyDescent="0.2">
      <c r="A91" s="3" t="s">
        <v>92</v>
      </c>
      <c r="B91" s="3" t="s">
        <v>93</v>
      </c>
      <c r="C91" s="4">
        <v>12597.18</v>
      </c>
      <c r="D91" s="4">
        <v>12597.18</v>
      </c>
      <c r="E91" s="4">
        <v>0</v>
      </c>
      <c r="F91" s="3">
        <f>VLOOKUP(B91,'Balance Sheet'!$B$2:$C$295,2,0)</f>
        <v>12597.18</v>
      </c>
    </row>
    <row r="92" spans="1:6" x14ac:dyDescent="0.2">
      <c r="A92" s="3" t="s">
        <v>92</v>
      </c>
      <c r="B92" s="3" t="s">
        <v>94</v>
      </c>
      <c r="C92" s="4">
        <v>281808.56</v>
      </c>
      <c r="D92" s="4">
        <v>281808.56</v>
      </c>
      <c r="E92" s="4">
        <v>0</v>
      </c>
      <c r="F92" s="3">
        <f>VLOOKUP(B92,'Balance Sheet'!$B$2:$C$295,2,0)</f>
        <v>281808.56</v>
      </c>
    </row>
    <row r="93" spans="1:6" x14ac:dyDescent="0.2">
      <c r="A93" s="3" t="s">
        <v>92</v>
      </c>
      <c r="B93" s="3" t="s">
        <v>95</v>
      </c>
      <c r="C93" s="4">
        <v>-7729.14</v>
      </c>
      <c r="D93" s="4">
        <v>-7729.14</v>
      </c>
      <c r="E93" s="4">
        <v>0</v>
      </c>
      <c r="F93" s="3">
        <f>VLOOKUP(B93,'Balance Sheet'!$B$2:$C$295,2,0)</f>
        <v>-7729.14</v>
      </c>
    </row>
    <row r="94" spans="1:6" x14ac:dyDescent="0.2">
      <c r="A94" s="3" t="s">
        <v>92</v>
      </c>
      <c r="B94" s="3" t="s">
        <v>96</v>
      </c>
      <c r="C94" s="4">
        <v>-155029.79</v>
      </c>
      <c r="D94" s="4">
        <v>-155029.79</v>
      </c>
      <c r="E94" s="4">
        <v>0</v>
      </c>
      <c r="F94" s="3">
        <f>VLOOKUP(B94,'Balance Sheet'!$B$2:$C$295,2,0)</f>
        <v>-155029.79</v>
      </c>
    </row>
    <row r="95" spans="1:6" x14ac:dyDescent="0.2">
      <c r="A95" s="3" t="s">
        <v>92</v>
      </c>
      <c r="B95" s="3" t="s">
        <v>2</v>
      </c>
      <c r="C95" s="4">
        <v>131646.81</v>
      </c>
      <c r="D95" s="4">
        <v>131646.81</v>
      </c>
      <c r="E95" s="4">
        <v>0</v>
      </c>
    </row>
    <row r="96" spans="1:6" x14ac:dyDescent="0.2">
      <c r="A96" s="3" t="s">
        <v>97</v>
      </c>
      <c r="B96" s="3" t="s">
        <v>98</v>
      </c>
      <c r="C96" s="4">
        <v>189218.51</v>
      </c>
      <c r="D96" s="4">
        <v>189218.51</v>
      </c>
      <c r="E96" s="4">
        <v>0</v>
      </c>
      <c r="F96" s="3">
        <f>VLOOKUP(B96,'Balance Sheet'!$B$2:$C$295,2,0)</f>
        <v>189218.51</v>
      </c>
    </row>
    <row r="97" spans="1:6" x14ac:dyDescent="0.2">
      <c r="A97" s="3" t="s">
        <v>97</v>
      </c>
      <c r="B97" s="3" t="s">
        <v>99</v>
      </c>
      <c r="C97" s="4">
        <v>-138445.53</v>
      </c>
      <c r="D97" s="4">
        <v>-138445.53</v>
      </c>
      <c r="E97" s="4">
        <v>0</v>
      </c>
      <c r="F97" s="3">
        <f>VLOOKUP(B97,'Balance Sheet'!$B$2:$C$295,2,0)</f>
        <v>-138445.53</v>
      </c>
    </row>
    <row r="98" spans="1:6" x14ac:dyDescent="0.2">
      <c r="A98" s="3" t="s">
        <v>97</v>
      </c>
      <c r="B98" s="3" t="s">
        <v>2</v>
      </c>
      <c r="C98" s="4">
        <v>50772.98</v>
      </c>
      <c r="D98" s="4">
        <v>50772.98</v>
      </c>
      <c r="E98" s="4">
        <v>0</v>
      </c>
    </row>
    <row r="99" spans="1:6" x14ac:dyDescent="0.2">
      <c r="A99" s="3" t="s">
        <v>100</v>
      </c>
      <c r="B99" s="3" t="s">
        <v>101</v>
      </c>
      <c r="C99" s="4">
        <v>143821.99</v>
      </c>
      <c r="D99" s="4">
        <v>143821.99</v>
      </c>
      <c r="E99" s="4">
        <v>0</v>
      </c>
      <c r="F99" s="3">
        <f>VLOOKUP(B99,'Balance Sheet'!$B$2:$C$295,2,0)</f>
        <v>143821.99</v>
      </c>
    </row>
    <row r="100" spans="1:6" x14ac:dyDescent="0.2">
      <c r="A100" s="3" t="s">
        <v>100</v>
      </c>
      <c r="B100" s="3" t="s">
        <v>102</v>
      </c>
      <c r="C100" s="4">
        <v>-118773.3</v>
      </c>
      <c r="D100" s="4">
        <v>-118773.3</v>
      </c>
      <c r="E100" s="4">
        <v>0</v>
      </c>
      <c r="F100" s="3">
        <f>VLOOKUP(B100,'Balance Sheet'!$B$2:$C$295,2,0)</f>
        <v>-118773.3</v>
      </c>
    </row>
    <row r="101" spans="1:6" x14ac:dyDescent="0.2">
      <c r="A101" s="3" t="s">
        <v>100</v>
      </c>
      <c r="B101" s="3" t="s">
        <v>2</v>
      </c>
      <c r="C101" s="4">
        <v>25048.69</v>
      </c>
      <c r="D101" s="4">
        <v>25048.69</v>
      </c>
      <c r="E101" s="4">
        <v>0</v>
      </c>
    </row>
    <row r="102" spans="1:6" x14ac:dyDescent="0.2">
      <c r="A102" s="3" t="s">
        <v>103</v>
      </c>
      <c r="B102" s="3" t="s">
        <v>2</v>
      </c>
      <c r="C102" s="4">
        <v>12720186.76</v>
      </c>
      <c r="D102" s="4">
        <v>12720186.76</v>
      </c>
      <c r="E102" s="4">
        <v>0</v>
      </c>
    </row>
    <row r="103" spans="1:6" x14ac:dyDescent="0.2">
      <c r="A103" s="3" t="s">
        <v>104</v>
      </c>
      <c r="B103" s="3" t="s">
        <v>105</v>
      </c>
      <c r="C103" s="4">
        <v>2811368.31</v>
      </c>
      <c r="D103" s="4">
        <v>2811368.31</v>
      </c>
      <c r="E103" s="4">
        <v>0</v>
      </c>
      <c r="F103" s="3">
        <f>VLOOKUP(B103,'Balance Sheet'!$B$2:$C$295,2,0)</f>
        <v>2811368.31</v>
      </c>
    </row>
    <row r="104" spans="1:6" x14ac:dyDescent="0.2">
      <c r="A104" s="3" t="s">
        <v>104</v>
      </c>
      <c r="B104" s="3" t="s">
        <v>106</v>
      </c>
      <c r="C104" s="4">
        <v>1049391.33</v>
      </c>
      <c r="D104" s="4">
        <v>1049391.33</v>
      </c>
      <c r="E104" s="4">
        <v>0</v>
      </c>
      <c r="F104" s="3">
        <f>VLOOKUP(B104,'Balance Sheet'!$B$2:$C$295,2,0)</f>
        <v>1049391.33</v>
      </c>
    </row>
    <row r="105" spans="1:6" x14ac:dyDescent="0.2">
      <c r="A105" s="3" t="s">
        <v>104</v>
      </c>
      <c r="B105" s="3" t="s">
        <v>107</v>
      </c>
      <c r="C105" s="4">
        <v>-2811368.21</v>
      </c>
      <c r="D105" s="4">
        <v>-2811368.21</v>
      </c>
      <c r="E105" s="4">
        <v>0</v>
      </c>
      <c r="F105" s="3">
        <f>VLOOKUP(B105,'Balance Sheet'!$B$2:$C$295,2,0)</f>
        <v>-2811368.21</v>
      </c>
    </row>
    <row r="106" spans="1:6" x14ac:dyDescent="0.2">
      <c r="A106" s="3" t="s">
        <v>104</v>
      </c>
      <c r="B106" s="3" t="s">
        <v>108</v>
      </c>
      <c r="C106" s="4">
        <v>-704193.77</v>
      </c>
      <c r="D106" s="4">
        <v>-704193.77</v>
      </c>
      <c r="E106" s="4">
        <v>0</v>
      </c>
      <c r="F106" s="3">
        <f>VLOOKUP(B106,'Balance Sheet'!$B$2:$C$295,2,0)</f>
        <v>-704193.77</v>
      </c>
    </row>
    <row r="107" spans="1:6" x14ac:dyDescent="0.2">
      <c r="A107" s="3" t="s">
        <v>104</v>
      </c>
      <c r="B107" s="3" t="s">
        <v>109</v>
      </c>
      <c r="C107" s="4">
        <v>-80257.42</v>
      </c>
      <c r="D107" s="4">
        <v>-80257.42</v>
      </c>
      <c r="E107" s="4">
        <v>0</v>
      </c>
      <c r="F107" s="3">
        <f>VLOOKUP(B107,'Balance Sheet'!$B$2:$C$295,2,0)</f>
        <v>-80257.42</v>
      </c>
    </row>
    <row r="108" spans="1:6" x14ac:dyDescent="0.2">
      <c r="A108" s="3" t="s">
        <v>104</v>
      </c>
      <c r="B108" s="3" t="s">
        <v>110</v>
      </c>
      <c r="C108" s="4">
        <v>11976.55</v>
      </c>
      <c r="D108" s="4">
        <v>11976.55</v>
      </c>
      <c r="E108" s="4">
        <v>0</v>
      </c>
      <c r="F108" s="3">
        <f>VLOOKUP(B108,'Balance Sheet'!$B$2:$C$295,2,0)</f>
        <v>11976.55</v>
      </c>
    </row>
    <row r="109" spans="1:6" s="18" customFormat="1" x14ac:dyDescent="0.2">
      <c r="A109" s="18" t="s">
        <v>104</v>
      </c>
      <c r="B109" s="18" t="s">
        <v>111</v>
      </c>
      <c r="C109" s="19">
        <v>10624.89</v>
      </c>
      <c r="D109" s="19">
        <v>10624.89</v>
      </c>
      <c r="E109" s="19">
        <v>0</v>
      </c>
      <c r="F109" s="3">
        <f>VLOOKUP(B109,'Balance Sheet'!$B$2:$C$295,2,0)</f>
        <v>10624.89</v>
      </c>
    </row>
    <row r="110" spans="1:6" x14ac:dyDescent="0.2">
      <c r="A110" s="3" t="s">
        <v>104</v>
      </c>
      <c r="B110" s="3" t="s">
        <v>2</v>
      </c>
      <c r="C110" s="4">
        <v>287541.68</v>
      </c>
      <c r="D110" s="4">
        <v>287541.68</v>
      </c>
      <c r="E110" s="4">
        <v>0</v>
      </c>
    </row>
    <row r="111" spans="1:6" x14ac:dyDescent="0.2">
      <c r="A111" s="3" t="s">
        <v>112</v>
      </c>
      <c r="B111" s="3" t="s">
        <v>2</v>
      </c>
      <c r="C111" s="4">
        <v>287541.68</v>
      </c>
      <c r="D111" s="4">
        <v>287541.68</v>
      </c>
      <c r="E111" s="4">
        <v>0</v>
      </c>
    </row>
    <row r="112" spans="1:6" x14ac:dyDescent="0.2">
      <c r="A112" s="3" t="s">
        <v>0</v>
      </c>
      <c r="B112" s="3" t="s">
        <v>113</v>
      </c>
      <c r="C112" s="4">
        <v>66285026.810000002</v>
      </c>
      <c r="D112" s="4">
        <v>66285026.810000002</v>
      </c>
      <c r="E112" s="4">
        <v>0</v>
      </c>
      <c r="F112" s="3">
        <f>VLOOKUP(B112,'Balance Sheet'!$B$2:$C$295,2,0)</f>
        <v>66158248.039999992</v>
      </c>
    </row>
    <row r="113" spans="1:6" x14ac:dyDescent="0.2">
      <c r="A113" s="3" t="s">
        <v>0</v>
      </c>
      <c r="B113" s="5" t="s">
        <v>114</v>
      </c>
      <c r="C113" s="4">
        <v>0</v>
      </c>
      <c r="D113" s="4">
        <v>0</v>
      </c>
      <c r="E113" s="4">
        <v>0</v>
      </c>
    </row>
    <row r="114" spans="1:6" x14ac:dyDescent="0.2">
      <c r="A114" s="3" t="s">
        <v>115</v>
      </c>
      <c r="B114" s="3" t="s">
        <v>116</v>
      </c>
      <c r="C114" s="4">
        <v>0</v>
      </c>
      <c r="D114" s="4">
        <v>0</v>
      </c>
      <c r="E114" s="4">
        <v>0</v>
      </c>
      <c r="F114" s="3">
        <f>VLOOKUP(B114,'Balance Sheet'!$B$2:$C$295,2,0)</f>
        <v>0</v>
      </c>
    </row>
    <row r="115" spans="1:6" x14ac:dyDescent="0.2">
      <c r="A115" s="3" t="s">
        <v>115</v>
      </c>
      <c r="B115" s="5" t="s">
        <v>117</v>
      </c>
      <c r="C115" s="4">
        <v>0</v>
      </c>
      <c r="D115" s="4">
        <v>0</v>
      </c>
      <c r="E115" s="4">
        <v>0</v>
      </c>
    </row>
    <row r="116" spans="1:6" x14ac:dyDescent="0.2">
      <c r="A116" s="3" t="s">
        <v>118</v>
      </c>
      <c r="B116" s="3" t="s">
        <v>119</v>
      </c>
      <c r="C116" s="4">
        <v>-117850.67</v>
      </c>
      <c r="D116" s="4">
        <v>-117850.67</v>
      </c>
      <c r="E116" s="4">
        <v>0</v>
      </c>
      <c r="F116" s="3">
        <f>VLOOKUP(B116,'Balance Sheet'!$B$2:$C$295,2,0)</f>
        <v>-117850.67</v>
      </c>
    </row>
    <row r="117" spans="1:6" x14ac:dyDescent="0.2">
      <c r="A117" s="3" t="s">
        <v>118</v>
      </c>
      <c r="B117" s="3" t="s">
        <v>120</v>
      </c>
      <c r="C117" s="4">
        <v>-696.58</v>
      </c>
      <c r="D117" s="4">
        <v>-696.58</v>
      </c>
      <c r="E117" s="4">
        <v>0</v>
      </c>
      <c r="F117" s="3">
        <f>VLOOKUP(B117,'Balance Sheet'!$B$2:$C$295,2,0)</f>
        <v>-696.58</v>
      </c>
    </row>
    <row r="118" spans="1:6" x14ac:dyDescent="0.2">
      <c r="A118" s="3" t="s">
        <v>118</v>
      </c>
      <c r="B118" s="3" t="s">
        <v>2</v>
      </c>
      <c r="C118" s="46">
        <v>-118547.25</v>
      </c>
      <c r="D118" s="4">
        <v>-118547.25</v>
      </c>
      <c r="E118" s="4">
        <v>0</v>
      </c>
    </row>
    <row r="119" spans="1:6" x14ac:dyDescent="0.2">
      <c r="A119" s="3" t="s">
        <v>121</v>
      </c>
      <c r="B119" s="3" t="s">
        <v>2</v>
      </c>
      <c r="C119" s="4">
        <v>-118547.25</v>
      </c>
      <c r="D119" s="4">
        <v>-118547.25</v>
      </c>
      <c r="E119" s="4">
        <v>0</v>
      </c>
    </row>
    <row r="120" spans="1:6" x14ac:dyDescent="0.2">
      <c r="A120" s="3" t="s">
        <v>122</v>
      </c>
      <c r="B120" s="3" t="s">
        <v>123</v>
      </c>
      <c r="C120" s="4">
        <v>-249466.1</v>
      </c>
      <c r="D120" s="4">
        <v>-249466.1</v>
      </c>
      <c r="E120" s="4">
        <v>0</v>
      </c>
      <c r="F120" s="3">
        <f>VLOOKUP(B120,'Balance Sheet'!$B$2:$C$295,2,0)</f>
        <v>-249466.1</v>
      </c>
    </row>
    <row r="121" spans="1:6" x14ac:dyDescent="0.2">
      <c r="A121" s="3" t="s">
        <v>122</v>
      </c>
      <c r="B121" s="3" t="s">
        <v>124</v>
      </c>
      <c r="C121" s="4">
        <v>-4319.66</v>
      </c>
      <c r="D121" s="4">
        <v>-4319.66</v>
      </c>
      <c r="E121" s="4">
        <v>0</v>
      </c>
      <c r="F121" s="3">
        <f>VLOOKUP(B121,'Balance Sheet'!$B$2:$C$295,2,0)</f>
        <v>-4319.66</v>
      </c>
    </row>
    <row r="122" spans="1:6" s="18" customFormat="1" x14ac:dyDescent="0.2">
      <c r="A122" s="18" t="s">
        <v>122</v>
      </c>
      <c r="B122" s="18" t="s">
        <v>125</v>
      </c>
      <c r="D122" s="19">
        <v>269.45</v>
      </c>
      <c r="E122" s="19">
        <v>0</v>
      </c>
      <c r="F122" s="3">
        <f>VLOOKUP(B122,'Balance Sheet'!$B$2:$C$295,2,0)</f>
        <v>269.45</v>
      </c>
    </row>
    <row r="123" spans="1:6" x14ac:dyDescent="0.2">
      <c r="A123" s="3" t="s">
        <v>122</v>
      </c>
      <c r="B123" s="3" t="s">
        <v>126</v>
      </c>
      <c r="C123" s="4">
        <v>3599526.81</v>
      </c>
      <c r="D123" s="4">
        <v>3599526.81</v>
      </c>
      <c r="E123" s="4">
        <v>0</v>
      </c>
      <c r="F123" s="3">
        <f>VLOOKUP(B123,'Balance Sheet'!$B$2:$C$295,2,0)</f>
        <v>3599526.81</v>
      </c>
    </row>
    <row r="124" spans="1:6" x14ac:dyDescent="0.2">
      <c r="A124" s="3" t="s">
        <v>122</v>
      </c>
      <c r="B124" s="3" t="s">
        <v>127</v>
      </c>
      <c r="C124" s="4">
        <v>5274.65</v>
      </c>
      <c r="D124" s="4">
        <v>5274.65</v>
      </c>
      <c r="E124" s="4">
        <v>0</v>
      </c>
      <c r="F124" s="3">
        <f>VLOOKUP(B124,'Balance Sheet'!$B$2:$C$295,2,0)</f>
        <v>5274.65</v>
      </c>
    </row>
    <row r="125" spans="1:6" x14ac:dyDescent="0.2">
      <c r="A125" s="3" t="s">
        <v>122</v>
      </c>
      <c r="B125" s="3" t="s">
        <v>128</v>
      </c>
      <c r="C125" s="4">
        <v>48799.62</v>
      </c>
      <c r="D125" s="4">
        <v>48799.62</v>
      </c>
      <c r="E125" s="4">
        <v>0</v>
      </c>
      <c r="F125" s="3">
        <f>VLOOKUP(B125,'Balance Sheet'!$B$2:$C$295,2,0)</f>
        <v>48799.62</v>
      </c>
    </row>
    <row r="126" spans="1:6" x14ac:dyDescent="0.2">
      <c r="A126" s="3" t="s">
        <v>122</v>
      </c>
      <c r="B126" s="3" t="s">
        <v>129</v>
      </c>
      <c r="C126" s="4">
        <v>-3599526.81</v>
      </c>
      <c r="D126" s="4">
        <v>-3599526.81</v>
      </c>
      <c r="E126" s="4">
        <v>0</v>
      </c>
      <c r="F126" s="3">
        <f>VLOOKUP(B126,'Balance Sheet'!$B$2:$C$295,2,0)</f>
        <v>-3599526.81</v>
      </c>
    </row>
    <row r="127" spans="1:6" x14ac:dyDescent="0.2">
      <c r="A127" s="3" t="s">
        <v>122</v>
      </c>
      <c r="B127" s="3" t="s">
        <v>130</v>
      </c>
      <c r="C127" s="4">
        <v>-5274.65</v>
      </c>
      <c r="D127" s="4">
        <v>-5274.65</v>
      </c>
      <c r="E127" s="4">
        <v>0</v>
      </c>
      <c r="F127" s="3">
        <f>VLOOKUP(B127,'Balance Sheet'!$B$2:$C$295,2,0)</f>
        <v>-5274.65</v>
      </c>
    </row>
    <row r="128" spans="1:6" x14ac:dyDescent="0.2">
      <c r="A128" s="3" t="s">
        <v>122</v>
      </c>
      <c r="B128" s="3" t="s">
        <v>131</v>
      </c>
      <c r="C128" s="4">
        <v>-48799.62</v>
      </c>
      <c r="D128" s="4">
        <v>-48799.62</v>
      </c>
      <c r="E128" s="4">
        <v>0</v>
      </c>
      <c r="F128" s="3">
        <f>VLOOKUP(B128,'Balance Sheet'!$B$2:$C$295,2,0)</f>
        <v>-48799.62</v>
      </c>
    </row>
    <row r="129" spans="1:6" x14ac:dyDescent="0.2">
      <c r="A129" s="3" t="s">
        <v>122</v>
      </c>
      <c r="B129" s="3" t="s">
        <v>132</v>
      </c>
      <c r="C129" s="4">
        <v>7019.32</v>
      </c>
      <c r="D129" s="4">
        <v>7019.32</v>
      </c>
      <c r="E129" s="4">
        <v>0</v>
      </c>
      <c r="F129" s="3">
        <f>VLOOKUP(B129,'Balance Sheet'!$B$2:$C$295,2,0)</f>
        <v>7019.32</v>
      </c>
    </row>
    <row r="130" spans="1:6" x14ac:dyDescent="0.2">
      <c r="A130" s="3" t="s">
        <v>122</v>
      </c>
      <c r="B130" s="3" t="s">
        <v>133</v>
      </c>
      <c r="C130" s="4">
        <v>-7445.28</v>
      </c>
      <c r="D130" s="4">
        <v>-7445.28</v>
      </c>
      <c r="E130" s="4">
        <v>0</v>
      </c>
      <c r="F130" s="3">
        <f>VLOOKUP(B130,'Balance Sheet'!$B$2:$C$295,2,0)</f>
        <v>-7445.28</v>
      </c>
    </row>
    <row r="131" spans="1:6" x14ac:dyDescent="0.2">
      <c r="A131" s="3" t="s">
        <v>122</v>
      </c>
      <c r="B131" s="3" t="s">
        <v>134</v>
      </c>
      <c r="C131" s="4">
        <v>-30.46</v>
      </c>
      <c r="D131" s="4">
        <v>-30.46</v>
      </c>
      <c r="E131" s="4">
        <v>0</v>
      </c>
      <c r="F131" s="3">
        <f>VLOOKUP(B131,'Balance Sheet'!$B$2:$C$295,2,0)</f>
        <v>-30.46</v>
      </c>
    </row>
    <row r="132" spans="1:6" x14ac:dyDescent="0.2">
      <c r="A132" s="3" t="s">
        <v>122</v>
      </c>
      <c r="B132" s="3" t="s">
        <v>135</v>
      </c>
      <c r="C132" s="4">
        <v>30.46</v>
      </c>
      <c r="D132" s="4">
        <v>30.46</v>
      </c>
      <c r="E132" s="4">
        <v>0</v>
      </c>
      <c r="F132" s="3">
        <f>VLOOKUP(B132,'Balance Sheet'!$B$2:$C$295,2,0)</f>
        <v>30.46</v>
      </c>
    </row>
    <row r="133" spans="1:6" x14ac:dyDescent="0.2">
      <c r="A133" s="3" t="s">
        <v>122</v>
      </c>
      <c r="B133" s="3" t="s">
        <v>136</v>
      </c>
      <c r="C133" s="4">
        <v>-22533.47</v>
      </c>
      <c r="D133" s="4">
        <v>-22533.47</v>
      </c>
      <c r="E133" s="4">
        <v>0</v>
      </c>
      <c r="F133" s="3">
        <f>VLOOKUP(B133,'Balance Sheet'!$B$2:$C$295,2,0)</f>
        <v>-22533.47</v>
      </c>
    </row>
    <row r="134" spans="1:6" x14ac:dyDescent="0.2">
      <c r="A134" s="3" t="s">
        <v>122</v>
      </c>
      <c r="B134" s="3" t="s">
        <v>137</v>
      </c>
      <c r="C134" s="4">
        <v>21351.27</v>
      </c>
      <c r="D134" s="4">
        <v>21351.27</v>
      </c>
      <c r="E134" s="4">
        <v>0</v>
      </c>
      <c r="F134" s="3">
        <f>VLOOKUP(B134,'Balance Sheet'!$B$2:$C$295,2,0)</f>
        <v>21351.27</v>
      </c>
    </row>
    <row r="135" spans="1:6" x14ac:dyDescent="0.2">
      <c r="A135" s="3" t="s">
        <v>122</v>
      </c>
      <c r="B135" s="3" t="s">
        <v>138</v>
      </c>
      <c r="C135" s="4">
        <v>-5520.33</v>
      </c>
      <c r="D135" s="4">
        <v>-5520.33</v>
      </c>
      <c r="E135" s="4">
        <v>0</v>
      </c>
      <c r="F135" s="3">
        <f>VLOOKUP(B135,'Balance Sheet'!$B$2:$C$295,2,0)</f>
        <v>-5520.33</v>
      </c>
    </row>
    <row r="136" spans="1:6" x14ac:dyDescent="0.2">
      <c r="A136" s="3" t="s">
        <v>122</v>
      </c>
      <c r="B136" s="3" t="s">
        <v>139</v>
      </c>
      <c r="C136" s="4">
        <v>5055.79</v>
      </c>
      <c r="D136" s="4">
        <v>5055.79</v>
      </c>
      <c r="E136" s="4">
        <v>0</v>
      </c>
      <c r="F136" s="3">
        <f>VLOOKUP(B136,'Balance Sheet'!$B$2:$C$295,2,0)</f>
        <v>5055.79</v>
      </c>
    </row>
    <row r="137" spans="1:6" x14ac:dyDescent="0.2">
      <c r="A137" s="3" t="s">
        <v>122</v>
      </c>
      <c r="B137" s="3" t="s">
        <v>140</v>
      </c>
      <c r="C137" s="4">
        <v>-42607.61</v>
      </c>
      <c r="D137" s="4">
        <v>-42607.61</v>
      </c>
      <c r="E137" s="4">
        <v>0</v>
      </c>
      <c r="F137" s="3">
        <f>VLOOKUP(B137,'Balance Sheet'!$B$2:$C$295,2,0)</f>
        <v>-42607.61</v>
      </c>
    </row>
    <row r="138" spans="1:6" x14ac:dyDescent="0.2">
      <c r="A138" s="3" t="s">
        <v>122</v>
      </c>
      <c r="B138" s="3" t="s">
        <v>141</v>
      </c>
      <c r="C138" s="4">
        <v>42607.61</v>
      </c>
      <c r="D138" s="4">
        <v>42607.61</v>
      </c>
      <c r="E138" s="4">
        <v>0</v>
      </c>
      <c r="F138" s="3">
        <f>VLOOKUP(B138,'Balance Sheet'!$B$2:$C$295,2,0)</f>
        <v>42607.61</v>
      </c>
    </row>
    <row r="139" spans="1:6" x14ac:dyDescent="0.2">
      <c r="A139" s="3" t="s">
        <v>122</v>
      </c>
      <c r="B139" s="3" t="s">
        <v>142</v>
      </c>
      <c r="C139" s="4">
        <v>-181350.3</v>
      </c>
      <c r="D139" s="4">
        <v>-181350.3</v>
      </c>
      <c r="E139" s="4">
        <v>0</v>
      </c>
      <c r="F139" s="3">
        <f>VLOOKUP(B139,'Balance Sheet'!$B$2:$C$295,2,0)</f>
        <v>-181350.3</v>
      </c>
    </row>
    <row r="140" spans="1:6" x14ac:dyDescent="0.2">
      <c r="A140" s="3" t="s">
        <v>122</v>
      </c>
      <c r="B140" s="3" t="s">
        <v>143</v>
      </c>
      <c r="C140" s="4">
        <v>181202.73</v>
      </c>
      <c r="D140" s="4">
        <v>181202.73</v>
      </c>
      <c r="E140" s="4">
        <v>0</v>
      </c>
      <c r="F140" s="3">
        <f>VLOOKUP(B140,'Balance Sheet'!$B$2:$C$295,2,0)</f>
        <v>181202.73</v>
      </c>
    </row>
    <row r="141" spans="1:6" x14ac:dyDescent="0.2">
      <c r="A141" s="3" t="s">
        <v>122</v>
      </c>
      <c r="B141" s="3" t="s">
        <v>144</v>
      </c>
      <c r="C141" s="4">
        <v>176731.45</v>
      </c>
      <c r="D141" s="4">
        <v>176731.45</v>
      </c>
      <c r="E141" s="4">
        <v>0</v>
      </c>
      <c r="F141" s="3">
        <f>VLOOKUP(B141,'Balance Sheet'!$B$2:$C$295,2,0)</f>
        <v>176731.45</v>
      </c>
    </row>
    <row r="142" spans="1:6" s="18" customFormat="1" x14ac:dyDescent="0.2">
      <c r="A142" s="18" t="s">
        <v>122</v>
      </c>
      <c r="B142" s="18" t="s">
        <v>145</v>
      </c>
      <c r="C142" s="19">
        <v>-0.48</v>
      </c>
      <c r="D142" s="19">
        <v>-0.48</v>
      </c>
      <c r="E142" s="19">
        <v>0</v>
      </c>
      <c r="F142" s="3">
        <f>VLOOKUP(B142,'Balance Sheet'!$B$2:$C$295,2,0)</f>
        <v>-0.48</v>
      </c>
    </row>
    <row r="143" spans="1:6" s="18" customFormat="1" x14ac:dyDescent="0.2">
      <c r="A143" s="18" t="s">
        <v>122</v>
      </c>
      <c r="B143" s="18" t="s">
        <v>146</v>
      </c>
      <c r="C143" s="19">
        <v>0.48</v>
      </c>
      <c r="D143" s="19">
        <v>0.48</v>
      </c>
      <c r="E143" s="19">
        <v>0</v>
      </c>
      <c r="F143" s="3">
        <f>VLOOKUP(B143,'Balance Sheet'!$B$2:$C$295,2,0)</f>
        <v>0.48</v>
      </c>
    </row>
    <row r="144" spans="1:6" x14ac:dyDescent="0.2">
      <c r="A144" s="3" t="s">
        <v>122</v>
      </c>
      <c r="B144" s="3" t="s">
        <v>147</v>
      </c>
      <c r="C144" s="4">
        <v>-3207076.49</v>
      </c>
      <c r="D144" s="4">
        <v>-3207076.49</v>
      </c>
      <c r="E144" s="4">
        <v>0</v>
      </c>
      <c r="F144" s="3">
        <f>VLOOKUP(B144,'Balance Sheet'!$B$2:$C$295,2,0)</f>
        <v>-3207076.49</v>
      </c>
    </row>
    <row r="145" spans="1:6" x14ac:dyDescent="0.2">
      <c r="A145" s="3" t="s">
        <v>122</v>
      </c>
      <c r="B145" s="3" t="s">
        <v>2</v>
      </c>
      <c r="C145" s="46">
        <v>-3286081.62</v>
      </c>
      <c r="D145" s="4">
        <v>-3286081.62</v>
      </c>
      <c r="E145" s="4">
        <v>0</v>
      </c>
    </row>
    <row r="146" spans="1:6" x14ac:dyDescent="0.2">
      <c r="A146" s="3" t="s">
        <v>148</v>
      </c>
      <c r="B146" s="3" t="s">
        <v>2</v>
      </c>
      <c r="C146" s="4">
        <v>-3286081.62</v>
      </c>
      <c r="D146" s="4">
        <v>-3286081.62</v>
      </c>
      <c r="E146" s="4">
        <v>0</v>
      </c>
    </row>
    <row r="147" spans="1:6" x14ac:dyDescent="0.2">
      <c r="A147" s="3" t="s">
        <v>149</v>
      </c>
      <c r="B147" s="3" t="s">
        <v>150</v>
      </c>
      <c r="C147" s="4">
        <v>108.76</v>
      </c>
      <c r="D147" s="4">
        <v>108.76</v>
      </c>
      <c r="E147" s="4">
        <v>0</v>
      </c>
      <c r="F147" s="3">
        <f>VLOOKUP(B147,'Balance Sheet'!$B$2:$C$295,2,0)</f>
        <v>108.76</v>
      </c>
    </row>
    <row r="148" spans="1:6" s="18" customFormat="1" x14ac:dyDescent="0.2">
      <c r="A148" s="18" t="s">
        <v>149</v>
      </c>
      <c r="B148" s="18" t="s">
        <v>151</v>
      </c>
      <c r="C148" s="19">
        <v>0.46</v>
      </c>
      <c r="D148" s="19">
        <v>0.46</v>
      </c>
      <c r="E148" s="19">
        <v>0</v>
      </c>
      <c r="F148" s="3">
        <f>VLOOKUP(B148,'Balance Sheet'!$B$2:$C$295,2,0)</f>
        <v>0.46</v>
      </c>
    </row>
    <row r="149" spans="1:6" x14ac:dyDescent="0.2">
      <c r="A149" s="3" t="s">
        <v>149</v>
      </c>
      <c r="B149" s="3" t="s">
        <v>152</v>
      </c>
      <c r="C149" s="4">
        <v>4855.91</v>
      </c>
      <c r="D149" s="4">
        <v>4855.91</v>
      </c>
      <c r="E149" s="4">
        <v>0</v>
      </c>
      <c r="F149" s="3">
        <f>VLOOKUP(B149,'Balance Sheet'!$B$2:$C$295,2,0)</f>
        <v>4855.91</v>
      </c>
    </row>
    <row r="150" spans="1:6" x14ac:dyDescent="0.2">
      <c r="A150" s="3" t="s">
        <v>149</v>
      </c>
      <c r="B150" s="3" t="s">
        <v>153</v>
      </c>
      <c r="C150" s="4">
        <v>-248.8</v>
      </c>
      <c r="D150" s="4">
        <v>-248.8</v>
      </c>
      <c r="E150" s="4">
        <v>0</v>
      </c>
      <c r="F150" s="3">
        <f>VLOOKUP(B150,'Balance Sheet'!$B$2:$C$295,2,0)</f>
        <v>-248.8</v>
      </c>
    </row>
    <row r="151" spans="1:6" x14ac:dyDescent="0.2">
      <c r="A151" s="3" t="s">
        <v>149</v>
      </c>
      <c r="B151" s="3" t="s">
        <v>154</v>
      </c>
      <c r="C151" s="4">
        <v>-2213.17</v>
      </c>
      <c r="D151" s="4">
        <v>-2213.17</v>
      </c>
      <c r="E151" s="4">
        <v>0</v>
      </c>
      <c r="F151" s="3">
        <f>VLOOKUP(B151,'Balance Sheet'!$B$2:$C$295,2,0)</f>
        <v>-2213.17</v>
      </c>
    </row>
    <row r="152" spans="1:6" x14ac:dyDescent="0.2">
      <c r="A152" s="3" t="s">
        <v>149</v>
      </c>
      <c r="B152" s="3" t="s">
        <v>2</v>
      </c>
      <c r="C152" s="46">
        <v>2503.16</v>
      </c>
      <c r="D152" s="4">
        <v>2503.16</v>
      </c>
      <c r="E152" s="4">
        <v>0</v>
      </c>
    </row>
    <row r="153" spans="1:6" x14ac:dyDescent="0.2">
      <c r="A153" s="3" t="s">
        <v>155</v>
      </c>
      <c r="B153" s="3" t="s">
        <v>2</v>
      </c>
      <c r="C153" s="4">
        <v>2503.16</v>
      </c>
      <c r="D153" s="4">
        <v>2503.16</v>
      </c>
      <c r="E153" s="4">
        <v>0</v>
      </c>
    </row>
    <row r="154" spans="1:6" x14ac:dyDescent="0.2">
      <c r="A154" s="3" t="s">
        <v>156</v>
      </c>
      <c r="B154" s="3" t="s">
        <v>157</v>
      </c>
      <c r="C154" s="4">
        <v>-25820.95</v>
      </c>
      <c r="D154" s="4">
        <v>-25820.95</v>
      </c>
      <c r="E154" s="4">
        <v>0</v>
      </c>
      <c r="F154" s="3">
        <f>VLOOKUP(B154,'Balance Sheet'!$B$2:$C$295,2,0)</f>
        <v>-25820.95</v>
      </c>
    </row>
    <row r="155" spans="1:6" x14ac:dyDescent="0.2">
      <c r="A155" s="3" t="s">
        <v>156</v>
      </c>
      <c r="B155" s="3" t="s">
        <v>158</v>
      </c>
      <c r="C155" s="4">
        <v>1168.55</v>
      </c>
      <c r="D155" s="4">
        <v>1168.55</v>
      </c>
      <c r="E155" s="4">
        <v>0</v>
      </c>
      <c r="F155" s="3">
        <f>VLOOKUP(B155,'Balance Sheet'!$B$2:$C$295,2,0)</f>
        <v>1168.55</v>
      </c>
    </row>
    <row r="156" spans="1:6" s="18" customFormat="1" x14ac:dyDescent="0.2">
      <c r="A156" s="18" t="s">
        <v>156</v>
      </c>
      <c r="B156" s="18" t="s">
        <v>159</v>
      </c>
      <c r="C156" s="19">
        <v>-57237.32</v>
      </c>
      <c r="D156" s="19">
        <v>-57237.32</v>
      </c>
      <c r="E156" s="19">
        <v>0</v>
      </c>
      <c r="F156" s="3">
        <f>VLOOKUP(B156,'Balance Sheet'!$B$2:$C$295,2,0)</f>
        <v>-57237.32</v>
      </c>
    </row>
    <row r="157" spans="1:6" x14ac:dyDescent="0.2">
      <c r="A157" s="3" t="s">
        <v>156</v>
      </c>
      <c r="B157" s="3" t="s">
        <v>160</v>
      </c>
      <c r="C157" s="4">
        <v>-556.95000000000005</v>
      </c>
      <c r="D157" s="4">
        <v>-556.95000000000005</v>
      </c>
      <c r="E157" s="4">
        <v>0</v>
      </c>
      <c r="F157" s="3">
        <f>VLOOKUP(B157,'Balance Sheet'!$B$2:$C$295,2,0)</f>
        <v>-556.95000000000005</v>
      </c>
    </row>
    <row r="158" spans="1:6" x14ac:dyDescent="0.2">
      <c r="A158" s="3" t="s">
        <v>156</v>
      </c>
      <c r="B158" s="3" t="s">
        <v>161</v>
      </c>
      <c r="C158" s="4">
        <v>3477.82</v>
      </c>
      <c r="D158" s="4">
        <v>3477.82</v>
      </c>
      <c r="E158" s="4">
        <v>0</v>
      </c>
      <c r="F158" s="3">
        <f>VLOOKUP(B158,'Balance Sheet'!$B$2:$C$295,2,0)</f>
        <v>3477.82</v>
      </c>
    </row>
    <row r="159" spans="1:6" x14ac:dyDescent="0.2">
      <c r="A159" s="3" t="s">
        <v>156</v>
      </c>
      <c r="B159" s="3" t="s">
        <v>2</v>
      </c>
      <c r="C159" s="46">
        <v>-78968.850000000006</v>
      </c>
      <c r="D159" s="4">
        <v>-78968.850000000006</v>
      </c>
      <c r="E159" s="4">
        <v>0</v>
      </c>
    </row>
    <row r="160" spans="1:6" x14ac:dyDescent="0.2">
      <c r="A160" s="3" t="s">
        <v>162</v>
      </c>
      <c r="B160" s="3" t="s">
        <v>163</v>
      </c>
      <c r="C160" s="4">
        <v>-68234.289999999994</v>
      </c>
      <c r="D160" s="4">
        <v>-68234.289999999994</v>
      </c>
      <c r="E160" s="4">
        <v>0</v>
      </c>
      <c r="F160" s="3">
        <f>VLOOKUP(B160,'Balance Sheet'!$B$2:$C$295,2,0)</f>
        <v>-68234.289999999994</v>
      </c>
    </row>
    <row r="161" spans="1:6" x14ac:dyDescent="0.2">
      <c r="A161" s="3" t="s">
        <v>162</v>
      </c>
      <c r="B161" s="3" t="s">
        <v>164</v>
      </c>
      <c r="C161" s="4">
        <v>-313532.62</v>
      </c>
      <c r="D161" s="4">
        <v>-313532.62</v>
      </c>
      <c r="E161" s="4">
        <v>0</v>
      </c>
      <c r="F161" s="3">
        <f>VLOOKUP(B161,'Balance Sheet'!$B$2:$C$295,2,0)</f>
        <v>-313532.62</v>
      </c>
    </row>
    <row r="162" spans="1:6" x14ac:dyDescent="0.2">
      <c r="A162" s="3" t="s">
        <v>162</v>
      </c>
      <c r="B162" s="3" t="s">
        <v>165</v>
      </c>
      <c r="C162" s="4">
        <v>-306921.40999999997</v>
      </c>
      <c r="D162" s="4">
        <v>-306921.40999999997</v>
      </c>
      <c r="E162" s="4">
        <v>0</v>
      </c>
      <c r="F162" s="3">
        <f>VLOOKUP(B162,'Balance Sheet'!$B$2:$C$295,2,0)</f>
        <v>-306921.40999999997</v>
      </c>
    </row>
    <row r="163" spans="1:6" x14ac:dyDescent="0.2">
      <c r="A163" s="3" t="s">
        <v>162</v>
      </c>
      <c r="B163" s="3" t="s">
        <v>166</v>
      </c>
      <c r="C163" s="4">
        <v>-72754.36</v>
      </c>
      <c r="D163" s="4">
        <v>-72754.36</v>
      </c>
      <c r="E163" s="4">
        <v>0</v>
      </c>
      <c r="F163" s="3">
        <f>VLOOKUP(B163,'Balance Sheet'!$B$2:$C$295,2,0)</f>
        <v>-72754.36</v>
      </c>
    </row>
    <row r="164" spans="1:6" x14ac:dyDescent="0.2">
      <c r="A164" s="3" t="s">
        <v>162</v>
      </c>
      <c r="B164" s="3" t="s">
        <v>167</v>
      </c>
      <c r="C164" s="4">
        <v>-584201.24</v>
      </c>
      <c r="D164" s="4">
        <v>-584201.24</v>
      </c>
      <c r="E164" s="4">
        <v>0</v>
      </c>
      <c r="F164" s="3">
        <f>VLOOKUP(B164,'Balance Sheet'!$B$2:$C$295,2,0)</f>
        <v>-584201.24</v>
      </c>
    </row>
    <row r="165" spans="1:6" x14ac:dyDescent="0.2">
      <c r="A165" s="3" t="s">
        <v>162</v>
      </c>
      <c r="B165" s="3" t="s">
        <v>168</v>
      </c>
      <c r="C165" s="4">
        <v>-51659.18</v>
      </c>
      <c r="D165" s="4">
        <v>-51659.18</v>
      </c>
      <c r="E165" s="4">
        <v>0</v>
      </c>
      <c r="F165" s="3">
        <f>VLOOKUP(B165,'Balance Sheet'!$B$2:$C$295,2,0)</f>
        <v>-51659.18</v>
      </c>
    </row>
    <row r="166" spans="1:6" x14ac:dyDescent="0.2">
      <c r="A166" s="3" t="s">
        <v>162</v>
      </c>
      <c r="B166" s="3" t="s">
        <v>169</v>
      </c>
      <c r="C166" s="4">
        <v>-0.01</v>
      </c>
      <c r="D166" s="4">
        <v>-0.01</v>
      </c>
      <c r="E166" s="4">
        <v>0</v>
      </c>
      <c r="F166" s="3">
        <f>VLOOKUP(B166,'Balance Sheet'!$B$2:$C$295,2,0)</f>
        <v>-0.01</v>
      </c>
    </row>
    <row r="167" spans="1:6" x14ac:dyDescent="0.2">
      <c r="A167" s="3" t="s">
        <v>162</v>
      </c>
      <c r="B167" s="3" t="s">
        <v>170</v>
      </c>
      <c r="C167" s="4">
        <v>-296758.81</v>
      </c>
      <c r="D167" s="4">
        <v>-296758.81</v>
      </c>
      <c r="E167" s="4">
        <v>0</v>
      </c>
      <c r="F167" s="3">
        <f>VLOOKUP(B167,'Balance Sheet'!$B$2:$C$295,2,0)</f>
        <v>-296758.81</v>
      </c>
    </row>
    <row r="168" spans="1:6" x14ac:dyDescent="0.2">
      <c r="A168" s="3" t="s">
        <v>162</v>
      </c>
      <c r="B168" s="3" t="s">
        <v>171</v>
      </c>
      <c r="C168" s="4">
        <v>-249095.3</v>
      </c>
      <c r="D168" s="4">
        <v>-249095.3</v>
      </c>
      <c r="E168" s="4">
        <v>0</v>
      </c>
      <c r="F168" s="3">
        <f>VLOOKUP(B168,'Balance Sheet'!$B$2:$C$295,2,0)</f>
        <v>-249095.3</v>
      </c>
    </row>
    <row r="169" spans="1:6" x14ac:dyDescent="0.2">
      <c r="A169" s="3" t="s">
        <v>162</v>
      </c>
      <c r="B169" s="3" t="s">
        <v>2</v>
      </c>
      <c r="C169" s="46">
        <v>-1943157.22</v>
      </c>
      <c r="D169" s="4">
        <v>-1943157.22</v>
      </c>
      <c r="E169" s="4">
        <v>0</v>
      </c>
    </row>
    <row r="170" spans="1:6" x14ac:dyDescent="0.2">
      <c r="A170" s="3" t="s">
        <v>172</v>
      </c>
      <c r="B170" s="3" t="s">
        <v>173</v>
      </c>
      <c r="C170" s="4">
        <v>-873.56</v>
      </c>
      <c r="D170" s="4">
        <v>-873.56</v>
      </c>
      <c r="E170" s="4">
        <v>0</v>
      </c>
      <c r="F170" s="3">
        <f>VLOOKUP(B170,'Balance Sheet'!$B$2:$C$295,2,0)</f>
        <v>-873.56</v>
      </c>
    </row>
    <row r="171" spans="1:6" x14ac:dyDescent="0.2">
      <c r="A171" s="3" t="s">
        <v>172</v>
      </c>
      <c r="B171" s="3" t="s">
        <v>2</v>
      </c>
      <c r="C171" s="46">
        <v>-873.56</v>
      </c>
      <c r="D171" s="4">
        <v>-873.56</v>
      </c>
      <c r="E171" s="4">
        <v>0</v>
      </c>
    </row>
    <row r="172" spans="1:6" x14ac:dyDescent="0.2">
      <c r="A172" s="3" t="s">
        <v>174</v>
      </c>
      <c r="B172" s="3" t="s">
        <v>175</v>
      </c>
      <c r="C172" s="4">
        <v>4417.49</v>
      </c>
      <c r="D172" s="4">
        <v>4417.49</v>
      </c>
      <c r="E172" s="4">
        <v>0</v>
      </c>
      <c r="F172" s="3">
        <f>VLOOKUP(B172,'Balance Sheet'!$B$2:$C$295,2,0)</f>
        <v>4417.49</v>
      </c>
    </row>
    <row r="173" spans="1:6" x14ac:dyDescent="0.2">
      <c r="A173" s="3" t="s">
        <v>174</v>
      </c>
      <c r="B173" s="3" t="s">
        <v>176</v>
      </c>
      <c r="C173" s="4">
        <v>-687297.51</v>
      </c>
      <c r="D173" s="4">
        <v>-687297.51</v>
      </c>
      <c r="E173" s="4">
        <v>0</v>
      </c>
      <c r="F173" s="3">
        <f>VLOOKUP(B173,'Balance Sheet'!$B$2:$C$295,2,0)</f>
        <v>-687297.51</v>
      </c>
    </row>
    <row r="174" spans="1:6" x14ac:dyDescent="0.2">
      <c r="A174" s="3" t="s">
        <v>174</v>
      </c>
      <c r="B174" s="3" t="s">
        <v>177</v>
      </c>
      <c r="C174" s="4">
        <v>-66270.66</v>
      </c>
      <c r="D174" s="4">
        <v>-66270.66</v>
      </c>
      <c r="E174" s="4">
        <v>0</v>
      </c>
      <c r="F174" s="3">
        <f>VLOOKUP(B174,'Balance Sheet'!$B$2:$C$295,2,0)</f>
        <v>-66270.66</v>
      </c>
    </row>
    <row r="175" spans="1:6" x14ac:dyDescent="0.2">
      <c r="A175" s="3" t="s">
        <v>174</v>
      </c>
      <c r="B175" s="3" t="s">
        <v>2</v>
      </c>
      <c r="C175" s="46">
        <v>-749150.68</v>
      </c>
      <c r="D175" s="4">
        <v>-749150.68</v>
      </c>
      <c r="E175" s="4">
        <v>0</v>
      </c>
    </row>
    <row r="176" spans="1:6" x14ac:dyDescent="0.2">
      <c r="A176" s="3" t="s">
        <v>178</v>
      </c>
      <c r="B176" s="3" t="s">
        <v>179</v>
      </c>
      <c r="C176" s="4">
        <v>-170446.09</v>
      </c>
      <c r="D176" s="4">
        <v>-170446.09</v>
      </c>
      <c r="E176" s="4">
        <v>0</v>
      </c>
      <c r="F176" s="3">
        <f>VLOOKUP(B176,'Balance Sheet'!$B$2:$C$295,2,0)</f>
        <v>-170446.09</v>
      </c>
    </row>
    <row r="177" spans="1:6" x14ac:dyDescent="0.2">
      <c r="A177" s="3" t="s">
        <v>178</v>
      </c>
      <c r="B177" s="3" t="s">
        <v>180</v>
      </c>
      <c r="C177" s="4">
        <v>5715.5</v>
      </c>
      <c r="D177" s="4">
        <v>5715.5</v>
      </c>
      <c r="E177" s="4">
        <v>0</v>
      </c>
      <c r="F177" s="3">
        <f>VLOOKUP(B177,'Balance Sheet'!$B$2:$C$295,2,0)</f>
        <v>5715.5</v>
      </c>
    </row>
    <row r="178" spans="1:6" x14ac:dyDescent="0.2">
      <c r="A178" s="3" t="s">
        <v>178</v>
      </c>
      <c r="B178" s="3" t="s">
        <v>181</v>
      </c>
      <c r="C178" s="4">
        <v>1507.09</v>
      </c>
      <c r="D178" s="4">
        <v>1507.09</v>
      </c>
      <c r="E178" s="4">
        <v>0</v>
      </c>
      <c r="F178" s="3">
        <f>VLOOKUP(B178,'Balance Sheet'!$B$2:$C$295,2,0)</f>
        <v>1507.09</v>
      </c>
    </row>
    <row r="179" spans="1:6" x14ac:dyDescent="0.2">
      <c r="A179" s="3" t="s">
        <v>178</v>
      </c>
      <c r="B179" s="3" t="s">
        <v>182</v>
      </c>
      <c r="C179" s="4">
        <v>11502.18</v>
      </c>
      <c r="D179" s="4">
        <v>11502.18</v>
      </c>
      <c r="E179" s="4">
        <v>0</v>
      </c>
      <c r="F179" s="3">
        <f>VLOOKUP(B179,'Balance Sheet'!$B$2:$C$295,2,0)</f>
        <v>11502.18</v>
      </c>
    </row>
    <row r="180" spans="1:6" x14ac:dyDescent="0.2">
      <c r="A180" s="3" t="s">
        <v>178</v>
      </c>
      <c r="B180" s="3" t="s">
        <v>183</v>
      </c>
      <c r="C180" s="4">
        <v>666.4</v>
      </c>
      <c r="D180" s="4">
        <v>666.4</v>
      </c>
      <c r="E180" s="4">
        <v>0</v>
      </c>
      <c r="F180" s="3">
        <f>VLOOKUP(B180,'Balance Sheet'!$B$2:$C$295,2,0)</f>
        <v>666.4</v>
      </c>
    </row>
    <row r="181" spans="1:6" x14ac:dyDescent="0.2">
      <c r="A181" s="3" t="s">
        <v>178</v>
      </c>
      <c r="B181" s="3" t="s">
        <v>184</v>
      </c>
      <c r="C181" s="4">
        <v>-4033.48</v>
      </c>
      <c r="D181" s="4">
        <v>-4033.48</v>
      </c>
      <c r="E181" s="4">
        <v>0</v>
      </c>
      <c r="F181" s="3">
        <f>VLOOKUP(B181,'Balance Sheet'!$B$2:$C$295,2,0)</f>
        <v>-4033.48</v>
      </c>
    </row>
    <row r="182" spans="1:6" s="18" customFormat="1" x14ac:dyDescent="0.2">
      <c r="A182" s="18" t="s">
        <v>178</v>
      </c>
      <c r="B182" s="18" t="s">
        <v>185</v>
      </c>
      <c r="C182" s="19">
        <v>-64696.23</v>
      </c>
      <c r="D182" s="19">
        <v>-64696.23</v>
      </c>
      <c r="E182" s="19">
        <v>0</v>
      </c>
      <c r="F182" s="3">
        <f>VLOOKUP(B182,'Balance Sheet'!$B$2:$C$295,2,0)</f>
        <v>-64696.23</v>
      </c>
    </row>
    <row r="183" spans="1:6" x14ac:dyDescent="0.2">
      <c r="A183" s="3" t="s">
        <v>178</v>
      </c>
      <c r="B183" s="3" t="s">
        <v>186</v>
      </c>
      <c r="C183" s="4">
        <v>-2556.2399999999998</v>
      </c>
      <c r="D183" s="4">
        <v>-2556.2399999999998</v>
      </c>
      <c r="E183" s="4">
        <v>0</v>
      </c>
      <c r="F183" s="3">
        <f>VLOOKUP(B183,'Balance Sheet'!$B$2:$C$295,2,0)</f>
        <v>-2556.2399999999998</v>
      </c>
    </row>
    <row r="184" spans="1:6" x14ac:dyDescent="0.2">
      <c r="A184" s="3" t="s">
        <v>178</v>
      </c>
      <c r="B184" s="3" t="s">
        <v>187</v>
      </c>
      <c r="C184" s="4">
        <v>14.54</v>
      </c>
      <c r="D184" s="4">
        <v>14.54</v>
      </c>
      <c r="E184" s="4">
        <v>0</v>
      </c>
      <c r="F184" s="3">
        <f>VLOOKUP(B184,'Balance Sheet'!$B$2:$C$295,2,0)</f>
        <v>14.54</v>
      </c>
    </row>
    <row r="185" spans="1:6" x14ac:dyDescent="0.2">
      <c r="A185" s="3" t="s">
        <v>178</v>
      </c>
      <c r="B185" s="3" t="s">
        <v>188</v>
      </c>
      <c r="C185" s="4">
        <v>-2422.25</v>
      </c>
      <c r="D185" s="4">
        <v>-2422.25</v>
      </c>
      <c r="E185" s="4">
        <v>0</v>
      </c>
      <c r="F185" s="3">
        <f>VLOOKUP(B185,'Balance Sheet'!$B$2:$C$295,2,0)</f>
        <v>-2422.25</v>
      </c>
    </row>
    <row r="186" spans="1:6" s="18" customFormat="1" x14ac:dyDescent="0.2">
      <c r="A186" s="18" t="s">
        <v>178</v>
      </c>
      <c r="B186" s="18" t="s">
        <v>189</v>
      </c>
      <c r="C186" s="19">
        <v>166.04</v>
      </c>
      <c r="D186" s="19">
        <v>166.04</v>
      </c>
      <c r="E186" s="19">
        <v>0</v>
      </c>
      <c r="F186" s="3">
        <f>VLOOKUP(B186,'Balance Sheet'!$B$2:$C$295,2,0)</f>
        <v>166.04</v>
      </c>
    </row>
    <row r="187" spans="1:6" x14ac:dyDescent="0.2">
      <c r="A187" s="3" t="s">
        <v>178</v>
      </c>
      <c r="B187" s="3" t="s">
        <v>190</v>
      </c>
      <c r="C187" s="4">
        <v>893.79</v>
      </c>
      <c r="D187" s="4">
        <v>893.79</v>
      </c>
      <c r="E187" s="4">
        <v>0</v>
      </c>
      <c r="F187" s="3">
        <f>VLOOKUP(B187,'Balance Sheet'!$B$2:$C$295,2,0)</f>
        <v>893.79</v>
      </c>
    </row>
    <row r="188" spans="1:6" s="18" customFormat="1" x14ac:dyDescent="0.2">
      <c r="A188" s="18" t="s">
        <v>178</v>
      </c>
      <c r="B188" s="18" t="s">
        <v>191</v>
      </c>
      <c r="C188" s="19">
        <v>-253.07</v>
      </c>
      <c r="D188" s="19">
        <v>-253.07</v>
      </c>
      <c r="E188" s="19">
        <v>0</v>
      </c>
      <c r="F188" s="3">
        <f>VLOOKUP(B188,'Balance Sheet'!$B$2:$C$295,2,0)</f>
        <v>-253.07</v>
      </c>
    </row>
    <row r="189" spans="1:6" x14ac:dyDescent="0.2">
      <c r="A189" s="3" t="s">
        <v>178</v>
      </c>
      <c r="B189" s="3" t="s">
        <v>192</v>
      </c>
      <c r="C189" s="4">
        <v>19192.98</v>
      </c>
      <c r="D189" s="4">
        <v>19192.98</v>
      </c>
      <c r="E189" s="4">
        <v>0</v>
      </c>
      <c r="F189" s="3">
        <f>VLOOKUP(B189,'Balance Sheet'!$B$2:$C$295,2,0)</f>
        <v>19192.98</v>
      </c>
    </row>
    <row r="190" spans="1:6" x14ac:dyDescent="0.2">
      <c r="A190" s="3" t="s">
        <v>178</v>
      </c>
      <c r="B190" s="3" t="s">
        <v>193</v>
      </c>
      <c r="C190" s="4">
        <v>246.42</v>
      </c>
      <c r="D190" s="4">
        <v>246.42</v>
      </c>
      <c r="E190" s="4">
        <v>0</v>
      </c>
      <c r="F190" s="3">
        <f>VLOOKUP(B190,'Balance Sheet'!$B$2:$C$295,2,0)</f>
        <v>246.42</v>
      </c>
    </row>
    <row r="191" spans="1:6" x14ac:dyDescent="0.2">
      <c r="A191" s="3" t="s">
        <v>178</v>
      </c>
      <c r="B191" s="3" t="s">
        <v>194</v>
      </c>
      <c r="C191" s="4">
        <v>-23969.25</v>
      </c>
      <c r="D191" s="4">
        <v>-23969.25</v>
      </c>
      <c r="E191" s="4">
        <v>0</v>
      </c>
      <c r="F191" s="3">
        <f>VLOOKUP(B191,'Balance Sheet'!$B$2:$C$295,2,0)</f>
        <v>-23969.25</v>
      </c>
    </row>
    <row r="192" spans="1:6" x14ac:dyDescent="0.2">
      <c r="A192" s="3" t="s">
        <v>178</v>
      </c>
      <c r="B192" s="3" t="s">
        <v>195</v>
      </c>
      <c r="C192" s="4">
        <v>9002.8700000000008</v>
      </c>
      <c r="D192" s="4">
        <v>9002.8700000000008</v>
      </c>
      <c r="E192" s="4">
        <v>0</v>
      </c>
      <c r="F192" s="3">
        <f>VLOOKUP(B192,'Balance Sheet'!$B$2:$C$295,2,0)</f>
        <v>9002.8700000000008</v>
      </c>
    </row>
    <row r="193" spans="1:6" x14ac:dyDescent="0.2">
      <c r="A193" s="3" t="s">
        <v>178</v>
      </c>
      <c r="B193" s="3" t="s">
        <v>196</v>
      </c>
      <c r="C193" s="4">
        <v>-21449.54</v>
      </c>
      <c r="D193" s="4">
        <v>-21449.54</v>
      </c>
      <c r="E193" s="4">
        <v>0</v>
      </c>
      <c r="F193" s="3">
        <f>VLOOKUP(B193,'Balance Sheet'!$B$2:$C$295,2,0)</f>
        <v>-21449.54</v>
      </c>
    </row>
    <row r="194" spans="1:6" x14ac:dyDescent="0.2">
      <c r="A194" s="3" t="s">
        <v>178</v>
      </c>
      <c r="B194" s="3" t="s">
        <v>2</v>
      </c>
      <c r="C194" s="46">
        <v>-240918.34</v>
      </c>
      <c r="D194" s="4">
        <v>-240918.34</v>
      </c>
      <c r="E194" s="4">
        <v>0</v>
      </c>
    </row>
    <row r="195" spans="1:6" x14ac:dyDescent="0.2">
      <c r="A195" s="3" t="s">
        <v>197</v>
      </c>
      <c r="B195" s="3" t="s">
        <v>2</v>
      </c>
      <c r="C195" s="46">
        <v>-3013068.65</v>
      </c>
      <c r="D195" s="4">
        <v>-3013068.65</v>
      </c>
      <c r="E195" s="4">
        <v>0</v>
      </c>
    </row>
    <row r="196" spans="1:6" x14ac:dyDescent="0.2">
      <c r="A196" s="3" t="s">
        <v>198</v>
      </c>
      <c r="B196" s="3" t="s">
        <v>199</v>
      </c>
      <c r="C196" s="4">
        <v>1085505.9099999999</v>
      </c>
      <c r="D196" s="4">
        <v>1085505.9099999999</v>
      </c>
      <c r="E196" s="4">
        <v>0</v>
      </c>
      <c r="F196" s="3">
        <f>VLOOKUP(B196,'Balance Sheet'!$B$2:$C$295,2,0)</f>
        <v>1085505.9099999999</v>
      </c>
    </row>
    <row r="197" spans="1:6" x14ac:dyDescent="0.2">
      <c r="A197" s="3" t="s">
        <v>198</v>
      </c>
      <c r="B197" s="3" t="s">
        <v>2</v>
      </c>
      <c r="C197" s="46">
        <v>1085505.9099999999</v>
      </c>
      <c r="D197" s="4">
        <v>1085505.9099999999</v>
      </c>
      <c r="E197" s="4">
        <v>0</v>
      </c>
    </row>
    <row r="198" spans="1:6" x14ac:dyDescent="0.2">
      <c r="A198" s="3" t="s">
        <v>200</v>
      </c>
      <c r="B198" s="3" t="s">
        <v>201</v>
      </c>
      <c r="C198" s="4">
        <v>-5252.67</v>
      </c>
      <c r="D198" s="4">
        <v>-5252.67</v>
      </c>
      <c r="E198" s="4">
        <v>0</v>
      </c>
      <c r="F198" s="3">
        <f>VLOOKUP(B198,'Balance Sheet'!$B$2:$C$295,2,0)</f>
        <v>-5252.67</v>
      </c>
    </row>
    <row r="199" spans="1:6" s="18" customFormat="1" x14ac:dyDescent="0.2">
      <c r="A199" s="18" t="s">
        <v>200</v>
      </c>
      <c r="B199" s="18" t="s">
        <v>202</v>
      </c>
      <c r="D199" s="19">
        <v>-8971.5300000000007</v>
      </c>
      <c r="E199" s="19">
        <v>0</v>
      </c>
      <c r="F199" s="3">
        <f>VLOOKUP(B199,'Balance Sheet'!$B$2:$C$295,2,0)</f>
        <v>-8971.5300000000007</v>
      </c>
    </row>
    <row r="200" spans="1:6" x14ac:dyDescent="0.2">
      <c r="A200" s="3" t="s">
        <v>200</v>
      </c>
      <c r="B200" s="3" t="s">
        <v>203</v>
      </c>
      <c r="C200" s="4">
        <v>-10671.57</v>
      </c>
      <c r="D200" s="4">
        <v>-10671.57</v>
      </c>
      <c r="E200" s="4">
        <v>0</v>
      </c>
      <c r="F200" s="3">
        <f>VLOOKUP(B200,'Balance Sheet'!$B$2:$C$295,2,0)</f>
        <v>-10671.57</v>
      </c>
    </row>
    <row r="201" spans="1:6" x14ac:dyDescent="0.2">
      <c r="A201" s="3" t="s">
        <v>200</v>
      </c>
      <c r="B201" s="3" t="s">
        <v>204</v>
      </c>
      <c r="C201" s="4">
        <v>-20871.29</v>
      </c>
      <c r="D201" s="4">
        <v>-20871.29</v>
      </c>
      <c r="E201" s="4">
        <v>0</v>
      </c>
      <c r="F201" s="3">
        <f>VLOOKUP(B201,'Balance Sheet'!$B$2:$C$295,2,0)</f>
        <v>-20871.29</v>
      </c>
    </row>
    <row r="202" spans="1:6" x14ac:dyDescent="0.2">
      <c r="A202" s="3" t="s">
        <v>200</v>
      </c>
      <c r="B202" s="3" t="s">
        <v>205</v>
      </c>
      <c r="C202" s="4">
        <v>-5.01</v>
      </c>
      <c r="D202" s="4">
        <v>-5.01</v>
      </c>
      <c r="E202" s="4">
        <v>0</v>
      </c>
      <c r="F202" s="3">
        <f>VLOOKUP(B202,'Balance Sheet'!$B$2:$C$295,2,0)</f>
        <v>-5.01</v>
      </c>
    </row>
    <row r="203" spans="1:6" s="18" customFormat="1" x14ac:dyDescent="0.2">
      <c r="A203" s="18" t="s">
        <v>200</v>
      </c>
      <c r="B203" s="18" t="s">
        <v>206</v>
      </c>
      <c r="C203" s="19">
        <v>-181.75</v>
      </c>
      <c r="D203" s="19">
        <v>-181.75</v>
      </c>
      <c r="E203" s="19">
        <v>0</v>
      </c>
      <c r="F203" s="3">
        <f>VLOOKUP(B203,'Balance Sheet'!$B$2:$C$295,2,0)</f>
        <v>-181.75</v>
      </c>
    </row>
    <row r="204" spans="1:6" s="18" customFormat="1" x14ac:dyDescent="0.2">
      <c r="A204" s="18" t="s">
        <v>200</v>
      </c>
      <c r="B204" s="18" t="s">
        <v>207</v>
      </c>
      <c r="C204" s="19">
        <v>-7.37</v>
      </c>
      <c r="D204" s="19">
        <v>-7.37</v>
      </c>
      <c r="E204" s="19">
        <v>0</v>
      </c>
      <c r="F204" s="3">
        <f>VLOOKUP(B204,'Balance Sheet'!$B$2:$C$295,2,0)</f>
        <v>-7.37</v>
      </c>
    </row>
    <row r="205" spans="1:6" s="18" customFormat="1" x14ac:dyDescent="0.2">
      <c r="A205" s="18" t="s">
        <v>200</v>
      </c>
      <c r="B205" s="18" t="s">
        <v>208</v>
      </c>
      <c r="C205" s="19">
        <v>-138756.19</v>
      </c>
      <c r="D205" s="19">
        <v>-138756.19</v>
      </c>
      <c r="E205" s="19">
        <v>0</v>
      </c>
      <c r="F205" s="3">
        <f>VLOOKUP(B205,'Balance Sheet'!$B$2:$C$295,2,0)</f>
        <v>-138756.19</v>
      </c>
    </row>
    <row r="206" spans="1:6" x14ac:dyDescent="0.2">
      <c r="A206" s="3" t="s">
        <v>200</v>
      </c>
      <c r="B206" s="3" t="s">
        <v>209</v>
      </c>
      <c r="C206" s="4">
        <v>-0.03</v>
      </c>
      <c r="D206" s="4">
        <v>-0.03</v>
      </c>
      <c r="E206" s="4">
        <v>0</v>
      </c>
      <c r="F206" s="3">
        <f>VLOOKUP(B206,'Balance Sheet'!$B$2:$C$295,2,0)</f>
        <v>-0.03</v>
      </c>
    </row>
    <row r="207" spans="1:6" x14ac:dyDescent="0.2">
      <c r="A207" s="3" t="s">
        <v>200</v>
      </c>
      <c r="B207" s="3" t="s">
        <v>2</v>
      </c>
      <c r="C207" s="46">
        <v>-184717.41</v>
      </c>
      <c r="D207" s="4">
        <v>-184717.41</v>
      </c>
      <c r="E207" s="4">
        <v>0</v>
      </c>
    </row>
    <row r="208" spans="1:6" x14ac:dyDescent="0.2">
      <c r="A208" s="3" t="s">
        <v>210</v>
      </c>
      <c r="B208" s="3" t="s">
        <v>2</v>
      </c>
      <c r="C208" s="46">
        <v>900788.5</v>
      </c>
      <c r="D208" s="4">
        <v>900788.5</v>
      </c>
      <c r="E208" s="4">
        <v>0</v>
      </c>
    </row>
    <row r="209" spans="1:6" x14ac:dyDescent="0.2">
      <c r="A209" s="3" t="s">
        <v>211</v>
      </c>
      <c r="B209" s="3" t="s">
        <v>212</v>
      </c>
      <c r="C209" s="4">
        <v>-100538.75</v>
      </c>
      <c r="D209" s="4">
        <v>-100538.75</v>
      </c>
      <c r="E209" s="4">
        <v>0</v>
      </c>
      <c r="F209" s="3">
        <f>VLOOKUP(B209,'Balance Sheet'!$B$2:$C$295,2,0)</f>
        <v>-100538.75</v>
      </c>
    </row>
    <row r="210" spans="1:6" x14ac:dyDescent="0.2">
      <c r="A210" s="3" t="s">
        <v>211</v>
      </c>
      <c r="B210" s="3" t="s">
        <v>213</v>
      </c>
      <c r="C210" s="4">
        <v>-175878</v>
      </c>
      <c r="D210" s="4">
        <v>-175878</v>
      </c>
      <c r="E210" s="4">
        <v>0</v>
      </c>
      <c r="F210" s="3">
        <f>VLOOKUP(B210,'Balance Sheet'!$B$2:$C$295,2,0)</f>
        <v>-175878</v>
      </c>
    </row>
    <row r="211" spans="1:6" x14ac:dyDescent="0.2">
      <c r="A211" s="3" t="s">
        <v>211</v>
      </c>
      <c r="B211" s="3" t="s">
        <v>214</v>
      </c>
      <c r="C211" s="4">
        <v>-94091.520000000004</v>
      </c>
      <c r="D211" s="4">
        <v>-94091.520000000004</v>
      </c>
      <c r="E211" s="4">
        <v>0</v>
      </c>
      <c r="F211" s="3">
        <f>VLOOKUP(B211,'Balance Sheet'!$B$2:$C$295,2,0)</f>
        <v>-94091.520000000004</v>
      </c>
    </row>
    <row r="212" spans="1:6" x14ac:dyDescent="0.2">
      <c r="A212" s="3" t="s">
        <v>211</v>
      </c>
      <c r="B212" s="3" t="s">
        <v>215</v>
      </c>
      <c r="C212" s="4">
        <v>-81661.3</v>
      </c>
      <c r="D212" s="4">
        <v>-81661.3</v>
      </c>
      <c r="E212" s="4">
        <v>0</v>
      </c>
      <c r="F212" s="3">
        <f>VLOOKUP(B212,'Balance Sheet'!$B$2:$C$295,2,0)</f>
        <v>-81661.3</v>
      </c>
    </row>
    <row r="213" spans="1:6" x14ac:dyDescent="0.2">
      <c r="A213" s="3" t="s">
        <v>211</v>
      </c>
      <c r="B213" s="3" t="s">
        <v>216</v>
      </c>
      <c r="C213" s="4">
        <v>-183264.67</v>
      </c>
      <c r="D213" s="4">
        <v>-183264.67</v>
      </c>
      <c r="E213" s="4">
        <v>0</v>
      </c>
      <c r="F213" s="3">
        <f>VLOOKUP(B213,'Balance Sheet'!$B$2:$C$295,2,0)</f>
        <v>-183264.67</v>
      </c>
    </row>
    <row r="214" spans="1:6" x14ac:dyDescent="0.2">
      <c r="A214" s="3" t="s">
        <v>211</v>
      </c>
      <c r="B214" s="3" t="s">
        <v>217</v>
      </c>
      <c r="C214" s="4">
        <v>-263618.55</v>
      </c>
      <c r="D214" s="4">
        <v>-263618.55</v>
      </c>
      <c r="E214" s="4">
        <v>0</v>
      </c>
      <c r="F214" s="3">
        <f>VLOOKUP(B214,'Balance Sheet'!$B$2:$C$295,2,0)</f>
        <v>-263618.55</v>
      </c>
    </row>
    <row r="215" spans="1:6" x14ac:dyDescent="0.2">
      <c r="A215" s="3" t="s">
        <v>211</v>
      </c>
      <c r="B215" s="3" t="s">
        <v>2</v>
      </c>
      <c r="C215" s="46">
        <v>-899052.79</v>
      </c>
      <c r="D215" s="4">
        <v>-899052.79</v>
      </c>
      <c r="E215" s="4">
        <v>0</v>
      </c>
    </row>
    <row r="216" spans="1:6" x14ac:dyDescent="0.2">
      <c r="A216" s="3" t="s">
        <v>218</v>
      </c>
      <c r="B216" s="3" t="s">
        <v>2</v>
      </c>
      <c r="C216" s="4">
        <v>-899052.79</v>
      </c>
      <c r="D216" s="4">
        <v>-899052.79</v>
      </c>
      <c r="E216" s="4">
        <v>0</v>
      </c>
    </row>
    <row r="217" spans="1:6" x14ac:dyDescent="0.2">
      <c r="A217" s="3" t="s">
        <v>219</v>
      </c>
      <c r="B217" s="3" t="s">
        <v>220</v>
      </c>
      <c r="C217" s="4">
        <v>120.57</v>
      </c>
      <c r="D217" s="4">
        <v>120.57</v>
      </c>
      <c r="E217" s="4">
        <v>0</v>
      </c>
      <c r="F217" s="3">
        <f>VLOOKUP(B217,'Balance Sheet'!$B$2:$C$295,2,0)</f>
        <v>120.57</v>
      </c>
    </row>
    <row r="218" spans="1:6" x14ac:dyDescent="0.2">
      <c r="A218" s="3" t="s">
        <v>219</v>
      </c>
      <c r="B218" s="3" t="s">
        <v>221</v>
      </c>
      <c r="C218" s="4">
        <v>596.78</v>
      </c>
      <c r="D218" s="4">
        <v>596.78</v>
      </c>
      <c r="E218" s="4">
        <v>0</v>
      </c>
      <c r="F218" s="3">
        <f>VLOOKUP(B218,'Balance Sheet'!$B$2:$C$295,2,0)</f>
        <v>596.78</v>
      </c>
    </row>
    <row r="219" spans="1:6" x14ac:dyDescent="0.2">
      <c r="A219" s="3" t="s">
        <v>219</v>
      </c>
      <c r="B219" s="3" t="s">
        <v>222</v>
      </c>
      <c r="C219" s="4">
        <v>51669293.850000001</v>
      </c>
      <c r="D219" s="4">
        <v>51669293.850000001</v>
      </c>
      <c r="E219" s="4">
        <v>0</v>
      </c>
      <c r="F219" s="3">
        <f>VLOOKUP(B219,'Balance Sheet'!$B$2:$C$295,2,0)</f>
        <v>51669293.850000001</v>
      </c>
    </row>
    <row r="220" spans="1:6" x14ac:dyDescent="0.2">
      <c r="A220" s="3" t="s">
        <v>219</v>
      </c>
      <c r="B220" s="3" t="s">
        <v>2</v>
      </c>
      <c r="C220" s="46">
        <v>51670011.200000003</v>
      </c>
      <c r="D220" s="4">
        <v>51670011.200000003</v>
      </c>
      <c r="E220" s="4">
        <v>0</v>
      </c>
    </row>
    <row r="221" spans="1:6" x14ac:dyDescent="0.2">
      <c r="A221" s="3" t="s">
        <v>223</v>
      </c>
      <c r="B221" s="3" t="s">
        <v>2</v>
      </c>
      <c r="C221" s="4">
        <v>51670011.200000003</v>
      </c>
      <c r="D221" s="4">
        <v>51670011.200000003</v>
      </c>
      <c r="E221" s="4">
        <v>0</v>
      </c>
    </row>
    <row r="222" spans="1:6" x14ac:dyDescent="0.2">
      <c r="A222" s="3" t="s">
        <v>224</v>
      </c>
      <c r="B222" s="3" t="s">
        <v>2</v>
      </c>
      <c r="C222" s="4">
        <v>45256552.549999997</v>
      </c>
      <c r="D222" s="4">
        <v>45256552.549999997</v>
      </c>
      <c r="E222" s="4">
        <v>0</v>
      </c>
    </row>
    <row r="223" spans="1:6" x14ac:dyDescent="0.2">
      <c r="A223" s="3" t="s">
        <v>225</v>
      </c>
      <c r="B223" s="3" t="s">
        <v>226</v>
      </c>
      <c r="C223" s="4">
        <v>-108735797.43000001</v>
      </c>
      <c r="D223" s="4">
        <v>-108735797.43000001</v>
      </c>
      <c r="E223" s="4">
        <v>0</v>
      </c>
      <c r="F223" s="3">
        <f>VLOOKUP(B223,'Balance Sheet'!$B$2:$C$295,2,0)</f>
        <v>-108735797.43000001</v>
      </c>
    </row>
    <row r="224" spans="1:6" x14ac:dyDescent="0.2">
      <c r="A224" s="3" t="s">
        <v>225</v>
      </c>
      <c r="B224" s="3" t="s">
        <v>2</v>
      </c>
      <c r="C224" s="46">
        <v>-108735797.43000001</v>
      </c>
      <c r="D224" s="4">
        <v>-108735797.43000001</v>
      </c>
      <c r="E224" s="4">
        <v>0</v>
      </c>
    </row>
    <row r="225" spans="1:6" x14ac:dyDescent="0.2">
      <c r="A225" s="3" t="s">
        <v>227</v>
      </c>
      <c r="B225" s="3" t="s">
        <v>2</v>
      </c>
      <c r="C225" s="4">
        <v>-108735797.43000001</v>
      </c>
      <c r="D225" s="4">
        <v>-108735797.43000001</v>
      </c>
      <c r="E225" s="4">
        <v>0</v>
      </c>
    </row>
    <row r="226" spans="1:6" x14ac:dyDescent="0.2">
      <c r="A226" s="3" t="s">
        <v>228</v>
      </c>
      <c r="B226" s="3" t="s">
        <v>2</v>
      </c>
      <c r="C226" s="4">
        <v>-108735797.43000001</v>
      </c>
      <c r="D226" s="4">
        <v>-108735797.43000001</v>
      </c>
      <c r="E226" s="4">
        <v>0</v>
      </c>
    </row>
    <row r="227" spans="1:6" x14ac:dyDescent="0.2">
      <c r="A227" s="3" t="s">
        <v>229</v>
      </c>
      <c r="B227" s="3" t="s">
        <v>230</v>
      </c>
      <c r="C227" s="4">
        <v>0</v>
      </c>
      <c r="D227" s="4">
        <v>0</v>
      </c>
      <c r="E227" s="4">
        <v>0</v>
      </c>
      <c r="F227" s="3" t="e">
        <f>VLOOKUP(B227,'Balance Sheet'!$B$2:$C$295,2,0)</f>
        <v>#N/A</v>
      </c>
    </row>
    <row r="228" spans="1:6" x14ac:dyDescent="0.2">
      <c r="A228" s="3" t="s">
        <v>229</v>
      </c>
      <c r="B228" s="5" t="s">
        <v>231</v>
      </c>
      <c r="C228" s="4">
        <v>0</v>
      </c>
      <c r="D228" s="4">
        <v>0</v>
      </c>
      <c r="E228" s="4">
        <v>0</v>
      </c>
    </row>
    <row r="229" spans="1:6" x14ac:dyDescent="0.2">
      <c r="A229" s="3" t="s">
        <v>232</v>
      </c>
      <c r="B229" s="3" t="s">
        <v>2</v>
      </c>
      <c r="C229" s="4">
        <v>-2805781.93</v>
      </c>
      <c r="D229" s="4">
        <v>-2805781.93</v>
      </c>
      <c r="E229" s="4">
        <v>0</v>
      </c>
    </row>
    <row r="230" spans="1:6" x14ac:dyDescent="0.2">
      <c r="A230" s="3" t="s">
        <v>229</v>
      </c>
      <c r="B230" s="3" t="s">
        <v>233</v>
      </c>
      <c r="C230" s="46">
        <v>-2805781.93</v>
      </c>
      <c r="D230" s="4">
        <v>-2805781.93</v>
      </c>
      <c r="E230" s="4">
        <v>0</v>
      </c>
      <c r="F230" s="3">
        <f>VLOOKUP(B230,'Balance Sheet'!$B$2:$C$295,2,0)</f>
        <v>-2805781.93</v>
      </c>
    </row>
    <row r="231" spans="1:6" x14ac:dyDescent="0.2">
      <c r="A231" s="3" t="s">
        <v>229</v>
      </c>
      <c r="B231" s="5" t="s">
        <v>234</v>
      </c>
      <c r="C231" s="4">
        <v>0</v>
      </c>
      <c r="D231" s="4">
        <v>0</v>
      </c>
      <c r="E231" s="4">
        <v>0</v>
      </c>
    </row>
    <row r="232" spans="1:6" x14ac:dyDescent="0.2">
      <c r="A232" s="3" t="s">
        <v>115</v>
      </c>
      <c r="B232" s="3" t="s">
        <v>235</v>
      </c>
      <c r="C232" s="4">
        <v>-66285026.810000002</v>
      </c>
      <c r="D232" s="4">
        <v>-66285026.810000002</v>
      </c>
      <c r="E232" s="4">
        <v>0</v>
      </c>
      <c r="F232" s="3">
        <f>VLOOKUP(B232,'Balance Sheet'!$B$2:$C$295,2,0)</f>
        <v>-66420457.470000006</v>
      </c>
    </row>
    <row r="233" spans="1:6" x14ac:dyDescent="0.2">
      <c r="A233" s="3" t="s">
        <v>115</v>
      </c>
      <c r="B233" s="5" t="s">
        <v>236</v>
      </c>
      <c r="C233" s="4">
        <v>0</v>
      </c>
      <c r="D233" s="4">
        <v>0</v>
      </c>
      <c r="E233" s="4">
        <v>0</v>
      </c>
    </row>
    <row r="234" spans="1:6" x14ac:dyDescent="0.2">
      <c r="A234" s="3" t="s">
        <v>237</v>
      </c>
      <c r="B234" s="3" t="s">
        <v>238</v>
      </c>
      <c r="C234" s="4">
        <v>0</v>
      </c>
      <c r="D234" s="4">
        <v>0</v>
      </c>
      <c r="E234" s="4">
        <v>0</v>
      </c>
    </row>
    <row r="235" spans="1:6" x14ac:dyDescent="0.2">
      <c r="A235" s="3" t="s">
        <v>237</v>
      </c>
      <c r="B235" s="5" t="s">
        <v>239</v>
      </c>
      <c r="C235" s="4">
        <v>0</v>
      </c>
      <c r="D235" s="4">
        <v>0</v>
      </c>
      <c r="E235" s="4">
        <v>0</v>
      </c>
    </row>
    <row r="236" spans="1:6" x14ac:dyDescent="0.2">
      <c r="A236" s="3" t="s">
        <v>240</v>
      </c>
      <c r="B236" s="3" t="s">
        <v>241</v>
      </c>
      <c r="C236" s="4">
        <v>-1198350.1200000001</v>
      </c>
      <c r="D236" s="4">
        <v>-1198350.1200000001</v>
      </c>
      <c r="E236" s="4">
        <v>0</v>
      </c>
    </row>
    <row r="237" spans="1:6" x14ac:dyDescent="0.2">
      <c r="A237" s="3" t="s">
        <v>240</v>
      </c>
      <c r="B237" s="3" t="s">
        <v>242</v>
      </c>
      <c r="C237" s="4">
        <v>-21649.88</v>
      </c>
      <c r="D237" s="4">
        <v>-21649.88</v>
      </c>
      <c r="E237" s="4">
        <v>0</v>
      </c>
    </row>
    <row r="238" spans="1:6" x14ac:dyDescent="0.2">
      <c r="A238" s="3" t="s">
        <v>240</v>
      </c>
      <c r="B238" s="3" t="s">
        <v>243</v>
      </c>
      <c r="C238" s="4">
        <v>-9.94</v>
      </c>
      <c r="D238" s="4">
        <v>-9.94</v>
      </c>
      <c r="E238" s="4">
        <v>0</v>
      </c>
    </row>
    <row r="239" spans="1:6" x14ac:dyDescent="0.2">
      <c r="A239" s="3" t="s">
        <v>240</v>
      </c>
      <c r="B239" s="3" t="s">
        <v>2</v>
      </c>
      <c r="C239" s="4">
        <v>-1220009.94</v>
      </c>
      <c r="D239" s="4">
        <v>-1220009.94</v>
      </c>
      <c r="E239" s="4">
        <v>0</v>
      </c>
    </row>
    <row r="240" spans="1:6" x14ac:dyDescent="0.2">
      <c r="A240" s="3" t="s">
        <v>244</v>
      </c>
      <c r="B240" s="3" t="s">
        <v>245</v>
      </c>
      <c r="C240" s="4">
        <v>-6903467.3600000003</v>
      </c>
      <c r="D240" s="4">
        <v>-6903467.3600000003</v>
      </c>
      <c r="E240" s="4">
        <v>0</v>
      </c>
    </row>
    <row r="241" spans="1:5" x14ac:dyDescent="0.2">
      <c r="A241" s="3" t="s">
        <v>244</v>
      </c>
      <c r="B241" s="3" t="s">
        <v>246</v>
      </c>
      <c r="C241" s="4">
        <v>-119266.71</v>
      </c>
      <c r="D241" s="4">
        <v>-119266.71</v>
      </c>
      <c r="E241" s="4">
        <v>0</v>
      </c>
    </row>
    <row r="242" spans="1:5" x14ac:dyDescent="0.2">
      <c r="A242" s="3" t="s">
        <v>244</v>
      </c>
      <c r="B242" s="3" t="s">
        <v>247</v>
      </c>
      <c r="C242" s="4">
        <v>-47.33</v>
      </c>
      <c r="D242" s="4">
        <v>-47.33</v>
      </c>
      <c r="E242" s="4">
        <v>0</v>
      </c>
    </row>
    <row r="243" spans="1:5" x14ac:dyDescent="0.2">
      <c r="A243" s="3" t="s">
        <v>244</v>
      </c>
      <c r="B243" s="3" t="s">
        <v>248</v>
      </c>
      <c r="C243" s="4">
        <v>-78516.34</v>
      </c>
      <c r="D243" s="4">
        <v>-78516.34</v>
      </c>
      <c r="E243" s="4">
        <v>0</v>
      </c>
    </row>
    <row r="244" spans="1:5" x14ac:dyDescent="0.2">
      <c r="A244" s="3" t="s">
        <v>244</v>
      </c>
      <c r="B244" s="3" t="s">
        <v>249</v>
      </c>
      <c r="C244" s="4">
        <v>-296751.67</v>
      </c>
      <c r="D244" s="4">
        <v>-296751.67</v>
      </c>
      <c r="E244" s="4">
        <v>0</v>
      </c>
    </row>
    <row r="245" spans="1:5" x14ac:dyDescent="0.2">
      <c r="A245" s="3" t="s">
        <v>244</v>
      </c>
      <c r="B245" s="3" t="s">
        <v>250</v>
      </c>
      <c r="C245" s="4">
        <v>-2512.2600000000002</v>
      </c>
      <c r="D245" s="4">
        <v>-2512.2600000000002</v>
      </c>
      <c r="E245" s="4">
        <v>0</v>
      </c>
    </row>
    <row r="246" spans="1:5" x14ac:dyDescent="0.2">
      <c r="A246" s="3" t="s">
        <v>244</v>
      </c>
      <c r="B246" s="3" t="s">
        <v>251</v>
      </c>
      <c r="C246" s="4">
        <v>15005.41</v>
      </c>
      <c r="D246" s="4">
        <v>15005.41</v>
      </c>
      <c r="E246" s="4">
        <v>0</v>
      </c>
    </row>
    <row r="247" spans="1:5" x14ac:dyDescent="0.2">
      <c r="A247" s="3" t="s">
        <v>244</v>
      </c>
      <c r="B247" s="3" t="s">
        <v>252</v>
      </c>
      <c r="C247" s="4">
        <v>-8070.29</v>
      </c>
      <c r="D247" s="4">
        <v>-8070.29</v>
      </c>
      <c r="E247" s="4">
        <v>0</v>
      </c>
    </row>
    <row r="248" spans="1:5" x14ac:dyDescent="0.2">
      <c r="A248" s="3" t="s">
        <v>244</v>
      </c>
      <c r="B248" s="3" t="s">
        <v>2</v>
      </c>
      <c r="C248" s="4">
        <v>-7393626.5499999998</v>
      </c>
      <c r="D248" s="4">
        <v>-7393626.5499999998</v>
      </c>
      <c r="E248" s="4">
        <v>0</v>
      </c>
    </row>
    <row r="249" spans="1:5" x14ac:dyDescent="0.2">
      <c r="A249" s="3" t="s">
        <v>253</v>
      </c>
      <c r="B249" s="3" t="s">
        <v>254</v>
      </c>
      <c r="C249" s="4">
        <v>43908.800000000003</v>
      </c>
      <c r="D249" s="4">
        <v>43908.800000000003</v>
      </c>
      <c r="E249" s="4">
        <v>0</v>
      </c>
    </row>
    <row r="250" spans="1:5" x14ac:dyDescent="0.2">
      <c r="A250" s="3" t="s">
        <v>253</v>
      </c>
      <c r="B250" s="3" t="s">
        <v>255</v>
      </c>
      <c r="C250" s="4">
        <v>-32874.71</v>
      </c>
      <c r="D250" s="4">
        <v>-32874.71</v>
      </c>
      <c r="E250" s="4">
        <v>0</v>
      </c>
    </row>
    <row r="251" spans="1:5" x14ac:dyDescent="0.2">
      <c r="A251" s="3" t="s">
        <v>253</v>
      </c>
      <c r="B251" s="3" t="s">
        <v>256</v>
      </c>
      <c r="C251" s="4">
        <v>-13117.64</v>
      </c>
      <c r="D251" s="4">
        <v>-13117.64</v>
      </c>
      <c r="E251" s="4">
        <v>0</v>
      </c>
    </row>
    <row r="252" spans="1:5" x14ac:dyDescent="0.2">
      <c r="A252" s="3" t="s">
        <v>253</v>
      </c>
      <c r="B252" s="3" t="s">
        <v>257</v>
      </c>
      <c r="C252" s="4">
        <v>-254050.96</v>
      </c>
      <c r="D252" s="4">
        <v>-254050.96</v>
      </c>
      <c r="E252" s="4">
        <v>0</v>
      </c>
    </row>
    <row r="253" spans="1:5" x14ac:dyDescent="0.2">
      <c r="A253" s="3" t="s">
        <v>253</v>
      </c>
      <c r="B253" s="3" t="s">
        <v>258</v>
      </c>
      <c r="C253" s="4">
        <v>3361.41</v>
      </c>
      <c r="D253" s="4">
        <v>3361.41</v>
      </c>
      <c r="E253" s="4">
        <v>0</v>
      </c>
    </row>
    <row r="254" spans="1:5" x14ac:dyDescent="0.2">
      <c r="A254" s="3" t="s">
        <v>253</v>
      </c>
      <c r="B254" s="3" t="s">
        <v>259</v>
      </c>
      <c r="C254" s="4">
        <v>-316.02</v>
      </c>
      <c r="D254" s="4">
        <v>-316.02</v>
      </c>
      <c r="E254" s="4">
        <v>0</v>
      </c>
    </row>
    <row r="255" spans="1:5" x14ac:dyDescent="0.2">
      <c r="A255" s="3" t="s">
        <v>253</v>
      </c>
      <c r="B255" s="3" t="s">
        <v>2</v>
      </c>
      <c r="C255" s="4">
        <v>-253089.12</v>
      </c>
      <c r="D255" s="4">
        <v>-253089.12</v>
      </c>
      <c r="E255" s="4">
        <v>0</v>
      </c>
    </row>
    <row r="256" spans="1:5" x14ac:dyDescent="0.2">
      <c r="A256" s="3" t="s">
        <v>260</v>
      </c>
      <c r="B256" s="3" t="s">
        <v>261</v>
      </c>
      <c r="C256" s="4">
        <v>-682335.86</v>
      </c>
      <c r="D256" s="4">
        <v>-682335.86</v>
      </c>
      <c r="E256" s="4">
        <v>0</v>
      </c>
    </row>
    <row r="257" spans="1:5" x14ac:dyDescent="0.2">
      <c r="A257" s="3" t="s">
        <v>260</v>
      </c>
      <c r="B257" s="3" t="s">
        <v>262</v>
      </c>
      <c r="C257" s="4">
        <v>-236.72</v>
      </c>
      <c r="D257" s="4">
        <v>-236.72</v>
      </c>
      <c r="E257" s="4">
        <v>0</v>
      </c>
    </row>
    <row r="258" spans="1:5" x14ac:dyDescent="0.2">
      <c r="A258" s="3" t="s">
        <v>260</v>
      </c>
      <c r="B258" s="3" t="s">
        <v>2</v>
      </c>
      <c r="C258" s="4">
        <v>-682572.58</v>
      </c>
      <c r="D258" s="4">
        <v>-682572.58</v>
      </c>
      <c r="E258" s="4">
        <v>0</v>
      </c>
    </row>
    <row r="259" spans="1:5" x14ac:dyDescent="0.2">
      <c r="A259" s="3" t="s">
        <v>263</v>
      </c>
      <c r="B259" s="3" t="s">
        <v>264</v>
      </c>
      <c r="C259" s="4">
        <v>-40869.919999999998</v>
      </c>
      <c r="D259" s="4">
        <v>-40869.919999999998</v>
      </c>
      <c r="E259" s="4">
        <v>0</v>
      </c>
    </row>
    <row r="260" spans="1:5" x14ac:dyDescent="0.2">
      <c r="A260" s="3" t="s">
        <v>263</v>
      </c>
      <c r="B260" s="3" t="s">
        <v>2</v>
      </c>
      <c r="C260" s="4">
        <v>-40869.919999999998</v>
      </c>
      <c r="D260" s="4">
        <v>-40869.919999999998</v>
      </c>
      <c r="E260" s="4">
        <v>0</v>
      </c>
    </row>
    <row r="261" spans="1:5" x14ac:dyDescent="0.2">
      <c r="A261" s="3" t="s">
        <v>265</v>
      </c>
      <c r="B261" s="3" t="s">
        <v>2</v>
      </c>
      <c r="C261" s="4">
        <v>-9590168.1099999994</v>
      </c>
      <c r="D261" s="4">
        <v>-9590168.1099999994</v>
      </c>
      <c r="E261" s="4">
        <v>0</v>
      </c>
    </row>
    <row r="262" spans="1:5" x14ac:dyDescent="0.2">
      <c r="A262" s="3" t="s">
        <v>266</v>
      </c>
      <c r="B262" s="3" t="s">
        <v>267</v>
      </c>
      <c r="C262" s="4">
        <v>1541010.5</v>
      </c>
      <c r="D262" s="4">
        <v>1541010.5</v>
      </c>
      <c r="E262" s="4">
        <v>0</v>
      </c>
    </row>
    <row r="263" spans="1:5" x14ac:dyDescent="0.2">
      <c r="A263" s="3" t="s">
        <v>266</v>
      </c>
      <c r="B263" s="3" t="s">
        <v>268</v>
      </c>
      <c r="C263" s="4">
        <v>19021.95</v>
      </c>
      <c r="D263" s="4">
        <v>19021.95</v>
      </c>
      <c r="E263" s="4">
        <v>0</v>
      </c>
    </row>
    <row r="264" spans="1:5" x14ac:dyDescent="0.2">
      <c r="A264" s="3" t="s">
        <v>266</v>
      </c>
      <c r="B264" s="18" t="s">
        <v>269</v>
      </c>
      <c r="C264" s="4">
        <v>9.6</v>
      </c>
      <c r="D264" s="4">
        <v>9.6</v>
      </c>
      <c r="E264" s="4">
        <v>0</v>
      </c>
    </row>
    <row r="265" spans="1:5" x14ac:dyDescent="0.2">
      <c r="A265" s="3" t="s">
        <v>266</v>
      </c>
      <c r="B265" s="3" t="s">
        <v>270</v>
      </c>
      <c r="C265" s="4">
        <v>47559</v>
      </c>
      <c r="D265" s="4">
        <v>47559</v>
      </c>
      <c r="E265" s="4">
        <v>0</v>
      </c>
    </row>
    <row r="266" spans="1:5" x14ac:dyDescent="0.2">
      <c r="A266" s="3" t="s">
        <v>266</v>
      </c>
      <c r="B266" s="3" t="s">
        <v>271</v>
      </c>
      <c r="C266" s="4">
        <v>3187.83</v>
      </c>
      <c r="D266" s="4">
        <v>3187.83</v>
      </c>
      <c r="E266" s="4">
        <v>0</v>
      </c>
    </row>
    <row r="267" spans="1:5" x14ac:dyDescent="0.2">
      <c r="A267" s="3" t="s">
        <v>266</v>
      </c>
      <c r="B267" s="3" t="s">
        <v>272</v>
      </c>
      <c r="C267" s="4">
        <v>158521.4</v>
      </c>
      <c r="D267" s="4">
        <v>158521.4</v>
      </c>
      <c r="E267" s="4">
        <v>0</v>
      </c>
    </row>
    <row r="268" spans="1:5" x14ac:dyDescent="0.2">
      <c r="A268" s="3" t="s">
        <v>266</v>
      </c>
      <c r="B268" s="3" t="s">
        <v>273</v>
      </c>
      <c r="C268" s="4">
        <v>7048.96</v>
      </c>
      <c r="D268" s="4">
        <v>7048.96</v>
      </c>
      <c r="E268" s="4">
        <v>0</v>
      </c>
    </row>
    <row r="269" spans="1:5" x14ac:dyDescent="0.2">
      <c r="A269" s="3" t="s">
        <v>266</v>
      </c>
      <c r="B269" s="3" t="s">
        <v>274</v>
      </c>
      <c r="C269" s="4">
        <v>1215.74</v>
      </c>
      <c r="D269" s="4">
        <v>1215.74</v>
      </c>
      <c r="E269" s="4">
        <v>0</v>
      </c>
    </row>
    <row r="270" spans="1:5" x14ac:dyDescent="0.2">
      <c r="A270" s="3" t="s">
        <v>266</v>
      </c>
      <c r="B270" s="3" t="s">
        <v>275</v>
      </c>
      <c r="C270" s="4">
        <v>7361.19</v>
      </c>
      <c r="D270" s="4">
        <v>7361.19</v>
      </c>
      <c r="E270" s="4">
        <v>0</v>
      </c>
    </row>
    <row r="271" spans="1:5" x14ac:dyDescent="0.2">
      <c r="A271" s="3" t="s">
        <v>266</v>
      </c>
      <c r="B271" s="3" t="s">
        <v>276</v>
      </c>
      <c r="C271" s="4">
        <v>4835.87</v>
      </c>
      <c r="D271" s="4">
        <v>4835.87</v>
      </c>
      <c r="E271" s="4">
        <v>0</v>
      </c>
    </row>
    <row r="272" spans="1:5" x14ac:dyDescent="0.2">
      <c r="A272" s="3" t="s">
        <v>266</v>
      </c>
      <c r="B272" s="18" t="s">
        <v>277</v>
      </c>
      <c r="C272" s="4">
        <v>-653147.53</v>
      </c>
      <c r="D272" s="4">
        <v>-653147.53</v>
      </c>
      <c r="E272" s="4">
        <v>0</v>
      </c>
    </row>
    <row r="273" spans="1:5" x14ac:dyDescent="0.2">
      <c r="A273" s="3" t="s">
        <v>266</v>
      </c>
      <c r="B273" s="3" t="s">
        <v>278</v>
      </c>
      <c r="C273" s="4">
        <v>11650</v>
      </c>
      <c r="D273" s="4">
        <v>11650</v>
      </c>
      <c r="E273" s="4">
        <v>0</v>
      </c>
    </row>
    <row r="274" spans="1:5" x14ac:dyDescent="0.2">
      <c r="A274" s="3" t="s">
        <v>266</v>
      </c>
      <c r="B274" s="3" t="s">
        <v>279</v>
      </c>
      <c r="C274" s="4">
        <v>150.68</v>
      </c>
      <c r="D274" s="4">
        <v>150.68</v>
      </c>
      <c r="E274" s="4">
        <v>0</v>
      </c>
    </row>
    <row r="275" spans="1:5" x14ac:dyDescent="0.2">
      <c r="A275" s="3" t="s">
        <v>266</v>
      </c>
      <c r="B275" s="3" t="s">
        <v>280</v>
      </c>
      <c r="C275" s="4">
        <v>-55.88</v>
      </c>
      <c r="D275" s="4">
        <v>-55.88</v>
      </c>
      <c r="E275" s="4">
        <v>0</v>
      </c>
    </row>
    <row r="276" spans="1:5" x14ac:dyDescent="0.2">
      <c r="A276" s="3" t="s">
        <v>266</v>
      </c>
      <c r="B276" s="3" t="s">
        <v>281</v>
      </c>
      <c r="C276" s="4">
        <v>10059.700000000001</v>
      </c>
      <c r="D276" s="4">
        <v>10059.700000000001</v>
      </c>
      <c r="E276" s="4">
        <v>0</v>
      </c>
    </row>
    <row r="277" spans="1:5" x14ac:dyDescent="0.2">
      <c r="A277" s="3" t="s">
        <v>266</v>
      </c>
      <c r="B277" s="3" t="s">
        <v>282</v>
      </c>
      <c r="C277" s="4">
        <v>-4085.23</v>
      </c>
      <c r="D277" s="4">
        <v>-4085.23</v>
      </c>
      <c r="E277" s="4">
        <v>0</v>
      </c>
    </row>
    <row r="278" spans="1:5" x14ac:dyDescent="0.2">
      <c r="A278" s="3" t="s">
        <v>266</v>
      </c>
      <c r="B278" s="3" t="s">
        <v>283</v>
      </c>
      <c r="C278" s="4">
        <v>-78.59</v>
      </c>
      <c r="D278" s="4">
        <v>-78.59</v>
      </c>
      <c r="E278" s="4">
        <v>0</v>
      </c>
    </row>
    <row r="279" spans="1:5" x14ac:dyDescent="0.2">
      <c r="A279" s="3" t="s">
        <v>266</v>
      </c>
      <c r="B279" s="3" t="s">
        <v>284</v>
      </c>
      <c r="C279" s="4">
        <v>-514.86</v>
      </c>
      <c r="D279" s="4">
        <v>-514.86</v>
      </c>
      <c r="E279" s="4">
        <v>0</v>
      </c>
    </row>
    <row r="280" spans="1:5" x14ac:dyDescent="0.2">
      <c r="A280" s="3" t="s">
        <v>266</v>
      </c>
      <c r="B280" s="3" t="s">
        <v>285</v>
      </c>
      <c r="C280" s="4">
        <v>2356.2399999999998</v>
      </c>
      <c r="D280" s="4">
        <v>2356.2399999999998</v>
      </c>
      <c r="E280" s="4">
        <v>0</v>
      </c>
    </row>
    <row r="281" spans="1:5" x14ac:dyDescent="0.2">
      <c r="A281" s="3" t="s">
        <v>266</v>
      </c>
      <c r="B281" s="3" t="s">
        <v>2</v>
      </c>
      <c r="C281" s="4">
        <v>1156106.57</v>
      </c>
      <c r="D281" s="4">
        <v>1156106.57</v>
      </c>
      <c r="E281" s="4">
        <v>0</v>
      </c>
    </row>
    <row r="282" spans="1:5" x14ac:dyDescent="0.2">
      <c r="A282" s="3" t="s">
        <v>286</v>
      </c>
      <c r="B282" s="3" t="s">
        <v>287</v>
      </c>
      <c r="C282" s="4">
        <v>4599898.2300000004</v>
      </c>
      <c r="D282" s="4">
        <v>4599898.2300000004</v>
      </c>
      <c r="E282" s="4">
        <v>0</v>
      </c>
    </row>
    <row r="283" spans="1:5" x14ac:dyDescent="0.2">
      <c r="A283" s="3" t="s">
        <v>286</v>
      </c>
      <c r="B283" s="3" t="s">
        <v>288</v>
      </c>
      <c r="C283" s="4">
        <v>78719.259999999995</v>
      </c>
      <c r="D283" s="4">
        <v>78719.259999999995</v>
      </c>
      <c r="E283" s="4">
        <v>0</v>
      </c>
    </row>
    <row r="284" spans="1:5" x14ac:dyDescent="0.2">
      <c r="A284" s="3" t="s">
        <v>286</v>
      </c>
      <c r="B284" s="3" t="s">
        <v>289</v>
      </c>
      <c r="C284" s="4">
        <v>29.4</v>
      </c>
      <c r="D284" s="4">
        <v>29.4</v>
      </c>
      <c r="E284" s="4">
        <v>0</v>
      </c>
    </row>
    <row r="285" spans="1:5" x14ac:dyDescent="0.2">
      <c r="A285" s="3" t="s">
        <v>286</v>
      </c>
      <c r="B285" s="3" t="s">
        <v>290</v>
      </c>
      <c r="C285" s="4">
        <v>-78041.740000000005</v>
      </c>
      <c r="D285" s="4">
        <v>-78041.740000000005</v>
      </c>
      <c r="E285" s="4">
        <v>0</v>
      </c>
    </row>
    <row r="286" spans="1:5" x14ac:dyDescent="0.2">
      <c r="A286" s="3" t="s">
        <v>286</v>
      </c>
      <c r="B286" s="3" t="s">
        <v>291</v>
      </c>
      <c r="C286" s="4">
        <v>-224426.59</v>
      </c>
      <c r="D286" s="4">
        <v>-224426.59</v>
      </c>
      <c r="E286" s="4">
        <v>0</v>
      </c>
    </row>
    <row r="287" spans="1:5" x14ac:dyDescent="0.2">
      <c r="A287" s="3" t="s">
        <v>286</v>
      </c>
      <c r="B287" s="3" t="s">
        <v>292</v>
      </c>
      <c r="C287" s="4">
        <v>331451.15999999997</v>
      </c>
      <c r="D287" s="4">
        <v>331451.15999999997</v>
      </c>
      <c r="E287" s="4">
        <v>0</v>
      </c>
    </row>
    <row r="288" spans="1:5" x14ac:dyDescent="0.2">
      <c r="A288" s="3" t="s">
        <v>286</v>
      </c>
      <c r="B288" s="3" t="s">
        <v>293</v>
      </c>
      <c r="C288" s="4">
        <v>57409.34</v>
      </c>
      <c r="D288" s="4">
        <v>57409.34</v>
      </c>
      <c r="E288" s="4">
        <v>0</v>
      </c>
    </row>
    <row r="289" spans="1:5" x14ac:dyDescent="0.2">
      <c r="A289" s="3" t="s">
        <v>286</v>
      </c>
      <c r="B289" s="3" t="s">
        <v>294</v>
      </c>
      <c r="C289" s="4">
        <v>1681.1</v>
      </c>
      <c r="D289" s="4">
        <v>1681.1</v>
      </c>
      <c r="E289" s="4">
        <v>0</v>
      </c>
    </row>
    <row r="290" spans="1:5" x14ac:dyDescent="0.2">
      <c r="A290" s="3" t="s">
        <v>286</v>
      </c>
      <c r="B290" s="3" t="s">
        <v>295</v>
      </c>
      <c r="C290" s="4">
        <v>19891.22</v>
      </c>
      <c r="D290" s="4">
        <v>19891.22</v>
      </c>
      <c r="E290" s="4">
        <v>0</v>
      </c>
    </row>
    <row r="291" spans="1:5" x14ac:dyDescent="0.2">
      <c r="A291" s="3" t="s">
        <v>286</v>
      </c>
      <c r="B291" s="3" t="s">
        <v>296</v>
      </c>
      <c r="C291" s="4">
        <v>843.33</v>
      </c>
      <c r="D291" s="4">
        <v>843.33</v>
      </c>
      <c r="E291" s="4">
        <v>0</v>
      </c>
    </row>
    <row r="292" spans="1:5" x14ac:dyDescent="0.2">
      <c r="A292" s="3" t="s">
        <v>286</v>
      </c>
      <c r="B292" s="3" t="s">
        <v>2</v>
      </c>
      <c r="C292" s="4">
        <v>4787454.71</v>
      </c>
      <c r="D292" s="4">
        <v>4787454.71</v>
      </c>
      <c r="E292" s="4">
        <v>0</v>
      </c>
    </row>
    <row r="293" spans="1:5" x14ac:dyDescent="0.2">
      <c r="A293" s="3" t="s">
        <v>297</v>
      </c>
      <c r="B293" s="3" t="s">
        <v>298</v>
      </c>
      <c r="C293" s="4">
        <v>34268.6</v>
      </c>
      <c r="D293" s="4">
        <v>34268.6</v>
      </c>
      <c r="E293" s="4">
        <v>0</v>
      </c>
    </row>
    <row r="294" spans="1:5" x14ac:dyDescent="0.2">
      <c r="A294" s="3" t="s">
        <v>297</v>
      </c>
      <c r="B294" s="3" t="s">
        <v>299</v>
      </c>
      <c r="C294" s="4">
        <v>120787.89</v>
      </c>
      <c r="D294" s="4">
        <v>120787.89</v>
      </c>
      <c r="E294" s="4">
        <v>0</v>
      </c>
    </row>
    <row r="295" spans="1:5" x14ac:dyDescent="0.2">
      <c r="A295" s="3" t="s">
        <v>297</v>
      </c>
      <c r="B295" s="3" t="s">
        <v>300</v>
      </c>
      <c r="C295" s="4">
        <v>232.33</v>
      </c>
      <c r="D295" s="4">
        <v>232.33</v>
      </c>
      <c r="E295" s="4">
        <v>0</v>
      </c>
    </row>
    <row r="296" spans="1:5" x14ac:dyDescent="0.2">
      <c r="A296" s="3" t="s">
        <v>297</v>
      </c>
      <c r="B296" s="3" t="s">
        <v>2</v>
      </c>
      <c r="C296" s="4">
        <v>155288.82</v>
      </c>
      <c r="D296" s="4">
        <v>155288.82</v>
      </c>
      <c r="E296" s="4">
        <v>0</v>
      </c>
    </row>
    <row r="297" spans="1:5" x14ac:dyDescent="0.2">
      <c r="A297" s="3" t="s">
        <v>301</v>
      </c>
      <c r="B297" s="3" t="s">
        <v>302</v>
      </c>
      <c r="C297" s="4">
        <v>8156.88</v>
      </c>
      <c r="D297" s="4">
        <v>8156.88</v>
      </c>
      <c r="E297" s="4">
        <v>0</v>
      </c>
    </row>
    <row r="298" spans="1:5" x14ac:dyDescent="0.2">
      <c r="A298" s="3" t="s">
        <v>301</v>
      </c>
      <c r="B298" s="3" t="s">
        <v>303</v>
      </c>
      <c r="C298" s="4">
        <v>-66.91</v>
      </c>
      <c r="D298" s="4">
        <v>-66.91</v>
      </c>
      <c r="E298" s="4">
        <v>0</v>
      </c>
    </row>
    <row r="299" spans="1:5" x14ac:dyDescent="0.2">
      <c r="A299" s="3" t="s">
        <v>301</v>
      </c>
      <c r="B299" s="3" t="s">
        <v>304</v>
      </c>
      <c r="C299" s="4">
        <v>-1273</v>
      </c>
      <c r="D299" s="4">
        <v>-1273</v>
      </c>
      <c r="E299" s="4">
        <v>0</v>
      </c>
    </row>
    <row r="300" spans="1:5" x14ac:dyDescent="0.2">
      <c r="A300" s="3" t="s">
        <v>301</v>
      </c>
      <c r="B300" s="3" t="s">
        <v>305</v>
      </c>
      <c r="C300" s="4">
        <v>35256.519999999997</v>
      </c>
      <c r="D300" s="4">
        <v>35256.519999999997</v>
      </c>
      <c r="E300" s="4">
        <v>0</v>
      </c>
    </row>
    <row r="301" spans="1:5" x14ac:dyDescent="0.2">
      <c r="A301" s="3" t="s">
        <v>301</v>
      </c>
      <c r="B301" s="3" t="s">
        <v>306</v>
      </c>
      <c r="C301" s="4">
        <v>177675.6</v>
      </c>
      <c r="D301" s="4">
        <v>177675.6</v>
      </c>
      <c r="E301" s="4">
        <v>0</v>
      </c>
    </row>
    <row r="302" spans="1:5" x14ac:dyDescent="0.2">
      <c r="A302" s="3" t="s">
        <v>301</v>
      </c>
      <c r="B302" s="3" t="s">
        <v>307</v>
      </c>
      <c r="C302" s="4">
        <v>234768.13</v>
      </c>
      <c r="D302" s="4">
        <v>234768.13</v>
      </c>
      <c r="E302" s="4">
        <v>0</v>
      </c>
    </row>
    <row r="303" spans="1:5" x14ac:dyDescent="0.2">
      <c r="A303" s="3" t="s">
        <v>301</v>
      </c>
      <c r="B303" s="3" t="s">
        <v>308</v>
      </c>
      <c r="C303" s="4">
        <v>-1354.35</v>
      </c>
      <c r="D303" s="4">
        <v>-1354.35</v>
      </c>
      <c r="E303" s="4">
        <v>0</v>
      </c>
    </row>
    <row r="304" spans="1:5" x14ac:dyDescent="0.2">
      <c r="A304" s="3" t="s">
        <v>301</v>
      </c>
      <c r="B304" s="3" t="s">
        <v>309</v>
      </c>
      <c r="C304" s="4">
        <v>4379.91</v>
      </c>
      <c r="D304" s="4">
        <v>4379.91</v>
      </c>
      <c r="E304" s="4">
        <v>0</v>
      </c>
    </row>
    <row r="305" spans="1:5" x14ac:dyDescent="0.2">
      <c r="A305" s="3" t="s">
        <v>301</v>
      </c>
      <c r="B305" s="3" t="s">
        <v>2</v>
      </c>
      <c r="C305" s="4">
        <v>457542.78</v>
      </c>
      <c r="D305" s="4">
        <v>457542.78</v>
      </c>
      <c r="E305" s="4">
        <v>0</v>
      </c>
    </row>
    <row r="306" spans="1:5" x14ac:dyDescent="0.2">
      <c r="A306" s="3" t="s">
        <v>310</v>
      </c>
      <c r="B306" s="3" t="s">
        <v>311</v>
      </c>
      <c r="C306" s="4">
        <v>28710.76</v>
      </c>
      <c r="D306" s="4">
        <v>28710.76</v>
      </c>
      <c r="E306" s="4">
        <v>0</v>
      </c>
    </row>
    <row r="307" spans="1:5" x14ac:dyDescent="0.2">
      <c r="A307" s="3" t="s">
        <v>310</v>
      </c>
      <c r="B307" s="3" t="s">
        <v>2</v>
      </c>
      <c r="C307" s="4">
        <v>28710.76</v>
      </c>
      <c r="D307" s="4">
        <v>28710.76</v>
      </c>
      <c r="E307" s="4">
        <v>0</v>
      </c>
    </row>
    <row r="308" spans="1:5" x14ac:dyDescent="0.2">
      <c r="A308" s="3" t="s">
        <v>312</v>
      </c>
      <c r="B308" s="3" t="s">
        <v>2</v>
      </c>
      <c r="C308" s="4">
        <v>6585103.6399999997</v>
      </c>
      <c r="D308" s="4">
        <v>6585103.6399999997</v>
      </c>
      <c r="E308" s="4">
        <v>0</v>
      </c>
    </row>
    <row r="309" spans="1:5" x14ac:dyDescent="0.2">
      <c r="A309" s="3" t="s">
        <v>313</v>
      </c>
      <c r="B309" s="3" t="s">
        <v>314</v>
      </c>
      <c r="C309" s="4">
        <v>67660.800000000003</v>
      </c>
      <c r="D309" s="4">
        <v>67660.800000000003</v>
      </c>
      <c r="E309" s="4">
        <v>0</v>
      </c>
    </row>
    <row r="310" spans="1:5" x14ac:dyDescent="0.2">
      <c r="A310" s="3" t="s">
        <v>313</v>
      </c>
      <c r="B310" s="3" t="s">
        <v>315</v>
      </c>
      <c r="C310" s="4">
        <v>2167.0100000000002</v>
      </c>
      <c r="D310" s="4">
        <v>2167.0100000000002</v>
      </c>
      <c r="E310" s="4">
        <v>0</v>
      </c>
    </row>
    <row r="311" spans="1:5" x14ac:dyDescent="0.2">
      <c r="A311" s="3" t="s">
        <v>313</v>
      </c>
      <c r="B311" s="3" t="s">
        <v>316</v>
      </c>
      <c r="C311" s="4">
        <v>17490.57</v>
      </c>
      <c r="D311" s="4">
        <v>17490.57</v>
      </c>
      <c r="E311" s="4">
        <v>0</v>
      </c>
    </row>
    <row r="312" spans="1:5" x14ac:dyDescent="0.2">
      <c r="A312" s="3" t="s">
        <v>313</v>
      </c>
      <c r="B312" s="3" t="s">
        <v>317</v>
      </c>
      <c r="C312" s="4">
        <v>258.06</v>
      </c>
      <c r="D312" s="4">
        <v>258.06</v>
      </c>
      <c r="E312" s="4">
        <v>0</v>
      </c>
    </row>
    <row r="313" spans="1:5" x14ac:dyDescent="0.2">
      <c r="A313" s="3" t="s">
        <v>313</v>
      </c>
      <c r="B313" s="3" t="s">
        <v>318</v>
      </c>
      <c r="C313" s="4">
        <v>10286.41</v>
      </c>
      <c r="D313" s="4">
        <v>10286.41</v>
      </c>
      <c r="E313" s="4">
        <v>0</v>
      </c>
    </row>
    <row r="314" spans="1:5" x14ac:dyDescent="0.2">
      <c r="A314" s="3" t="s">
        <v>313</v>
      </c>
      <c r="B314" s="3" t="s">
        <v>319</v>
      </c>
      <c r="C314" s="4">
        <v>49856.85</v>
      </c>
      <c r="D314" s="4">
        <v>49856.85</v>
      </c>
      <c r="E314" s="4">
        <v>0</v>
      </c>
    </row>
    <row r="315" spans="1:5" x14ac:dyDescent="0.2">
      <c r="A315" s="3" t="s">
        <v>313</v>
      </c>
      <c r="B315" s="3" t="s">
        <v>320</v>
      </c>
      <c r="C315" s="4">
        <v>5647.84</v>
      </c>
      <c r="D315" s="4">
        <v>5647.84</v>
      </c>
      <c r="E315" s="4">
        <v>0</v>
      </c>
    </row>
    <row r="316" spans="1:5" x14ac:dyDescent="0.2">
      <c r="A316" s="3" t="s">
        <v>313</v>
      </c>
      <c r="B316" s="3" t="s">
        <v>321</v>
      </c>
      <c r="C316" s="4">
        <v>-156942.87</v>
      </c>
      <c r="D316" s="4">
        <v>-156942.87</v>
      </c>
      <c r="E316" s="4">
        <v>0</v>
      </c>
    </row>
    <row r="317" spans="1:5" x14ac:dyDescent="0.2">
      <c r="A317" s="3" t="s">
        <v>313</v>
      </c>
      <c r="B317" s="3" t="s">
        <v>322</v>
      </c>
      <c r="C317" s="4">
        <v>489.83</v>
      </c>
      <c r="D317" s="4">
        <v>489.83</v>
      </c>
      <c r="E317" s="4">
        <v>0</v>
      </c>
    </row>
    <row r="318" spans="1:5" x14ac:dyDescent="0.2">
      <c r="A318" s="3" t="s">
        <v>313</v>
      </c>
      <c r="B318" s="3" t="s">
        <v>323</v>
      </c>
      <c r="C318" s="4">
        <v>5148.5200000000004</v>
      </c>
      <c r="D318" s="4">
        <v>5148.5200000000004</v>
      </c>
      <c r="E318" s="4">
        <v>0</v>
      </c>
    </row>
    <row r="319" spans="1:5" x14ac:dyDescent="0.2">
      <c r="A319" s="3" t="s">
        <v>313</v>
      </c>
      <c r="B319" s="3" t="s">
        <v>324</v>
      </c>
      <c r="C319" s="4">
        <v>11902.58</v>
      </c>
      <c r="D319" s="4">
        <v>11902.58</v>
      </c>
      <c r="E319" s="4">
        <v>0</v>
      </c>
    </row>
    <row r="320" spans="1:5" x14ac:dyDescent="0.2">
      <c r="A320" s="3" t="s">
        <v>313</v>
      </c>
      <c r="B320" s="3" t="s">
        <v>325</v>
      </c>
      <c r="C320" s="4">
        <v>3128</v>
      </c>
      <c r="D320" s="4">
        <v>3128</v>
      </c>
      <c r="E320" s="4">
        <v>0</v>
      </c>
    </row>
    <row r="321" spans="1:6" x14ac:dyDescent="0.2">
      <c r="A321" s="3" t="s">
        <v>313</v>
      </c>
      <c r="B321" s="3" t="s">
        <v>326</v>
      </c>
      <c r="C321" s="4">
        <v>9853.35</v>
      </c>
      <c r="D321" s="4">
        <v>9853.35</v>
      </c>
      <c r="E321" s="4">
        <v>0</v>
      </c>
    </row>
    <row r="322" spans="1:6" x14ac:dyDescent="0.2">
      <c r="A322" s="3" t="s">
        <v>313</v>
      </c>
      <c r="B322" s="3" t="s">
        <v>327</v>
      </c>
      <c r="C322" s="4">
        <v>608.09</v>
      </c>
      <c r="D322" s="4">
        <v>608.09</v>
      </c>
      <c r="E322" s="4">
        <v>0</v>
      </c>
    </row>
    <row r="323" spans="1:6" x14ac:dyDescent="0.2">
      <c r="A323" s="3" t="s">
        <v>313</v>
      </c>
      <c r="B323" s="3" t="s">
        <v>328</v>
      </c>
      <c r="C323" s="4">
        <v>-70.97</v>
      </c>
      <c r="D323" s="4">
        <v>-70.97</v>
      </c>
      <c r="E323" s="4">
        <v>0</v>
      </c>
      <c r="F323" s="3" t="e">
        <f>VLOOKUP(B323,'Balance Sheet'!$B$2:$C$295,2,0)</f>
        <v>#N/A</v>
      </c>
    </row>
    <row r="324" spans="1:6" x14ac:dyDescent="0.2">
      <c r="A324" s="3" t="s">
        <v>313</v>
      </c>
      <c r="B324" s="3" t="s">
        <v>329</v>
      </c>
      <c r="C324" s="4">
        <v>3221.71</v>
      </c>
      <c r="D324" s="4">
        <v>3221.71</v>
      </c>
      <c r="E324" s="4">
        <v>0</v>
      </c>
      <c r="F324" s="3" t="e">
        <f>VLOOKUP(B324,'Balance Sheet'!$B$2:$C$295,2,0)</f>
        <v>#N/A</v>
      </c>
    </row>
    <row r="325" spans="1:6" x14ac:dyDescent="0.2">
      <c r="A325" s="3" t="s">
        <v>313</v>
      </c>
      <c r="B325" s="3" t="s">
        <v>330</v>
      </c>
      <c r="C325" s="4">
        <v>844.53</v>
      </c>
      <c r="D325" s="4">
        <v>844.53</v>
      </c>
      <c r="E325" s="4">
        <v>0</v>
      </c>
      <c r="F325" s="3" t="e">
        <f>VLOOKUP(B325,'Balance Sheet'!$B$2:$C$295,2,0)</f>
        <v>#N/A</v>
      </c>
    </row>
    <row r="326" spans="1:6" x14ac:dyDescent="0.2">
      <c r="A326" s="3" t="s">
        <v>313</v>
      </c>
      <c r="B326" s="3" t="s">
        <v>331</v>
      </c>
      <c r="C326" s="4">
        <v>9977.83</v>
      </c>
      <c r="D326" s="4">
        <v>9977.83</v>
      </c>
      <c r="E326" s="4">
        <v>0</v>
      </c>
      <c r="F326" s="3" t="e">
        <f>VLOOKUP(B326,'Balance Sheet'!$B$2:$C$295,2,0)</f>
        <v>#N/A</v>
      </c>
    </row>
    <row r="327" spans="1:6" x14ac:dyDescent="0.2">
      <c r="A327" s="3" t="s">
        <v>313</v>
      </c>
      <c r="B327" s="3" t="s">
        <v>332</v>
      </c>
      <c r="C327" s="4">
        <v>83.84</v>
      </c>
      <c r="D327" s="4">
        <v>83.84</v>
      </c>
      <c r="E327" s="4">
        <v>0</v>
      </c>
      <c r="F327" s="3" t="e">
        <f>VLOOKUP(B327,'Balance Sheet'!$B$2:$C$295,2,0)</f>
        <v>#N/A</v>
      </c>
    </row>
    <row r="328" spans="1:6" x14ac:dyDescent="0.2">
      <c r="A328" s="3" t="s">
        <v>313</v>
      </c>
      <c r="B328" s="3" t="s">
        <v>333</v>
      </c>
      <c r="C328" s="4">
        <v>4593.04</v>
      </c>
      <c r="D328" s="4">
        <v>4593.04</v>
      </c>
      <c r="E328" s="4">
        <v>0</v>
      </c>
      <c r="F328" s="3" t="e">
        <f>VLOOKUP(B328,'Balance Sheet'!$B$2:$C$295,2,0)</f>
        <v>#N/A</v>
      </c>
    </row>
    <row r="329" spans="1:6" x14ac:dyDescent="0.2">
      <c r="A329" s="3" t="s">
        <v>313</v>
      </c>
      <c r="B329" s="3" t="s">
        <v>2</v>
      </c>
      <c r="C329" s="4">
        <v>46205.02</v>
      </c>
      <c r="D329" s="4">
        <v>46205.02</v>
      </c>
      <c r="E329" s="4">
        <v>0</v>
      </c>
      <c r="F329" s="3" t="e">
        <f>VLOOKUP(B329,'Balance Sheet'!$B$2:$C$295,2,0)</f>
        <v>#N/A</v>
      </c>
    </row>
    <row r="330" spans="1:6" x14ac:dyDescent="0.2">
      <c r="A330" s="3" t="s">
        <v>334</v>
      </c>
      <c r="B330" s="3" t="s">
        <v>335</v>
      </c>
      <c r="C330" s="4">
        <v>71787.48</v>
      </c>
      <c r="D330" s="4">
        <v>71787.48</v>
      </c>
      <c r="E330" s="4">
        <v>0</v>
      </c>
      <c r="F330" s="3" t="e">
        <f>VLOOKUP(B330,'Balance Sheet'!$B$2:$C$295,2,0)</f>
        <v>#N/A</v>
      </c>
    </row>
    <row r="331" spans="1:6" x14ac:dyDescent="0.2">
      <c r="A331" s="3" t="s">
        <v>334</v>
      </c>
      <c r="B331" s="3" t="s">
        <v>336</v>
      </c>
      <c r="C331" s="4">
        <v>6025.24</v>
      </c>
      <c r="D331" s="4">
        <v>6025.24</v>
      </c>
      <c r="E331" s="4">
        <v>0</v>
      </c>
      <c r="F331" s="3" t="e">
        <f>VLOOKUP(B331,'Balance Sheet'!$B$2:$C$295,2,0)</f>
        <v>#N/A</v>
      </c>
    </row>
    <row r="332" spans="1:6" x14ac:dyDescent="0.2">
      <c r="A332" s="3" t="s">
        <v>334</v>
      </c>
      <c r="B332" s="3" t="s">
        <v>337</v>
      </c>
      <c r="C332" s="4">
        <v>1548</v>
      </c>
      <c r="D332" s="4">
        <v>1548</v>
      </c>
      <c r="E332" s="4">
        <v>0</v>
      </c>
      <c r="F332" s="3" t="e">
        <f>VLOOKUP(B332,'Balance Sheet'!$B$2:$C$295,2,0)</f>
        <v>#N/A</v>
      </c>
    </row>
    <row r="333" spans="1:6" x14ac:dyDescent="0.2">
      <c r="A333" s="3" t="s">
        <v>334</v>
      </c>
      <c r="B333" s="3" t="s">
        <v>338</v>
      </c>
      <c r="C333" s="4">
        <v>9496.4699999999993</v>
      </c>
      <c r="D333" s="4">
        <v>9496.4699999999993</v>
      </c>
      <c r="E333" s="4">
        <v>0</v>
      </c>
      <c r="F333" s="3" t="e">
        <f>VLOOKUP(B333,'Balance Sheet'!$B$2:$C$295,2,0)</f>
        <v>#N/A</v>
      </c>
    </row>
    <row r="334" spans="1:6" x14ac:dyDescent="0.2">
      <c r="A334" s="3" t="s">
        <v>334</v>
      </c>
      <c r="B334" s="3" t="s">
        <v>339</v>
      </c>
      <c r="C334" s="4">
        <v>2497.85</v>
      </c>
      <c r="D334" s="4">
        <v>2497.85</v>
      </c>
      <c r="E334" s="4">
        <v>0</v>
      </c>
      <c r="F334" s="3" t="e">
        <f>VLOOKUP(B334,'Balance Sheet'!$B$2:$C$295,2,0)</f>
        <v>#N/A</v>
      </c>
    </row>
    <row r="335" spans="1:6" x14ac:dyDescent="0.2">
      <c r="A335" s="3" t="s">
        <v>334</v>
      </c>
      <c r="B335" s="3" t="s">
        <v>340</v>
      </c>
      <c r="C335" s="4">
        <v>12050.5</v>
      </c>
      <c r="D335" s="4">
        <v>12050.5</v>
      </c>
      <c r="E335" s="4">
        <v>0</v>
      </c>
      <c r="F335" s="3" t="e">
        <f>VLOOKUP(B335,'Balance Sheet'!$B$2:$C$295,2,0)</f>
        <v>#N/A</v>
      </c>
    </row>
    <row r="336" spans="1:6" x14ac:dyDescent="0.2">
      <c r="A336" s="3" t="s">
        <v>334</v>
      </c>
      <c r="B336" s="3" t="s">
        <v>341</v>
      </c>
      <c r="C336" s="4">
        <v>21916.880000000001</v>
      </c>
      <c r="D336" s="4">
        <v>21916.880000000001</v>
      </c>
      <c r="E336" s="4">
        <v>0</v>
      </c>
      <c r="F336" s="3" t="e">
        <f>VLOOKUP(B336,'Balance Sheet'!$B$2:$C$295,2,0)</f>
        <v>#N/A</v>
      </c>
    </row>
    <row r="337" spans="1:6" x14ac:dyDescent="0.2">
      <c r="A337" s="3" t="s">
        <v>334</v>
      </c>
      <c r="B337" s="3" t="s">
        <v>342</v>
      </c>
      <c r="C337" s="4">
        <v>440.68</v>
      </c>
      <c r="D337" s="4">
        <v>440.68</v>
      </c>
      <c r="E337" s="4">
        <v>0</v>
      </c>
      <c r="F337" s="3" t="e">
        <f>VLOOKUP(B337,'Balance Sheet'!$B$2:$C$295,2,0)</f>
        <v>#N/A</v>
      </c>
    </row>
    <row r="338" spans="1:6" x14ac:dyDescent="0.2">
      <c r="A338" s="3" t="s">
        <v>334</v>
      </c>
      <c r="B338" s="3" t="s">
        <v>343</v>
      </c>
      <c r="C338" s="4">
        <v>-39110.519999999997</v>
      </c>
      <c r="D338" s="4">
        <v>-39110.519999999997</v>
      </c>
      <c r="E338" s="4">
        <v>0</v>
      </c>
      <c r="F338" s="3" t="e">
        <f>VLOOKUP(B338,'Balance Sheet'!$B$2:$C$295,2,0)</f>
        <v>#N/A</v>
      </c>
    </row>
    <row r="339" spans="1:6" x14ac:dyDescent="0.2">
      <c r="A339" s="3" t="s">
        <v>334</v>
      </c>
      <c r="B339" s="3" t="s">
        <v>344</v>
      </c>
      <c r="C339" s="4">
        <v>88.39</v>
      </c>
      <c r="D339" s="4">
        <v>88.39</v>
      </c>
      <c r="E339" s="4">
        <v>0</v>
      </c>
      <c r="F339" s="3" t="e">
        <f>VLOOKUP(B339,'Balance Sheet'!$B$2:$C$295,2,0)</f>
        <v>#N/A</v>
      </c>
    </row>
    <row r="340" spans="1:6" x14ac:dyDescent="0.2">
      <c r="A340" s="3" t="s">
        <v>334</v>
      </c>
      <c r="B340" s="3" t="s">
        <v>345</v>
      </c>
      <c r="C340" s="4">
        <v>15273.8</v>
      </c>
      <c r="D340" s="4">
        <v>15273.8</v>
      </c>
      <c r="E340" s="4">
        <v>0</v>
      </c>
      <c r="F340" s="3" t="e">
        <f>VLOOKUP(B340,'Balance Sheet'!$B$2:$C$295,2,0)</f>
        <v>#N/A</v>
      </c>
    </row>
    <row r="341" spans="1:6" x14ac:dyDescent="0.2">
      <c r="A341" s="3" t="s">
        <v>334</v>
      </c>
      <c r="B341" s="3" t="s">
        <v>346</v>
      </c>
      <c r="C341" s="4">
        <v>5182.8500000000004</v>
      </c>
      <c r="D341" s="4">
        <v>5182.8500000000004</v>
      </c>
      <c r="E341" s="4">
        <v>0</v>
      </c>
      <c r="F341" s="3" t="e">
        <f>VLOOKUP(B341,'Balance Sheet'!$B$2:$C$295,2,0)</f>
        <v>#N/A</v>
      </c>
    </row>
    <row r="342" spans="1:6" x14ac:dyDescent="0.2">
      <c r="A342" s="3" t="s">
        <v>334</v>
      </c>
      <c r="B342" s="3" t="s">
        <v>347</v>
      </c>
      <c r="C342" s="4">
        <v>2541.04</v>
      </c>
      <c r="D342" s="4">
        <v>2541.04</v>
      </c>
      <c r="E342" s="4">
        <v>0</v>
      </c>
      <c r="F342" s="3" t="e">
        <f>VLOOKUP(B342,'Balance Sheet'!$B$2:$C$295,2,0)</f>
        <v>#N/A</v>
      </c>
    </row>
    <row r="343" spans="1:6" x14ac:dyDescent="0.2">
      <c r="A343" s="3" t="s">
        <v>334</v>
      </c>
      <c r="B343" s="3" t="s">
        <v>348</v>
      </c>
      <c r="C343" s="4">
        <v>3780.73</v>
      </c>
      <c r="D343" s="4">
        <v>3780.73</v>
      </c>
      <c r="E343" s="4">
        <v>0</v>
      </c>
      <c r="F343" s="3" t="e">
        <f>VLOOKUP(B343,'Balance Sheet'!$B$2:$C$295,2,0)</f>
        <v>#N/A</v>
      </c>
    </row>
    <row r="344" spans="1:6" x14ac:dyDescent="0.2">
      <c r="A344" s="3" t="s">
        <v>334</v>
      </c>
      <c r="B344" s="3" t="s">
        <v>349</v>
      </c>
      <c r="C344" s="4">
        <v>4090.32</v>
      </c>
      <c r="D344" s="4">
        <v>4090.32</v>
      </c>
      <c r="E344" s="4">
        <v>0</v>
      </c>
      <c r="F344" s="3" t="e">
        <f>VLOOKUP(B344,'Balance Sheet'!$B$2:$C$295,2,0)</f>
        <v>#N/A</v>
      </c>
    </row>
    <row r="345" spans="1:6" x14ac:dyDescent="0.2">
      <c r="A345" s="3" t="s">
        <v>334</v>
      </c>
      <c r="B345" s="3" t="s">
        <v>350</v>
      </c>
      <c r="C345" s="4">
        <v>3991.21</v>
      </c>
      <c r="D345" s="4">
        <v>3991.21</v>
      </c>
      <c r="E345" s="4">
        <v>0</v>
      </c>
      <c r="F345" s="3" t="e">
        <f>VLOOKUP(B345,'Balance Sheet'!$B$2:$C$295,2,0)</f>
        <v>#N/A</v>
      </c>
    </row>
    <row r="346" spans="1:6" x14ac:dyDescent="0.2">
      <c r="A346" s="3" t="s">
        <v>334</v>
      </c>
      <c r="B346" s="3" t="s">
        <v>351</v>
      </c>
      <c r="C346" s="4">
        <v>4799.33</v>
      </c>
      <c r="D346" s="4">
        <v>4799.33</v>
      </c>
      <c r="E346" s="4">
        <v>0</v>
      </c>
      <c r="F346" s="3" t="e">
        <f>VLOOKUP(B346,'Balance Sheet'!$B$2:$C$295,2,0)</f>
        <v>#N/A</v>
      </c>
    </row>
    <row r="347" spans="1:6" x14ac:dyDescent="0.2">
      <c r="A347" s="3" t="s">
        <v>334</v>
      </c>
      <c r="B347" s="3" t="s">
        <v>352</v>
      </c>
      <c r="C347" s="4">
        <v>244.82</v>
      </c>
      <c r="D347" s="4">
        <v>244.82</v>
      </c>
      <c r="E347" s="4">
        <v>0</v>
      </c>
      <c r="F347" s="3" t="e">
        <f>VLOOKUP(B347,'Balance Sheet'!$B$2:$C$295,2,0)</f>
        <v>#N/A</v>
      </c>
    </row>
    <row r="348" spans="1:6" x14ac:dyDescent="0.2">
      <c r="A348" s="3" t="s">
        <v>334</v>
      </c>
      <c r="B348" s="3" t="s">
        <v>353</v>
      </c>
      <c r="C348" s="4">
        <v>1421</v>
      </c>
      <c r="D348" s="4">
        <v>1421</v>
      </c>
      <c r="E348" s="4">
        <v>0</v>
      </c>
      <c r="F348" s="3" t="e">
        <f>VLOOKUP(B348,'Balance Sheet'!$B$2:$C$295,2,0)</f>
        <v>#N/A</v>
      </c>
    </row>
    <row r="349" spans="1:6" x14ac:dyDescent="0.2">
      <c r="A349" s="3" t="s">
        <v>334</v>
      </c>
      <c r="B349" s="3" t="s">
        <v>354</v>
      </c>
      <c r="C349" s="4">
        <v>756.42</v>
      </c>
      <c r="D349" s="4">
        <v>756.42</v>
      </c>
      <c r="E349" s="4">
        <v>0</v>
      </c>
      <c r="F349" s="3" t="e">
        <f>VLOOKUP(B349,'Balance Sheet'!$B$2:$C$295,2,0)</f>
        <v>#N/A</v>
      </c>
    </row>
    <row r="350" spans="1:6" x14ac:dyDescent="0.2">
      <c r="A350" s="3" t="s">
        <v>334</v>
      </c>
      <c r="B350" s="3" t="s">
        <v>355</v>
      </c>
      <c r="C350" s="4">
        <v>5556.9</v>
      </c>
      <c r="D350" s="4">
        <v>5556.9</v>
      </c>
      <c r="E350" s="4">
        <v>0</v>
      </c>
      <c r="F350" s="3" t="e">
        <f>VLOOKUP(B350,'Balance Sheet'!$B$2:$C$295,2,0)</f>
        <v>#N/A</v>
      </c>
    </row>
    <row r="351" spans="1:6" x14ac:dyDescent="0.2">
      <c r="A351" s="3" t="s">
        <v>334</v>
      </c>
      <c r="B351" s="3" t="s">
        <v>356</v>
      </c>
      <c r="C351" s="4">
        <v>32.700000000000003</v>
      </c>
      <c r="D351" s="4">
        <v>32.700000000000003</v>
      </c>
      <c r="E351" s="4">
        <v>0</v>
      </c>
      <c r="F351" s="3" t="e">
        <f>VLOOKUP(B351,'Balance Sheet'!$B$2:$C$295,2,0)</f>
        <v>#N/A</v>
      </c>
    </row>
    <row r="352" spans="1:6" x14ac:dyDescent="0.2">
      <c r="A352" s="3" t="s">
        <v>334</v>
      </c>
      <c r="B352" s="3" t="s">
        <v>357</v>
      </c>
      <c r="C352" s="4">
        <v>4679.78</v>
      </c>
      <c r="D352" s="4">
        <v>4679.78</v>
      </c>
      <c r="E352" s="4">
        <v>0</v>
      </c>
      <c r="F352" s="3" t="e">
        <f>VLOOKUP(B352,'Balance Sheet'!$B$2:$C$295,2,0)</f>
        <v>#N/A</v>
      </c>
    </row>
    <row r="353" spans="1:6" x14ac:dyDescent="0.2">
      <c r="A353" s="3" t="s">
        <v>334</v>
      </c>
      <c r="B353" s="3" t="s">
        <v>358</v>
      </c>
      <c r="C353" s="4">
        <v>5020.42</v>
      </c>
      <c r="D353" s="4">
        <v>5020.42</v>
      </c>
      <c r="E353" s="4">
        <v>0</v>
      </c>
      <c r="F353" s="3" t="e">
        <f>VLOOKUP(B353,'Balance Sheet'!$B$2:$C$295,2,0)</f>
        <v>#N/A</v>
      </c>
    </row>
    <row r="354" spans="1:6" x14ac:dyDescent="0.2">
      <c r="A354" s="3" t="s">
        <v>334</v>
      </c>
      <c r="B354" s="3" t="s">
        <v>359</v>
      </c>
      <c r="C354" s="4">
        <v>27.58</v>
      </c>
      <c r="D354" s="4">
        <v>27.58</v>
      </c>
      <c r="E354" s="4">
        <v>0</v>
      </c>
      <c r="F354" s="3" t="e">
        <f>VLOOKUP(B354,'Balance Sheet'!$B$2:$C$295,2,0)</f>
        <v>#N/A</v>
      </c>
    </row>
    <row r="355" spans="1:6" x14ac:dyDescent="0.2">
      <c r="A355" s="3" t="s">
        <v>334</v>
      </c>
      <c r="B355" s="3" t="s">
        <v>360</v>
      </c>
      <c r="C355" s="4">
        <v>56276.06</v>
      </c>
      <c r="D355" s="4">
        <v>56276.06</v>
      </c>
      <c r="E355" s="4">
        <v>0</v>
      </c>
      <c r="F355" s="3" t="e">
        <f>VLOOKUP(B355,'Balance Sheet'!$B$2:$C$295,2,0)</f>
        <v>#N/A</v>
      </c>
    </row>
    <row r="356" spans="1:6" x14ac:dyDescent="0.2">
      <c r="A356" s="3" t="s">
        <v>334</v>
      </c>
      <c r="B356" s="3" t="s">
        <v>361</v>
      </c>
      <c r="C356" s="4">
        <v>610.49</v>
      </c>
      <c r="D356" s="4">
        <v>610.49</v>
      </c>
      <c r="E356" s="4">
        <v>0</v>
      </c>
      <c r="F356" s="3" t="e">
        <f>VLOOKUP(B356,'Balance Sheet'!$B$2:$C$295,2,0)</f>
        <v>#N/A</v>
      </c>
    </row>
    <row r="357" spans="1:6" x14ac:dyDescent="0.2">
      <c r="A357" s="3" t="s">
        <v>334</v>
      </c>
      <c r="B357" s="3" t="s">
        <v>362</v>
      </c>
      <c r="C357" s="4">
        <v>-1385.41</v>
      </c>
      <c r="D357" s="4">
        <v>-1385.41</v>
      </c>
      <c r="E357" s="4">
        <v>0</v>
      </c>
      <c r="F357" s="3" t="e">
        <f>VLOOKUP(B357,'Balance Sheet'!$B$2:$C$295,2,0)</f>
        <v>#N/A</v>
      </c>
    </row>
    <row r="358" spans="1:6" x14ac:dyDescent="0.2">
      <c r="A358" s="3" t="s">
        <v>334</v>
      </c>
      <c r="B358" s="3" t="s">
        <v>363</v>
      </c>
      <c r="C358" s="4">
        <v>14.56</v>
      </c>
      <c r="D358" s="4">
        <v>14.56</v>
      </c>
      <c r="E358" s="4">
        <v>0</v>
      </c>
      <c r="F358" s="3" t="e">
        <f>VLOOKUP(B358,'Balance Sheet'!$B$2:$C$295,2,0)</f>
        <v>#N/A</v>
      </c>
    </row>
    <row r="359" spans="1:6" x14ac:dyDescent="0.2">
      <c r="A359" s="3" t="s">
        <v>334</v>
      </c>
      <c r="B359" s="3" t="s">
        <v>2</v>
      </c>
      <c r="C359" s="4">
        <v>199655.57</v>
      </c>
      <c r="D359" s="4">
        <v>199655.57</v>
      </c>
      <c r="E359" s="4">
        <v>0</v>
      </c>
      <c r="F359" s="3" t="e">
        <f>VLOOKUP(B359,'Balance Sheet'!$B$2:$C$295,2,0)</f>
        <v>#N/A</v>
      </c>
    </row>
    <row r="360" spans="1:6" x14ac:dyDescent="0.2">
      <c r="A360" s="3" t="s">
        <v>364</v>
      </c>
      <c r="B360" s="3" t="s">
        <v>365</v>
      </c>
      <c r="C360" s="4">
        <v>631.21</v>
      </c>
      <c r="D360" s="4">
        <v>631.21</v>
      </c>
      <c r="E360" s="4">
        <v>0</v>
      </c>
      <c r="F360" s="3" t="e">
        <f>VLOOKUP(B360,'Balance Sheet'!$B$2:$C$295,2,0)</f>
        <v>#N/A</v>
      </c>
    </row>
    <row r="361" spans="1:6" x14ac:dyDescent="0.2">
      <c r="A361" s="3" t="s">
        <v>364</v>
      </c>
      <c r="B361" s="3" t="s">
        <v>366</v>
      </c>
      <c r="C361" s="4">
        <v>2838.78</v>
      </c>
      <c r="D361" s="4">
        <v>2838.78</v>
      </c>
      <c r="E361" s="4">
        <v>0</v>
      </c>
      <c r="F361" s="3" t="e">
        <f>VLOOKUP(B361,'Balance Sheet'!$B$2:$C$295,2,0)</f>
        <v>#N/A</v>
      </c>
    </row>
    <row r="362" spans="1:6" x14ac:dyDescent="0.2">
      <c r="A362" s="3" t="s">
        <v>364</v>
      </c>
      <c r="B362" s="3" t="s">
        <v>367</v>
      </c>
      <c r="C362" s="4">
        <v>1127.82</v>
      </c>
      <c r="D362" s="4">
        <v>1127.82</v>
      </c>
      <c r="E362" s="4">
        <v>0</v>
      </c>
      <c r="F362" s="3" t="e">
        <f>VLOOKUP(B362,'Balance Sheet'!$B$2:$C$295,2,0)</f>
        <v>#N/A</v>
      </c>
    </row>
    <row r="363" spans="1:6" x14ac:dyDescent="0.2">
      <c r="A363" s="3" t="s">
        <v>364</v>
      </c>
      <c r="B363" s="3" t="s">
        <v>368</v>
      </c>
      <c r="C363" s="4">
        <v>410.35</v>
      </c>
      <c r="D363" s="4">
        <v>410.35</v>
      </c>
      <c r="E363" s="4">
        <v>0</v>
      </c>
      <c r="F363" s="3" t="e">
        <f>VLOOKUP(B363,'Balance Sheet'!$B$2:$C$295,2,0)</f>
        <v>#N/A</v>
      </c>
    </row>
    <row r="364" spans="1:6" x14ac:dyDescent="0.2">
      <c r="A364" s="3" t="s">
        <v>364</v>
      </c>
      <c r="B364" s="3" t="s">
        <v>369</v>
      </c>
      <c r="C364" s="4">
        <v>368.16</v>
      </c>
      <c r="D364" s="4">
        <v>368.16</v>
      </c>
      <c r="E364" s="4">
        <v>0</v>
      </c>
      <c r="F364" s="3" t="e">
        <f>VLOOKUP(B364,'Balance Sheet'!$B$2:$C$295,2,0)</f>
        <v>#N/A</v>
      </c>
    </row>
    <row r="365" spans="1:6" x14ac:dyDescent="0.2">
      <c r="A365" s="3" t="s">
        <v>364</v>
      </c>
      <c r="B365" s="3" t="s">
        <v>370</v>
      </c>
      <c r="C365" s="4">
        <v>15.57</v>
      </c>
      <c r="D365" s="4">
        <v>15.57</v>
      </c>
      <c r="E365" s="4">
        <v>0</v>
      </c>
      <c r="F365" s="3" t="e">
        <f>VLOOKUP(B365,'Balance Sheet'!$B$2:$C$295,2,0)</f>
        <v>#N/A</v>
      </c>
    </row>
    <row r="366" spans="1:6" x14ac:dyDescent="0.2">
      <c r="A366" s="3" t="s">
        <v>364</v>
      </c>
      <c r="B366" s="3" t="s">
        <v>371</v>
      </c>
      <c r="C366" s="4">
        <v>26.06</v>
      </c>
      <c r="D366" s="4">
        <v>26.06</v>
      </c>
      <c r="E366" s="4">
        <v>0</v>
      </c>
      <c r="F366" s="3" t="e">
        <f>VLOOKUP(B366,'Balance Sheet'!$B$2:$C$295,2,0)</f>
        <v>#N/A</v>
      </c>
    </row>
    <row r="367" spans="1:6" x14ac:dyDescent="0.2">
      <c r="A367" s="3" t="s">
        <v>364</v>
      </c>
      <c r="B367" s="3" t="s">
        <v>372</v>
      </c>
      <c r="C367" s="4">
        <v>272.88</v>
      </c>
      <c r="D367" s="4">
        <v>272.88</v>
      </c>
      <c r="E367" s="4">
        <v>0</v>
      </c>
      <c r="F367" s="3" t="e">
        <f>VLOOKUP(B367,'Balance Sheet'!$B$2:$C$295,2,0)</f>
        <v>#N/A</v>
      </c>
    </row>
    <row r="368" spans="1:6" x14ac:dyDescent="0.2">
      <c r="A368" s="3" t="s">
        <v>364</v>
      </c>
      <c r="B368" s="3" t="s">
        <v>2</v>
      </c>
      <c r="C368" s="4">
        <v>5690.83</v>
      </c>
      <c r="D368" s="4">
        <v>5690.83</v>
      </c>
      <c r="E368" s="4">
        <v>0</v>
      </c>
      <c r="F368" s="3" t="e">
        <f>VLOOKUP(B368,'Balance Sheet'!$B$2:$C$295,2,0)</f>
        <v>#N/A</v>
      </c>
    </row>
    <row r="369" spans="1:6" x14ac:dyDescent="0.2">
      <c r="A369" s="3" t="s">
        <v>373</v>
      </c>
      <c r="B369" s="3" t="s">
        <v>374</v>
      </c>
      <c r="C369" s="4">
        <v>78.14</v>
      </c>
      <c r="D369" s="4">
        <v>78.14</v>
      </c>
      <c r="E369" s="4">
        <v>0</v>
      </c>
      <c r="F369" s="3" t="e">
        <f>VLOOKUP(B369,'Balance Sheet'!$B$2:$C$295,2,0)</f>
        <v>#N/A</v>
      </c>
    </row>
    <row r="370" spans="1:6" x14ac:dyDescent="0.2">
      <c r="A370" s="3" t="s">
        <v>373</v>
      </c>
      <c r="B370" s="3" t="s">
        <v>375</v>
      </c>
      <c r="C370" s="4">
        <v>114.53</v>
      </c>
      <c r="D370" s="4">
        <v>114.53</v>
      </c>
      <c r="E370" s="4">
        <v>0</v>
      </c>
      <c r="F370" s="3" t="e">
        <f>VLOOKUP(B370,'Balance Sheet'!$B$2:$C$295,2,0)</f>
        <v>#N/A</v>
      </c>
    </row>
    <row r="371" spans="1:6" x14ac:dyDescent="0.2">
      <c r="A371" s="3" t="s">
        <v>373</v>
      </c>
      <c r="B371" s="3" t="s">
        <v>376</v>
      </c>
      <c r="C371" s="4">
        <v>1045.6199999999999</v>
      </c>
      <c r="D371" s="4">
        <v>1045.6199999999999</v>
      </c>
      <c r="E371" s="4">
        <v>0</v>
      </c>
      <c r="F371" s="3" t="e">
        <f>VLOOKUP(B371,'Balance Sheet'!$B$2:$C$295,2,0)</f>
        <v>#N/A</v>
      </c>
    </row>
    <row r="372" spans="1:6" x14ac:dyDescent="0.2">
      <c r="A372" s="3" t="s">
        <v>373</v>
      </c>
      <c r="B372" s="3" t="s">
        <v>377</v>
      </c>
      <c r="C372" s="4">
        <v>3091.68</v>
      </c>
      <c r="D372" s="4">
        <v>3091.68</v>
      </c>
      <c r="E372" s="4">
        <v>0</v>
      </c>
      <c r="F372" s="3" t="e">
        <f>VLOOKUP(B372,'Balance Sheet'!$B$2:$C$295,2,0)</f>
        <v>#N/A</v>
      </c>
    </row>
    <row r="373" spans="1:6" x14ac:dyDescent="0.2">
      <c r="A373" s="3" t="s">
        <v>373</v>
      </c>
      <c r="B373" s="3" t="s">
        <v>378</v>
      </c>
      <c r="C373" s="4">
        <v>1760.23</v>
      </c>
      <c r="D373" s="4">
        <v>1760.23</v>
      </c>
      <c r="E373" s="4">
        <v>0</v>
      </c>
      <c r="F373" s="3" t="e">
        <f>VLOOKUP(B373,'Balance Sheet'!$B$2:$C$295,2,0)</f>
        <v>#N/A</v>
      </c>
    </row>
    <row r="374" spans="1:6" x14ac:dyDescent="0.2">
      <c r="A374" s="3" t="s">
        <v>373</v>
      </c>
      <c r="B374" s="3" t="s">
        <v>2</v>
      </c>
      <c r="C374" s="4">
        <v>6090.2</v>
      </c>
      <c r="D374" s="4">
        <v>6090.2</v>
      </c>
      <c r="E374" s="4">
        <v>0</v>
      </c>
      <c r="F374" s="3" t="e">
        <f>VLOOKUP(B374,'Balance Sheet'!$B$2:$C$295,2,0)</f>
        <v>#N/A</v>
      </c>
    </row>
    <row r="375" spans="1:6" x14ac:dyDescent="0.2">
      <c r="A375" s="3" t="s">
        <v>379</v>
      </c>
      <c r="B375" s="3" t="s">
        <v>380</v>
      </c>
      <c r="C375" s="4">
        <v>253.41</v>
      </c>
      <c r="D375" s="4">
        <v>253.41</v>
      </c>
      <c r="E375" s="4">
        <v>0</v>
      </c>
      <c r="F375" s="3" t="e">
        <f>VLOOKUP(B375,'Balance Sheet'!$B$2:$C$295,2,0)</f>
        <v>#N/A</v>
      </c>
    </row>
    <row r="376" spans="1:6" x14ac:dyDescent="0.2">
      <c r="A376" s="3" t="s">
        <v>379</v>
      </c>
      <c r="B376" s="3" t="s">
        <v>381</v>
      </c>
      <c r="C376" s="4">
        <v>1811.87</v>
      </c>
      <c r="D376" s="4">
        <v>1811.87</v>
      </c>
      <c r="E376" s="4">
        <v>0</v>
      </c>
      <c r="F376" s="3" t="e">
        <f>VLOOKUP(B376,'Balance Sheet'!$B$2:$C$295,2,0)</f>
        <v>#N/A</v>
      </c>
    </row>
    <row r="377" spans="1:6" x14ac:dyDescent="0.2">
      <c r="A377" s="3" t="s">
        <v>379</v>
      </c>
      <c r="B377" s="3" t="s">
        <v>382</v>
      </c>
      <c r="C377" s="4">
        <v>475.38</v>
      </c>
      <c r="D377" s="4">
        <v>475.38</v>
      </c>
      <c r="E377" s="4">
        <v>0</v>
      </c>
      <c r="F377" s="3" t="e">
        <f>VLOOKUP(B377,'Balance Sheet'!$B$2:$C$295,2,0)</f>
        <v>#N/A</v>
      </c>
    </row>
    <row r="378" spans="1:6" x14ac:dyDescent="0.2">
      <c r="A378" s="3" t="s">
        <v>379</v>
      </c>
      <c r="B378" s="3" t="s">
        <v>2</v>
      </c>
      <c r="C378" s="4">
        <v>2540.66</v>
      </c>
      <c r="D378" s="4">
        <v>2540.66</v>
      </c>
      <c r="E378" s="4">
        <v>0</v>
      </c>
      <c r="F378" s="3" t="e">
        <f>VLOOKUP(B378,'Balance Sheet'!$B$2:$C$295,2,0)</f>
        <v>#N/A</v>
      </c>
    </row>
    <row r="379" spans="1:6" x14ac:dyDescent="0.2">
      <c r="A379" s="3" t="s">
        <v>383</v>
      </c>
      <c r="B379" s="3" t="s">
        <v>384</v>
      </c>
      <c r="C379" s="4">
        <v>42.79</v>
      </c>
      <c r="D379" s="4">
        <v>42.79</v>
      </c>
      <c r="E379" s="4">
        <v>0</v>
      </c>
      <c r="F379" s="3" t="e">
        <f>VLOOKUP(B379,'Balance Sheet'!$B$2:$C$295,2,0)</f>
        <v>#N/A</v>
      </c>
    </row>
    <row r="380" spans="1:6" x14ac:dyDescent="0.2">
      <c r="A380" s="3" t="s">
        <v>383</v>
      </c>
      <c r="B380" s="3" t="s">
        <v>385</v>
      </c>
      <c r="C380" s="4">
        <v>12562.79</v>
      </c>
      <c r="D380" s="4">
        <v>12562.79</v>
      </c>
      <c r="E380" s="4">
        <v>0</v>
      </c>
      <c r="F380" s="3" t="e">
        <f>VLOOKUP(B380,'Balance Sheet'!$B$2:$C$295,2,0)</f>
        <v>#N/A</v>
      </c>
    </row>
    <row r="381" spans="1:6" x14ac:dyDescent="0.2">
      <c r="A381" s="3" t="s">
        <v>383</v>
      </c>
      <c r="B381" s="3" t="s">
        <v>386</v>
      </c>
      <c r="C381" s="4">
        <v>1799.18</v>
      </c>
      <c r="D381" s="4">
        <v>1799.18</v>
      </c>
      <c r="E381" s="4">
        <v>0</v>
      </c>
      <c r="F381" s="3" t="e">
        <f>VLOOKUP(B381,'Balance Sheet'!$B$2:$C$295,2,0)</f>
        <v>#N/A</v>
      </c>
    </row>
    <row r="382" spans="1:6" x14ac:dyDescent="0.2">
      <c r="A382" s="3" t="s">
        <v>383</v>
      </c>
      <c r="B382" s="3" t="s">
        <v>387</v>
      </c>
      <c r="C382" s="4">
        <v>10722.84</v>
      </c>
      <c r="D382" s="4">
        <v>10722.84</v>
      </c>
      <c r="E382" s="4">
        <v>0</v>
      </c>
      <c r="F382" s="3" t="e">
        <f>VLOOKUP(B382,'Balance Sheet'!$B$2:$C$295,2,0)</f>
        <v>#N/A</v>
      </c>
    </row>
    <row r="383" spans="1:6" x14ac:dyDescent="0.2">
      <c r="A383" s="3" t="s">
        <v>383</v>
      </c>
      <c r="B383" s="3" t="s">
        <v>2</v>
      </c>
      <c r="C383" s="4">
        <v>25127.599999999999</v>
      </c>
      <c r="D383" s="4">
        <v>25127.599999999999</v>
      </c>
      <c r="E383" s="4">
        <v>0</v>
      </c>
      <c r="F383" s="3" t="e">
        <f>VLOOKUP(B383,'Balance Sheet'!$B$2:$C$295,2,0)</f>
        <v>#N/A</v>
      </c>
    </row>
    <row r="384" spans="1:6" x14ac:dyDescent="0.2">
      <c r="A384" s="3" t="s">
        <v>388</v>
      </c>
      <c r="B384" s="18" t="s">
        <v>389</v>
      </c>
      <c r="C384" s="4">
        <v>2402.48</v>
      </c>
      <c r="D384" s="4">
        <v>2402.48</v>
      </c>
      <c r="E384" s="4">
        <v>0</v>
      </c>
      <c r="F384" s="3" t="e">
        <f>VLOOKUP(B384,'Balance Sheet'!$B$2:$C$295,2,0)</f>
        <v>#N/A</v>
      </c>
    </row>
    <row r="385" spans="1:6" x14ac:dyDescent="0.2">
      <c r="A385" s="3" t="s">
        <v>388</v>
      </c>
      <c r="B385" s="3" t="s">
        <v>390</v>
      </c>
      <c r="C385" s="4">
        <v>2251.9299999999998</v>
      </c>
      <c r="D385" s="4">
        <v>2251.9299999999998</v>
      </c>
      <c r="E385" s="4">
        <v>0</v>
      </c>
      <c r="F385" s="3" t="e">
        <f>VLOOKUP(B385,'Balance Sheet'!$B$2:$C$295,2,0)</f>
        <v>#N/A</v>
      </c>
    </row>
    <row r="386" spans="1:6" x14ac:dyDescent="0.2">
      <c r="A386" s="3" t="s">
        <v>388</v>
      </c>
      <c r="B386" s="3" t="s">
        <v>2</v>
      </c>
      <c r="C386" s="4">
        <v>4654.41</v>
      </c>
      <c r="D386" s="4">
        <v>4654.41</v>
      </c>
      <c r="E386" s="4">
        <v>0</v>
      </c>
      <c r="F386" s="3" t="e">
        <f>VLOOKUP(B386,'Balance Sheet'!$B$2:$C$295,2,0)</f>
        <v>#N/A</v>
      </c>
    </row>
    <row r="387" spans="1:6" x14ac:dyDescent="0.2">
      <c r="A387" s="3" t="s">
        <v>391</v>
      </c>
      <c r="B387" s="3" t="s">
        <v>392</v>
      </c>
      <c r="C387" s="4">
        <v>695.47</v>
      </c>
      <c r="D387" s="4">
        <v>695.47</v>
      </c>
      <c r="E387" s="4">
        <v>0</v>
      </c>
      <c r="F387" s="3" t="e">
        <f>VLOOKUP(B387,'Balance Sheet'!$B$2:$C$295,2,0)</f>
        <v>#N/A</v>
      </c>
    </row>
    <row r="388" spans="1:6" x14ac:dyDescent="0.2">
      <c r="A388" s="3" t="s">
        <v>391</v>
      </c>
      <c r="B388" s="3" t="s">
        <v>2</v>
      </c>
      <c r="C388" s="4">
        <v>695.47</v>
      </c>
      <c r="D388" s="4">
        <v>695.47</v>
      </c>
      <c r="E388" s="4">
        <v>0</v>
      </c>
      <c r="F388" s="3" t="e">
        <f>VLOOKUP(B388,'Balance Sheet'!$B$2:$C$295,2,0)</f>
        <v>#N/A</v>
      </c>
    </row>
    <row r="389" spans="1:6" x14ac:dyDescent="0.2">
      <c r="A389" s="3" t="s">
        <v>393</v>
      </c>
      <c r="B389" s="3" t="s">
        <v>394</v>
      </c>
      <c r="C389" s="4">
        <v>1129.25</v>
      </c>
      <c r="D389" s="4">
        <v>1129.25</v>
      </c>
      <c r="E389" s="4">
        <v>0</v>
      </c>
      <c r="F389" s="3" t="e">
        <f>VLOOKUP(B389,'Balance Sheet'!$B$2:$C$295,2,0)</f>
        <v>#N/A</v>
      </c>
    </row>
    <row r="390" spans="1:6" x14ac:dyDescent="0.2">
      <c r="A390" s="3" t="s">
        <v>393</v>
      </c>
      <c r="B390" s="3" t="s">
        <v>395</v>
      </c>
      <c r="C390" s="4">
        <v>1941.3</v>
      </c>
      <c r="D390" s="4">
        <v>1941.3</v>
      </c>
      <c r="E390" s="4">
        <v>0</v>
      </c>
      <c r="F390" s="3" t="e">
        <f>VLOOKUP(B390,'Balance Sheet'!$B$2:$C$295,2,0)</f>
        <v>#N/A</v>
      </c>
    </row>
    <row r="391" spans="1:6" x14ac:dyDescent="0.2">
      <c r="A391" s="3" t="s">
        <v>393</v>
      </c>
      <c r="B391" s="3" t="s">
        <v>2</v>
      </c>
      <c r="C391" s="4">
        <v>3070.55</v>
      </c>
      <c r="D391" s="4">
        <v>3070.55</v>
      </c>
      <c r="E391" s="4">
        <v>0</v>
      </c>
      <c r="F391" s="3" t="e">
        <f>VLOOKUP(B391,'Balance Sheet'!$B$2:$C$295,2,0)</f>
        <v>#N/A</v>
      </c>
    </row>
    <row r="392" spans="1:6" x14ac:dyDescent="0.2">
      <c r="A392" s="3" t="s">
        <v>396</v>
      </c>
      <c r="B392" s="3" t="s">
        <v>397</v>
      </c>
      <c r="C392" s="4">
        <v>300.72000000000003</v>
      </c>
      <c r="D392" s="4">
        <v>300.72000000000003</v>
      </c>
      <c r="E392" s="4">
        <v>0</v>
      </c>
      <c r="F392" s="3" t="e">
        <f>VLOOKUP(B392,'Balance Sheet'!$B$2:$C$295,2,0)</f>
        <v>#N/A</v>
      </c>
    </row>
    <row r="393" spans="1:6" x14ac:dyDescent="0.2">
      <c r="A393" s="3" t="s">
        <v>396</v>
      </c>
      <c r="B393" s="3" t="s">
        <v>2</v>
      </c>
      <c r="C393" s="4">
        <v>300.72000000000003</v>
      </c>
      <c r="D393" s="4">
        <v>300.72000000000003</v>
      </c>
      <c r="E393" s="4">
        <v>0</v>
      </c>
      <c r="F393" s="3" t="e">
        <f>VLOOKUP(B393,'Balance Sheet'!$B$2:$C$295,2,0)</f>
        <v>#N/A</v>
      </c>
    </row>
    <row r="394" spans="1:6" x14ac:dyDescent="0.2">
      <c r="A394" s="3" t="s">
        <v>398</v>
      </c>
      <c r="B394" s="3" t="s">
        <v>399</v>
      </c>
      <c r="C394" s="4">
        <v>2587.6</v>
      </c>
      <c r="D394" s="4">
        <v>2587.6</v>
      </c>
      <c r="E394" s="4">
        <v>0</v>
      </c>
      <c r="F394" s="3" t="e">
        <f>VLOOKUP(B394,'Balance Sheet'!$B$2:$C$295,2,0)</f>
        <v>#N/A</v>
      </c>
    </row>
    <row r="395" spans="1:6" x14ac:dyDescent="0.2">
      <c r="A395" s="3" t="s">
        <v>398</v>
      </c>
      <c r="B395" s="3" t="s">
        <v>400</v>
      </c>
      <c r="C395" s="4">
        <v>-1440.09</v>
      </c>
      <c r="D395" s="4">
        <v>-1440.09</v>
      </c>
      <c r="E395" s="4">
        <v>0</v>
      </c>
      <c r="F395" s="3" t="e">
        <f>VLOOKUP(B395,'Balance Sheet'!$B$2:$C$295,2,0)</f>
        <v>#N/A</v>
      </c>
    </row>
    <row r="396" spans="1:6" x14ac:dyDescent="0.2">
      <c r="A396" s="3" t="s">
        <v>398</v>
      </c>
      <c r="B396" s="3" t="s">
        <v>2</v>
      </c>
      <c r="C396" s="4">
        <v>1147.51</v>
      </c>
      <c r="D396" s="4">
        <v>1147.51</v>
      </c>
      <c r="E396" s="4">
        <v>0</v>
      </c>
      <c r="F396" s="3" t="e">
        <f>VLOOKUP(B396,'Balance Sheet'!$B$2:$C$295,2,0)</f>
        <v>#N/A</v>
      </c>
    </row>
    <row r="397" spans="1:6" x14ac:dyDescent="0.2">
      <c r="A397" s="3" t="s">
        <v>401</v>
      </c>
      <c r="B397" s="3" t="s">
        <v>402</v>
      </c>
      <c r="C397" s="4">
        <v>160.34</v>
      </c>
      <c r="D397" s="4">
        <v>160.34</v>
      </c>
      <c r="E397" s="4">
        <v>0</v>
      </c>
      <c r="F397" s="3" t="e">
        <f>VLOOKUP(B397,'Balance Sheet'!$B$2:$C$295,2,0)</f>
        <v>#N/A</v>
      </c>
    </row>
    <row r="398" spans="1:6" x14ac:dyDescent="0.2">
      <c r="A398" s="3" t="s">
        <v>401</v>
      </c>
      <c r="B398" s="3" t="s">
        <v>2</v>
      </c>
      <c r="C398" s="4">
        <v>160.34</v>
      </c>
      <c r="D398" s="4">
        <v>160.34</v>
      </c>
      <c r="E398" s="4">
        <v>0</v>
      </c>
      <c r="F398" s="3" t="e">
        <f>VLOOKUP(B398,'Balance Sheet'!$B$2:$C$295,2,0)</f>
        <v>#N/A</v>
      </c>
    </row>
    <row r="399" spans="1:6" x14ac:dyDescent="0.2">
      <c r="A399" s="3" t="s">
        <v>403</v>
      </c>
      <c r="B399" s="3" t="s">
        <v>404</v>
      </c>
      <c r="C399" s="4">
        <v>1630.65</v>
      </c>
      <c r="D399" s="4">
        <v>1630.65</v>
      </c>
      <c r="E399" s="4">
        <v>0</v>
      </c>
      <c r="F399" s="3" t="e">
        <f>VLOOKUP(B399,'Balance Sheet'!$B$2:$C$295,2,0)</f>
        <v>#N/A</v>
      </c>
    </row>
    <row r="400" spans="1:6" x14ac:dyDescent="0.2">
      <c r="A400" s="3" t="s">
        <v>403</v>
      </c>
      <c r="B400" s="3" t="s">
        <v>405</v>
      </c>
      <c r="C400" s="4">
        <v>-3843.79</v>
      </c>
      <c r="D400" s="4">
        <v>-3843.79</v>
      </c>
      <c r="E400" s="4">
        <v>0</v>
      </c>
      <c r="F400" s="3" t="e">
        <f>VLOOKUP(B400,'Balance Sheet'!$B$2:$C$295,2,0)</f>
        <v>#N/A</v>
      </c>
    </row>
    <row r="401" spans="1:6" x14ac:dyDescent="0.2">
      <c r="A401" s="3" t="s">
        <v>403</v>
      </c>
      <c r="B401" s="3" t="s">
        <v>406</v>
      </c>
      <c r="C401" s="4">
        <v>10.33</v>
      </c>
      <c r="D401" s="4">
        <v>10.33</v>
      </c>
      <c r="E401" s="4">
        <v>0</v>
      </c>
      <c r="F401" s="3" t="e">
        <f>VLOOKUP(B401,'Balance Sheet'!$B$2:$C$295,2,0)</f>
        <v>#N/A</v>
      </c>
    </row>
    <row r="402" spans="1:6" x14ac:dyDescent="0.2">
      <c r="A402" s="3" t="s">
        <v>403</v>
      </c>
      <c r="B402" s="3" t="s">
        <v>407</v>
      </c>
      <c r="C402" s="4">
        <v>32.99</v>
      </c>
      <c r="D402" s="4">
        <v>32.99</v>
      </c>
      <c r="E402" s="4">
        <v>0</v>
      </c>
      <c r="F402" s="3" t="e">
        <f>VLOOKUP(B402,'Balance Sheet'!$B$2:$C$295,2,0)</f>
        <v>#N/A</v>
      </c>
    </row>
    <row r="403" spans="1:6" x14ac:dyDescent="0.2">
      <c r="A403" s="3" t="s">
        <v>403</v>
      </c>
      <c r="B403" s="3" t="s">
        <v>2</v>
      </c>
      <c r="C403" s="4">
        <v>-2169.8200000000002</v>
      </c>
      <c r="D403" s="4">
        <v>-2169.8200000000002</v>
      </c>
      <c r="E403" s="4">
        <v>0</v>
      </c>
      <c r="F403" s="3" t="e">
        <f>VLOOKUP(B403,'Balance Sheet'!$B$2:$C$295,2,0)</f>
        <v>#N/A</v>
      </c>
    </row>
    <row r="404" spans="1:6" x14ac:dyDescent="0.2">
      <c r="A404" s="3" t="s">
        <v>408</v>
      </c>
      <c r="B404" s="3" t="s">
        <v>409</v>
      </c>
      <c r="C404" s="4">
        <v>5950.37</v>
      </c>
      <c r="D404" s="4">
        <v>5950.37</v>
      </c>
      <c r="E404" s="4">
        <v>0</v>
      </c>
      <c r="F404" s="3" t="e">
        <f>VLOOKUP(B404,'Balance Sheet'!$B$2:$C$295,2,0)</f>
        <v>#N/A</v>
      </c>
    </row>
    <row r="405" spans="1:6" x14ac:dyDescent="0.2">
      <c r="A405" s="3" t="s">
        <v>408</v>
      </c>
      <c r="B405" s="3" t="s">
        <v>410</v>
      </c>
      <c r="C405" s="4">
        <v>177.98</v>
      </c>
      <c r="D405" s="4">
        <v>177.98</v>
      </c>
      <c r="E405" s="4">
        <v>0</v>
      </c>
      <c r="F405" s="3" t="e">
        <f>VLOOKUP(B405,'Balance Sheet'!$B$2:$C$295,2,0)</f>
        <v>#N/A</v>
      </c>
    </row>
    <row r="406" spans="1:6" x14ac:dyDescent="0.2">
      <c r="A406" s="3" t="s">
        <v>408</v>
      </c>
      <c r="B406" s="3" t="s">
        <v>411</v>
      </c>
      <c r="C406" s="4">
        <v>2749.99</v>
      </c>
      <c r="D406" s="4">
        <v>2749.99</v>
      </c>
      <c r="E406" s="4">
        <v>0</v>
      </c>
      <c r="F406" s="3" t="e">
        <f>VLOOKUP(B406,'Balance Sheet'!$B$2:$C$295,2,0)</f>
        <v>#N/A</v>
      </c>
    </row>
    <row r="407" spans="1:6" x14ac:dyDescent="0.2">
      <c r="A407" s="3" t="s">
        <v>408</v>
      </c>
      <c r="B407" s="3" t="s">
        <v>412</v>
      </c>
      <c r="C407" s="4">
        <v>278.5</v>
      </c>
      <c r="D407" s="4">
        <v>278.5</v>
      </c>
      <c r="E407" s="4">
        <v>0</v>
      </c>
      <c r="F407" s="3" t="e">
        <f>VLOOKUP(B407,'Balance Sheet'!$B$2:$C$295,2,0)</f>
        <v>#N/A</v>
      </c>
    </row>
    <row r="408" spans="1:6" x14ac:dyDescent="0.2">
      <c r="A408" s="3" t="s">
        <v>408</v>
      </c>
      <c r="B408" s="3" t="s">
        <v>413</v>
      </c>
      <c r="C408" s="4">
        <v>4205</v>
      </c>
      <c r="D408" s="4">
        <v>4205</v>
      </c>
      <c r="E408" s="4">
        <v>0</v>
      </c>
      <c r="F408" s="3" t="e">
        <f>VLOOKUP(B408,'Balance Sheet'!$B$2:$C$295,2,0)</f>
        <v>#N/A</v>
      </c>
    </row>
    <row r="409" spans="1:6" x14ac:dyDescent="0.2">
      <c r="A409" s="3" t="s">
        <v>408</v>
      </c>
      <c r="B409" s="3" t="s">
        <v>414</v>
      </c>
      <c r="C409" s="4">
        <v>1114.78</v>
      </c>
      <c r="D409" s="4">
        <v>1114.78</v>
      </c>
      <c r="E409" s="4">
        <v>0</v>
      </c>
      <c r="F409" s="3" t="e">
        <f>VLOOKUP(B409,'Balance Sheet'!$B$2:$C$295,2,0)</f>
        <v>#N/A</v>
      </c>
    </row>
    <row r="410" spans="1:6" x14ac:dyDescent="0.2">
      <c r="A410" s="3" t="s">
        <v>408</v>
      </c>
      <c r="B410" s="3" t="s">
        <v>415</v>
      </c>
      <c r="C410" s="4">
        <v>55.58</v>
      </c>
      <c r="D410" s="4">
        <v>55.58</v>
      </c>
      <c r="E410" s="4">
        <v>0</v>
      </c>
      <c r="F410" s="3" t="e">
        <f>VLOOKUP(B410,'Balance Sheet'!$B$2:$C$295,2,0)</f>
        <v>#N/A</v>
      </c>
    </row>
    <row r="411" spans="1:6" x14ac:dyDescent="0.2">
      <c r="A411" s="3" t="s">
        <v>408</v>
      </c>
      <c r="B411" s="3" t="s">
        <v>416</v>
      </c>
      <c r="C411" s="4">
        <v>2388.4899999999998</v>
      </c>
      <c r="D411" s="4">
        <v>2388.4899999999998</v>
      </c>
      <c r="E411" s="4">
        <v>0</v>
      </c>
      <c r="F411" s="3" t="e">
        <f>VLOOKUP(B411,'Balance Sheet'!$B$2:$C$295,2,0)</f>
        <v>#N/A</v>
      </c>
    </row>
    <row r="412" spans="1:6" x14ac:dyDescent="0.2">
      <c r="A412" s="3" t="s">
        <v>408</v>
      </c>
      <c r="B412" s="3" t="s">
        <v>417</v>
      </c>
      <c r="C412" s="4">
        <v>2983.46</v>
      </c>
      <c r="D412" s="4">
        <v>2983.46</v>
      </c>
      <c r="E412" s="4">
        <v>0</v>
      </c>
      <c r="F412" s="3" t="e">
        <f>VLOOKUP(B412,'Balance Sheet'!$B$2:$C$295,2,0)</f>
        <v>#N/A</v>
      </c>
    </row>
    <row r="413" spans="1:6" x14ac:dyDescent="0.2">
      <c r="A413" s="3" t="s">
        <v>408</v>
      </c>
      <c r="B413" s="3" t="s">
        <v>418</v>
      </c>
      <c r="C413" s="4">
        <v>18519.04</v>
      </c>
      <c r="D413" s="4">
        <v>18519.04</v>
      </c>
      <c r="E413" s="4">
        <v>0</v>
      </c>
      <c r="F413" s="3" t="e">
        <f>VLOOKUP(B413,'Balance Sheet'!$B$2:$C$295,2,0)</f>
        <v>#N/A</v>
      </c>
    </row>
    <row r="414" spans="1:6" x14ac:dyDescent="0.2">
      <c r="A414" s="3" t="s">
        <v>408</v>
      </c>
      <c r="B414" s="3" t="s">
        <v>419</v>
      </c>
      <c r="C414" s="4">
        <v>8257.59</v>
      </c>
      <c r="D414" s="4">
        <v>8257.59</v>
      </c>
      <c r="E414" s="4">
        <v>0</v>
      </c>
      <c r="F414" s="3" t="e">
        <f>VLOOKUP(B414,'Balance Sheet'!$B$2:$C$295,2,0)</f>
        <v>#N/A</v>
      </c>
    </row>
    <row r="415" spans="1:6" x14ac:dyDescent="0.2">
      <c r="A415" s="3" t="s">
        <v>408</v>
      </c>
      <c r="B415" s="3" t="s">
        <v>2</v>
      </c>
      <c r="C415" s="4">
        <v>46680.78</v>
      </c>
      <c r="D415" s="4">
        <v>46680.78</v>
      </c>
      <c r="E415" s="4">
        <v>0</v>
      </c>
      <c r="F415" s="3" t="e">
        <f>VLOOKUP(B415,'Balance Sheet'!$B$2:$C$295,2,0)</f>
        <v>#N/A</v>
      </c>
    </row>
    <row r="416" spans="1:6" x14ac:dyDescent="0.2">
      <c r="A416" s="3" t="s">
        <v>420</v>
      </c>
      <c r="B416" s="3" t="s">
        <v>421</v>
      </c>
      <c r="C416" s="4">
        <v>-6847.81</v>
      </c>
      <c r="D416" s="4">
        <v>-6847.81</v>
      </c>
      <c r="E416" s="4">
        <v>0</v>
      </c>
      <c r="F416" s="3" t="e">
        <f>VLOOKUP(B416,'Balance Sheet'!$B$2:$C$295,2,0)</f>
        <v>#N/A</v>
      </c>
    </row>
    <row r="417" spans="1:6" x14ac:dyDescent="0.2">
      <c r="A417" s="3" t="s">
        <v>420</v>
      </c>
      <c r="B417" s="3" t="s">
        <v>422</v>
      </c>
      <c r="C417" s="4">
        <v>5649.7</v>
      </c>
      <c r="D417" s="4">
        <v>5649.7</v>
      </c>
      <c r="E417" s="4">
        <v>0</v>
      </c>
      <c r="F417" s="3" t="e">
        <f>VLOOKUP(B417,'Balance Sheet'!$B$2:$C$295,2,0)</f>
        <v>#N/A</v>
      </c>
    </row>
    <row r="418" spans="1:6" x14ac:dyDescent="0.2">
      <c r="A418" s="3" t="s">
        <v>420</v>
      </c>
      <c r="B418" s="3" t="s">
        <v>423</v>
      </c>
      <c r="C418" s="4">
        <v>1414.28</v>
      </c>
      <c r="D418" s="4">
        <v>1414.28</v>
      </c>
      <c r="E418" s="4">
        <v>0</v>
      </c>
      <c r="F418" s="3" t="e">
        <f>VLOOKUP(B418,'Balance Sheet'!$B$2:$C$295,2,0)</f>
        <v>#N/A</v>
      </c>
    </row>
    <row r="419" spans="1:6" x14ac:dyDescent="0.2">
      <c r="A419" s="3" t="s">
        <v>420</v>
      </c>
      <c r="B419" s="3" t="s">
        <v>424</v>
      </c>
      <c r="C419" s="4">
        <v>2698.49</v>
      </c>
      <c r="D419" s="4">
        <v>2698.49</v>
      </c>
      <c r="E419" s="4">
        <v>0</v>
      </c>
      <c r="F419" s="3" t="e">
        <f>VLOOKUP(B419,'Balance Sheet'!$B$2:$C$295,2,0)</f>
        <v>#N/A</v>
      </c>
    </row>
    <row r="420" spans="1:6" x14ac:dyDescent="0.2">
      <c r="A420" s="3" t="s">
        <v>420</v>
      </c>
      <c r="B420" s="3" t="s">
        <v>425</v>
      </c>
      <c r="C420" s="4">
        <v>1206.1400000000001</v>
      </c>
      <c r="D420" s="4">
        <v>1206.1400000000001</v>
      </c>
      <c r="E420" s="4">
        <v>0</v>
      </c>
      <c r="F420" s="3" t="e">
        <f>VLOOKUP(B420,'Balance Sheet'!$B$2:$C$295,2,0)</f>
        <v>#N/A</v>
      </c>
    </row>
    <row r="421" spans="1:6" x14ac:dyDescent="0.2">
      <c r="A421" s="3" t="s">
        <v>420</v>
      </c>
      <c r="B421" s="3" t="s">
        <v>2</v>
      </c>
      <c r="C421" s="4">
        <v>4120.8</v>
      </c>
      <c r="D421" s="4">
        <v>4120.8</v>
      </c>
      <c r="E421" s="4">
        <v>0</v>
      </c>
      <c r="F421" s="3" t="e">
        <f>VLOOKUP(B421,'Balance Sheet'!$B$2:$C$295,2,0)</f>
        <v>#N/A</v>
      </c>
    </row>
    <row r="422" spans="1:6" x14ac:dyDescent="0.2">
      <c r="A422" s="3" t="s">
        <v>426</v>
      </c>
      <c r="B422" s="3" t="s">
        <v>427</v>
      </c>
      <c r="C422" s="4">
        <v>273.94</v>
      </c>
      <c r="D422" s="4">
        <v>273.94</v>
      </c>
      <c r="E422" s="4">
        <v>0</v>
      </c>
      <c r="F422" s="3" t="e">
        <f>VLOOKUP(B422,'Balance Sheet'!$B$2:$C$295,2,0)</f>
        <v>#N/A</v>
      </c>
    </row>
    <row r="423" spans="1:6" x14ac:dyDescent="0.2">
      <c r="A423" s="3" t="s">
        <v>426</v>
      </c>
      <c r="B423" s="3" t="s">
        <v>428</v>
      </c>
      <c r="C423" s="4">
        <v>-15.92</v>
      </c>
      <c r="D423" s="4">
        <v>-15.92</v>
      </c>
      <c r="E423" s="4">
        <v>0</v>
      </c>
      <c r="F423" s="3" t="e">
        <f>VLOOKUP(B423,'Balance Sheet'!$B$2:$C$295,2,0)</f>
        <v>#N/A</v>
      </c>
    </row>
    <row r="424" spans="1:6" x14ac:dyDescent="0.2">
      <c r="A424" s="3" t="s">
        <v>426</v>
      </c>
      <c r="B424" s="3" t="s">
        <v>429</v>
      </c>
      <c r="C424" s="4">
        <v>-392.93</v>
      </c>
      <c r="D424" s="4">
        <v>-392.93</v>
      </c>
      <c r="E424" s="4">
        <v>0</v>
      </c>
      <c r="F424" s="3" t="e">
        <f>VLOOKUP(B424,'Balance Sheet'!$B$2:$C$295,2,0)</f>
        <v>#N/A</v>
      </c>
    </row>
    <row r="425" spans="1:6" x14ac:dyDescent="0.2">
      <c r="A425" s="3" t="s">
        <v>426</v>
      </c>
      <c r="B425" s="3" t="s">
        <v>430</v>
      </c>
      <c r="C425" s="4">
        <v>-662.86</v>
      </c>
      <c r="D425" s="4">
        <v>-662.86</v>
      </c>
      <c r="E425" s="4">
        <v>0</v>
      </c>
      <c r="F425" s="3" t="e">
        <f>VLOOKUP(B425,'Balance Sheet'!$B$2:$C$295,2,0)</f>
        <v>#N/A</v>
      </c>
    </row>
    <row r="426" spans="1:6" x14ac:dyDescent="0.2">
      <c r="A426" s="3" t="s">
        <v>426</v>
      </c>
      <c r="B426" s="3" t="s">
        <v>2</v>
      </c>
      <c r="C426" s="4">
        <v>-797.77</v>
      </c>
      <c r="D426" s="4">
        <v>-797.77</v>
      </c>
      <c r="E426" s="4">
        <v>0</v>
      </c>
      <c r="F426" s="3" t="e">
        <f>VLOOKUP(B426,'Balance Sheet'!$B$2:$C$295,2,0)</f>
        <v>#N/A</v>
      </c>
    </row>
    <row r="427" spans="1:6" x14ac:dyDescent="0.2">
      <c r="A427" s="3" t="s">
        <v>431</v>
      </c>
      <c r="B427" s="3" t="s">
        <v>432</v>
      </c>
      <c r="C427" s="4">
        <v>-128397.63</v>
      </c>
      <c r="D427" s="4">
        <v>-128397.63</v>
      </c>
      <c r="E427" s="4">
        <v>0</v>
      </c>
      <c r="F427" s="3" t="e">
        <f>VLOOKUP(B427,'Balance Sheet'!$B$2:$C$295,2,0)</f>
        <v>#N/A</v>
      </c>
    </row>
    <row r="428" spans="1:6" x14ac:dyDescent="0.2">
      <c r="A428" s="3" t="s">
        <v>431</v>
      </c>
      <c r="B428" s="3" t="s">
        <v>2</v>
      </c>
      <c r="C428" s="4">
        <v>-128397.63</v>
      </c>
      <c r="D428" s="4">
        <v>-128397.63</v>
      </c>
      <c r="E428" s="4">
        <v>0</v>
      </c>
      <c r="F428" s="3" t="e">
        <f>VLOOKUP(B428,'Balance Sheet'!$B$2:$C$295,2,0)</f>
        <v>#N/A</v>
      </c>
    </row>
    <row r="429" spans="1:6" x14ac:dyDescent="0.2">
      <c r="A429" s="3" t="s">
        <v>433</v>
      </c>
      <c r="B429" s="3" t="s">
        <v>2</v>
      </c>
      <c r="C429" s="4">
        <v>168570.22</v>
      </c>
      <c r="D429" s="4">
        <v>168570.22</v>
      </c>
      <c r="E429" s="4">
        <v>0</v>
      </c>
      <c r="F429" s="3" t="e">
        <f>VLOOKUP(B429,'Balance Sheet'!$B$2:$C$295,2,0)</f>
        <v>#N/A</v>
      </c>
    </row>
    <row r="430" spans="1:6" x14ac:dyDescent="0.2">
      <c r="A430" s="3" t="s">
        <v>434</v>
      </c>
      <c r="B430" s="18" t="s">
        <v>435</v>
      </c>
      <c r="C430" s="4">
        <v>0.01</v>
      </c>
      <c r="D430" s="4">
        <v>0.01</v>
      </c>
      <c r="E430" s="4">
        <v>0</v>
      </c>
      <c r="F430" s="3" t="e">
        <f>VLOOKUP(B430,'Balance Sheet'!$B$2:$C$295,2,0)</f>
        <v>#N/A</v>
      </c>
    </row>
    <row r="431" spans="1:6" x14ac:dyDescent="0.2">
      <c r="A431" s="3" t="s">
        <v>434</v>
      </c>
      <c r="B431" s="3" t="s">
        <v>436</v>
      </c>
      <c r="C431" s="4">
        <v>87805.28</v>
      </c>
      <c r="D431" s="4">
        <v>87805.28</v>
      </c>
      <c r="E431" s="4">
        <v>0</v>
      </c>
      <c r="F431" s="3" t="e">
        <f>VLOOKUP(B431,'Balance Sheet'!$B$2:$C$295,2,0)</f>
        <v>#N/A</v>
      </c>
    </row>
    <row r="432" spans="1:6" x14ac:dyDescent="0.2">
      <c r="A432" s="3" t="s">
        <v>434</v>
      </c>
      <c r="B432" s="3" t="s">
        <v>2</v>
      </c>
      <c r="C432" s="4">
        <v>87805.29</v>
      </c>
      <c r="D432" s="4">
        <v>87805.29</v>
      </c>
      <c r="E432" s="4">
        <v>0</v>
      </c>
      <c r="F432" s="3" t="e">
        <f>VLOOKUP(B432,'Balance Sheet'!$B$2:$C$295,2,0)</f>
        <v>#N/A</v>
      </c>
    </row>
    <row r="433" spans="1:6" x14ac:dyDescent="0.2">
      <c r="A433" s="3" t="s">
        <v>437</v>
      </c>
      <c r="B433" s="3" t="s">
        <v>438</v>
      </c>
      <c r="C433" s="4">
        <v>1551.65</v>
      </c>
      <c r="D433" s="4">
        <v>1551.65</v>
      </c>
      <c r="E433" s="4">
        <v>0</v>
      </c>
      <c r="F433" s="3" t="e">
        <f>VLOOKUP(B433,'Balance Sheet'!$B$2:$C$295,2,0)</f>
        <v>#N/A</v>
      </c>
    </row>
    <row r="434" spans="1:6" x14ac:dyDescent="0.2">
      <c r="A434" s="3" t="s">
        <v>437</v>
      </c>
      <c r="B434" s="3" t="s">
        <v>439</v>
      </c>
      <c r="C434" s="4">
        <v>-4659.1899999999996</v>
      </c>
      <c r="D434" s="4">
        <v>-4659.1899999999996</v>
      </c>
      <c r="E434" s="4">
        <v>0</v>
      </c>
      <c r="F434" s="3" t="e">
        <f>VLOOKUP(B434,'Balance Sheet'!$B$2:$C$295,2,0)</f>
        <v>#N/A</v>
      </c>
    </row>
    <row r="435" spans="1:6" x14ac:dyDescent="0.2">
      <c r="A435" s="3" t="s">
        <v>437</v>
      </c>
      <c r="B435" s="3" t="s">
        <v>440</v>
      </c>
      <c r="C435" s="4">
        <v>-836.2</v>
      </c>
      <c r="D435" s="4">
        <v>-836.2</v>
      </c>
      <c r="E435" s="4">
        <v>0</v>
      </c>
      <c r="F435" s="3" t="e">
        <f>VLOOKUP(B435,'Balance Sheet'!$B$2:$C$295,2,0)</f>
        <v>#N/A</v>
      </c>
    </row>
    <row r="436" spans="1:6" x14ac:dyDescent="0.2">
      <c r="A436" s="3" t="s">
        <v>437</v>
      </c>
      <c r="B436" s="3" t="s">
        <v>2</v>
      </c>
      <c r="C436" s="4">
        <v>-3943.74</v>
      </c>
      <c r="D436" s="4">
        <v>-3943.74</v>
      </c>
      <c r="E436" s="4">
        <v>0</v>
      </c>
      <c r="F436" s="3" t="e">
        <f>VLOOKUP(B436,'Balance Sheet'!$B$2:$C$295,2,0)</f>
        <v>#N/A</v>
      </c>
    </row>
    <row r="437" spans="1:6" x14ac:dyDescent="0.2">
      <c r="A437" s="3" t="s">
        <v>441</v>
      </c>
      <c r="B437" s="3" t="s">
        <v>2</v>
      </c>
      <c r="C437" s="4">
        <v>83861.55</v>
      </c>
      <c r="D437" s="4">
        <v>83861.55</v>
      </c>
      <c r="E437" s="4">
        <v>0</v>
      </c>
      <c r="F437" s="3" t="e">
        <f>VLOOKUP(B437,'Balance Sheet'!$B$2:$C$295,2,0)</f>
        <v>#N/A</v>
      </c>
    </row>
    <row r="438" spans="1:6" x14ac:dyDescent="0.2">
      <c r="A438" s="3" t="s">
        <v>442</v>
      </c>
      <c r="B438" s="3" t="s">
        <v>443</v>
      </c>
      <c r="C438" s="4">
        <v>-0.31</v>
      </c>
      <c r="D438" s="4">
        <v>-0.31</v>
      </c>
      <c r="E438" s="4">
        <v>0</v>
      </c>
      <c r="F438" s="3" t="e">
        <f>VLOOKUP(B438,'Balance Sheet'!$B$2:$C$295,2,0)</f>
        <v>#N/A</v>
      </c>
    </row>
    <row r="439" spans="1:6" x14ac:dyDescent="0.2">
      <c r="A439" s="3" t="s">
        <v>442</v>
      </c>
      <c r="B439" s="3" t="s">
        <v>2</v>
      </c>
      <c r="C439" s="4">
        <v>-0.31</v>
      </c>
      <c r="D439" s="4">
        <v>-0.31</v>
      </c>
      <c r="E439" s="4">
        <v>0</v>
      </c>
      <c r="F439" s="3" t="e">
        <f>VLOOKUP(B439,'Balance Sheet'!$B$2:$C$295,2,0)</f>
        <v>#N/A</v>
      </c>
    </row>
    <row r="440" spans="1:6" x14ac:dyDescent="0.2">
      <c r="A440" s="3" t="s">
        <v>444</v>
      </c>
      <c r="B440" s="3" t="s">
        <v>2</v>
      </c>
      <c r="C440" s="4">
        <v>-0.31</v>
      </c>
      <c r="D440" s="4">
        <v>-0.31</v>
      </c>
      <c r="E440" s="4">
        <v>0</v>
      </c>
      <c r="F440" s="3" t="e">
        <f>VLOOKUP(B440,'Balance Sheet'!$B$2:$C$295,2,0)</f>
        <v>#N/A</v>
      </c>
    </row>
    <row r="441" spans="1:6" x14ac:dyDescent="0.2">
      <c r="A441" s="3" t="s">
        <v>445</v>
      </c>
      <c r="B441" s="3" t="s">
        <v>446</v>
      </c>
      <c r="C441" s="4">
        <v>4008.52</v>
      </c>
      <c r="D441" s="4">
        <v>4008.52</v>
      </c>
      <c r="E441" s="4">
        <v>0</v>
      </c>
      <c r="F441" s="3" t="e">
        <f>VLOOKUP(B441,'Balance Sheet'!$B$2:$C$295,2,0)</f>
        <v>#N/A</v>
      </c>
    </row>
    <row r="442" spans="1:6" x14ac:dyDescent="0.2">
      <c r="A442" s="3" t="s">
        <v>445</v>
      </c>
      <c r="B442" s="3" t="s">
        <v>2</v>
      </c>
      <c r="C442" s="4">
        <v>4008.52</v>
      </c>
      <c r="D442" s="4">
        <v>4008.52</v>
      </c>
      <c r="E442" s="4">
        <v>0</v>
      </c>
      <c r="F442" s="3" t="e">
        <f>VLOOKUP(B442,'Balance Sheet'!$B$2:$C$295,2,0)</f>
        <v>#N/A</v>
      </c>
    </row>
    <row r="443" spans="1:6" x14ac:dyDescent="0.2">
      <c r="A443" s="3" t="s">
        <v>447</v>
      </c>
      <c r="B443" s="3" t="s">
        <v>2</v>
      </c>
      <c r="C443" s="4">
        <v>4008.52</v>
      </c>
      <c r="D443" s="4">
        <v>4008.52</v>
      </c>
      <c r="E443" s="4">
        <v>0</v>
      </c>
      <c r="F443" s="3" t="e">
        <f>VLOOKUP(B443,'Balance Sheet'!$B$2:$C$295,2,0)</f>
        <v>#N/A</v>
      </c>
    </row>
    <row r="444" spans="1:6" x14ac:dyDescent="0.2">
      <c r="A444" s="3" t="s">
        <v>237</v>
      </c>
      <c r="B444" s="3" t="s">
        <v>448</v>
      </c>
      <c r="C444" s="4">
        <v>-2702419.47</v>
      </c>
      <c r="D444" s="4">
        <v>-2702419.47</v>
      </c>
      <c r="E444" s="4">
        <v>0</v>
      </c>
      <c r="F444" s="3" t="e">
        <f>VLOOKUP(B444,'Balance Sheet'!$B$2:$C$295,2,0)</f>
        <v>#N/A</v>
      </c>
    </row>
    <row r="445" spans="1:6" x14ac:dyDescent="0.2">
      <c r="A445" s="3" t="s">
        <v>237</v>
      </c>
      <c r="B445" s="5" t="s">
        <v>449</v>
      </c>
      <c r="C445" s="4">
        <v>0</v>
      </c>
      <c r="D445" s="4">
        <v>0</v>
      </c>
      <c r="E445" s="4">
        <v>0</v>
      </c>
      <c r="F445" s="3" t="e">
        <f>VLOOKUP(B445,'Balance Sheet'!$B$2:$C$295,2,0)</f>
        <v>#N/A</v>
      </c>
    </row>
    <row r="446" spans="1:6" x14ac:dyDescent="0.2">
      <c r="A446" s="3" t="s">
        <v>450</v>
      </c>
      <c r="B446" s="3" t="s">
        <v>451</v>
      </c>
      <c r="C446" s="4">
        <v>0</v>
      </c>
      <c r="D446" s="4">
        <v>0</v>
      </c>
      <c r="E446" s="4">
        <v>0</v>
      </c>
      <c r="F446" s="3" t="e">
        <f>VLOOKUP(B446,'Balance Sheet'!$B$2:$C$295,2,0)</f>
        <v>#N/A</v>
      </c>
    </row>
    <row r="447" spans="1:6" x14ac:dyDescent="0.2">
      <c r="A447" s="3" t="s">
        <v>450</v>
      </c>
      <c r="B447" s="5" t="s">
        <v>234</v>
      </c>
      <c r="C447" s="4">
        <v>0</v>
      </c>
      <c r="D447" s="4">
        <v>0</v>
      </c>
      <c r="E447" s="4">
        <v>0</v>
      </c>
      <c r="F447" s="3" t="e">
        <f>VLOOKUP(B447,'Balance Sheet'!$B$2:$C$295,2,0)</f>
        <v>#N/A</v>
      </c>
    </row>
    <row r="448" spans="1:6" x14ac:dyDescent="0.2">
      <c r="A448" s="3" t="s">
        <v>452</v>
      </c>
      <c r="B448" s="3" t="s">
        <v>453</v>
      </c>
      <c r="C448" s="4">
        <v>0</v>
      </c>
      <c r="D448" s="4">
        <v>0</v>
      </c>
      <c r="E448" s="4">
        <v>0</v>
      </c>
      <c r="F448" s="3" t="e">
        <f>VLOOKUP(B448,'Balance Sheet'!$B$2:$C$295,2,0)</f>
        <v>#N/A</v>
      </c>
    </row>
    <row r="449" spans="1:6" x14ac:dyDescent="0.2">
      <c r="A449" s="3" t="s">
        <v>452</v>
      </c>
      <c r="B449" s="3" t="s">
        <v>2</v>
      </c>
      <c r="C449" s="4">
        <v>2702419.47</v>
      </c>
      <c r="D449" s="4">
        <v>2702419.47</v>
      </c>
      <c r="E449" s="4">
        <v>0</v>
      </c>
      <c r="F449" s="3" t="e">
        <f>VLOOKUP(B449,'Balance Sheet'!$B$2:$C$295,2,0)</f>
        <v>#N/A</v>
      </c>
    </row>
    <row r="450" spans="1:6" x14ac:dyDescent="0.2">
      <c r="A450" s="3" t="s">
        <v>450</v>
      </c>
      <c r="B450" s="3" t="s">
        <v>2</v>
      </c>
      <c r="C450" s="4">
        <v>2702419.47</v>
      </c>
      <c r="D450" s="4">
        <v>2702419.47</v>
      </c>
      <c r="E450" s="4">
        <v>0</v>
      </c>
      <c r="F450" s="3" t="e">
        <f>VLOOKUP(B450,'Balance Sheet'!$B$2:$C$295,2,0)</f>
        <v>#N/A</v>
      </c>
    </row>
    <row r="451" spans="1:6" x14ac:dyDescent="0.2">
      <c r="A451" s="3" t="s">
        <v>454</v>
      </c>
      <c r="B451" s="3" t="s">
        <v>455</v>
      </c>
      <c r="C451" s="4">
        <v>0</v>
      </c>
      <c r="D451" s="4">
        <v>0</v>
      </c>
      <c r="E451" s="4">
        <v>0</v>
      </c>
      <c r="F451" s="3" t="e">
        <f>VLOOKUP(B451,'Balance Sheet'!$B$2:$C$295,2,0)</f>
        <v>#N/A</v>
      </c>
    </row>
    <row r="452" spans="1:6" x14ac:dyDescent="0.2">
      <c r="A452" s="3" t="s">
        <v>454</v>
      </c>
      <c r="B452" s="5" t="s">
        <v>456</v>
      </c>
      <c r="C452" s="4">
        <v>0</v>
      </c>
      <c r="D452" s="4">
        <v>0</v>
      </c>
      <c r="E452" s="4">
        <v>0</v>
      </c>
      <c r="F452" s="3" t="e">
        <f>VLOOKUP(B452,'Balance Sheet'!$B$2:$C$295,2,0)</f>
        <v>#N/A</v>
      </c>
    </row>
    <row r="453" spans="1:6" x14ac:dyDescent="0.2">
      <c r="A453" s="3" t="s">
        <v>454</v>
      </c>
      <c r="B453" s="3" t="s">
        <v>457</v>
      </c>
      <c r="C453" s="4">
        <v>-41227.07</v>
      </c>
      <c r="D453" s="4">
        <v>-41227.07</v>
      </c>
      <c r="E453" s="4">
        <v>0</v>
      </c>
      <c r="F453" s="3">
        <f>VLOOKUP(B453,'Balance Sheet'!$B$2:$C$295,2,0)</f>
        <v>0</v>
      </c>
    </row>
    <row r="454" spans="1:6" x14ac:dyDescent="0.2">
      <c r="A454" s="3" t="s">
        <v>454</v>
      </c>
      <c r="B454" s="3" t="s">
        <v>458</v>
      </c>
      <c r="C454" s="4">
        <v>-181804.16</v>
      </c>
      <c r="D454" s="4">
        <v>-181804.16</v>
      </c>
      <c r="E454" s="4">
        <v>0</v>
      </c>
      <c r="F454" s="3">
        <f>VLOOKUP(B454,'Balance Sheet'!$B$2:$C$295,2,0)</f>
        <v>0</v>
      </c>
    </row>
    <row r="455" spans="1:6" x14ac:dyDescent="0.2">
      <c r="A455" s="3" t="s">
        <v>454</v>
      </c>
      <c r="B455" s="3" t="s">
        <v>459</v>
      </c>
      <c r="C455" s="4">
        <v>15807.1</v>
      </c>
      <c r="D455" s="4">
        <v>15807.1</v>
      </c>
      <c r="E455" s="4">
        <v>0</v>
      </c>
      <c r="F455" s="3" t="e">
        <f>VLOOKUP(B455,'Balance Sheet'!$B$2:$C$295,2,0)</f>
        <v>#N/A</v>
      </c>
    </row>
    <row r="456" spans="1:6" x14ac:dyDescent="0.2">
      <c r="A456" s="3" t="s">
        <v>454</v>
      </c>
      <c r="B456" s="3" t="s">
        <v>460</v>
      </c>
      <c r="C456" s="4">
        <v>-40507.79</v>
      </c>
      <c r="D456" s="4">
        <v>-40507.79</v>
      </c>
      <c r="E456" s="4">
        <v>0</v>
      </c>
      <c r="F456" s="3" t="e">
        <f>VLOOKUP(B456,'Balance Sheet'!$B$2:$C$295,2,0)</f>
        <v>#N/A</v>
      </c>
    </row>
    <row r="457" spans="1:6" x14ac:dyDescent="0.2">
      <c r="A457" s="3" t="s">
        <v>454</v>
      </c>
      <c r="B457" s="3" t="s">
        <v>461</v>
      </c>
      <c r="C457" s="4">
        <v>-247731.92</v>
      </c>
      <c r="D457" s="4">
        <v>-247731.92</v>
      </c>
      <c r="E457" s="4">
        <v>0</v>
      </c>
      <c r="F457" s="3" t="e">
        <f>VLOOKUP(B457,'Balance Sheet'!$B$2:$C$295,2,0)</f>
        <v>#N/A</v>
      </c>
    </row>
    <row r="458" spans="1:6" x14ac:dyDescent="0.2">
      <c r="A458" s="3" t="s">
        <v>454</v>
      </c>
      <c r="B458" s="5" t="s">
        <v>462</v>
      </c>
      <c r="C458" s="4">
        <v>0</v>
      </c>
      <c r="D458" s="4">
        <v>0</v>
      </c>
      <c r="E458" s="4">
        <v>0</v>
      </c>
      <c r="F458" s="3" t="e">
        <f>VLOOKUP(B458,'Balance Sheet'!$B$2:$C$295,2,0)</f>
        <v>#N/A</v>
      </c>
    </row>
  </sheetData>
  <autoFilter ref="A1:F458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</vt:i4>
      </vt:variant>
    </vt:vector>
  </HeadingPairs>
  <TitlesOfParts>
    <vt:vector size="26" baseType="lpstr">
      <vt:lpstr>Profit &amp; Loss</vt:lpstr>
      <vt:lpstr>JAN 22</vt:lpstr>
      <vt:lpstr>FEB 22</vt:lpstr>
      <vt:lpstr>MAR 22</vt:lpstr>
      <vt:lpstr>APR 22</vt:lpstr>
      <vt:lpstr>MAY 22</vt:lpstr>
      <vt:lpstr>JUN 22</vt:lpstr>
      <vt:lpstr>JUL 22</vt:lpstr>
      <vt:lpstr>AUG 22</vt:lpstr>
      <vt:lpstr>SEP 22</vt:lpstr>
      <vt:lpstr>OCT 22</vt:lpstr>
      <vt:lpstr>NOV 22</vt:lpstr>
      <vt:lpstr>DEC 22</vt:lpstr>
      <vt:lpstr>Balance Sheet</vt:lpstr>
      <vt:lpstr>Sheet1</vt:lpstr>
      <vt:lpstr>Sheet3</vt:lpstr>
      <vt:lpstr>A2</vt:lpstr>
      <vt:lpstr>A3</vt:lpstr>
      <vt:lpstr>Profit &amp; Loss (2)</vt:lpstr>
      <vt:lpstr>Sheet2</vt:lpstr>
      <vt:lpstr>B2</vt:lpstr>
      <vt:lpstr>B3</vt:lpstr>
      <vt:lpstr>B5</vt:lpstr>
      <vt:lpstr>B7</vt:lpstr>
      <vt:lpstr>JAN</vt:lpstr>
      <vt:lpstr>'B5'!Time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Muhammad Ismail</cp:lastModifiedBy>
  <cp:revision>1</cp:revision>
  <dcterms:created xsi:type="dcterms:W3CDTF">2023-08-14T05:50:08Z</dcterms:created>
  <dcterms:modified xsi:type="dcterms:W3CDTF">2026-08-17T07:51:34Z</dcterms:modified>
  <cp:category/>
</cp:coreProperties>
</file>